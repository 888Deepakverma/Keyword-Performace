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v358\Downloads\"/>
    </mc:Choice>
  </mc:AlternateContent>
  <bookViews>
    <workbookView xWindow="0" yWindow="0" windowWidth="23040" windowHeight="8616" activeTab="1"/>
  </bookViews>
  <sheets>
    <sheet name="27JulyTo15Nov_All" sheetId="1" r:id="rId1"/>
    <sheet name="CamparisionReport" sheetId="2" r:id="rId2"/>
    <sheet name="9NovTo15Nov" sheetId="3" r:id="rId3"/>
    <sheet name="2NovTo8Nov" sheetId="4" r:id="rId4"/>
    <sheet name="26OctTo1Nov" sheetId="5" r:id="rId5"/>
    <sheet name="19OctTo25Oct" sheetId="6" r:id="rId6"/>
    <sheet name="12OctTo18Oct" sheetId="7" r:id="rId7"/>
    <sheet name="5OctTo11Oct" sheetId="8" r:id="rId8"/>
    <sheet name="28SepTo4Oct" sheetId="9" r:id="rId9"/>
    <sheet name="21SepTo27Sep" sheetId="10" r:id="rId10"/>
    <sheet name="14SepTo20Sep" sheetId="11" r:id="rId11"/>
    <sheet name="7SepTo13Sep" sheetId="12" r:id="rId12"/>
    <sheet name="31AugTo6Sep" sheetId="13" r:id="rId13"/>
    <sheet name="24AugTo29Aug" sheetId="14" r:id="rId14"/>
    <sheet name="17AugTo21Aug" sheetId="15" r:id="rId15"/>
    <sheet name="10AugTo16Aug" sheetId="16" r:id="rId16"/>
    <sheet name="3AugTo9Aug" sheetId="17" r:id="rId17"/>
    <sheet name="27JulyTo2Aug" sheetId="18" r:id="rId18"/>
  </sheets>
  <definedNames>
    <definedName name="_xlnm._FilterDatabase" localSheetId="6" hidden="1">'12OctTo18Oct'!$A$1:$Y$35</definedName>
    <definedName name="_xlnm._FilterDatabase" localSheetId="9" hidden="1">'21SepTo27Sep'!$A$1:$Z$47</definedName>
    <definedName name="_xlnm._FilterDatabase" localSheetId="4" hidden="1">'26OctTo1Nov'!$A$1:$Y$43</definedName>
    <definedName name="_xlnm._FilterDatabase" localSheetId="0" hidden="1">'27JulyTo15Nov_All'!$A$1:$AA$601</definedName>
    <definedName name="_xlnm._FilterDatabase" localSheetId="8" hidden="1">'28SepTo4Oct'!$A$1:$Y$33</definedName>
    <definedName name="_xlnm._FilterDatabase" localSheetId="3" hidden="1">'2NovTo8Nov'!$A$1:$Y$1000</definedName>
    <definedName name="_xlnm._FilterDatabase" localSheetId="12" hidden="1">'31AugTo6Sep'!$A$1:$Z$33</definedName>
    <definedName name="_xlnm._FilterDatabase" localSheetId="7" hidden="1">'5OctTo11Oct'!$A$1:$Y$48</definedName>
    <definedName name="_xlnm._FilterDatabase" localSheetId="2" hidden="1">'9NovTo15Nov'!$A$1:$Y$37</definedName>
    <definedName name="_xlnm._FilterDatabase" localSheetId="1" hidden="1">CamparisionReport!$A$2:$CD$218</definedName>
  </definedNames>
  <calcPr calcId="162913"/>
  <fileRecoveryPr repairLoad="1"/>
  <extLst>
    <ext uri="GoogleSheetsCustomDataVersion2">
      <go:sheetsCustomData xmlns:go="http://customooxmlschemas.google.com/" r:id="rId22" roundtripDataChecksum="YMcwCZ+j3q6zUmRlI+V/MgyatbdCzNEAedD2XlqPsv0="/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3" i="2"/>
  <c r="H42" i="11"/>
  <c r="H34" i="11"/>
  <c r="H7" i="11"/>
  <c r="H41" i="10"/>
  <c r="H26" i="10"/>
  <c r="P42" i="9"/>
  <c r="O42" i="9"/>
  <c r="Q42" i="9" s="1"/>
  <c r="Q40" i="9"/>
  <c r="Q39" i="9"/>
  <c r="P31" i="9"/>
  <c r="Q31" i="9" s="1"/>
  <c r="O31" i="9"/>
  <c r="H28" i="9"/>
  <c r="H13" i="9"/>
  <c r="H12" i="9"/>
  <c r="H9" i="9"/>
  <c r="H43" i="8"/>
  <c r="H29" i="8"/>
  <c r="H26" i="8"/>
  <c r="H24" i="8"/>
  <c r="H17" i="8"/>
  <c r="H5" i="8"/>
  <c r="H32" i="7"/>
  <c r="H26" i="6"/>
  <c r="H38" i="5"/>
  <c r="H29" i="5"/>
  <c r="H20" i="5"/>
  <c r="H7" i="5"/>
  <c r="H3" i="5"/>
  <c r="H43" i="4"/>
  <c r="H40" i="4"/>
  <c r="H37" i="4"/>
  <c r="H34" i="4"/>
  <c r="H29" i="4"/>
  <c r="H15" i="4"/>
  <c r="H11" i="4"/>
  <c r="H36" i="3"/>
  <c r="H35" i="3"/>
  <c r="H22" i="3"/>
  <c r="H21" i="3"/>
  <c r="H15" i="3"/>
  <c r="H14" i="3"/>
  <c r="H12" i="3"/>
  <c r="H7" i="3"/>
  <c r="CC218" i="2"/>
  <c r="CD218" i="2" s="1"/>
  <c r="CB218" i="2"/>
  <c r="CA218" i="2"/>
  <c r="BZ218" i="2"/>
  <c r="BX218" i="2"/>
  <c r="BY218" i="2" s="1"/>
  <c r="BW218" i="2"/>
  <c r="BV218" i="2"/>
  <c r="BU218" i="2"/>
  <c r="BT218" i="2"/>
  <c r="BS218" i="2"/>
  <c r="BR218" i="2"/>
  <c r="BQ218" i="2"/>
  <c r="BP218" i="2"/>
  <c r="BN218" i="2"/>
  <c r="BO218" i="2" s="1"/>
  <c r="BM218" i="2"/>
  <c r="BL218" i="2"/>
  <c r="BK218" i="2"/>
  <c r="BI218" i="2"/>
  <c r="BJ218" i="2" s="1"/>
  <c r="BH218" i="2"/>
  <c r="BG218" i="2"/>
  <c r="BF218" i="2"/>
  <c r="BD218" i="2"/>
  <c r="BE218" i="2" s="1"/>
  <c r="BC218" i="2"/>
  <c r="BB218" i="2"/>
  <c r="BA218" i="2"/>
  <c r="AZ218" i="2"/>
  <c r="AY218" i="2"/>
  <c r="AX218" i="2"/>
  <c r="AW218" i="2"/>
  <c r="AV218" i="2"/>
  <c r="AT218" i="2"/>
  <c r="AU218" i="2" s="1"/>
  <c r="AS218" i="2"/>
  <c r="AR218" i="2"/>
  <c r="AQ218" i="2"/>
  <c r="AO218" i="2"/>
  <c r="AP218" i="2" s="1"/>
  <c r="AN218" i="2"/>
  <c r="AM218" i="2"/>
  <c r="AL218" i="2"/>
  <c r="AJ218" i="2"/>
  <c r="AK218" i="2" s="1"/>
  <c r="AI218" i="2"/>
  <c r="AH218" i="2"/>
  <c r="AG218" i="2"/>
  <c r="AF218" i="2"/>
  <c r="AE218" i="2"/>
  <c r="AD218" i="2"/>
  <c r="AC218" i="2"/>
  <c r="AB218" i="2"/>
  <c r="Z218" i="2"/>
  <c r="AA218" i="2" s="1"/>
  <c r="Y218" i="2"/>
  <c r="X218" i="2"/>
  <c r="W218" i="2"/>
  <c r="U218" i="2"/>
  <c r="V218" i="2" s="1"/>
  <c r="T218" i="2"/>
  <c r="S218" i="2"/>
  <c r="R218" i="2"/>
  <c r="P218" i="2"/>
  <c r="Q218" i="2" s="1"/>
  <c r="O218" i="2"/>
  <c r="N218" i="2"/>
  <c r="M218" i="2"/>
  <c r="L218" i="2"/>
  <c r="K218" i="2"/>
  <c r="J218" i="2"/>
  <c r="I218" i="2"/>
  <c r="H218" i="2"/>
  <c r="F218" i="2"/>
  <c r="G218" i="2" s="1"/>
  <c r="E218" i="2"/>
  <c r="D218" i="2"/>
  <c r="C218" i="2"/>
  <c r="CC217" i="2"/>
  <c r="CD217" i="2" s="1"/>
  <c r="CB217" i="2"/>
  <c r="CA217" i="2"/>
  <c r="BZ217" i="2"/>
  <c r="BY217" i="2"/>
  <c r="BX217" i="2"/>
  <c r="BW217" i="2"/>
  <c r="BV217" i="2"/>
  <c r="BU217" i="2"/>
  <c r="BS217" i="2"/>
  <c r="BT217" i="2" s="1"/>
  <c r="BR217" i="2"/>
  <c r="BQ217" i="2"/>
  <c r="BP217" i="2"/>
  <c r="BN217" i="2"/>
  <c r="BO217" i="2" s="1"/>
  <c r="BM217" i="2"/>
  <c r="BL217" i="2"/>
  <c r="BK217" i="2"/>
  <c r="BI217" i="2"/>
  <c r="BJ217" i="2" s="1"/>
  <c r="BH217" i="2"/>
  <c r="BG217" i="2"/>
  <c r="BF217" i="2"/>
  <c r="BE217" i="2"/>
  <c r="BD217" i="2"/>
  <c r="BC217" i="2"/>
  <c r="BB217" i="2"/>
  <c r="BA217" i="2"/>
  <c r="AY217" i="2"/>
  <c r="AZ217" i="2" s="1"/>
  <c r="AX217" i="2"/>
  <c r="AW217" i="2"/>
  <c r="AV217" i="2"/>
  <c r="AT217" i="2"/>
  <c r="AU217" i="2" s="1"/>
  <c r="AS217" i="2"/>
  <c r="AR217" i="2"/>
  <c r="AQ217" i="2"/>
  <c r="AO217" i="2"/>
  <c r="AP217" i="2" s="1"/>
  <c r="AN217" i="2"/>
  <c r="AM217" i="2"/>
  <c r="AL217" i="2"/>
  <c r="AK217" i="2"/>
  <c r="AJ217" i="2"/>
  <c r="AI217" i="2"/>
  <c r="AH217" i="2"/>
  <c r="AG217" i="2"/>
  <c r="AE217" i="2"/>
  <c r="AF217" i="2" s="1"/>
  <c r="AD217" i="2"/>
  <c r="AC217" i="2"/>
  <c r="AB217" i="2"/>
  <c r="Z217" i="2"/>
  <c r="AA217" i="2" s="1"/>
  <c r="Y217" i="2"/>
  <c r="X217" i="2"/>
  <c r="W217" i="2"/>
  <c r="U217" i="2"/>
  <c r="V217" i="2" s="1"/>
  <c r="T217" i="2"/>
  <c r="S217" i="2"/>
  <c r="R217" i="2"/>
  <c r="Q217" i="2"/>
  <c r="P217" i="2"/>
  <c r="O217" i="2"/>
  <c r="N217" i="2"/>
  <c r="M217" i="2"/>
  <c r="K217" i="2"/>
  <c r="L217" i="2" s="1"/>
  <c r="J217" i="2"/>
  <c r="I217" i="2"/>
  <c r="H217" i="2"/>
  <c r="F217" i="2"/>
  <c r="G217" i="2" s="1"/>
  <c r="E217" i="2"/>
  <c r="D217" i="2"/>
  <c r="C217" i="2"/>
  <c r="CD216" i="2"/>
  <c r="CC216" i="2"/>
  <c r="CB216" i="2"/>
  <c r="CA216" i="2"/>
  <c r="BZ216" i="2"/>
  <c r="BX216" i="2"/>
  <c r="BY216" i="2" s="1"/>
  <c r="BW216" i="2"/>
  <c r="BV216" i="2"/>
  <c r="BU216" i="2"/>
  <c r="BS216" i="2"/>
  <c r="BT216" i="2" s="1"/>
  <c r="BR216" i="2"/>
  <c r="BQ216" i="2"/>
  <c r="BP216" i="2"/>
  <c r="BN216" i="2"/>
  <c r="BO216" i="2" s="1"/>
  <c r="BM216" i="2"/>
  <c r="BL216" i="2"/>
  <c r="BK216" i="2"/>
  <c r="BJ216" i="2"/>
  <c r="BI216" i="2"/>
  <c r="BH216" i="2"/>
  <c r="BG216" i="2"/>
  <c r="BF216" i="2"/>
  <c r="BD216" i="2"/>
  <c r="BE216" i="2" s="1"/>
  <c r="BC216" i="2"/>
  <c r="BB216" i="2"/>
  <c r="BA216" i="2"/>
  <c r="AY216" i="2"/>
  <c r="AZ216" i="2" s="1"/>
  <c r="AX216" i="2"/>
  <c r="AW216" i="2"/>
  <c r="AV216" i="2"/>
  <c r="AT216" i="2"/>
  <c r="AU216" i="2" s="1"/>
  <c r="AS216" i="2"/>
  <c r="AR216" i="2"/>
  <c r="AQ216" i="2"/>
  <c r="AP216" i="2"/>
  <c r="AO216" i="2"/>
  <c r="AN216" i="2"/>
  <c r="AM216" i="2"/>
  <c r="AL216" i="2"/>
  <c r="AJ216" i="2"/>
  <c r="AK216" i="2" s="1"/>
  <c r="AI216" i="2"/>
  <c r="AH216" i="2"/>
  <c r="AG216" i="2"/>
  <c r="AE216" i="2"/>
  <c r="AF216" i="2" s="1"/>
  <c r="AD216" i="2"/>
  <c r="AC216" i="2"/>
  <c r="AB216" i="2"/>
  <c r="Z216" i="2"/>
  <c r="AA216" i="2" s="1"/>
  <c r="Y216" i="2"/>
  <c r="X216" i="2"/>
  <c r="W216" i="2"/>
  <c r="V216" i="2"/>
  <c r="U216" i="2"/>
  <c r="T216" i="2"/>
  <c r="S216" i="2"/>
  <c r="R216" i="2"/>
  <c r="P216" i="2"/>
  <c r="Q216" i="2" s="1"/>
  <c r="O216" i="2"/>
  <c r="N216" i="2"/>
  <c r="M216" i="2"/>
  <c r="K216" i="2"/>
  <c r="L216" i="2" s="1"/>
  <c r="J216" i="2"/>
  <c r="I216" i="2"/>
  <c r="H216" i="2"/>
  <c r="F216" i="2"/>
  <c r="G216" i="2" s="1"/>
  <c r="E216" i="2"/>
  <c r="D216" i="2"/>
  <c r="C216" i="2"/>
  <c r="CC215" i="2"/>
  <c r="CD215" i="2" s="1"/>
  <c r="CB215" i="2"/>
  <c r="CA215" i="2"/>
  <c r="BZ215" i="2"/>
  <c r="BX215" i="2"/>
  <c r="BY215" i="2" s="1"/>
  <c r="BW215" i="2"/>
  <c r="BV215" i="2"/>
  <c r="BU215" i="2"/>
  <c r="BS215" i="2"/>
  <c r="BT215" i="2" s="1"/>
  <c r="BR215" i="2"/>
  <c r="BQ215" i="2"/>
  <c r="BP215" i="2"/>
  <c r="BO215" i="2"/>
  <c r="BN215" i="2"/>
  <c r="BM215" i="2"/>
  <c r="BL215" i="2"/>
  <c r="BK215" i="2"/>
  <c r="BI215" i="2"/>
  <c r="BJ215" i="2" s="1"/>
  <c r="BH215" i="2"/>
  <c r="BG215" i="2"/>
  <c r="BF215" i="2"/>
  <c r="BD215" i="2"/>
  <c r="BE215" i="2" s="1"/>
  <c r="BC215" i="2"/>
  <c r="BB215" i="2"/>
  <c r="BA215" i="2"/>
  <c r="AY215" i="2"/>
  <c r="AZ215" i="2" s="1"/>
  <c r="AX215" i="2"/>
  <c r="AW215" i="2"/>
  <c r="AV215" i="2"/>
  <c r="AU215" i="2"/>
  <c r="AT215" i="2"/>
  <c r="AS215" i="2"/>
  <c r="AR215" i="2"/>
  <c r="AQ215" i="2"/>
  <c r="AO215" i="2"/>
  <c r="AP215" i="2" s="1"/>
  <c r="AN215" i="2"/>
  <c r="AM215" i="2"/>
  <c r="AL215" i="2"/>
  <c r="AJ215" i="2"/>
  <c r="AK215" i="2" s="1"/>
  <c r="AI215" i="2"/>
  <c r="AH215" i="2"/>
  <c r="AG215" i="2"/>
  <c r="AE215" i="2"/>
  <c r="AF215" i="2" s="1"/>
  <c r="AD215" i="2"/>
  <c r="AC215" i="2"/>
  <c r="AB215" i="2"/>
  <c r="AA215" i="2"/>
  <c r="Z215" i="2"/>
  <c r="Y215" i="2"/>
  <c r="X215" i="2"/>
  <c r="W215" i="2"/>
  <c r="U215" i="2"/>
  <c r="V215" i="2" s="1"/>
  <c r="T215" i="2"/>
  <c r="S215" i="2"/>
  <c r="R215" i="2"/>
  <c r="P215" i="2"/>
  <c r="Q215" i="2" s="1"/>
  <c r="O215" i="2"/>
  <c r="N215" i="2"/>
  <c r="M215" i="2"/>
  <c r="K215" i="2"/>
  <c r="L215" i="2" s="1"/>
  <c r="J215" i="2"/>
  <c r="I215" i="2"/>
  <c r="H215" i="2"/>
  <c r="G215" i="2"/>
  <c r="F215" i="2"/>
  <c r="E215" i="2"/>
  <c r="D215" i="2"/>
  <c r="C215" i="2"/>
  <c r="CC214" i="2"/>
  <c r="CD214" i="2" s="1"/>
  <c r="CB214" i="2"/>
  <c r="CA214" i="2"/>
  <c r="BZ214" i="2"/>
  <c r="BX214" i="2"/>
  <c r="BY214" i="2" s="1"/>
  <c r="BW214" i="2"/>
  <c r="BV214" i="2"/>
  <c r="BU214" i="2"/>
  <c r="BT214" i="2"/>
  <c r="BS214" i="2"/>
  <c r="BR214" i="2"/>
  <c r="BQ214" i="2"/>
  <c r="BP214" i="2"/>
  <c r="BN214" i="2"/>
  <c r="BO214" i="2" s="1"/>
  <c r="BM214" i="2"/>
  <c r="BL214" i="2"/>
  <c r="BK214" i="2"/>
  <c r="BI214" i="2"/>
  <c r="BJ214" i="2" s="1"/>
  <c r="BH214" i="2"/>
  <c r="BG214" i="2"/>
  <c r="BF214" i="2"/>
  <c r="BD214" i="2"/>
  <c r="BE214" i="2" s="1"/>
  <c r="BC214" i="2"/>
  <c r="BB214" i="2"/>
  <c r="BA214" i="2"/>
  <c r="AZ214" i="2"/>
  <c r="AY214" i="2"/>
  <c r="AX214" i="2"/>
  <c r="AW214" i="2"/>
  <c r="AV214" i="2"/>
  <c r="AT214" i="2"/>
  <c r="AU214" i="2" s="1"/>
  <c r="AS214" i="2"/>
  <c r="AR214" i="2"/>
  <c r="AQ214" i="2"/>
  <c r="AO214" i="2"/>
  <c r="AP214" i="2" s="1"/>
  <c r="AN214" i="2"/>
  <c r="AM214" i="2"/>
  <c r="AL214" i="2"/>
  <c r="AJ214" i="2"/>
  <c r="AK214" i="2" s="1"/>
  <c r="AI214" i="2"/>
  <c r="AH214" i="2"/>
  <c r="AG214" i="2"/>
  <c r="AF214" i="2"/>
  <c r="AE214" i="2"/>
  <c r="AD214" i="2"/>
  <c r="AC214" i="2"/>
  <c r="AB214" i="2"/>
  <c r="Z214" i="2"/>
  <c r="AA214" i="2" s="1"/>
  <c r="Y214" i="2"/>
  <c r="X214" i="2"/>
  <c r="W214" i="2"/>
  <c r="U214" i="2"/>
  <c r="V214" i="2" s="1"/>
  <c r="T214" i="2"/>
  <c r="S214" i="2"/>
  <c r="R214" i="2"/>
  <c r="P214" i="2"/>
  <c r="Q214" i="2" s="1"/>
  <c r="O214" i="2"/>
  <c r="N214" i="2"/>
  <c r="M214" i="2"/>
  <c r="L214" i="2"/>
  <c r="K214" i="2"/>
  <c r="J214" i="2"/>
  <c r="I214" i="2"/>
  <c r="H214" i="2"/>
  <c r="F214" i="2"/>
  <c r="G214" i="2" s="1"/>
  <c r="E214" i="2"/>
  <c r="D214" i="2"/>
  <c r="C214" i="2"/>
  <c r="CC213" i="2"/>
  <c r="CD213" i="2" s="1"/>
  <c r="CB213" i="2"/>
  <c r="CA213" i="2"/>
  <c r="BZ213" i="2"/>
  <c r="BY213" i="2"/>
  <c r="BX213" i="2"/>
  <c r="BW213" i="2"/>
  <c r="BV213" i="2"/>
  <c r="BU213" i="2"/>
  <c r="BS213" i="2"/>
  <c r="BT213" i="2" s="1"/>
  <c r="BR213" i="2"/>
  <c r="BQ213" i="2"/>
  <c r="BP213" i="2"/>
  <c r="BN213" i="2"/>
  <c r="BO213" i="2" s="1"/>
  <c r="BM213" i="2"/>
  <c r="BL213" i="2"/>
  <c r="BK213" i="2"/>
  <c r="BI213" i="2"/>
  <c r="BJ213" i="2" s="1"/>
  <c r="BH213" i="2"/>
  <c r="BG213" i="2"/>
  <c r="BF213" i="2"/>
  <c r="BE213" i="2"/>
  <c r="BD213" i="2"/>
  <c r="BC213" i="2"/>
  <c r="BB213" i="2"/>
  <c r="BA213" i="2"/>
  <c r="AY213" i="2"/>
  <c r="AZ213" i="2" s="1"/>
  <c r="AX213" i="2"/>
  <c r="AW213" i="2"/>
  <c r="AV213" i="2"/>
  <c r="AT213" i="2"/>
  <c r="AU213" i="2" s="1"/>
  <c r="AS213" i="2"/>
  <c r="AR213" i="2"/>
  <c r="AQ213" i="2"/>
  <c r="AO213" i="2"/>
  <c r="AP213" i="2" s="1"/>
  <c r="AN213" i="2"/>
  <c r="AM213" i="2"/>
  <c r="AL213" i="2"/>
  <c r="AK213" i="2"/>
  <c r="AJ213" i="2"/>
  <c r="AI213" i="2"/>
  <c r="AH213" i="2"/>
  <c r="AG213" i="2"/>
  <c r="AE213" i="2"/>
  <c r="AF213" i="2" s="1"/>
  <c r="AD213" i="2"/>
  <c r="AC213" i="2"/>
  <c r="AB213" i="2"/>
  <c r="Z213" i="2"/>
  <c r="AA213" i="2" s="1"/>
  <c r="Y213" i="2"/>
  <c r="X213" i="2"/>
  <c r="W213" i="2"/>
  <c r="U213" i="2"/>
  <c r="V213" i="2" s="1"/>
  <c r="T213" i="2"/>
  <c r="S213" i="2"/>
  <c r="R213" i="2"/>
  <c r="Q213" i="2"/>
  <c r="P213" i="2"/>
  <c r="O213" i="2"/>
  <c r="N213" i="2"/>
  <c r="M213" i="2"/>
  <c r="K213" i="2"/>
  <c r="L213" i="2" s="1"/>
  <c r="J213" i="2"/>
  <c r="I213" i="2"/>
  <c r="H213" i="2"/>
  <c r="F213" i="2"/>
  <c r="G213" i="2" s="1"/>
  <c r="E213" i="2"/>
  <c r="D213" i="2"/>
  <c r="C213" i="2"/>
  <c r="CD212" i="2"/>
  <c r="CC212" i="2"/>
  <c r="CB212" i="2"/>
  <c r="CA212" i="2"/>
  <c r="BZ212" i="2"/>
  <c r="BX212" i="2"/>
  <c r="BY212" i="2" s="1"/>
  <c r="BW212" i="2"/>
  <c r="BV212" i="2"/>
  <c r="BU212" i="2"/>
  <c r="BS212" i="2"/>
  <c r="BT212" i="2" s="1"/>
  <c r="BR212" i="2"/>
  <c r="BQ212" i="2"/>
  <c r="BP212" i="2"/>
  <c r="BN212" i="2"/>
  <c r="BO212" i="2" s="1"/>
  <c r="BM212" i="2"/>
  <c r="BL212" i="2"/>
  <c r="BK212" i="2"/>
  <c r="BJ212" i="2"/>
  <c r="BI212" i="2"/>
  <c r="BH212" i="2"/>
  <c r="BG212" i="2"/>
  <c r="BF212" i="2"/>
  <c r="BD212" i="2"/>
  <c r="BE212" i="2" s="1"/>
  <c r="BC212" i="2"/>
  <c r="BB212" i="2"/>
  <c r="BA212" i="2"/>
  <c r="AY212" i="2"/>
  <c r="AZ212" i="2" s="1"/>
  <c r="AX212" i="2"/>
  <c r="AW212" i="2"/>
  <c r="AV212" i="2"/>
  <c r="AT212" i="2"/>
  <c r="AU212" i="2" s="1"/>
  <c r="AS212" i="2"/>
  <c r="AR212" i="2"/>
  <c r="AQ212" i="2"/>
  <c r="AP212" i="2"/>
  <c r="AO212" i="2"/>
  <c r="AN212" i="2"/>
  <c r="AM212" i="2"/>
  <c r="AL212" i="2"/>
  <c r="AJ212" i="2"/>
  <c r="AK212" i="2" s="1"/>
  <c r="AI212" i="2"/>
  <c r="AH212" i="2"/>
  <c r="AG212" i="2"/>
  <c r="AE212" i="2"/>
  <c r="AF212" i="2" s="1"/>
  <c r="AD212" i="2"/>
  <c r="AC212" i="2"/>
  <c r="AB212" i="2"/>
  <c r="Z212" i="2"/>
  <c r="AA212" i="2" s="1"/>
  <c r="Y212" i="2"/>
  <c r="X212" i="2"/>
  <c r="W212" i="2"/>
  <c r="V212" i="2"/>
  <c r="U212" i="2"/>
  <c r="T212" i="2"/>
  <c r="S212" i="2"/>
  <c r="R212" i="2"/>
  <c r="P212" i="2"/>
  <c r="Q212" i="2" s="1"/>
  <c r="O212" i="2"/>
  <c r="N212" i="2"/>
  <c r="M212" i="2"/>
  <c r="K212" i="2"/>
  <c r="L212" i="2" s="1"/>
  <c r="J212" i="2"/>
  <c r="I212" i="2"/>
  <c r="H212" i="2"/>
  <c r="F212" i="2"/>
  <c r="G212" i="2" s="1"/>
  <c r="E212" i="2"/>
  <c r="D212" i="2"/>
  <c r="C212" i="2"/>
  <c r="CC211" i="2"/>
  <c r="CD211" i="2" s="1"/>
  <c r="CB211" i="2"/>
  <c r="CA211" i="2"/>
  <c r="BZ211" i="2"/>
  <c r="BX211" i="2"/>
  <c r="BY211" i="2" s="1"/>
  <c r="BW211" i="2"/>
  <c r="BV211" i="2"/>
  <c r="BU211" i="2"/>
  <c r="BS211" i="2"/>
  <c r="BT211" i="2" s="1"/>
  <c r="BR211" i="2"/>
  <c r="BQ211" i="2"/>
  <c r="BP211" i="2"/>
  <c r="BO211" i="2"/>
  <c r="BN211" i="2"/>
  <c r="BM211" i="2"/>
  <c r="BL211" i="2"/>
  <c r="BK211" i="2"/>
  <c r="BI211" i="2"/>
  <c r="BJ211" i="2" s="1"/>
  <c r="BH211" i="2"/>
  <c r="BG211" i="2"/>
  <c r="BF211" i="2"/>
  <c r="BD211" i="2"/>
  <c r="BE211" i="2" s="1"/>
  <c r="BC211" i="2"/>
  <c r="BB211" i="2"/>
  <c r="BA211" i="2"/>
  <c r="AY211" i="2"/>
  <c r="AZ211" i="2" s="1"/>
  <c r="AX211" i="2"/>
  <c r="AW211" i="2"/>
  <c r="AV211" i="2"/>
  <c r="AU211" i="2"/>
  <c r="AT211" i="2"/>
  <c r="AS211" i="2"/>
  <c r="AR211" i="2"/>
  <c r="AQ211" i="2"/>
  <c r="AO211" i="2"/>
  <c r="AP211" i="2" s="1"/>
  <c r="AN211" i="2"/>
  <c r="AM211" i="2"/>
  <c r="AL211" i="2"/>
  <c r="AJ211" i="2"/>
  <c r="AK211" i="2" s="1"/>
  <c r="AI211" i="2"/>
  <c r="AH211" i="2"/>
  <c r="AG211" i="2"/>
  <c r="AE211" i="2"/>
  <c r="AF211" i="2" s="1"/>
  <c r="AD211" i="2"/>
  <c r="AC211" i="2"/>
  <c r="AB211" i="2"/>
  <c r="AA211" i="2"/>
  <c r="Z211" i="2"/>
  <c r="Y211" i="2"/>
  <c r="X211" i="2"/>
  <c r="W211" i="2"/>
  <c r="U211" i="2"/>
  <c r="V211" i="2" s="1"/>
  <c r="T211" i="2"/>
  <c r="S211" i="2"/>
  <c r="R211" i="2"/>
  <c r="P211" i="2"/>
  <c r="Q211" i="2" s="1"/>
  <c r="O211" i="2"/>
  <c r="N211" i="2"/>
  <c r="M211" i="2"/>
  <c r="K211" i="2"/>
  <c r="L211" i="2" s="1"/>
  <c r="J211" i="2"/>
  <c r="I211" i="2"/>
  <c r="H211" i="2"/>
  <c r="G211" i="2"/>
  <c r="F211" i="2"/>
  <c r="E211" i="2"/>
  <c r="D211" i="2"/>
  <c r="C211" i="2"/>
  <c r="CC210" i="2"/>
  <c r="CD210" i="2" s="1"/>
  <c r="CB210" i="2"/>
  <c r="CA210" i="2"/>
  <c r="BZ210" i="2"/>
  <c r="BX210" i="2"/>
  <c r="BY210" i="2" s="1"/>
  <c r="BW210" i="2"/>
  <c r="BV210" i="2"/>
  <c r="BU210" i="2"/>
  <c r="BT210" i="2"/>
  <c r="BS210" i="2"/>
  <c r="BR210" i="2"/>
  <c r="BQ210" i="2"/>
  <c r="BP210" i="2"/>
  <c r="BN210" i="2"/>
  <c r="BO210" i="2" s="1"/>
  <c r="BM210" i="2"/>
  <c r="BL210" i="2"/>
  <c r="BK210" i="2"/>
  <c r="BI210" i="2"/>
  <c r="BJ210" i="2" s="1"/>
  <c r="BH210" i="2"/>
  <c r="BG210" i="2"/>
  <c r="BF210" i="2"/>
  <c r="BD210" i="2"/>
  <c r="BE210" i="2" s="1"/>
  <c r="BC210" i="2"/>
  <c r="BB210" i="2"/>
  <c r="BA210" i="2"/>
  <c r="AZ210" i="2"/>
  <c r="AY210" i="2"/>
  <c r="AX210" i="2"/>
  <c r="AW210" i="2"/>
  <c r="AV210" i="2"/>
  <c r="AT210" i="2"/>
  <c r="AU210" i="2" s="1"/>
  <c r="AS210" i="2"/>
  <c r="AR210" i="2"/>
  <c r="AQ210" i="2"/>
  <c r="AO210" i="2"/>
  <c r="AP210" i="2" s="1"/>
  <c r="AN210" i="2"/>
  <c r="AM210" i="2"/>
  <c r="AL210" i="2"/>
  <c r="AJ210" i="2"/>
  <c r="AK210" i="2" s="1"/>
  <c r="AI210" i="2"/>
  <c r="AH210" i="2"/>
  <c r="AG210" i="2"/>
  <c r="AF210" i="2"/>
  <c r="AE210" i="2"/>
  <c r="AD210" i="2"/>
  <c r="AC210" i="2"/>
  <c r="AB210" i="2"/>
  <c r="Z210" i="2"/>
  <c r="AA210" i="2" s="1"/>
  <c r="Y210" i="2"/>
  <c r="X210" i="2"/>
  <c r="W210" i="2"/>
  <c r="U210" i="2"/>
  <c r="V210" i="2" s="1"/>
  <c r="T210" i="2"/>
  <c r="S210" i="2"/>
  <c r="R210" i="2"/>
  <c r="P210" i="2"/>
  <c r="Q210" i="2" s="1"/>
  <c r="O210" i="2"/>
  <c r="N210" i="2"/>
  <c r="M210" i="2"/>
  <c r="L210" i="2"/>
  <c r="K210" i="2"/>
  <c r="J210" i="2"/>
  <c r="I210" i="2"/>
  <c r="H210" i="2"/>
  <c r="F210" i="2"/>
  <c r="G210" i="2" s="1"/>
  <c r="E210" i="2"/>
  <c r="D210" i="2"/>
  <c r="C210" i="2"/>
  <c r="CC209" i="2"/>
  <c r="CD209" i="2" s="1"/>
  <c r="CB209" i="2"/>
  <c r="CA209" i="2"/>
  <c r="BZ209" i="2"/>
  <c r="BY209" i="2"/>
  <c r="BX209" i="2"/>
  <c r="BW209" i="2"/>
  <c r="BV209" i="2"/>
  <c r="BU209" i="2"/>
  <c r="BS209" i="2"/>
  <c r="BT209" i="2" s="1"/>
  <c r="BR209" i="2"/>
  <c r="BQ209" i="2"/>
  <c r="BP209" i="2"/>
  <c r="BN209" i="2"/>
  <c r="BO209" i="2" s="1"/>
  <c r="BM209" i="2"/>
  <c r="BL209" i="2"/>
  <c r="BK209" i="2"/>
  <c r="BI209" i="2"/>
  <c r="BJ209" i="2" s="1"/>
  <c r="BH209" i="2"/>
  <c r="BG209" i="2"/>
  <c r="BF209" i="2"/>
  <c r="BE209" i="2"/>
  <c r="BD209" i="2"/>
  <c r="BC209" i="2"/>
  <c r="BB209" i="2"/>
  <c r="BA209" i="2"/>
  <c r="AY209" i="2"/>
  <c r="AZ209" i="2" s="1"/>
  <c r="AX209" i="2"/>
  <c r="AW209" i="2"/>
  <c r="AV209" i="2"/>
  <c r="AT209" i="2"/>
  <c r="AU209" i="2" s="1"/>
  <c r="AS209" i="2"/>
  <c r="AR209" i="2"/>
  <c r="AQ209" i="2"/>
  <c r="AO209" i="2"/>
  <c r="AP209" i="2" s="1"/>
  <c r="AN209" i="2"/>
  <c r="AM209" i="2"/>
  <c r="AL209" i="2"/>
  <c r="AK209" i="2"/>
  <c r="AJ209" i="2"/>
  <c r="AI209" i="2"/>
  <c r="AH209" i="2"/>
  <c r="AG209" i="2"/>
  <c r="AE209" i="2"/>
  <c r="AF209" i="2" s="1"/>
  <c r="AD209" i="2"/>
  <c r="AC209" i="2"/>
  <c r="AB209" i="2"/>
  <c r="Z209" i="2"/>
  <c r="AA209" i="2" s="1"/>
  <c r="Y209" i="2"/>
  <c r="X209" i="2"/>
  <c r="W209" i="2"/>
  <c r="U209" i="2"/>
  <c r="V209" i="2" s="1"/>
  <c r="T209" i="2"/>
  <c r="S209" i="2"/>
  <c r="R209" i="2"/>
  <c r="Q209" i="2"/>
  <c r="P209" i="2"/>
  <c r="O209" i="2"/>
  <c r="N209" i="2"/>
  <c r="M209" i="2"/>
  <c r="K209" i="2"/>
  <c r="L209" i="2" s="1"/>
  <c r="J209" i="2"/>
  <c r="I209" i="2"/>
  <c r="H209" i="2"/>
  <c r="F209" i="2"/>
  <c r="G209" i="2" s="1"/>
  <c r="E209" i="2"/>
  <c r="D209" i="2"/>
  <c r="C209" i="2"/>
  <c r="CD208" i="2"/>
  <c r="CC208" i="2"/>
  <c r="CB208" i="2"/>
  <c r="CA208" i="2"/>
  <c r="BZ208" i="2"/>
  <c r="BX208" i="2"/>
  <c r="BY208" i="2" s="1"/>
  <c r="BW208" i="2"/>
  <c r="BV208" i="2"/>
  <c r="BU208" i="2"/>
  <c r="BS208" i="2"/>
  <c r="BT208" i="2" s="1"/>
  <c r="BR208" i="2"/>
  <c r="BQ208" i="2"/>
  <c r="BP208" i="2"/>
  <c r="BN208" i="2"/>
  <c r="BO208" i="2" s="1"/>
  <c r="BM208" i="2"/>
  <c r="BL208" i="2"/>
  <c r="BK208" i="2"/>
  <c r="BJ208" i="2"/>
  <c r="BI208" i="2"/>
  <c r="BH208" i="2"/>
  <c r="BG208" i="2"/>
  <c r="BF208" i="2"/>
  <c r="BD208" i="2"/>
  <c r="BE208" i="2" s="1"/>
  <c r="BC208" i="2"/>
  <c r="BB208" i="2"/>
  <c r="BA208" i="2"/>
  <c r="AY208" i="2"/>
  <c r="AZ208" i="2" s="1"/>
  <c r="AX208" i="2"/>
  <c r="AW208" i="2"/>
  <c r="AV208" i="2"/>
  <c r="AT208" i="2"/>
  <c r="AU208" i="2" s="1"/>
  <c r="AS208" i="2"/>
  <c r="AR208" i="2"/>
  <c r="AQ208" i="2"/>
  <c r="AP208" i="2"/>
  <c r="AO208" i="2"/>
  <c r="AN208" i="2"/>
  <c r="AM208" i="2"/>
  <c r="AL208" i="2"/>
  <c r="AJ208" i="2"/>
  <c r="AK208" i="2" s="1"/>
  <c r="AI208" i="2"/>
  <c r="AH208" i="2"/>
  <c r="AG208" i="2"/>
  <c r="AE208" i="2"/>
  <c r="AF208" i="2" s="1"/>
  <c r="AD208" i="2"/>
  <c r="AC208" i="2"/>
  <c r="AB208" i="2"/>
  <c r="Z208" i="2"/>
  <c r="AA208" i="2" s="1"/>
  <c r="Y208" i="2"/>
  <c r="X208" i="2"/>
  <c r="W208" i="2"/>
  <c r="V208" i="2"/>
  <c r="U208" i="2"/>
  <c r="T208" i="2"/>
  <c r="S208" i="2"/>
  <c r="R208" i="2"/>
  <c r="P208" i="2"/>
  <c r="Q208" i="2" s="1"/>
  <c r="O208" i="2"/>
  <c r="N208" i="2"/>
  <c r="M208" i="2"/>
  <c r="K208" i="2"/>
  <c r="L208" i="2" s="1"/>
  <c r="J208" i="2"/>
  <c r="I208" i="2"/>
  <c r="H208" i="2"/>
  <c r="F208" i="2"/>
  <c r="G208" i="2" s="1"/>
  <c r="E208" i="2"/>
  <c r="D208" i="2"/>
  <c r="C208" i="2"/>
  <c r="CC207" i="2"/>
  <c r="CD207" i="2" s="1"/>
  <c r="CB207" i="2"/>
  <c r="CA207" i="2"/>
  <c r="BZ207" i="2"/>
  <c r="BX207" i="2"/>
  <c r="BY207" i="2" s="1"/>
  <c r="BW207" i="2"/>
  <c r="BV207" i="2"/>
  <c r="BU207" i="2"/>
  <c r="BS207" i="2"/>
  <c r="BT207" i="2" s="1"/>
  <c r="BR207" i="2"/>
  <c r="BQ207" i="2"/>
  <c r="BP207" i="2"/>
  <c r="BO207" i="2"/>
  <c r="BN207" i="2"/>
  <c r="BM207" i="2"/>
  <c r="BL207" i="2"/>
  <c r="BK207" i="2"/>
  <c r="BI207" i="2"/>
  <c r="BJ207" i="2" s="1"/>
  <c r="BH207" i="2"/>
  <c r="BG207" i="2"/>
  <c r="BF207" i="2"/>
  <c r="BD207" i="2"/>
  <c r="BE207" i="2" s="1"/>
  <c r="BC207" i="2"/>
  <c r="BB207" i="2"/>
  <c r="BA207" i="2"/>
  <c r="AY207" i="2"/>
  <c r="AZ207" i="2" s="1"/>
  <c r="AX207" i="2"/>
  <c r="AW207" i="2"/>
  <c r="AV207" i="2"/>
  <c r="AU207" i="2"/>
  <c r="AT207" i="2"/>
  <c r="AS207" i="2"/>
  <c r="AR207" i="2"/>
  <c r="AQ207" i="2"/>
  <c r="AO207" i="2"/>
  <c r="AP207" i="2" s="1"/>
  <c r="AN207" i="2"/>
  <c r="AM207" i="2"/>
  <c r="AL207" i="2"/>
  <c r="AJ207" i="2"/>
  <c r="AK207" i="2" s="1"/>
  <c r="AI207" i="2"/>
  <c r="AH207" i="2"/>
  <c r="AG207" i="2"/>
  <c r="AE207" i="2"/>
  <c r="AF207" i="2" s="1"/>
  <c r="AD207" i="2"/>
  <c r="AC207" i="2"/>
  <c r="AB207" i="2"/>
  <c r="AA207" i="2"/>
  <c r="Z207" i="2"/>
  <c r="Y207" i="2"/>
  <c r="X207" i="2"/>
  <c r="W207" i="2"/>
  <c r="U207" i="2"/>
  <c r="V207" i="2" s="1"/>
  <c r="T207" i="2"/>
  <c r="S207" i="2"/>
  <c r="R207" i="2"/>
  <c r="P207" i="2"/>
  <c r="Q207" i="2" s="1"/>
  <c r="O207" i="2"/>
  <c r="N207" i="2"/>
  <c r="M207" i="2"/>
  <c r="K207" i="2"/>
  <c r="L207" i="2" s="1"/>
  <c r="J207" i="2"/>
  <c r="I207" i="2"/>
  <c r="H207" i="2"/>
  <c r="G207" i="2"/>
  <c r="F207" i="2"/>
  <c r="E207" i="2"/>
  <c r="D207" i="2"/>
  <c r="C207" i="2"/>
  <c r="CC206" i="2"/>
  <c r="CD206" i="2" s="1"/>
  <c r="CB206" i="2"/>
  <c r="CA206" i="2"/>
  <c r="BZ206" i="2"/>
  <c r="BX206" i="2"/>
  <c r="BY206" i="2" s="1"/>
  <c r="BW206" i="2"/>
  <c r="BV206" i="2"/>
  <c r="BU206" i="2"/>
  <c r="BT206" i="2"/>
  <c r="BS206" i="2"/>
  <c r="BR206" i="2"/>
  <c r="BQ206" i="2"/>
  <c r="BP206" i="2"/>
  <c r="BN206" i="2"/>
  <c r="BO206" i="2" s="1"/>
  <c r="BM206" i="2"/>
  <c r="BL206" i="2"/>
  <c r="BK206" i="2"/>
  <c r="BI206" i="2"/>
  <c r="BJ206" i="2" s="1"/>
  <c r="BH206" i="2"/>
  <c r="BG206" i="2"/>
  <c r="BF206" i="2"/>
  <c r="BD206" i="2"/>
  <c r="BE206" i="2" s="1"/>
  <c r="BC206" i="2"/>
  <c r="BB206" i="2"/>
  <c r="BA206" i="2"/>
  <c r="AZ206" i="2"/>
  <c r="AY206" i="2"/>
  <c r="AX206" i="2"/>
  <c r="AW206" i="2"/>
  <c r="AV206" i="2"/>
  <c r="AT206" i="2"/>
  <c r="AU206" i="2" s="1"/>
  <c r="AS206" i="2"/>
  <c r="AR206" i="2"/>
  <c r="AQ206" i="2"/>
  <c r="AO206" i="2"/>
  <c r="AP206" i="2" s="1"/>
  <c r="AN206" i="2"/>
  <c r="AM206" i="2"/>
  <c r="AL206" i="2"/>
  <c r="AJ206" i="2"/>
  <c r="AK206" i="2" s="1"/>
  <c r="AI206" i="2"/>
  <c r="AH206" i="2"/>
  <c r="AG206" i="2"/>
  <c r="AF206" i="2"/>
  <c r="AE206" i="2"/>
  <c r="AD206" i="2"/>
  <c r="AC206" i="2"/>
  <c r="AB206" i="2"/>
  <c r="Z206" i="2"/>
  <c r="AA206" i="2" s="1"/>
  <c r="Y206" i="2"/>
  <c r="X206" i="2"/>
  <c r="W206" i="2"/>
  <c r="U206" i="2"/>
  <c r="V206" i="2" s="1"/>
  <c r="T206" i="2"/>
  <c r="S206" i="2"/>
  <c r="R206" i="2"/>
  <c r="P206" i="2"/>
  <c r="Q206" i="2" s="1"/>
  <c r="O206" i="2"/>
  <c r="N206" i="2"/>
  <c r="M206" i="2"/>
  <c r="L206" i="2"/>
  <c r="K206" i="2"/>
  <c r="J206" i="2"/>
  <c r="I206" i="2"/>
  <c r="H206" i="2"/>
  <c r="F206" i="2"/>
  <c r="G206" i="2" s="1"/>
  <c r="E206" i="2"/>
  <c r="D206" i="2"/>
  <c r="C206" i="2"/>
  <c r="CC205" i="2"/>
  <c r="CD205" i="2" s="1"/>
  <c r="CB205" i="2"/>
  <c r="CA205" i="2"/>
  <c r="BZ205" i="2"/>
  <c r="BY205" i="2"/>
  <c r="BX205" i="2"/>
  <c r="BW205" i="2"/>
  <c r="BV205" i="2"/>
  <c r="BU205" i="2"/>
  <c r="BS205" i="2"/>
  <c r="BT205" i="2" s="1"/>
  <c r="BR205" i="2"/>
  <c r="BQ205" i="2"/>
  <c r="BP205" i="2"/>
  <c r="BN205" i="2"/>
  <c r="BO205" i="2" s="1"/>
  <c r="BM205" i="2"/>
  <c r="BL205" i="2"/>
  <c r="BK205" i="2"/>
  <c r="BI205" i="2"/>
  <c r="BJ205" i="2" s="1"/>
  <c r="BH205" i="2"/>
  <c r="BG205" i="2"/>
  <c r="BF205" i="2"/>
  <c r="BE205" i="2"/>
  <c r="BD205" i="2"/>
  <c r="BC205" i="2"/>
  <c r="BB205" i="2"/>
  <c r="BA205" i="2"/>
  <c r="AY205" i="2"/>
  <c r="AZ205" i="2" s="1"/>
  <c r="AX205" i="2"/>
  <c r="AW205" i="2"/>
  <c r="AV205" i="2"/>
  <c r="AT205" i="2"/>
  <c r="AU205" i="2" s="1"/>
  <c r="AS205" i="2"/>
  <c r="AR205" i="2"/>
  <c r="AQ205" i="2"/>
  <c r="AO205" i="2"/>
  <c r="AP205" i="2" s="1"/>
  <c r="AN205" i="2"/>
  <c r="AM205" i="2"/>
  <c r="AL205" i="2"/>
  <c r="AK205" i="2"/>
  <c r="AJ205" i="2"/>
  <c r="AI205" i="2"/>
  <c r="AH205" i="2"/>
  <c r="AG205" i="2"/>
  <c r="AE205" i="2"/>
  <c r="AF205" i="2" s="1"/>
  <c r="AD205" i="2"/>
  <c r="AC205" i="2"/>
  <c r="AB205" i="2"/>
  <c r="Z205" i="2"/>
  <c r="AA205" i="2" s="1"/>
  <c r="Y205" i="2"/>
  <c r="X205" i="2"/>
  <c r="W205" i="2"/>
  <c r="U205" i="2"/>
  <c r="V205" i="2" s="1"/>
  <c r="T205" i="2"/>
  <c r="S205" i="2"/>
  <c r="R205" i="2"/>
  <c r="Q205" i="2"/>
  <c r="P205" i="2"/>
  <c r="O205" i="2"/>
  <c r="N205" i="2"/>
  <c r="M205" i="2"/>
  <c r="K205" i="2"/>
  <c r="L205" i="2" s="1"/>
  <c r="J205" i="2"/>
  <c r="I205" i="2"/>
  <c r="H205" i="2"/>
  <c r="F205" i="2"/>
  <c r="G205" i="2" s="1"/>
  <c r="E205" i="2"/>
  <c r="D205" i="2"/>
  <c r="C205" i="2"/>
  <c r="CD204" i="2"/>
  <c r="CC204" i="2"/>
  <c r="CB204" i="2"/>
  <c r="CA204" i="2"/>
  <c r="BZ204" i="2"/>
  <c r="BX204" i="2"/>
  <c r="BY204" i="2" s="1"/>
  <c r="BW204" i="2"/>
  <c r="BV204" i="2"/>
  <c r="BU204" i="2"/>
  <c r="BS204" i="2"/>
  <c r="BT204" i="2" s="1"/>
  <c r="BR204" i="2"/>
  <c r="BQ204" i="2"/>
  <c r="BP204" i="2"/>
  <c r="BN204" i="2"/>
  <c r="BO204" i="2" s="1"/>
  <c r="BM204" i="2"/>
  <c r="BL204" i="2"/>
  <c r="BK204" i="2"/>
  <c r="BJ204" i="2"/>
  <c r="BI204" i="2"/>
  <c r="BH204" i="2"/>
  <c r="BG204" i="2"/>
  <c r="BF204" i="2"/>
  <c r="BD204" i="2"/>
  <c r="BE204" i="2" s="1"/>
  <c r="BC204" i="2"/>
  <c r="BB204" i="2"/>
  <c r="BA204" i="2"/>
  <c r="AY204" i="2"/>
  <c r="AZ204" i="2" s="1"/>
  <c r="AX204" i="2"/>
  <c r="AW204" i="2"/>
  <c r="AV204" i="2"/>
  <c r="AT204" i="2"/>
  <c r="AU204" i="2" s="1"/>
  <c r="AS204" i="2"/>
  <c r="AR204" i="2"/>
  <c r="AQ204" i="2"/>
  <c r="AP204" i="2"/>
  <c r="AO204" i="2"/>
  <c r="AN204" i="2"/>
  <c r="AM204" i="2"/>
  <c r="AL204" i="2"/>
  <c r="AJ204" i="2"/>
  <c r="AK204" i="2" s="1"/>
  <c r="AI204" i="2"/>
  <c r="AH204" i="2"/>
  <c r="AG204" i="2"/>
  <c r="AE204" i="2"/>
  <c r="AF204" i="2" s="1"/>
  <c r="AD204" i="2"/>
  <c r="AC204" i="2"/>
  <c r="AB204" i="2"/>
  <c r="Z204" i="2"/>
  <c r="AA204" i="2" s="1"/>
  <c r="Y204" i="2"/>
  <c r="X204" i="2"/>
  <c r="W204" i="2"/>
  <c r="V204" i="2"/>
  <c r="U204" i="2"/>
  <c r="T204" i="2"/>
  <c r="S204" i="2"/>
  <c r="R204" i="2"/>
  <c r="P204" i="2"/>
  <c r="Q204" i="2" s="1"/>
  <c r="O204" i="2"/>
  <c r="N204" i="2"/>
  <c r="M204" i="2"/>
  <c r="K204" i="2"/>
  <c r="L204" i="2" s="1"/>
  <c r="J204" i="2"/>
  <c r="I204" i="2"/>
  <c r="H204" i="2"/>
  <c r="F204" i="2"/>
  <c r="G204" i="2" s="1"/>
  <c r="E204" i="2"/>
  <c r="D204" i="2"/>
  <c r="C204" i="2"/>
  <c r="CC203" i="2"/>
  <c r="CB203" i="2"/>
  <c r="CA203" i="2"/>
  <c r="BZ203" i="2"/>
  <c r="BX203" i="2"/>
  <c r="BY203" i="2" s="1"/>
  <c r="BW203" i="2"/>
  <c r="BV203" i="2"/>
  <c r="BU203" i="2"/>
  <c r="BS203" i="2"/>
  <c r="BT203" i="2" s="1"/>
  <c r="BR203" i="2"/>
  <c r="BQ203" i="2"/>
  <c r="BP203" i="2"/>
  <c r="BO203" i="2"/>
  <c r="BN203" i="2"/>
  <c r="BM203" i="2"/>
  <c r="BL203" i="2"/>
  <c r="BK203" i="2"/>
  <c r="BI203" i="2"/>
  <c r="BJ203" i="2" s="1"/>
  <c r="BH203" i="2"/>
  <c r="BG203" i="2"/>
  <c r="BF203" i="2"/>
  <c r="BD203" i="2"/>
  <c r="BE203" i="2" s="1"/>
  <c r="BC203" i="2"/>
  <c r="BB203" i="2"/>
  <c r="BA203" i="2"/>
  <c r="AY203" i="2"/>
  <c r="AZ203" i="2" s="1"/>
  <c r="AX203" i="2"/>
  <c r="AW203" i="2"/>
  <c r="AV203" i="2"/>
  <c r="AU203" i="2"/>
  <c r="AT203" i="2"/>
  <c r="AS203" i="2"/>
  <c r="AR203" i="2"/>
  <c r="AQ203" i="2"/>
  <c r="AO203" i="2"/>
  <c r="AP203" i="2" s="1"/>
  <c r="AN203" i="2"/>
  <c r="AM203" i="2"/>
  <c r="AL203" i="2"/>
  <c r="AJ203" i="2"/>
  <c r="AK203" i="2" s="1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U203" i="2"/>
  <c r="V203" i="2" s="1"/>
  <c r="T203" i="2"/>
  <c r="S203" i="2"/>
  <c r="R203" i="2"/>
  <c r="P203" i="2"/>
  <c r="Q203" i="2" s="1"/>
  <c r="O203" i="2"/>
  <c r="N203" i="2"/>
  <c r="M203" i="2"/>
  <c r="K203" i="2"/>
  <c r="L203" i="2" s="1"/>
  <c r="J203" i="2"/>
  <c r="I203" i="2"/>
  <c r="H203" i="2"/>
  <c r="G203" i="2"/>
  <c r="F203" i="2"/>
  <c r="E203" i="2"/>
  <c r="D203" i="2"/>
  <c r="C203" i="2"/>
  <c r="CC202" i="2"/>
  <c r="CD202" i="2" s="1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N202" i="2"/>
  <c r="BO202" i="2" s="1"/>
  <c r="BM202" i="2"/>
  <c r="BL202" i="2"/>
  <c r="BK202" i="2"/>
  <c r="BI202" i="2"/>
  <c r="BJ202" i="2" s="1"/>
  <c r="BH202" i="2"/>
  <c r="BG202" i="2"/>
  <c r="BF202" i="2"/>
  <c r="BD202" i="2"/>
  <c r="BE202" i="2" s="1"/>
  <c r="BC202" i="2"/>
  <c r="BB202" i="2"/>
  <c r="BA202" i="2"/>
  <c r="AZ202" i="2"/>
  <c r="AY202" i="2"/>
  <c r="AX202" i="2"/>
  <c r="AW202" i="2"/>
  <c r="AV202" i="2"/>
  <c r="AT202" i="2"/>
  <c r="AU202" i="2" s="1"/>
  <c r="AS202" i="2"/>
  <c r="AR202" i="2"/>
  <c r="AQ202" i="2"/>
  <c r="AO202" i="2"/>
  <c r="AP202" i="2" s="1"/>
  <c r="AN202" i="2"/>
  <c r="AM202" i="2"/>
  <c r="AL202" i="2"/>
  <c r="AJ202" i="2"/>
  <c r="AK202" i="2" s="1"/>
  <c r="AI202" i="2"/>
  <c r="AH202" i="2"/>
  <c r="AG202" i="2"/>
  <c r="AF202" i="2"/>
  <c r="AE202" i="2"/>
  <c r="AD202" i="2"/>
  <c r="AC202" i="2"/>
  <c r="AB202" i="2"/>
  <c r="Z202" i="2"/>
  <c r="AA202" i="2" s="1"/>
  <c r="Y202" i="2"/>
  <c r="X202" i="2"/>
  <c r="W202" i="2"/>
  <c r="U202" i="2"/>
  <c r="V202" i="2" s="1"/>
  <c r="T202" i="2"/>
  <c r="S202" i="2"/>
  <c r="R202" i="2"/>
  <c r="P202" i="2"/>
  <c r="Q202" i="2" s="1"/>
  <c r="O202" i="2"/>
  <c r="N202" i="2"/>
  <c r="M202" i="2"/>
  <c r="L202" i="2"/>
  <c r="K202" i="2"/>
  <c r="J202" i="2"/>
  <c r="I202" i="2"/>
  <c r="H202" i="2"/>
  <c r="F202" i="2"/>
  <c r="G202" i="2" s="1"/>
  <c r="E202" i="2"/>
  <c r="D202" i="2"/>
  <c r="C202" i="2"/>
  <c r="CC201" i="2"/>
  <c r="CD201" i="2" s="1"/>
  <c r="CB201" i="2"/>
  <c r="CA201" i="2"/>
  <c r="BZ201" i="2"/>
  <c r="BY201" i="2"/>
  <c r="BX201" i="2"/>
  <c r="BW201" i="2"/>
  <c r="BV201" i="2"/>
  <c r="BU201" i="2"/>
  <c r="BS201" i="2"/>
  <c r="BT201" i="2" s="1"/>
  <c r="BR201" i="2"/>
  <c r="BQ201" i="2"/>
  <c r="BP201" i="2"/>
  <c r="BN201" i="2"/>
  <c r="BO201" i="2" s="1"/>
  <c r="BM201" i="2"/>
  <c r="BL201" i="2"/>
  <c r="BK201" i="2"/>
  <c r="BI201" i="2"/>
  <c r="BJ201" i="2" s="1"/>
  <c r="BH201" i="2"/>
  <c r="BG201" i="2"/>
  <c r="BF201" i="2"/>
  <c r="BE201" i="2"/>
  <c r="BD201" i="2"/>
  <c r="BC201" i="2"/>
  <c r="BB201" i="2"/>
  <c r="BA201" i="2"/>
  <c r="AY201" i="2"/>
  <c r="AZ201" i="2" s="1"/>
  <c r="AX201" i="2"/>
  <c r="AW201" i="2"/>
  <c r="AV201" i="2"/>
  <c r="AT201" i="2"/>
  <c r="AU201" i="2" s="1"/>
  <c r="AS201" i="2"/>
  <c r="AR201" i="2"/>
  <c r="AQ201" i="2"/>
  <c r="AO201" i="2"/>
  <c r="AP201" i="2" s="1"/>
  <c r="AN201" i="2"/>
  <c r="AM201" i="2"/>
  <c r="AL201" i="2"/>
  <c r="AK201" i="2"/>
  <c r="AJ201" i="2"/>
  <c r="AI201" i="2"/>
  <c r="AH201" i="2"/>
  <c r="AG201" i="2"/>
  <c r="AE201" i="2"/>
  <c r="AF201" i="2" s="1"/>
  <c r="AD201" i="2"/>
  <c r="AC201" i="2"/>
  <c r="AB201" i="2"/>
  <c r="Z201" i="2"/>
  <c r="AA201" i="2" s="1"/>
  <c r="Y201" i="2"/>
  <c r="X201" i="2"/>
  <c r="W201" i="2"/>
  <c r="U201" i="2"/>
  <c r="V201" i="2" s="1"/>
  <c r="T201" i="2"/>
  <c r="S201" i="2"/>
  <c r="R201" i="2"/>
  <c r="Q201" i="2"/>
  <c r="P201" i="2"/>
  <c r="O201" i="2"/>
  <c r="N201" i="2"/>
  <c r="M201" i="2"/>
  <c r="K201" i="2"/>
  <c r="L201" i="2" s="1"/>
  <c r="J201" i="2"/>
  <c r="I201" i="2"/>
  <c r="H201" i="2"/>
  <c r="F201" i="2"/>
  <c r="G201" i="2" s="1"/>
  <c r="E201" i="2"/>
  <c r="D201" i="2"/>
  <c r="C201" i="2"/>
  <c r="CD200" i="2"/>
  <c r="CC200" i="2"/>
  <c r="CB200" i="2"/>
  <c r="CA200" i="2"/>
  <c r="BZ200" i="2"/>
  <c r="BX200" i="2"/>
  <c r="BY200" i="2" s="1"/>
  <c r="BW200" i="2"/>
  <c r="BV200" i="2"/>
  <c r="BU200" i="2"/>
  <c r="BS200" i="2"/>
  <c r="BT200" i="2" s="1"/>
  <c r="BR200" i="2"/>
  <c r="BQ200" i="2"/>
  <c r="BP200" i="2"/>
  <c r="BN200" i="2"/>
  <c r="BO200" i="2" s="1"/>
  <c r="BM200" i="2"/>
  <c r="BL200" i="2"/>
  <c r="BK200" i="2"/>
  <c r="BJ200" i="2"/>
  <c r="BI200" i="2"/>
  <c r="BH200" i="2"/>
  <c r="BG200" i="2"/>
  <c r="BF200" i="2"/>
  <c r="BD200" i="2"/>
  <c r="BE200" i="2" s="1"/>
  <c r="BC200" i="2"/>
  <c r="BB200" i="2"/>
  <c r="BA200" i="2"/>
  <c r="AY200" i="2"/>
  <c r="AZ200" i="2" s="1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J200" i="2"/>
  <c r="AK200" i="2" s="1"/>
  <c r="AI200" i="2"/>
  <c r="AH200" i="2"/>
  <c r="AG200" i="2"/>
  <c r="AE200" i="2"/>
  <c r="AF200" i="2" s="1"/>
  <c r="AD200" i="2"/>
  <c r="AC200" i="2"/>
  <c r="AB200" i="2"/>
  <c r="Z200" i="2"/>
  <c r="AA200" i="2" s="1"/>
  <c r="Y200" i="2"/>
  <c r="X200" i="2"/>
  <c r="W200" i="2"/>
  <c r="V200" i="2"/>
  <c r="U200" i="2"/>
  <c r="T200" i="2"/>
  <c r="S200" i="2"/>
  <c r="R200" i="2"/>
  <c r="P200" i="2"/>
  <c r="Q200" i="2" s="1"/>
  <c r="O200" i="2"/>
  <c r="N200" i="2"/>
  <c r="M200" i="2"/>
  <c r="K200" i="2"/>
  <c r="L200" i="2" s="1"/>
  <c r="J200" i="2"/>
  <c r="I200" i="2"/>
  <c r="H200" i="2"/>
  <c r="G200" i="2"/>
  <c r="F200" i="2"/>
  <c r="E200" i="2"/>
  <c r="D200" i="2"/>
  <c r="C200" i="2"/>
  <c r="CC199" i="2"/>
  <c r="CB199" i="2"/>
  <c r="CA199" i="2"/>
  <c r="BZ199" i="2"/>
  <c r="BX199" i="2"/>
  <c r="BY199" i="2" s="1"/>
  <c r="BW199" i="2"/>
  <c r="BV199" i="2"/>
  <c r="BU199" i="2"/>
  <c r="BS199" i="2"/>
  <c r="BT199" i="2" s="1"/>
  <c r="BR199" i="2"/>
  <c r="BQ199" i="2"/>
  <c r="BP199" i="2"/>
  <c r="BO199" i="2"/>
  <c r="BN199" i="2"/>
  <c r="BM199" i="2"/>
  <c r="BL199" i="2"/>
  <c r="BK199" i="2"/>
  <c r="BI199" i="2"/>
  <c r="BJ199" i="2" s="1"/>
  <c r="BH199" i="2"/>
  <c r="BG199" i="2"/>
  <c r="BF199" i="2"/>
  <c r="BE199" i="2"/>
  <c r="BD199" i="2"/>
  <c r="BC199" i="2"/>
  <c r="BB199" i="2"/>
  <c r="BA199" i="2"/>
  <c r="AY199" i="2"/>
  <c r="AZ199" i="2" s="1"/>
  <c r="AX199" i="2"/>
  <c r="AW199" i="2"/>
  <c r="AV199" i="2"/>
  <c r="AU199" i="2"/>
  <c r="AT199" i="2"/>
  <c r="AS199" i="2"/>
  <c r="AR199" i="2"/>
  <c r="AQ199" i="2"/>
  <c r="AO199" i="2"/>
  <c r="AP199" i="2" s="1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U199" i="2"/>
  <c r="V199" i="2" s="1"/>
  <c r="T199" i="2"/>
  <c r="S199" i="2"/>
  <c r="R199" i="2"/>
  <c r="P199" i="2"/>
  <c r="Q199" i="2" s="1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CC198" i="2"/>
  <c r="CD198" i="2" s="1"/>
  <c r="CB198" i="2"/>
  <c r="CA198" i="2"/>
  <c r="BZ198" i="2"/>
  <c r="BX198" i="2"/>
  <c r="BY198" i="2" s="1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I198" i="2"/>
  <c r="BJ198" i="2" s="1"/>
  <c r="BH198" i="2"/>
  <c r="BG198" i="2"/>
  <c r="BF198" i="2"/>
  <c r="BD198" i="2"/>
  <c r="BE198" i="2" s="1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O198" i="2"/>
  <c r="AP198" i="2" s="1"/>
  <c r="AN198" i="2"/>
  <c r="AM198" i="2"/>
  <c r="AL198" i="2"/>
  <c r="AJ198" i="2"/>
  <c r="AK198" i="2" s="1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U198" i="2"/>
  <c r="V198" i="2" s="1"/>
  <c r="T198" i="2"/>
  <c r="S198" i="2"/>
  <c r="R198" i="2"/>
  <c r="P198" i="2"/>
  <c r="Q198" i="2" s="1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CC197" i="2"/>
  <c r="CD197" i="2" s="1"/>
  <c r="CB197" i="2"/>
  <c r="CA197" i="2"/>
  <c r="BZ197" i="2"/>
  <c r="BY197" i="2"/>
  <c r="BX197" i="2"/>
  <c r="BW197" i="2"/>
  <c r="BV197" i="2"/>
  <c r="BU197" i="2"/>
  <c r="BT197" i="2"/>
  <c r="BS197" i="2"/>
  <c r="BR197" i="2"/>
  <c r="BQ197" i="2"/>
  <c r="BP197" i="2"/>
  <c r="BN197" i="2"/>
  <c r="BO197" i="2" s="1"/>
  <c r="BM197" i="2"/>
  <c r="BL197" i="2"/>
  <c r="BK197" i="2"/>
  <c r="BI197" i="2"/>
  <c r="BJ197" i="2" s="1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T197" i="2"/>
  <c r="AU197" i="2" s="1"/>
  <c r="AS197" i="2"/>
  <c r="AR197" i="2"/>
  <c r="AQ197" i="2"/>
  <c r="AO197" i="2"/>
  <c r="AP197" i="2" s="1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Z197" i="2"/>
  <c r="AA197" i="2" s="1"/>
  <c r="Y197" i="2"/>
  <c r="X197" i="2"/>
  <c r="W197" i="2"/>
  <c r="U197" i="2"/>
  <c r="V197" i="2" s="1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F197" i="2"/>
  <c r="G197" i="2" s="1"/>
  <c r="E197" i="2"/>
  <c r="D197" i="2"/>
  <c r="C197" i="2"/>
  <c r="CD196" i="2"/>
  <c r="CC196" i="2"/>
  <c r="CB196" i="2"/>
  <c r="CA196" i="2"/>
  <c r="BZ196" i="2"/>
  <c r="BY196" i="2"/>
  <c r="BX196" i="2"/>
  <c r="BW196" i="2"/>
  <c r="BV196" i="2"/>
  <c r="BU196" i="2"/>
  <c r="BS196" i="2"/>
  <c r="BT196" i="2" s="1"/>
  <c r="BR196" i="2"/>
  <c r="BQ196" i="2"/>
  <c r="BP196" i="2"/>
  <c r="BN196" i="2"/>
  <c r="BO196" i="2" s="1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BA196" i="2"/>
  <c r="AY196" i="2"/>
  <c r="AZ196" i="2" s="1"/>
  <c r="AX196" i="2"/>
  <c r="AW196" i="2"/>
  <c r="AV196" i="2"/>
  <c r="AT196" i="2"/>
  <c r="AU196" i="2" s="1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E196" i="2"/>
  <c r="AF196" i="2" s="1"/>
  <c r="AD196" i="2"/>
  <c r="AC196" i="2"/>
  <c r="AB196" i="2"/>
  <c r="Z196" i="2"/>
  <c r="AA196" i="2" s="1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K196" i="2"/>
  <c r="L196" i="2" s="1"/>
  <c r="J196" i="2"/>
  <c r="I196" i="2"/>
  <c r="H196" i="2"/>
  <c r="F196" i="2"/>
  <c r="G196" i="2" s="1"/>
  <c r="E196" i="2"/>
  <c r="D196" i="2"/>
  <c r="C196" i="2"/>
  <c r="CD195" i="2"/>
  <c r="CC195" i="2"/>
  <c r="CB195" i="2"/>
  <c r="CA195" i="2"/>
  <c r="BZ195" i="2"/>
  <c r="BX195" i="2"/>
  <c r="BY195" i="2" s="1"/>
  <c r="BW195" i="2"/>
  <c r="BV195" i="2"/>
  <c r="BU195" i="2"/>
  <c r="BS195" i="2"/>
  <c r="BT195" i="2" s="1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D195" i="2"/>
  <c r="BE195" i="2" s="1"/>
  <c r="BC195" i="2"/>
  <c r="BB195" i="2"/>
  <c r="BA195" i="2"/>
  <c r="AY195" i="2"/>
  <c r="AZ195" i="2" s="1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J195" i="2"/>
  <c r="AK195" i="2" s="1"/>
  <c r="AI195" i="2"/>
  <c r="AH195" i="2"/>
  <c r="AG195" i="2"/>
  <c r="AE195" i="2"/>
  <c r="AF195" i="2" s="1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P195" i="2"/>
  <c r="Q195" i="2" s="1"/>
  <c r="O195" i="2"/>
  <c r="N195" i="2"/>
  <c r="M195" i="2"/>
  <c r="K195" i="2"/>
  <c r="L195" i="2" s="1"/>
  <c r="J195" i="2"/>
  <c r="I195" i="2"/>
  <c r="H195" i="2"/>
  <c r="G195" i="2"/>
  <c r="F195" i="2"/>
  <c r="E195" i="2"/>
  <c r="D195" i="2"/>
  <c r="C195" i="2"/>
  <c r="CC194" i="2"/>
  <c r="CB194" i="2"/>
  <c r="CA194" i="2"/>
  <c r="BZ194" i="2"/>
  <c r="BX194" i="2"/>
  <c r="BY194" i="2" s="1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I194" i="2"/>
  <c r="BJ194" i="2" s="1"/>
  <c r="BH194" i="2"/>
  <c r="BG194" i="2"/>
  <c r="BF194" i="2"/>
  <c r="BD194" i="2"/>
  <c r="BE194" i="2" s="1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O194" i="2"/>
  <c r="AP194" i="2" s="1"/>
  <c r="AN194" i="2"/>
  <c r="AM194" i="2"/>
  <c r="AL194" i="2"/>
  <c r="AJ194" i="2"/>
  <c r="AK194" i="2" s="1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U194" i="2"/>
  <c r="V194" i="2" s="1"/>
  <c r="T194" i="2"/>
  <c r="S194" i="2"/>
  <c r="R194" i="2"/>
  <c r="P194" i="2"/>
  <c r="Q194" i="2" s="1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C193" i="2"/>
  <c r="CD193" i="2" s="1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N193" i="2"/>
  <c r="BO193" i="2" s="1"/>
  <c r="BM193" i="2"/>
  <c r="BL193" i="2"/>
  <c r="BK193" i="2"/>
  <c r="BI193" i="2"/>
  <c r="BJ193" i="2" s="1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T193" i="2"/>
  <c r="AU193" i="2" s="1"/>
  <c r="AS193" i="2"/>
  <c r="AR193" i="2"/>
  <c r="AQ193" i="2"/>
  <c r="AO193" i="2"/>
  <c r="AP193" i="2" s="1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Z193" i="2"/>
  <c r="AA193" i="2" s="1"/>
  <c r="Y193" i="2"/>
  <c r="X193" i="2"/>
  <c r="W193" i="2"/>
  <c r="U193" i="2"/>
  <c r="V193" i="2" s="1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F193" i="2"/>
  <c r="G193" i="2" s="1"/>
  <c r="E193" i="2"/>
  <c r="D193" i="2"/>
  <c r="C193" i="2"/>
  <c r="CD192" i="2"/>
  <c r="CC192" i="2"/>
  <c r="CB192" i="2"/>
  <c r="CA192" i="2"/>
  <c r="BZ192" i="2"/>
  <c r="BY192" i="2"/>
  <c r="BX192" i="2"/>
  <c r="BW192" i="2"/>
  <c r="BV192" i="2"/>
  <c r="BU192" i="2"/>
  <c r="BS192" i="2"/>
  <c r="BT192" i="2" s="1"/>
  <c r="BR192" i="2"/>
  <c r="BQ192" i="2"/>
  <c r="BP192" i="2"/>
  <c r="BN192" i="2"/>
  <c r="BO192" i="2" s="1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Y192" i="2"/>
  <c r="AZ192" i="2" s="1"/>
  <c r="AX192" i="2"/>
  <c r="AW192" i="2"/>
  <c r="AV192" i="2"/>
  <c r="AT192" i="2"/>
  <c r="AU192" i="2" s="1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E192" i="2"/>
  <c r="AF192" i="2" s="1"/>
  <c r="AD192" i="2"/>
  <c r="AC192" i="2"/>
  <c r="AB192" i="2"/>
  <c r="Z192" i="2"/>
  <c r="AA192" i="2" s="1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K192" i="2"/>
  <c r="L192" i="2" s="1"/>
  <c r="J192" i="2"/>
  <c r="I192" i="2"/>
  <c r="H192" i="2"/>
  <c r="F192" i="2"/>
  <c r="G192" i="2" s="1"/>
  <c r="E192" i="2"/>
  <c r="D192" i="2"/>
  <c r="C192" i="2"/>
  <c r="CD191" i="2"/>
  <c r="CC191" i="2"/>
  <c r="CB191" i="2"/>
  <c r="CA191" i="2"/>
  <c r="BZ191" i="2"/>
  <c r="BX191" i="2"/>
  <c r="BY191" i="2" s="1"/>
  <c r="BW191" i="2"/>
  <c r="BV191" i="2"/>
  <c r="BU191" i="2"/>
  <c r="BS191" i="2"/>
  <c r="BT191" i="2" s="1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D191" i="2"/>
  <c r="BE191" i="2" s="1"/>
  <c r="BC191" i="2"/>
  <c r="BB191" i="2"/>
  <c r="BA191" i="2"/>
  <c r="AY191" i="2"/>
  <c r="AZ191" i="2" s="1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J191" i="2"/>
  <c r="AK191" i="2" s="1"/>
  <c r="AI191" i="2"/>
  <c r="AH191" i="2"/>
  <c r="AG191" i="2"/>
  <c r="AE191" i="2"/>
  <c r="AF191" i="2" s="1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P191" i="2"/>
  <c r="Q191" i="2" s="1"/>
  <c r="O191" i="2"/>
  <c r="N191" i="2"/>
  <c r="M191" i="2"/>
  <c r="K191" i="2"/>
  <c r="L191" i="2" s="1"/>
  <c r="J191" i="2"/>
  <c r="I191" i="2"/>
  <c r="H191" i="2"/>
  <c r="F191" i="2"/>
  <c r="G191" i="2" s="1"/>
  <c r="E191" i="2"/>
  <c r="D191" i="2"/>
  <c r="C191" i="2"/>
  <c r="CC190" i="2"/>
  <c r="CD190" i="2" s="1"/>
  <c r="CB190" i="2"/>
  <c r="CA190" i="2"/>
  <c r="BZ190" i="2"/>
  <c r="BX190" i="2"/>
  <c r="BY190" i="2" s="1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I190" i="2"/>
  <c r="BJ190" i="2" s="1"/>
  <c r="BH190" i="2"/>
  <c r="BG190" i="2"/>
  <c r="BF190" i="2"/>
  <c r="BD190" i="2"/>
  <c r="BE190" i="2" s="1"/>
  <c r="BC190" i="2"/>
  <c r="BB190" i="2"/>
  <c r="BA190" i="2"/>
  <c r="AY190" i="2"/>
  <c r="AZ190" i="2" s="1"/>
  <c r="AX190" i="2"/>
  <c r="AW190" i="2"/>
  <c r="AV190" i="2"/>
  <c r="AU190" i="2"/>
  <c r="AT190" i="2"/>
  <c r="AS190" i="2"/>
  <c r="AR190" i="2"/>
  <c r="AQ190" i="2"/>
  <c r="AO190" i="2"/>
  <c r="AP190" i="2" s="1"/>
  <c r="AN190" i="2"/>
  <c r="AM190" i="2"/>
  <c r="AL190" i="2"/>
  <c r="AJ190" i="2"/>
  <c r="AK190" i="2" s="1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U190" i="2"/>
  <c r="V190" i="2" s="1"/>
  <c r="T190" i="2"/>
  <c r="S190" i="2"/>
  <c r="R190" i="2"/>
  <c r="P190" i="2"/>
  <c r="Q190" i="2" s="1"/>
  <c r="O190" i="2"/>
  <c r="N190" i="2"/>
  <c r="M190" i="2"/>
  <c r="K190" i="2"/>
  <c r="L190" i="2" s="1"/>
  <c r="J190" i="2"/>
  <c r="I190" i="2"/>
  <c r="H190" i="2"/>
  <c r="G190" i="2"/>
  <c r="F190" i="2"/>
  <c r="E190" i="2"/>
  <c r="D190" i="2"/>
  <c r="C190" i="2"/>
  <c r="CC189" i="2"/>
  <c r="CD189" i="2" s="1"/>
  <c r="CB189" i="2"/>
  <c r="CA189" i="2"/>
  <c r="BZ189" i="2"/>
  <c r="BY189" i="2"/>
  <c r="BX189" i="2"/>
  <c r="BW189" i="2"/>
  <c r="BV189" i="2"/>
  <c r="BU189" i="2"/>
  <c r="BT189" i="2"/>
  <c r="BS189" i="2"/>
  <c r="BR189" i="2"/>
  <c r="BQ189" i="2"/>
  <c r="BP189" i="2"/>
  <c r="BN189" i="2"/>
  <c r="BO189" i="2" s="1"/>
  <c r="BM189" i="2"/>
  <c r="BL189" i="2"/>
  <c r="BK189" i="2"/>
  <c r="BI189" i="2"/>
  <c r="BJ189" i="2" s="1"/>
  <c r="BH189" i="2"/>
  <c r="BG189" i="2"/>
  <c r="BF189" i="2"/>
  <c r="BD189" i="2"/>
  <c r="BE189" i="2" s="1"/>
  <c r="BC189" i="2"/>
  <c r="BB189" i="2"/>
  <c r="BA189" i="2"/>
  <c r="AZ189" i="2"/>
  <c r="AY189" i="2"/>
  <c r="AX189" i="2"/>
  <c r="AW189" i="2"/>
  <c r="AV189" i="2"/>
  <c r="AT189" i="2"/>
  <c r="AU189" i="2" s="1"/>
  <c r="AS189" i="2"/>
  <c r="AR189" i="2"/>
  <c r="AQ189" i="2"/>
  <c r="AO189" i="2"/>
  <c r="AP189" i="2" s="1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Z189" i="2"/>
  <c r="AA189" i="2" s="1"/>
  <c r="Y189" i="2"/>
  <c r="X189" i="2"/>
  <c r="W189" i="2"/>
  <c r="U189" i="2"/>
  <c r="V189" i="2" s="1"/>
  <c r="T189" i="2"/>
  <c r="S189" i="2"/>
  <c r="R189" i="2"/>
  <c r="P189" i="2"/>
  <c r="Q189" i="2" s="1"/>
  <c r="O189" i="2"/>
  <c r="N189" i="2"/>
  <c r="M189" i="2"/>
  <c r="L189" i="2"/>
  <c r="K189" i="2"/>
  <c r="J189" i="2"/>
  <c r="I189" i="2"/>
  <c r="H189" i="2"/>
  <c r="F189" i="2"/>
  <c r="G189" i="2" s="1"/>
  <c r="E189" i="2"/>
  <c r="D189" i="2"/>
  <c r="C189" i="2"/>
  <c r="CD188" i="2"/>
  <c r="CC188" i="2"/>
  <c r="CB188" i="2"/>
  <c r="CA188" i="2"/>
  <c r="BZ188" i="2"/>
  <c r="BY188" i="2"/>
  <c r="BX188" i="2"/>
  <c r="BW188" i="2"/>
  <c r="BV188" i="2"/>
  <c r="BU188" i="2"/>
  <c r="BS188" i="2"/>
  <c r="BT188" i="2" s="1"/>
  <c r="BR188" i="2"/>
  <c r="BQ188" i="2"/>
  <c r="BP188" i="2"/>
  <c r="BN188" i="2"/>
  <c r="BO188" i="2" s="1"/>
  <c r="BM188" i="2"/>
  <c r="BL188" i="2"/>
  <c r="BK188" i="2"/>
  <c r="BI188" i="2"/>
  <c r="BJ188" i="2" s="1"/>
  <c r="BH188" i="2"/>
  <c r="BG188" i="2"/>
  <c r="BF188" i="2"/>
  <c r="BE188" i="2"/>
  <c r="BD188" i="2"/>
  <c r="BC188" i="2"/>
  <c r="BB188" i="2"/>
  <c r="BA188" i="2"/>
  <c r="AY188" i="2"/>
  <c r="AZ188" i="2" s="1"/>
  <c r="AX188" i="2"/>
  <c r="AW188" i="2"/>
  <c r="AV188" i="2"/>
  <c r="AT188" i="2"/>
  <c r="AU188" i="2" s="1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E188" i="2"/>
  <c r="AF188" i="2" s="1"/>
  <c r="AD188" i="2"/>
  <c r="AC188" i="2"/>
  <c r="AB188" i="2"/>
  <c r="Z188" i="2"/>
  <c r="AA188" i="2" s="1"/>
  <c r="Y188" i="2"/>
  <c r="X188" i="2"/>
  <c r="W188" i="2"/>
  <c r="U188" i="2"/>
  <c r="V188" i="2" s="1"/>
  <c r="T188" i="2"/>
  <c r="S188" i="2"/>
  <c r="R188" i="2"/>
  <c r="Q188" i="2"/>
  <c r="P188" i="2"/>
  <c r="O188" i="2"/>
  <c r="N188" i="2"/>
  <c r="M188" i="2"/>
  <c r="K188" i="2"/>
  <c r="L188" i="2" s="1"/>
  <c r="J188" i="2"/>
  <c r="I188" i="2"/>
  <c r="H188" i="2"/>
  <c r="F188" i="2"/>
  <c r="G188" i="2" s="1"/>
  <c r="E188" i="2"/>
  <c r="D188" i="2"/>
  <c r="C188" i="2"/>
  <c r="CD187" i="2"/>
  <c r="CC187" i="2"/>
  <c r="CB187" i="2"/>
  <c r="CA187" i="2"/>
  <c r="BZ187" i="2"/>
  <c r="BX187" i="2"/>
  <c r="BW187" i="2"/>
  <c r="BV187" i="2"/>
  <c r="BU187" i="2"/>
  <c r="BS187" i="2"/>
  <c r="BT187" i="2" s="1"/>
  <c r="BR187" i="2"/>
  <c r="BQ187" i="2"/>
  <c r="BP187" i="2"/>
  <c r="BN187" i="2"/>
  <c r="BO187" i="2" s="1"/>
  <c r="BM187" i="2"/>
  <c r="BL187" i="2"/>
  <c r="BK187" i="2"/>
  <c r="BJ187" i="2"/>
  <c r="BI187" i="2"/>
  <c r="BH187" i="2"/>
  <c r="BG187" i="2"/>
  <c r="BF187" i="2"/>
  <c r="BD187" i="2"/>
  <c r="BE187" i="2" s="1"/>
  <c r="BC187" i="2"/>
  <c r="BB187" i="2"/>
  <c r="BA187" i="2"/>
  <c r="AY187" i="2"/>
  <c r="AZ187" i="2" s="1"/>
  <c r="AX187" i="2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J187" i="2"/>
  <c r="AK187" i="2" s="1"/>
  <c r="AI187" i="2"/>
  <c r="AH187" i="2"/>
  <c r="AG187" i="2"/>
  <c r="AE187" i="2"/>
  <c r="AF187" i="2" s="1"/>
  <c r="AD187" i="2"/>
  <c r="AC187" i="2"/>
  <c r="AB187" i="2"/>
  <c r="Z187" i="2"/>
  <c r="AA187" i="2" s="1"/>
  <c r="Y187" i="2"/>
  <c r="X187" i="2"/>
  <c r="W187" i="2"/>
  <c r="V187" i="2"/>
  <c r="U187" i="2"/>
  <c r="T187" i="2"/>
  <c r="S187" i="2"/>
  <c r="R187" i="2"/>
  <c r="P187" i="2"/>
  <c r="Q187" i="2" s="1"/>
  <c r="O187" i="2"/>
  <c r="N187" i="2"/>
  <c r="M187" i="2"/>
  <c r="K187" i="2"/>
  <c r="J187" i="2"/>
  <c r="I187" i="2"/>
  <c r="H187" i="2"/>
  <c r="G187" i="2"/>
  <c r="F187" i="2"/>
  <c r="E187" i="2"/>
  <c r="D187" i="2"/>
  <c r="C187" i="2"/>
  <c r="CC186" i="2"/>
  <c r="CD186" i="2" s="1"/>
  <c r="CB186" i="2"/>
  <c r="CA186" i="2"/>
  <c r="BZ186" i="2"/>
  <c r="BX186" i="2"/>
  <c r="BW186" i="2"/>
  <c r="BV186" i="2"/>
  <c r="BU186" i="2"/>
  <c r="BS186" i="2"/>
  <c r="BT186" i="2" s="1"/>
  <c r="BR186" i="2"/>
  <c r="BQ186" i="2"/>
  <c r="BP186" i="2"/>
  <c r="BO186" i="2"/>
  <c r="BN186" i="2"/>
  <c r="BM186" i="2"/>
  <c r="BL186" i="2"/>
  <c r="BK186" i="2"/>
  <c r="BI186" i="2"/>
  <c r="BJ186" i="2" s="1"/>
  <c r="BH186" i="2"/>
  <c r="BG186" i="2"/>
  <c r="BF186" i="2"/>
  <c r="BD186" i="2"/>
  <c r="BE186" i="2" s="1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O186" i="2"/>
  <c r="AP186" i="2" s="1"/>
  <c r="AN186" i="2"/>
  <c r="AM186" i="2"/>
  <c r="AL186" i="2"/>
  <c r="AJ186" i="2"/>
  <c r="AK186" i="2" s="1"/>
  <c r="AI186" i="2"/>
  <c r="AH186" i="2"/>
  <c r="AG186" i="2"/>
  <c r="AE186" i="2"/>
  <c r="AF186" i="2" s="1"/>
  <c r="AD186" i="2"/>
  <c r="AC186" i="2"/>
  <c r="AB186" i="2"/>
  <c r="AA186" i="2"/>
  <c r="Z186" i="2"/>
  <c r="Y186" i="2"/>
  <c r="X186" i="2"/>
  <c r="W186" i="2"/>
  <c r="U186" i="2"/>
  <c r="V186" i="2" s="1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CC185" i="2"/>
  <c r="CD185" i="2" s="1"/>
  <c r="CB185" i="2"/>
  <c r="CA185" i="2"/>
  <c r="BZ185" i="2"/>
  <c r="BY185" i="2"/>
  <c r="BX185" i="2"/>
  <c r="BW185" i="2"/>
  <c r="BV185" i="2"/>
  <c r="BU185" i="2"/>
  <c r="BT185" i="2"/>
  <c r="BS185" i="2"/>
  <c r="BR185" i="2"/>
  <c r="BQ185" i="2"/>
  <c r="BP185" i="2"/>
  <c r="BN185" i="2"/>
  <c r="BO185" i="2" s="1"/>
  <c r="BM185" i="2"/>
  <c r="BL185" i="2"/>
  <c r="BK185" i="2"/>
  <c r="BI185" i="2"/>
  <c r="BJ185" i="2" s="1"/>
  <c r="BH185" i="2"/>
  <c r="BG185" i="2"/>
  <c r="BF185" i="2"/>
  <c r="BD185" i="2"/>
  <c r="BE185" i="2" s="1"/>
  <c r="BC185" i="2"/>
  <c r="BB185" i="2"/>
  <c r="BA185" i="2"/>
  <c r="AZ185" i="2"/>
  <c r="AY185" i="2"/>
  <c r="AX185" i="2"/>
  <c r="AW185" i="2"/>
  <c r="AV185" i="2"/>
  <c r="AT185" i="2"/>
  <c r="AU185" i="2" s="1"/>
  <c r="AS185" i="2"/>
  <c r="AR185" i="2"/>
  <c r="AQ185" i="2"/>
  <c r="AP185" i="2"/>
  <c r="AO185" i="2"/>
  <c r="AN185" i="2"/>
  <c r="AM185" i="2"/>
  <c r="AL185" i="2"/>
  <c r="AJ185" i="2"/>
  <c r="AK185" i="2" s="1"/>
  <c r="AI185" i="2"/>
  <c r="AH185" i="2"/>
  <c r="AG185" i="2"/>
  <c r="AF185" i="2"/>
  <c r="AE185" i="2"/>
  <c r="AD185" i="2"/>
  <c r="AC185" i="2"/>
  <c r="AB185" i="2"/>
  <c r="Z185" i="2"/>
  <c r="AA185" i="2" s="1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F185" i="2"/>
  <c r="G185" i="2" s="1"/>
  <c r="E185" i="2"/>
  <c r="D185" i="2"/>
  <c r="C185" i="2"/>
  <c r="CD184" i="2"/>
  <c r="CC184" i="2"/>
  <c r="CB184" i="2"/>
  <c r="CA184" i="2"/>
  <c r="BZ184" i="2"/>
  <c r="BY184" i="2"/>
  <c r="BX184" i="2"/>
  <c r="BW184" i="2"/>
  <c r="BV184" i="2"/>
  <c r="BU184" i="2"/>
  <c r="BS184" i="2"/>
  <c r="BT184" i="2" s="1"/>
  <c r="BR184" i="2"/>
  <c r="BQ184" i="2"/>
  <c r="BP184" i="2"/>
  <c r="BN184" i="2"/>
  <c r="BO184" i="2" s="1"/>
  <c r="BM184" i="2"/>
  <c r="BL184" i="2"/>
  <c r="BK184" i="2"/>
  <c r="BI184" i="2"/>
  <c r="BJ184" i="2" s="1"/>
  <c r="BH184" i="2"/>
  <c r="BG184" i="2"/>
  <c r="BF184" i="2"/>
  <c r="BE184" i="2"/>
  <c r="BD184" i="2"/>
  <c r="BC184" i="2"/>
  <c r="BB184" i="2"/>
  <c r="BA184" i="2"/>
  <c r="AY184" i="2"/>
  <c r="AZ184" i="2" s="1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E184" i="2"/>
  <c r="AF184" i="2" s="1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K184" i="2"/>
  <c r="L184" i="2" s="1"/>
  <c r="J184" i="2"/>
  <c r="I184" i="2"/>
  <c r="H184" i="2"/>
  <c r="F184" i="2"/>
  <c r="G184" i="2" s="1"/>
  <c r="E184" i="2"/>
  <c r="D184" i="2"/>
  <c r="C184" i="2"/>
  <c r="CD183" i="2"/>
  <c r="CC183" i="2"/>
  <c r="CB183" i="2"/>
  <c r="CA183" i="2"/>
  <c r="BZ183" i="2"/>
  <c r="BX183" i="2"/>
  <c r="BY183" i="2" s="1"/>
  <c r="BW183" i="2"/>
  <c r="BV183" i="2"/>
  <c r="BU183" i="2"/>
  <c r="BS183" i="2"/>
  <c r="BT183" i="2" s="1"/>
  <c r="BR183" i="2"/>
  <c r="BQ183" i="2"/>
  <c r="BP183" i="2"/>
  <c r="BN183" i="2"/>
  <c r="BO183" i="2" s="1"/>
  <c r="BM183" i="2"/>
  <c r="BL183" i="2"/>
  <c r="BK183" i="2"/>
  <c r="BJ183" i="2"/>
  <c r="BI183" i="2"/>
  <c r="BH183" i="2"/>
  <c r="BG183" i="2"/>
  <c r="BF183" i="2"/>
  <c r="BD183" i="2"/>
  <c r="BE183" i="2" s="1"/>
  <c r="BC183" i="2"/>
  <c r="BB183" i="2"/>
  <c r="BA183" i="2"/>
  <c r="AZ183" i="2"/>
  <c r="AY183" i="2"/>
  <c r="AX183" i="2"/>
  <c r="AW183" i="2"/>
  <c r="AV183" i="2"/>
  <c r="AT183" i="2"/>
  <c r="AU183" i="2" s="1"/>
  <c r="AS183" i="2"/>
  <c r="AR183" i="2"/>
  <c r="AQ183" i="2"/>
  <c r="AP183" i="2"/>
  <c r="AO183" i="2"/>
  <c r="AN183" i="2"/>
  <c r="AM183" i="2"/>
  <c r="AL183" i="2"/>
  <c r="AJ183" i="2"/>
  <c r="AK183" i="2" s="1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P183" i="2"/>
  <c r="Q183" i="2" s="1"/>
  <c r="O183" i="2"/>
  <c r="N183" i="2"/>
  <c r="M183" i="2"/>
  <c r="K183" i="2"/>
  <c r="L183" i="2" s="1"/>
  <c r="J183" i="2"/>
  <c r="I183" i="2"/>
  <c r="H183" i="2"/>
  <c r="G183" i="2"/>
  <c r="F183" i="2"/>
  <c r="E183" i="2"/>
  <c r="D183" i="2"/>
  <c r="C183" i="2"/>
  <c r="CC182" i="2"/>
  <c r="CD182" i="2" s="1"/>
  <c r="CB182" i="2"/>
  <c r="CA182" i="2"/>
  <c r="BZ182" i="2"/>
  <c r="BX182" i="2"/>
  <c r="BY182" i="2" s="1"/>
  <c r="BW182" i="2"/>
  <c r="BV182" i="2"/>
  <c r="BU182" i="2"/>
  <c r="BS182" i="2"/>
  <c r="BT182" i="2" s="1"/>
  <c r="BR182" i="2"/>
  <c r="BQ182" i="2"/>
  <c r="BP182" i="2"/>
  <c r="BO182" i="2"/>
  <c r="BN182" i="2"/>
  <c r="BM182" i="2"/>
  <c r="BL182" i="2"/>
  <c r="BK182" i="2"/>
  <c r="BI182" i="2"/>
  <c r="BJ182" i="2" s="1"/>
  <c r="BH182" i="2"/>
  <c r="BG182" i="2"/>
  <c r="BF182" i="2"/>
  <c r="BE182" i="2"/>
  <c r="BD182" i="2"/>
  <c r="BC182" i="2"/>
  <c r="BB182" i="2"/>
  <c r="BA182" i="2"/>
  <c r="AY182" i="2"/>
  <c r="AZ182" i="2" s="1"/>
  <c r="AX182" i="2"/>
  <c r="AW182" i="2"/>
  <c r="AV182" i="2"/>
  <c r="AU182" i="2"/>
  <c r="AT182" i="2"/>
  <c r="AS182" i="2"/>
  <c r="AR182" i="2"/>
  <c r="AQ182" i="2"/>
  <c r="AO182" i="2"/>
  <c r="AP182" i="2" s="1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U182" i="2"/>
  <c r="V182" i="2" s="1"/>
  <c r="T182" i="2"/>
  <c r="S182" i="2"/>
  <c r="R182" i="2"/>
  <c r="P182" i="2"/>
  <c r="Q182" i="2" s="1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CC181" i="2"/>
  <c r="CD181" i="2" s="1"/>
  <c r="CB181" i="2"/>
  <c r="CA181" i="2"/>
  <c r="BZ181" i="2"/>
  <c r="BX181" i="2"/>
  <c r="BY181" i="2" s="1"/>
  <c r="BW181" i="2"/>
  <c r="BV181" i="2"/>
  <c r="BU181" i="2"/>
  <c r="BT181" i="2"/>
  <c r="BS181" i="2"/>
  <c r="BR181" i="2"/>
  <c r="BQ181" i="2"/>
  <c r="BP181" i="2"/>
  <c r="BN181" i="2"/>
  <c r="BO181" i="2" s="1"/>
  <c r="BM181" i="2"/>
  <c r="BL181" i="2"/>
  <c r="BK181" i="2"/>
  <c r="BJ181" i="2"/>
  <c r="BI181" i="2"/>
  <c r="BH181" i="2"/>
  <c r="BG181" i="2"/>
  <c r="BF181" i="2"/>
  <c r="BD181" i="2"/>
  <c r="BE181" i="2" s="1"/>
  <c r="BC181" i="2"/>
  <c r="BB181" i="2"/>
  <c r="BA181" i="2"/>
  <c r="AZ181" i="2"/>
  <c r="AY181" i="2"/>
  <c r="AX181" i="2"/>
  <c r="AW181" i="2"/>
  <c r="AV181" i="2"/>
  <c r="AT181" i="2"/>
  <c r="AU181" i="2" s="1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Z181" i="2"/>
  <c r="AA181" i="2" s="1"/>
  <c r="Y181" i="2"/>
  <c r="X181" i="2"/>
  <c r="W181" i="2"/>
  <c r="U181" i="2"/>
  <c r="V181" i="2" s="1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F181" i="2"/>
  <c r="G181" i="2" s="1"/>
  <c r="E181" i="2"/>
  <c r="D181" i="2"/>
  <c r="C181" i="2"/>
  <c r="CC180" i="2"/>
  <c r="CD180" i="2" s="1"/>
  <c r="CB180" i="2"/>
  <c r="CA180" i="2"/>
  <c r="BZ180" i="2"/>
  <c r="BY180" i="2"/>
  <c r="BX180" i="2"/>
  <c r="BW180" i="2"/>
  <c r="BV180" i="2"/>
  <c r="BU180" i="2"/>
  <c r="BS180" i="2"/>
  <c r="BT180" i="2" s="1"/>
  <c r="BR180" i="2"/>
  <c r="BQ180" i="2"/>
  <c r="BP180" i="2"/>
  <c r="BO180" i="2"/>
  <c r="BN180" i="2"/>
  <c r="BM180" i="2"/>
  <c r="BL180" i="2"/>
  <c r="BK180" i="2"/>
  <c r="BI180" i="2"/>
  <c r="BJ180" i="2" s="1"/>
  <c r="BH180" i="2"/>
  <c r="BG180" i="2"/>
  <c r="BF180" i="2"/>
  <c r="BE180" i="2"/>
  <c r="BD180" i="2"/>
  <c r="BC180" i="2"/>
  <c r="BB180" i="2"/>
  <c r="BA180" i="2"/>
  <c r="AY180" i="2"/>
  <c r="AZ180" i="2" s="1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E180" i="2"/>
  <c r="AF180" i="2" s="1"/>
  <c r="AD180" i="2"/>
  <c r="AC180" i="2"/>
  <c r="AB180" i="2"/>
  <c r="Z180" i="2"/>
  <c r="AA180" i="2" s="1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K180" i="2"/>
  <c r="L180" i="2" s="1"/>
  <c r="J180" i="2"/>
  <c r="I180" i="2"/>
  <c r="H180" i="2"/>
  <c r="F180" i="2"/>
  <c r="G180" i="2" s="1"/>
  <c r="E180" i="2"/>
  <c r="D180" i="2"/>
  <c r="C180" i="2"/>
  <c r="CD179" i="2"/>
  <c r="CC179" i="2"/>
  <c r="CB179" i="2"/>
  <c r="CA179" i="2"/>
  <c r="BZ179" i="2"/>
  <c r="BY179" i="2"/>
  <c r="BX179" i="2"/>
  <c r="BW179" i="2"/>
  <c r="BV179" i="2"/>
  <c r="BU179" i="2"/>
  <c r="BS179" i="2"/>
  <c r="BT179" i="2" s="1"/>
  <c r="BR179" i="2"/>
  <c r="BQ179" i="2"/>
  <c r="BP179" i="2"/>
  <c r="BN179" i="2"/>
  <c r="BO179" i="2" s="1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Y179" i="2"/>
  <c r="AZ179" i="2" s="1"/>
  <c r="AX179" i="2"/>
  <c r="AW179" i="2"/>
  <c r="AV179" i="2"/>
  <c r="AT179" i="2"/>
  <c r="AU179" i="2" s="1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E179" i="2"/>
  <c r="AF179" i="2" s="1"/>
  <c r="AD179" i="2"/>
  <c r="AC179" i="2"/>
  <c r="AB179" i="2"/>
  <c r="Z179" i="2"/>
  <c r="AA179" i="2" s="1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K179" i="2"/>
  <c r="L179" i="2" s="1"/>
  <c r="J179" i="2"/>
  <c r="I179" i="2"/>
  <c r="H179" i="2"/>
  <c r="F179" i="2"/>
  <c r="G179" i="2" s="1"/>
  <c r="E179" i="2"/>
  <c r="D179" i="2"/>
  <c r="C179" i="2"/>
  <c r="CD178" i="2"/>
  <c r="CC178" i="2"/>
  <c r="CB178" i="2"/>
  <c r="CA178" i="2"/>
  <c r="BZ178" i="2"/>
  <c r="BX178" i="2"/>
  <c r="BW178" i="2"/>
  <c r="BV178" i="2"/>
  <c r="BU178" i="2"/>
  <c r="BS178" i="2"/>
  <c r="BT178" i="2" s="1"/>
  <c r="BR178" i="2"/>
  <c r="BQ178" i="2"/>
  <c r="BP178" i="2"/>
  <c r="BO178" i="2"/>
  <c r="BN178" i="2"/>
  <c r="BM178" i="2"/>
  <c r="BL178" i="2"/>
  <c r="BK178" i="2"/>
  <c r="BJ178" i="2"/>
  <c r="BI178" i="2"/>
  <c r="BH178" i="2"/>
  <c r="BG178" i="2"/>
  <c r="BF178" i="2"/>
  <c r="BD178" i="2"/>
  <c r="BE178" i="2" s="1"/>
  <c r="BC178" i="2"/>
  <c r="BB178" i="2"/>
  <c r="BA178" i="2"/>
  <c r="AY178" i="2"/>
  <c r="AZ178" i="2" s="1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J178" i="2"/>
  <c r="AK178" i="2" s="1"/>
  <c r="AI178" i="2"/>
  <c r="AH178" i="2"/>
  <c r="AG178" i="2"/>
  <c r="AE178" i="2"/>
  <c r="AF178" i="2" s="1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P178" i="2"/>
  <c r="Q178" i="2" s="1"/>
  <c r="O178" i="2"/>
  <c r="N178" i="2"/>
  <c r="M178" i="2"/>
  <c r="K178" i="2"/>
  <c r="L178" i="2" s="1"/>
  <c r="J178" i="2"/>
  <c r="I178" i="2"/>
  <c r="H178" i="2"/>
  <c r="G178" i="2"/>
  <c r="F178" i="2"/>
  <c r="E178" i="2"/>
  <c r="D178" i="2"/>
  <c r="C178" i="2"/>
  <c r="CC177" i="2"/>
  <c r="CD177" i="2" s="1"/>
  <c r="CB177" i="2"/>
  <c r="CA177" i="2"/>
  <c r="BZ177" i="2"/>
  <c r="BX177" i="2"/>
  <c r="BY177" i="2" s="1"/>
  <c r="BW177" i="2"/>
  <c r="BV177" i="2"/>
  <c r="BU177" i="2"/>
  <c r="BT177" i="2"/>
  <c r="BS177" i="2"/>
  <c r="BR177" i="2"/>
  <c r="BQ177" i="2"/>
  <c r="BP177" i="2"/>
  <c r="BO177" i="2"/>
  <c r="BN177" i="2"/>
  <c r="BM177" i="2"/>
  <c r="BL177" i="2"/>
  <c r="BK177" i="2"/>
  <c r="BI177" i="2"/>
  <c r="BJ177" i="2" s="1"/>
  <c r="BH177" i="2"/>
  <c r="BG177" i="2"/>
  <c r="BF177" i="2"/>
  <c r="BD177" i="2"/>
  <c r="BE177" i="2" s="1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O177" i="2"/>
  <c r="AP177" i="2" s="1"/>
  <c r="AN177" i="2"/>
  <c r="AM177" i="2"/>
  <c r="AL177" i="2"/>
  <c r="AJ177" i="2"/>
  <c r="AK177" i="2" s="1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U177" i="2"/>
  <c r="V177" i="2" s="1"/>
  <c r="T177" i="2"/>
  <c r="S177" i="2"/>
  <c r="R177" i="2"/>
  <c r="P177" i="2"/>
  <c r="Q177" i="2" s="1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CC176" i="2"/>
  <c r="CD176" i="2" s="1"/>
  <c r="CB176" i="2"/>
  <c r="CA176" i="2"/>
  <c r="BZ176" i="2"/>
  <c r="BY176" i="2"/>
  <c r="BX176" i="2"/>
  <c r="BW176" i="2"/>
  <c r="BV176" i="2"/>
  <c r="BU176" i="2"/>
  <c r="BT176" i="2"/>
  <c r="BS176" i="2"/>
  <c r="BR176" i="2"/>
  <c r="BQ176" i="2"/>
  <c r="BP176" i="2"/>
  <c r="BN176" i="2"/>
  <c r="BO176" i="2" s="1"/>
  <c r="BM176" i="2"/>
  <c r="BL176" i="2"/>
  <c r="BK176" i="2"/>
  <c r="BI176" i="2"/>
  <c r="BJ176" i="2" s="1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T176" i="2"/>
  <c r="AU176" i="2" s="1"/>
  <c r="AS176" i="2"/>
  <c r="AR176" i="2"/>
  <c r="AQ176" i="2"/>
  <c r="AO176" i="2"/>
  <c r="AP176" i="2" s="1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Z176" i="2"/>
  <c r="AA176" i="2" s="1"/>
  <c r="Y176" i="2"/>
  <c r="X176" i="2"/>
  <c r="W176" i="2"/>
  <c r="U176" i="2"/>
  <c r="V176" i="2" s="1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F176" i="2"/>
  <c r="G176" i="2" s="1"/>
  <c r="E176" i="2"/>
  <c r="D176" i="2"/>
  <c r="C176" i="2"/>
  <c r="CD175" i="2"/>
  <c r="CC175" i="2"/>
  <c r="CB175" i="2"/>
  <c r="CA175" i="2"/>
  <c r="BZ175" i="2"/>
  <c r="BY175" i="2"/>
  <c r="BX175" i="2"/>
  <c r="BW175" i="2"/>
  <c r="BV175" i="2"/>
  <c r="BU175" i="2"/>
  <c r="BS175" i="2"/>
  <c r="BT175" i="2" s="1"/>
  <c r="BR175" i="2"/>
  <c r="BQ175" i="2"/>
  <c r="BP175" i="2"/>
  <c r="BN175" i="2"/>
  <c r="BO175" i="2" s="1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BA175" i="2"/>
  <c r="AY175" i="2"/>
  <c r="AZ175" i="2" s="1"/>
  <c r="AX175" i="2"/>
  <c r="AW175" i="2"/>
  <c r="AV175" i="2"/>
  <c r="AT175" i="2"/>
  <c r="AU175" i="2" s="1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E175" i="2"/>
  <c r="AF175" i="2" s="1"/>
  <c r="AD175" i="2"/>
  <c r="AC175" i="2"/>
  <c r="AB175" i="2"/>
  <c r="Z175" i="2"/>
  <c r="AA175" i="2" s="1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K175" i="2"/>
  <c r="L175" i="2" s="1"/>
  <c r="J175" i="2"/>
  <c r="I175" i="2"/>
  <c r="H175" i="2"/>
  <c r="F175" i="2"/>
  <c r="G175" i="2" s="1"/>
  <c r="E175" i="2"/>
  <c r="D175" i="2"/>
  <c r="C175" i="2"/>
  <c r="CD174" i="2"/>
  <c r="CC174" i="2"/>
  <c r="CB174" i="2"/>
  <c r="CA174" i="2"/>
  <c r="BZ174" i="2"/>
  <c r="BX174" i="2"/>
  <c r="BY174" i="2" s="1"/>
  <c r="BW174" i="2"/>
  <c r="BV174" i="2"/>
  <c r="BU174" i="2"/>
  <c r="BS174" i="2"/>
  <c r="BT174" i="2" s="1"/>
  <c r="BR174" i="2"/>
  <c r="BQ174" i="2"/>
  <c r="BP174" i="2"/>
  <c r="BO174" i="2"/>
  <c r="BN174" i="2"/>
  <c r="BM174" i="2"/>
  <c r="BL174" i="2"/>
  <c r="BK174" i="2"/>
  <c r="BJ174" i="2"/>
  <c r="BI174" i="2"/>
  <c r="BH174" i="2"/>
  <c r="BG174" i="2"/>
  <c r="BF174" i="2"/>
  <c r="BD174" i="2"/>
  <c r="BE174" i="2" s="1"/>
  <c r="BC174" i="2"/>
  <c r="BB174" i="2"/>
  <c r="BA174" i="2"/>
  <c r="AY174" i="2"/>
  <c r="AZ174" i="2" s="1"/>
  <c r="AX174" i="2"/>
  <c r="AW174" i="2"/>
  <c r="AV174" i="2"/>
  <c r="AT174" i="2"/>
  <c r="AU174" i="2" s="1"/>
  <c r="AS174" i="2"/>
  <c r="AR174" i="2"/>
  <c r="AQ174" i="2"/>
  <c r="AP174" i="2"/>
  <c r="AO174" i="2"/>
  <c r="AN174" i="2"/>
  <c r="AM174" i="2"/>
  <c r="AL174" i="2"/>
  <c r="AJ174" i="2"/>
  <c r="AK174" i="2" s="1"/>
  <c r="AI174" i="2"/>
  <c r="AH174" i="2"/>
  <c r="AG174" i="2"/>
  <c r="AE174" i="2"/>
  <c r="AF174" i="2" s="1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P174" i="2"/>
  <c r="Q174" i="2" s="1"/>
  <c r="O174" i="2"/>
  <c r="N174" i="2"/>
  <c r="M174" i="2"/>
  <c r="K174" i="2"/>
  <c r="L174" i="2" s="1"/>
  <c r="J174" i="2"/>
  <c r="I174" i="2"/>
  <c r="H174" i="2"/>
  <c r="F174" i="2"/>
  <c r="G174" i="2" s="1"/>
  <c r="E174" i="2"/>
  <c r="D174" i="2"/>
  <c r="C174" i="2"/>
  <c r="CC173" i="2"/>
  <c r="CD173" i="2" s="1"/>
  <c r="CB173" i="2"/>
  <c r="CA173" i="2"/>
  <c r="BZ173" i="2"/>
  <c r="BX173" i="2"/>
  <c r="BY173" i="2" s="1"/>
  <c r="BW173" i="2"/>
  <c r="BV173" i="2"/>
  <c r="BU173" i="2"/>
  <c r="BT173" i="2"/>
  <c r="BS173" i="2"/>
  <c r="BR173" i="2"/>
  <c r="BQ173" i="2"/>
  <c r="BP173" i="2"/>
  <c r="BO173" i="2"/>
  <c r="BN173" i="2"/>
  <c r="BM173" i="2"/>
  <c r="BL173" i="2"/>
  <c r="BK173" i="2"/>
  <c r="BI173" i="2"/>
  <c r="BJ173" i="2" s="1"/>
  <c r="BH173" i="2"/>
  <c r="BG173" i="2"/>
  <c r="BF173" i="2"/>
  <c r="BD173" i="2"/>
  <c r="BE173" i="2" s="1"/>
  <c r="BC173" i="2"/>
  <c r="BB173" i="2"/>
  <c r="BA173" i="2"/>
  <c r="AY173" i="2"/>
  <c r="AZ173" i="2" s="1"/>
  <c r="AX173" i="2"/>
  <c r="AW173" i="2"/>
  <c r="AV173" i="2"/>
  <c r="AU173" i="2"/>
  <c r="AT173" i="2"/>
  <c r="AS173" i="2"/>
  <c r="AR173" i="2"/>
  <c r="AQ173" i="2"/>
  <c r="AO173" i="2"/>
  <c r="AP173" i="2" s="1"/>
  <c r="AN173" i="2"/>
  <c r="AM173" i="2"/>
  <c r="AL173" i="2"/>
  <c r="AJ173" i="2"/>
  <c r="AK173" i="2" s="1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U173" i="2"/>
  <c r="V173" i="2" s="1"/>
  <c r="T173" i="2"/>
  <c r="S173" i="2"/>
  <c r="R173" i="2"/>
  <c r="P173" i="2"/>
  <c r="Q173" i="2" s="1"/>
  <c r="O173" i="2"/>
  <c r="N173" i="2"/>
  <c r="M173" i="2"/>
  <c r="K173" i="2"/>
  <c r="L173" i="2" s="1"/>
  <c r="J173" i="2"/>
  <c r="I173" i="2"/>
  <c r="H173" i="2"/>
  <c r="G173" i="2"/>
  <c r="F173" i="2"/>
  <c r="E173" i="2"/>
  <c r="D173" i="2"/>
  <c r="C173" i="2"/>
  <c r="CC172" i="2"/>
  <c r="CD172" i="2" s="1"/>
  <c r="CB172" i="2"/>
  <c r="CA172" i="2"/>
  <c r="BZ172" i="2"/>
  <c r="BY172" i="2"/>
  <c r="BX172" i="2"/>
  <c r="BW172" i="2"/>
  <c r="BV172" i="2"/>
  <c r="BU172" i="2"/>
  <c r="BT172" i="2"/>
  <c r="BS172" i="2"/>
  <c r="BR172" i="2"/>
  <c r="BQ172" i="2"/>
  <c r="BP172" i="2"/>
  <c r="BN172" i="2"/>
  <c r="BO172" i="2" s="1"/>
  <c r="BM172" i="2"/>
  <c r="BL172" i="2"/>
  <c r="BK172" i="2"/>
  <c r="BI172" i="2"/>
  <c r="BJ172" i="2" s="1"/>
  <c r="BH172" i="2"/>
  <c r="BG172" i="2"/>
  <c r="BF172" i="2"/>
  <c r="BD172" i="2"/>
  <c r="BE172" i="2" s="1"/>
  <c r="BC172" i="2"/>
  <c r="BB172" i="2"/>
  <c r="BA172" i="2"/>
  <c r="AZ172" i="2"/>
  <c r="AY172" i="2"/>
  <c r="AX172" i="2"/>
  <c r="AW172" i="2"/>
  <c r="AV172" i="2"/>
  <c r="AT172" i="2"/>
  <c r="AU172" i="2" s="1"/>
  <c r="AS172" i="2"/>
  <c r="AR172" i="2"/>
  <c r="AQ172" i="2"/>
  <c r="AO172" i="2"/>
  <c r="AP172" i="2" s="1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Z172" i="2"/>
  <c r="AA172" i="2" s="1"/>
  <c r="Y172" i="2"/>
  <c r="X172" i="2"/>
  <c r="W172" i="2"/>
  <c r="U172" i="2"/>
  <c r="V172" i="2" s="1"/>
  <c r="T172" i="2"/>
  <c r="S172" i="2"/>
  <c r="R172" i="2"/>
  <c r="P172" i="2"/>
  <c r="Q172" i="2" s="1"/>
  <c r="O172" i="2"/>
  <c r="N172" i="2"/>
  <c r="M172" i="2"/>
  <c r="L172" i="2"/>
  <c r="K172" i="2"/>
  <c r="J172" i="2"/>
  <c r="I172" i="2"/>
  <c r="H172" i="2"/>
  <c r="F172" i="2"/>
  <c r="G172" i="2" s="1"/>
  <c r="E172" i="2"/>
  <c r="D172" i="2"/>
  <c r="C172" i="2"/>
  <c r="CD171" i="2"/>
  <c r="CC171" i="2"/>
  <c r="CB171" i="2"/>
  <c r="CA171" i="2"/>
  <c r="BZ171" i="2"/>
  <c r="BY171" i="2"/>
  <c r="BX171" i="2"/>
  <c r="BW171" i="2"/>
  <c r="BV171" i="2"/>
  <c r="BU171" i="2"/>
  <c r="BS171" i="2"/>
  <c r="BT171" i="2" s="1"/>
  <c r="BR171" i="2"/>
  <c r="BQ171" i="2"/>
  <c r="BP171" i="2"/>
  <c r="BN171" i="2"/>
  <c r="BO171" i="2" s="1"/>
  <c r="BM171" i="2"/>
  <c r="BL171" i="2"/>
  <c r="BK171" i="2"/>
  <c r="BI171" i="2"/>
  <c r="BJ171" i="2" s="1"/>
  <c r="BH171" i="2"/>
  <c r="BG171" i="2"/>
  <c r="BF171" i="2"/>
  <c r="BE171" i="2"/>
  <c r="BD171" i="2"/>
  <c r="BC171" i="2"/>
  <c r="BB171" i="2"/>
  <c r="BA171" i="2"/>
  <c r="AY171" i="2"/>
  <c r="AZ171" i="2" s="1"/>
  <c r="AX171" i="2"/>
  <c r="AW171" i="2"/>
  <c r="AV171" i="2"/>
  <c r="AT171" i="2"/>
  <c r="AU171" i="2" s="1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E171" i="2"/>
  <c r="AF171" i="2" s="1"/>
  <c r="AD171" i="2"/>
  <c r="AC171" i="2"/>
  <c r="AB171" i="2"/>
  <c r="Z171" i="2"/>
  <c r="AA171" i="2" s="1"/>
  <c r="Y171" i="2"/>
  <c r="X171" i="2"/>
  <c r="W171" i="2"/>
  <c r="U171" i="2"/>
  <c r="V171" i="2" s="1"/>
  <c r="T171" i="2"/>
  <c r="S171" i="2"/>
  <c r="R171" i="2"/>
  <c r="Q171" i="2"/>
  <c r="P171" i="2"/>
  <c r="O171" i="2"/>
  <c r="N171" i="2"/>
  <c r="M171" i="2"/>
  <c r="K171" i="2"/>
  <c r="L171" i="2" s="1"/>
  <c r="J171" i="2"/>
  <c r="I171" i="2"/>
  <c r="H171" i="2"/>
  <c r="F171" i="2"/>
  <c r="G171" i="2" s="1"/>
  <c r="E171" i="2"/>
  <c r="D171" i="2"/>
  <c r="C171" i="2"/>
  <c r="CD170" i="2"/>
  <c r="CC170" i="2"/>
  <c r="CB170" i="2"/>
  <c r="CA170" i="2"/>
  <c r="BZ170" i="2"/>
  <c r="BX170" i="2"/>
  <c r="BW170" i="2"/>
  <c r="BV170" i="2"/>
  <c r="BU170" i="2"/>
  <c r="BS170" i="2"/>
  <c r="BT170" i="2" s="1"/>
  <c r="BR170" i="2"/>
  <c r="BQ170" i="2"/>
  <c r="BP170" i="2"/>
  <c r="BN170" i="2"/>
  <c r="BO170" i="2" s="1"/>
  <c r="BM170" i="2"/>
  <c r="BL170" i="2"/>
  <c r="BK170" i="2"/>
  <c r="BJ170" i="2"/>
  <c r="BI170" i="2"/>
  <c r="BH170" i="2"/>
  <c r="BG170" i="2"/>
  <c r="BF170" i="2"/>
  <c r="BD170" i="2"/>
  <c r="BE170" i="2" s="1"/>
  <c r="BC170" i="2"/>
  <c r="BB170" i="2"/>
  <c r="BA170" i="2"/>
  <c r="AY170" i="2"/>
  <c r="AZ170" i="2" s="1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J170" i="2"/>
  <c r="AK170" i="2" s="1"/>
  <c r="AI170" i="2"/>
  <c r="AH170" i="2"/>
  <c r="AG170" i="2"/>
  <c r="AE170" i="2"/>
  <c r="AF170" i="2" s="1"/>
  <c r="AD170" i="2"/>
  <c r="AC170" i="2"/>
  <c r="AB170" i="2"/>
  <c r="Z170" i="2"/>
  <c r="AA170" i="2" s="1"/>
  <c r="Y170" i="2"/>
  <c r="X170" i="2"/>
  <c r="W170" i="2"/>
  <c r="V170" i="2"/>
  <c r="U170" i="2"/>
  <c r="T170" i="2"/>
  <c r="S170" i="2"/>
  <c r="R170" i="2"/>
  <c r="P170" i="2"/>
  <c r="Q170" i="2" s="1"/>
  <c r="O170" i="2"/>
  <c r="N170" i="2"/>
  <c r="M170" i="2"/>
  <c r="K170" i="2"/>
  <c r="L170" i="2" s="1"/>
  <c r="J170" i="2"/>
  <c r="I170" i="2"/>
  <c r="H170" i="2"/>
  <c r="G170" i="2"/>
  <c r="F170" i="2"/>
  <c r="E170" i="2"/>
  <c r="D170" i="2"/>
  <c r="C170" i="2"/>
  <c r="CC169" i="2"/>
  <c r="CD169" i="2" s="1"/>
  <c r="CB169" i="2"/>
  <c r="CA169" i="2"/>
  <c r="BZ169" i="2"/>
  <c r="BX169" i="2"/>
  <c r="BW169" i="2"/>
  <c r="BV169" i="2"/>
  <c r="BU169" i="2"/>
  <c r="BS169" i="2"/>
  <c r="BT169" i="2" s="1"/>
  <c r="BR169" i="2"/>
  <c r="BQ169" i="2"/>
  <c r="BP169" i="2"/>
  <c r="BO169" i="2"/>
  <c r="BN169" i="2"/>
  <c r="BM169" i="2"/>
  <c r="BL169" i="2"/>
  <c r="BK169" i="2"/>
  <c r="BI169" i="2"/>
  <c r="BJ169" i="2" s="1"/>
  <c r="BH169" i="2"/>
  <c r="BG169" i="2"/>
  <c r="BF169" i="2"/>
  <c r="BD169" i="2"/>
  <c r="BE169" i="2" s="1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O169" i="2"/>
  <c r="AP169" i="2" s="1"/>
  <c r="AN169" i="2"/>
  <c r="AM169" i="2"/>
  <c r="AL169" i="2"/>
  <c r="AJ169" i="2"/>
  <c r="AK169" i="2" s="1"/>
  <c r="AI169" i="2"/>
  <c r="AH169" i="2"/>
  <c r="AG169" i="2"/>
  <c r="AE169" i="2"/>
  <c r="AF169" i="2" s="1"/>
  <c r="AD169" i="2"/>
  <c r="AC169" i="2"/>
  <c r="AB169" i="2"/>
  <c r="AA169" i="2"/>
  <c r="Z169" i="2"/>
  <c r="Y169" i="2"/>
  <c r="X169" i="2"/>
  <c r="W169" i="2"/>
  <c r="U169" i="2"/>
  <c r="V169" i="2" s="1"/>
  <c r="T169" i="2"/>
  <c r="S169" i="2"/>
  <c r="R169" i="2"/>
  <c r="P169" i="2"/>
  <c r="Q169" i="2" s="1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CC168" i="2"/>
  <c r="CD168" i="2" s="1"/>
  <c r="CB168" i="2"/>
  <c r="CA168" i="2"/>
  <c r="BZ168" i="2"/>
  <c r="BX168" i="2"/>
  <c r="BY168" i="2" s="1"/>
  <c r="BW168" i="2"/>
  <c r="BV168" i="2"/>
  <c r="BU168" i="2"/>
  <c r="BT168" i="2"/>
  <c r="BS168" i="2"/>
  <c r="BR168" i="2"/>
  <c r="BQ168" i="2"/>
  <c r="BP168" i="2"/>
  <c r="BN168" i="2"/>
  <c r="BO168" i="2" s="1"/>
  <c r="BM168" i="2"/>
  <c r="BL168" i="2"/>
  <c r="BK168" i="2"/>
  <c r="BI168" i="2"/>
  <c r="BJ168" i="2" s="1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O168" i="2"/>
  <c r="AP168" i="2" s="1"/>
  <c r="AN168" i="2"/>
  <c r="AM168" i="2"/>
  <c r="AL168" i="2"/>
  <c r="AJ168" i="2"/>
  <c r="AK168" i="2" s="1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U168" i="2"/>
  <c r="V168" i="2" s="1"/>
  <c r="T168" i="2"/>
  <c r="S168" i="2"/>
  <c r="R168" i="2"/>
  <c r="P168" i="2"/>
  <c r="Q168" i="2" s="1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CD167" i="2"/>
  <c r="CC167" i="2"/>
  <c r="CB167" i="2"/>
  <c r="CA167" i="2"/>
  <c r="BZ167" i="2"/>
  <c r="BY167" i="2"/>
  <c r="BX167" i="2"/>
  <c r="BW167" i="2"/>
  <c r="BV167" i="2"/>
  <c r="BU167" i="2"/>
  <c r="BS167" i="2"/>
  <c r="BR167" i="2"/>
  <c r="BT167" i="2" s="1"/>
  <c r="BQ167" i="2"/>
  <c r="BP167" i="2"/>
  <c r="BN167" i="2"/>
  <c r="BO167" i="2" s="1"/>
  <c r="BM167" i="2"/>
  <c r="BL167" i="2"/>
  <c r="BK167" i="2"/>
  <c r="BI167" i="2"/>
  <c r="BJ167" i="2" s="1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T167" i="2"/>
  <c r="AU167" i="2" s="1"/>
  <c r="AS167" i="2"/>
  <c r="AR167" i="2"/>
  <c r="AQ167" i="2"/>
  <c r="AO167" i="2"/>
  <c r="AP167" i="2" s="1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Z167" i="2"/>
  <c r="AA167" i="2" s="1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F167" i="2"/>
  <c r="G167" i="2" s="1"/>
  <c r="E167" i="2"/>
  <c r="D167" i="2"/>
  <c r="C167" i="2"/>
  <c r="CD166" i="2"/>
  <c r="CC166" i="2"/>
  <c r="CB166" i="2"/>
  <c r="CA166" i="2"/>
  <c r="BZ166" i="2"/>
  <c r="BY166" i="2"/>
  <c r="BX166" i="2"/>
  <c r="BW166" i="2"/>
  <c r="BV166" i="2"/>
  <c r="BU166" i="2"/>
  <c r="BS166" i="2"/>
  <c r="BR166" i="2"/>
  <c r="BQ166" i="2"/>
  <c r="BP166" i="2"/>
  <c r="BN166" i="2"/>
  <c r="BO166" i="2" s="1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Y166" i="2"/>
  <c r="AZ166" i="2" s="1"/>
  <c r="AX166" i="2"/>
  <c r="AW166" i="2"/>
  <c r="AV166" i="2"/>
  <c r="AT166" i="2"/>
  <c r="AU166" i="2" s="1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E166" i="2"/>
  <c r="AF166" i="2" s="1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K166" i="2"/>
  <c r="L166" i="2" s="1"/>
  <c r="J166" i="2"/>
  <c r="I166" i="2"/>
  <c r="H166" i="2"/>
  <c r="G166" i="2"/>
  <c r="F166" i="2"/>
  <c r="E166" i="2"/>
  <c r="D166" i="2"/>
  <c r="C166" i="2"/>
  <c r="CD165" i="2"/>
  <c r="CC165" i="2"/>
  <c r="CB165" i="2"/>
  <c r="CA165" i="2"/>
  <c r="BZ165" i="2"/>
  <c r="BX165" i="2"/>
  <c r="BY165" i="2" s="1"/>
  <c r="BW165" i="2"/>
  <c r="BV165" i="2"/>
  <c r="BU165" i="2"/>
  <c r="BS165" i="2"/>
  <c r="BT165" i="2" s="1"/>
  <c r="BR165" i="2"/>
  <c r="BQ165" i="2"/>
  <c r="BP165" i="2"/>
  <c r="BO165" i="2"/>
  <c r="BN165" i="2"/>
  <c r="BM165" i="2"/>
  <c r="BL165" i="2"/>
  <c r="BK165" i="2"/>
  <c r="BJ165" i="2"/>
  <c r="BI165" i="2"/>
  <c r="BH165" i="2"/>
  <c r="BG165" i="2"/>
  <c r="BF165" i="2"/>
  <c r="BD165" i="2"/>
  <c r="BE165" i="2" s="1"/>
  <c r="BC165" i="2"/>
  <c r="BB165" i="2"/>
  <c r="BA165" i="2"/>
  <c r="AY165" i="2"/>
  <c r="AZ165" i="2" s="1"/>
  <c r="AX165" i="2"/>
  <c r="AW165" i="2"/>
  <c r="AV165" i="2"/>
  <c r="AT165" i="2"/>
  <c r="AU165" i="2" s="1"/>
  <c r="AS165" i="2"/>
  <c r="AR165" i="2"/>
  <c r="AQ165" i="2"/>
  <c r="AP165" i="2"/>
  <c r="AO165" i="2"/>
  <c r="AN165" i="2"/>
  <c r="AM165" i="2"/>
  <c r="AL165" i="2"/>
  <c r="AJ165" i="2"/>
  <c r="AK165" i="2" s="1"/>
  <c r="AI165" i="2"/>
  <c r="AH165" i="2"/>
  <c r="AG165" i="2"/>
  <c r="AF165" i="2"/>
  <c r="AE165" i="2"/>
  <c r="AD165" i="2"/>
  <c r="AC165" i="2"/>
  <c r="AB165" i="2"/>
  <c r="Z165" i="2"/>
  <c r="AA165" i="2" s="1"/>
  <c r="Y165" i="2"/>
  <c r="X165" i="2"/>
  <c r="W165" i="2"/>
  <c r="V165" i="2"/>
  <c r="U165" i="2"/>
  <c r="T165" i="2"/>
  <c r="S165" i="2"/>
  <c r="R165" i="2"/>
  <c r="P165" i="2"/>
  <c r="Q165" i="2" s="1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CC164" i="2"/>
  <c r="CD164" i="2" s="1"/>
  <c r="CB164" i="2"/>
  <c r="CA164" i="2"/>
  <c r="BZ164" i="2"/>
  <c r="BX164" i="2"/>
  <c r="BY164" i="2" s="1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I164" i="2"/>
  <c r="BJ164" i="2" s="1"/>
  <c r="BH164" i="2"/>
  <c r="BG164" i="2"/>
  <c r="BF164" i="2"/>
  <c r="BD164" i="2"/>
  <c r="BE164" i="2" s="1"/>
  <c r="BC164" i="2"/>
  <c r="BB164" i="2"/>
  <c r="BA164" i="2"/>
  <c r="AY164" i="2"/>
  <c r="AZ164" i="2" s="1"/>
  <c r="AX164" i="2"/>
  <c r="AW164" i="2"/>
  <c r="AV164" i="2"/>
  <c r="AU164" i="2"/>
  <c r="AT164" i="2"/>
  <c r="AS164" i="2"/>
  <c r="AR164" i="2"/>
  <c r="AQ164" i="2"/>
  <c r="AO164" i="2"/>
  <c r="AP164" i="2" s="1"/>
  <c r="AN164" i="2"/>
  <c r="AM164" i="2"/>
  <c r="AL164" i="2"/>
  <c r="AK164" i="2"/>
  <c r="AJ164" i="2"/>
  <c r="AI164" i="2"/>
  <c r="AH164" i="2"/>
  <c r="AG164" i="2"/>
  <c r="AE164" i="2"/>
  <c r="AF164" i="2" s="1"/>
  <c r="AD164" i="2"/>
  <c r="AC164" i="2"/>
  <c r="AB164" i="2"/>
  <c r="Z164" i="2"/>
  <c r="AA164" i="2" s="1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K164" i="2"/>
  <c r="L164" i="2" s="1"/>
  <c r="J164" i="2"/>
  <c r="I164" i="2"/>
  <c r="H164" i="2"/>
  <c r="F164" i="2"/>
  <c r="G164" i="2" s="1"/>
  <c r="E164" i="2"/>
  <c r="D164" i="2"/>
  <c r="C164" i="2"/>
  <c r="CD163" i="2"/>
  <c r="CC163" i="2"/>
  <c r="CB163" i="2"/>
  <c r="CA163" i="2"/>
  <c r="BZ163" i="2"/>
  <c r="BX163" i="2"/>
  <c r="BY163" i="2" s="1"/>
  <c r="BW163" i="2"/>
  <c r="BV163" i="2"/>
  <c r="BU163" i="2"/>
  <c r="BS163" i="2"/>
  <c r="BT163" i="2" s="1"/>
  <c r="BR163" i="2"/>
  <c r="BQ163" i="2"/>
  <c r="BP163" i="2"/>
  <c r="BO163" i="2"/>
  <c r="BN163" i="2"/>
  <c r="BM163" i="2"/>
  <c r="BL163" i="2"/>
  <c r="BK163" i="2"/>
  <c r="BJ163" i="2"/>
  <c r="BI163" i="2"/>
  <c r="BH163" i="2"/>
  <c r="BG163" i="2"/>
  <c r="BF163" i="2"/>
  <c r="BD163" i="2"/>
  <c r="BE163" i="2" s="1"/>
  <c r="BC163" i="2"/>
  <c r="BB163" i="2"/>
  <c r="BA163" i="2"/>
  <c r="AY163" i="2"/>
  <c r="AZ163" i="2" s="1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J163" i="2"/>
  <c r="AK163" i="2" s="1"/>
  <c r="AI163" i="2"/>
  <c r="AH163" i="2"/>
  <c r="AG163" i="2"/>
  <c r="AE163" i="2"/>
  <c r="AF163" i="2" s="1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P163" i="2"/>
  <c r="Q163" i="2" s="1"/>
  <c r="O163" i="2"/>
  <c r="N163" i="2"/>
  <c r="M163" i="2"/>
  <c r="K163" i="2"/>
  <c r="L163" i="2" s="1"/>
  <c r="J163" i="2"/>
  <c r="I163" i="2"/>
  <c r="H163" i="2"/>
  <c r="G163" i="2"/>
  <c r="F163" i="2"/>
  <c r="E163" i="2"/>
  <c r="D163" i="2"/>
  <c r="C163" i="2"/>
  <c r="CC162" i="2"/>
  <c r="CD162" i="2" s="1"/>
  <c r="CB162" i="2"/>
  <c r="CA162" i="2"/>
  <c r="BZ162" i="2"/>
  <c r="BX162" i="2"/>
  <c r="BY162" i="2" s="1"/>
  <c r="BW162" i="2"/>
  <c r="BV162" i="2"/>
  <c r="BU162" i="2"/>
  <c r="BT162" i="2"/>
  <c r="BS162" i="2"/>
  <c r="BR162" i="2"/>
  <c r="BQ162" i="2"/>
  <c r="BP162" i="2"/>
  <c r="BO162" i="2"/>
  <c r="BN162" i="2"/>
  <c r="BM162" i="2"/>
  <c r="BL162" i="2"/>
  <c r="BK162" i="2"/>
  <c r="BI162" i="2"/>
  <c r="BJ162" i="2" s="1"/>
  <c r="BH162" i="2"/>
  <c r="BG162" i="2"/>
  <c r="BF162" i="2"/>
  <c r="BD162" i="2"/>
  <c r="BE162" i="2" s="1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Q162" i="2"/>
  <c r="AO162" i="2"/>
  <c r="AP162" i="2" s="1"/>
  <c r="AN162" i="2"/>
  <c r="AM162" i="2"/>
  <c r="AL162" i="2"/>
  <c r="AJ162" i="2"/>
  <c r="AK162" i="2" s="1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U162" i="2"/>
  <c r="V162" i="2" s="1"/>
  <c r="T162" i="2"/>
  <c r="S162" i="2"/>
  <c r="R162" i="2"/>
  <c r="P162" i="2"/>
  <c r="Q162" i="2" s="1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CC161" i="2"/>
  <c r="CD161" i="2" s="1"/>
  <c r="CB161" i="2"/>
  <c r="CA161" i="2"/>
  <c r="BZ161" i="2"/>
  <c r="BY161" i="2"/>
  <c r="BX161" i="2"/>
  <c r="BW161" i="2"/>
  <c r="BV161" i="2"/>
  <c r="BU161" i="2"/>
  <c r="BT161" i="2"/>
  <c r="BS161" i="2"/>
  <c r="BR161" i="2"/>
  <c r="BQ161" i="2"/>
  <c r="BP161" i="2"/>
  <c r="BN161" i="2"/>
  <c r="BO161" i="2" s="1"/>
  <c r="BM161" i="2"/>
  <c r="BL161" i="2"/>
  <c r="BK161" i="2"/>
  <c r="BI161" i="2"/>
  <c r="BJ161" i="2" s="1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T161" i="2"/>
  <c r="AU161" i="2" s="1"/>
  <c r="AS161" i="2"/>
  <c r="AR161" i="2"/>
  <c r="AQ161" i="2"/>
  <c r="AO161" i="2"/>
  <c r="AP161" i="2" s="1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Z161" i="2"/>
  <c r="AA161" i="2" s="1"/>
  <c r="Y161" i="2"/>
  <c r="X161" i="2"/>
  <c r="W161" i="2"/>
  <c r="U161" i="2"/>
  <c r="V161" i="2" s="1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F161" i="2"/>
  <c r="G161" i="2" s="1"/>
  <c r="E161" i="2"/>
  <c r="D161" i="2"/>
  <c r="C161" i="2"/>
  <c r="CD160" i="2"/>
  <c r="CC160" i="2"/>
  <c r="CB160" i="2"/>
  <c r="CA160" i="2"/>
  <c r="BZ160" i="2"/>
  <c r="BY160" i="2"/>
  <c r="BX160" i="2"/>
  <c r="BW160" i="2"/>
  <c r="BV160" i="2"/>
  <c r="BU160" i="2"/>
  <c r="BS160" i="2"/>
  <c r="BT160" i="2" s="1"/>
  <c r="BR160" i="2"/>
  <c r="BQ160" i="2"/>
  <c r="BP160" i="2"/>
  <c r="BN160" i="2"/>
  <c r="BO160" i="2" s="1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BA160" i="2"/>
  <c r="AY160" i="2"/>
  <c r="AZ160" i="2" s="1"/>
  <c r="AX160" i="2"/>
  <c r="AW160" i="2"/>
  <c r="AV160" i="2"/>
  <c r="AT160" i="2"/>
  <c r="AU160" i="2" s="1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E160" i="2"/>
  <c r="AF160" i="2" s="1"/>
  <c r="AD160" i="2"/>
  <c r="AC160" i="2"/>
  <c r="AB160" i="2"/>
  <c r="Z160" i="2"/>
  <c r="AA160" i="2" s="1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K160" i="2"/>
  <c r="L160" i="2" s="1"/>
  <c r="J160" i="2"/>
  <c r="I160" i="2"/>
  <c r="H160" i="2"/>
  <c r="F160" i="2"/>
  <c r="G160" i="2" s="1"/>
  <c r="E160" i="2"/>
  <c r="D160" i="2"/>
  <c r="C160" i="2"/>
  <c r="CD159" i="2"/>
  <c r="CC159" i="2"/>
  <c r="CB159" i="2"/>
  <c r="CA159" i="2"/>
  <c r="BZ159" i="2"/>
  <c r="BX159" i="2"/>
  <c r="BY159" i="2" s="1"/>
  <c r="BW159" i="2"/>
  <c r="BV159" i="2"/>
  <c r="BU159" i="2"/>
  <c r="BS159" i="2"/>
  <c r="BT159" i="2" s="1"/>
  <c r="BR159" i="2"/>
  <c r="BQ159" i="2"/>
  <c r="BP159" i="2"/>
  <c r="BO159" i="2"/>
  <c r="BN159" i="2"/>
  <c r="BM159" i="2"/>
  <c r="BL159" i="2"/>
  <c r="BK159" i="2"/>
  <c r="BJ159" i="2"/>
  <c r="BI159" i="2"/>
  <c r="BH159" i="2"/>
  <c r="BG159" i="2"/>
  <c r="BF159" i="2"/>
  <c r="BD159" i="2"/>
  <c r="BE159" i="2" s="1"/>
  <c r="BC159" i="2"/>
  <c r="BB159" i="2"/>
  <c r="BA159" i="2"/>
  <c r="AY159" i="2"/>
  <c r="AZ159" i="2" s="1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J159" i="2"/>
  <c r="AK159" i="2" s="1"/>
  <c r="AI159" i="2"/>
  <c r="AH159" i="2"/>
  <c r="AG159" i="2"/>
  <c r="AE159" i="2"/>
  <c r="AF159" i="2" s="1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P159" i="2"/>
  <c r="Q159" i="2" s="1"/>
  <c r="O159" i="2"/>
  <c r="N159" i="2"/>
  <c r="M159" i="2"/>
  <c r="K159" i="2"/>
  <c r="L159" i="2" s="1"/>
  <c r="J159" i="2"/>
  <c r="I159" i="2"/>
  <c r="H159" i="2"/>
  <c r="G159" i="2"/>
  <c r="F159" i="2"/>
  <c r="E159" i="2"/>
  <c r="D159" i="2"/>
  <c r="C159" i="2"/>
  <c r="CC158" i="2"/>
  <c r="CD158" i="2" s="1"/>
  <c r="CB158" i="2"/>
  <c r="CA158" i="2"/>
  <c r="BZ158" i="2"/>
  <c r="BX158" i="2"/>
  <c r="BY158" i="2" s="1"/>
  <c r="BW158" i="2"/>
  <c r="BV158" i="2"/>
  <c r="BU158" i="2"/>
  <c r="BT158" i="2"/>
  <c r="BS158" i="2"/>
  <c r="BR158" i="2"/>
  <c r="BQ158" i="2"/>
  <c r="BP158" i="2"/>
  <c r="BO158" i="2"/>
  <c r="BN158" i="2"/>
  <c r="BM158" i="2"/>
  <c r="BL158" i="2"/>
  <c r="BK158" i="2"/>
  <c r="BI158" i="2"/>
  <c r="BJ158" i="2" s="1"/>
  <c r="BH158" i="2"/>
  <c r="BG158" i="2"/>
  <c r="BF158" i="2"/>
  <c r="BD158" i="2"/>
  <c r="BE158" i="2" s="1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AO158" i="2"/>
  <c r="AP158" i="2" s="1"/>
  <c r="AN158" i="2"/>
  <c r="AM158" i="2"/>
  <c r="AL158" i="2"/>
  <c r="AJ158" i="2"/>
  <c r="AK158" i="2" s="1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U158" i="2"/>
  <c r="V158" i="2" s="1"/>
  <c r="T158" i="2"/>
  <c r="S158" i="2"/>
  <c r="R158" i="2"/>
  <c r="P158" i="2"/>
  <c r="Q158" i="2" s="1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CC157" i="2"/>
  <c r="CD157" i="2" s="1"/>
  <c r="CB157" i="2"/>
  <c r="CA157" i="2"/>
  <c r="BZ157" i="2"/>
  <c r="BY157" i="2"/>
  <c r="BX157" i="2"/>
  <c r="BW157" i="2"/>
  <c r="BV157" i="2"/>
  <c r="BU157" i="2"/>
  <c r="BT157" i="2"/>
  <c r="BS157" i="2"/>
  <c r="BR157" i="2"/>
  <c r="BQ157" i="2"/>
  <c r="BP157" i="2"/>
  <c r="BN157" i="2"/>
  <c r="BO157" i="2" s="1"/>
  <c r="BM157" i="2"/>
  <c r="BL157" i="2"/>
  <c r="BK157" i="2"/>
  <c r="BI157" i="2"/>
  <c r="BJ157" i="2" s="1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T157" i="2"/>
  <c r="AU157" i="2" s="1"/>
  <c r="AS157" i="2"/>
  <c r="AR157" i="2"/>
  <c r="AQ157" i="2"/>
  <c r="AO157" i="2"/>
  <c r="AP157" i="2" s="1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Z157" i="2"/>
  <c r="AA157" i="2" s="1"/>
  <c r="Y157" i="2"/>
  <c r="X157" i="2"/>
  <c r="W157" i="2"/>
  <c r="U157" i="2"/>
  <c r="V157" i="2" s="1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F157" i="2"/>
  <c r="G157" i="2" s="1"/>
  <c r="E157" i="2"/>
  <c r="D157" i="2"/>
  <c r="C157" i="2"/>
  <c r="CD156" i="2"/>
  <c r="CC156" i="2"/>
  <c r="CB156" i="2"/>
  <c r="CA156" i="2"/>
  <c r="BZ156" i="2"/>
  <c r="BY156" i="2"/>
  <c r="BX156" i="2"/>
  <c r="BW156" i="2"/>
  <c r="BV156" i="2"/>
  <c r="BU156" i="2"/>
  <c r="BS156" i="2"/>
  <c r="BT156" i="2" s="1"/>
  <c r="BR156" i="2"/>
  <c r="BQ156" i="2"/>
  <c r="BP156" i="2"/>
  <c r="BN156" i="2"/>
  <c r="BO156" i="2" s="1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Y156" i="2"/>
  <c r="AZ156" i="2" s="1"/>
  <c r="AX156" i="2"/>
  <c r="AW156" i="2"/>
  <c r="AV156" i="2"/>
  <c r="AT156" i="2"/>
  <c r="AU156" i="2" s="1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E156" i="2"/>
  <c r="AF156" i="2" s="1"/>
  <c r="AD156" i="2"/>
  <c r="AC156" i="2"/>
  <c r="AB156" i="2"/>
  <c r="Z156" i="2"/>
  <c r="AA156" i="2" s="1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K156" i="2"/>
  <c r="L156" i="2" s="1"/>
  <c r="J156" i="2"/>
  <c r="I156" i="2"/>
  <c r="H156" i="2"/>
  <c r="F156" i="2"/>
  <c r="G156" i="2" s="1"/>
  <c r="E156" i="2"/>
  <c r="D156" i="2"/>
  <c r="C156" i="2"/>
  <c r="CD155" i="2"/>
  <c r="CC155" i="2"/>
  <c r="CB155" i="2"/>
  <c r="CA155" i="2"/>
  <c r="BZ155" i="2"/>
  <c r="BX155" i="2"/>
  <c r="BY155" i="2" s="1"/>
  <c r="BW155" i="2"/>
  <c r="BV155" i="2"/>
  <c r="BU155" i="2"/>
  <c r="BS155" i="2"/>
  <c r="BT155" i="2" s="1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D155" i="2"/>
  <c r="BE155" i="2" s="1"/>
  <c r="BC155" i="2"/>
  <c r="BB155" i="2"/>
  <c r="BA155" i="2"/>
  <c r="AY155" i="2"/>
  <c r="AZ155" i="2" s="1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J155" i="2"/>
  <c r="AK155" i="2" s="1"/>
  <c r="AI155" i="2"/>
  <c r="AH155" i="2"/>
  <c r="AG155" i="2"/>
  <c r="AE155" i="2"/>
  <c r="AF155" i="2" s="1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P155" i="2"/>
  <c r="Q155" i="2" s="1"/>
  <c r="O155" i="2"/>
  <c r="N155" i="2"/>
  <c r="M155" i="2"/>
  <c r="K155" i="2"/>
  <c r="L155" i="2" s="1"/>
  <c r="J155" i="2"/>
  <c r="I155" i="2"/>
  <c r="H155" i="2"/>
  <c r="G155" i="2"/>
  <c r="F155" i="2"/>
  <c r="E155" i="2"/>
  <c r="D155" i="2"/>
  <c r="C155" i="2"/>
  <c r="CC154" i="2"/>
  <c r="CD154" i="2" s="1"/>
  <c r="CB154" i="2"/>
  <c r="CA154" i="2"/>
  <c r="BZ154" i="2"/>
  <c r="BX154" i="2"/>
  <c r="BY154" i="2" s="1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I154" i="2"/>
  <c r="BJ154" i="2" s="1"/>
  <c r="BH154" i="2"/>
  <c r="BG154" i="2"/>
  <c r="BF154" i="2"/>
  <c r="BD154" i="2"/>
  <c r="BE154" i="2" s="1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O154" i="2"/>
  <c r="AP154" i="2" s="1"/>
  <c r="AN154" i="2"/>
  <c r="AM154" i="2"/>
  <c r="AL154" i="2"/>
  <c r="AJ154" i="2"/>
  <c r="AK154" i="2" s="1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U154" i="2"/>
  <c r="V154" i="2" s="1"/>
  <c r="T154" i="2"/>
  <c r="S154" i="2"/>
  <c r="R154" i="2"/>
  <c r="P154" i="2"/>
  <c r="Q154" i="2" s="1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CC153" i="2"/>
  <c r="CD153" i="2" s="1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N153" i="2"/>
  <c r="BO153" i="2" s="1"/>
  <c r="BM153" i="2"/>
  <c r="BL153" i="2"/>
  <c r="BK153" i="2"/>
  <c r="BI153" i="2"/>
  <c r="BJ153" i="2" s="1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T153" i="2"/>
  <c r="AU153" i="2" s="1"/>
  <c r="AS153" i="2"/>
  <c r="AR153" i="2"/>
  <c r="AQ153" i="2"/>
  <c r="AO153" i="2"/>
  <c r="AP153" i="2" s="1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Z153" i="2"/>
  <c r="AA153" i="2" s="1"/>
  <c r="Y153" i="2"/>
  <c r="X153" i="2"/>
  <c r="W153" i="2"/>
  <c r="U153" i="2"/>
  <c r="V153" i="2" s="1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F153" i="2"/>
  <c r="G153" i="2" s="1"/>
  <c r="E153" i="2"/>
  <c r="D153" i="2"/>
  <c r="C153" i="2"/>
  <c r="CD152" i="2"/>
  <c r="CC152" i="2"/>
  <c r="CB152" i="2"/>
  <c r="CA152" i="2"/>
  <c r="BZ152" i="2"/>
  <c r="BY152" i="2"/>
  <c r="BX152" i="2"/>
  <c r="BW152" i="2"/>
  <c r="BV152" i="2"/>
  <c r="BU152" i="2"/>
  <c r="BS152" i="2"/>
  <c r="BT152" i="2" s="1"/>
  <c r="BR152" i="2"/>
  <c r="BQ152" i="2"/>
  <c r="BP152" i="2"/>
  <c r="BN152" i="2"/>
  <c r="BO152" i="2" s="1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Y152" i="2"/>
  <c r="AZ152" i="2" s="1"/>
  <c r="AX152" i="2"/>
  <c r="AW152" i="2"/>
  <c r="AV152" i="2"/>
  <c r="AT152" i="2"/>
  <c r="AU152" i="2" s="1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E152" i="2"/>
  <c r="AF152" i="2" s="1"/>
  <c r="AD152" i="2"/>
  <c r="AC152" i="2"/>
  <c r="AB152" i="2"/>
  <c r="Z152" i="2"/>
  <c r="AA152" i="2" s="1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K152" i="2"/>
  <c r="L152" i="2" s="1"/>
  <c r="J152" i="2"/>
  <c r="I152" i="2"/>
  <c r="H152" i="2"/>
  <c r="F152" i="2"/>
  <c r="G152" i="2" s="1"/>
  <c r="E152" i="2"/>
  <c r="D152" i="2"/>
  <c r="C152" i="2"/>
  <c r="CD151" i="2"/>
  <c r="CC151" i="2"/>
  <c r="CB151" i="2"/>
  <c r="CA151" i="2"/>
  <c r="BZ151" i="2"/>
  <c r="BX151" i="2"/>
  <c r="BY151" i="2" s="1"/>
  <c r="BW151" i="2"/>
  <c r="BV151" i="2"/>
  <c r="BU151" i="2"/>
  <c r="BS151" i="2"/>
  <c r="BT151" i="2" s="1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D151" i="2"/>
  <c r="BE151" i="2" s="1"/>
  <c r="BC151" i="2"/>
  <c r="BB151" i="2"/>
  <c r="BA151" i="2"/>
  <c r="AY151" i="2"/>
  <c r="AZ151" i="2" s="1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J151" i="2"/>
  <c r="AK151" i="2" s="1"/>
  <c r="AI151" i="2"/>
  <c r="AH151" i="2"/>
  <c r="AG151" i="2"/>
  <c r="AE151" i="2"/>
  <c r="AF151" i="2" s="1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P151" i="2"/>
  <c r="Q151" i="2" s="1"/>
  <c r="O151" i="2"/>
  <c r="N151" i="2"/>
  <c r="M151" i="2"/>
  <c r="K151" i="2"/>
  <c r="L151" i="2" s="1"/>
  <c r="J151" i="2"/>
  <c r="I151" i="2"/>
  <c r="H151" i="2"/>
  <c r="G151" i="2"/>
  <c r="F151" i="2"/>
  <c r="E151" i="2"/>
  <c r="D151" i="2"/>
  <c r="C151" i="2"/>
  <c r="CC150" i="2"/>
  <c r="CD150" i="2" s="1"/>
  <c r="CB150" i="2"/>
  <c r="CA150" i="2"/>
  <c r="BZ150" i="2"/>
  <c r="BX150" i="2"/>
  <c r="BY150" i="2" s="1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I150" i="2"/>
  <c r="BJ150" i="2" s="1"/>
  <c r="BH150" i="2"/>
  <c r="BG150" i="2"/>
  <c r="BF150" i="2"/>
  <c r="BD150" i="2"/>
  <c r="BE150" i="2" s="1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O150" i="2"/>
  <c r="AP150" i="2" s="1"/>
  <c r="AN150" i="2"/>
  <c r="AM150" i="2"/>
  <c r="AL150" i="2"/>
  <c r="AJ150" i="2"/>
  <c r="AK150" i="2" s="1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U150" i="2"/>
  <c r="V150" i="2" s="1"/>
  <c r="T150" i="2"/>
  <c r="S150" i="2"/>
  <c r="R150" i="2"/>
  <c r="P150" i="2"/>
  <c r="Q150" i="2" s="1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CC149" i="2"/>
  <c r="CD149" i="2" s="1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N149" i="2"/>
  <c r="BO149" i="2" s="1"/>
  <c r="BM149" i="2"/>
  <c r="BL149" i="2"/>
  <c r="BK149" i="2"/>
  <c r="BI149" i="2"/>
  <c r="BJ149" i="2" s="1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T149" i="2"/>
  <c r="AU149" i="2" s="1"/>
  <c r="AS149" i="2"/>
  <c r="AR149" i="2"/>
  <c r="AQ149" i="2"/>
  <c r="AO149" i="2"/>
  <c r="AP149" i="2" s="1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Z149" i="2"/>
  <c r="AA149" i="2" s="1"/>
  <c r="Y149" i="2"/>
  <c r="X149" i="2"/>
  <c r="W149" i="2"/>
  <c r="U149" i="2"/>
  <c r="V149" i="2" s="1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F149" i="2"/>
  <c r="G149" i="2" s="1"/>
  <c r="E149" i="2"/>
  <c r="D149" i="2"/>
  <c r="C149" i="2"/>
  <c r="CD148" i="2"/>
  <c r="CC148" i="2"/>
  <c r="CB148" i="2"/>
  <c r="CA148" i="2"/>
  <c r="BZ148" i="2"/>
  <c r="BY148" i="2"/>
  <c r="BX148" i="2"/>
  <c r="BW148" i="2"/>
  <c r="BV148" i="2"/>
  <c r="BU148" i="2"/>
  <c r="BS148" i="2"/>
  <c r="BT148" i="2" s="1"/>
  <c r="BR148" i="2"/>
  <c r="BQ148" i="2"/>
  <c r="BP148" i="2"/>
  <c r="BN148" i="2"/>
  <c r="BO148" i="2" s="1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Y148" i="2"/>
  <c r="AZ148" i="2" s="1"/>
  <c r="AX148" i="2"/>
  <c r="AW148" i="2"/>
  <c r="AV148" i="2"/>
  <c r="AT148" i="2"/>
  <c r="AU148" i="2" s="1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E148" i="2"/>
  <c r="AF148" i="2" s="1"/>
  <c r="AD148" i="2"/>
  <c r="AC148" i="2"/>
  <c r="AB148" i="2"/>
  <c r="Z148" i="2"/>
  <c r="AA148" i="2" s="1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K148" i="2"/>
  <c r="L148" i="2" s="1"/>
  <c r="J148" i="2"/>
  <c r="I148" i="2"/>
  <c r="H148" i="2"/>
  <c r="F148" i="2"/>
  <c r="G148" i="2" s="1"/>
  <c r="E148" i="2"/>
  <c r="D148" i="2"/>
  <c r="C148" i="2"/>
  <c r="CD147" i="2"/>
  <c r="CC147" i="2"/>
  <c r="CB147" i="2"/>
  <c r="CA147" i="2"/>
  <c r="BZ147" i="2"/>
  <c r="BX147" i="2"/>
  <c r="BY147" i="2" s="1"/>
  <c r="BW147" i="2"/>
  <c r="BV147" i="2"/>
  <c r="BU147" i="2"/>
  <c r="BS147" i="2"/>
  <c r="BT147" i="2" s="1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D147" i="2"/>
  <c r="BE147" i="2" s="1"/>
  <c r="BC147" i="2"/>
  <c r="BB147" i="2"/>
  <c r="BA147" i="2"/>
  <c r="AY147" i="2"/>
  <c r="AZ147" i="2" s="1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J147" i="2"/>
  <c r="AK147" i="2" s="1"/>
  <c r="AI147" i="2"/>
  <c r="AH147" i="2"/>
  <c r="AG147" i="2"/>
  <c r="AE147" i="2"/>
  <c r="AF147" i="2" s="1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P147" i="2"/>
  <c r="Q147" i="2" s="1"/>
  <c r="O147" i="2"/>
  <c r="N147" i="2"/>
  <c r="M147" i="2"/>
  <c r="K147" i="2"/>
  <c r="L147" i="2" s="1"/>
  <c r="J147" i="2"/>
  <c r="I147" i="2"/>
  <c r="H147" i="2"/>
  <c r="G147" i="2"/>
  <c r="F147" i="2"/>
  <c r="E147" i="2"/>
  <c r="D147" i="2"/>
  <c r="C147" i="2"/>
  <c r="CC146" i="2"/>
  <c r="CD146" i="2" s="1"/>
  <c r="CB146" i="2"/>
  <c r="CA146" i="2"/>
  <c r="BZ146" i="2"/>
  <c r="BX146" i="2"/>
  <c r="BY146" i="2" s="1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I146" i="2"/>
  <c r="BJ146" i="2" s="1"/>
  <c r="BH146" i="2"/>
  <c r="BG146" i="2"/>
  <c r="BF146" i="2"/>
  <c r="BD146" i="2"/>
  <c r="BE146" i="2" s="1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O146" i="2"/>
  <c r="AP146" i="2" s="1"/>
  <c r="AN146" i="2"/>
  <c r="AM146" i="2"/>
  <c r="AL146" i="2"/>
  <c r="AJ146" i="2"/>
  <c r="AK146" i="2" s="1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U146" i="2"/>
  <c r="V146" i="2" s="1"/>
  <c r="T146" i="2"/>
  <c r="S146" i="2"/>
  <c r="R146" i="2"/>
  <c r="P146" i="2"/>
  <c r="Q146" i="2" s="1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CC145" i="2"/>
  <c r="CD145" i="2" s="1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N145" i="2"/>
  <c r="BO145" i="2" s="1"/>
  <c r="BM145" i="2"/>
  <c r="BL145" i="2"/>
  <c r="BK145" i="2"/>
  <c r="BI145" i="2"/>
  <c r="BJ145" i="2" s="1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T145" i="2"/>
  <c r="AU145" i="2" s="1"/>
  <c r="AS145" i="2"/>
  <c r="AR145" i="2"/>
  <c r="AQ145" i="2"/>
  <c r="AO145" i="2"/>
  <c r="AP145" i="2" s="1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Z145" i="2"/>
  <c r="AA145" i="2" s="1"/>
  <c r="Y145" i="2"/>
  <c r="X145" i="2"/>
  <c r="W145" i="2"/>
  <c r="U145" i="2"/>
  <c r="V145" i="2" s="1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F145" i="2"/>
  <c r="G145" i="2" s="1"/>
  <c r="E145" i="2"/>
  <c r="D145" i="2"/>
  <c r="C145" i="2"/>
  <c r="CD144" i="2"/>
  <c r="CC144" i="2"/>
  <c r="CB144" i="2"/>
  <c r="CA144" i="2"/>
  <c r="BZ144" i="2"/>
  <c r="BY144" i="2"/>
  <c r="BX144" i="2"/>
  <c r="BW144" i="2"/>
  <c r="BV144" i="2"/>
  <c r="BU144" i="2"/>
  <c r="BS144" i="2"/>
  <c r="BT144" i="2" s="1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Y144" i="2"/>
  <c r="AZ144" i="2" s="1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E144" i="2"/>
  <c r="AF144" i="2" s="1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K144" i="2"/>
  <c r="L144" i="2" s="1"/>
  <c r="J144" i="2"/>
  <c r="I144" i="2"/>
  <c r="H144" i="2"/>
  <c r="G144" i="2"/>
  <c r="F144" i="2"/>
  <c r="E144" i="2"/>
  <c r="D144" i="2"/>
  <c r="C144" i="2"/>
  <c r="CD143" i="2"/>
  <c r="CC143" i="2"/>
  <c r="CB143" i="2"/>
  <c r="CA143" i="2"/>
  <c r="BZ143" i="2"/>
  <c r="BX143" i="2"/>
  <c r="BY143" i="2" s="1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D143" i="2"/>
  <c r="BE143" i="2" s="1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O143" i="2"/>
  <c r="AP143" i="2" s="1"/>
  <c r="AN143" i="2"/>
  <c r="AM143" i="2"/>
  <c r="AL143" i="2"/>
  <c r="AJ143" i="2"/>
  <c r="AK143" i="2" s="1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U143" i="2"/>
  <c r="V143" i="2" s="1"/>
  <c r="T143" i="2"/>
  <c r="S143" i="2"/>
  <c r="R143" i="2"/>
  <c r="P143" i="2"/>
  <c r="Q143" i="2" s="1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C142" i="2"/>
  <c r="CD142" i="2" s="1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N142" i="2"/>
  <c r="BM142" i="2"/>
  <c r="BL142" i="2"/>
  <c r="BK142" i="2"/>
  <c r="BI142" i="2"/>
  <c r="BJ142" i="2" s="1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T142" i="2"/>
  <c r="AU142" i="2" s="1"/>
  <c r="AS142" i="2"/>
  <c r="AR142" i="2"/>
  <c r="AQ142" i="2"/>
  <c r="AO142" i="2"/>
  <c r="AP142" i="2" s="1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Z142" i="2"/>
  <c r="AA142" i="2" s="1"/>
  <c r="Y142" i="2"/>
  <c r="X142" i="2"/>
  <c r="W142" i="2"/>
  <c r="U142" i="2"/>
  <c r="V142" i="2" s="1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F142" i="2"/>
  <c r="G142" i="2" s="1"/>
  <c r="E142" i="2"/>
  <c r="D142" i="2"/>
  <c r="C142" i="2"/>
  <c r="CD141" i="2"/>
  <c r="CC141" i="2"/>
  <c r="CB141" i="2"/>
  <c r="CA141" i="2"/>
  <c r="BZ141" i="2"/>
  <c r="BY141" i="2"/>
  <c r="BX141" i="2"/>
  <c r="BW141" i="2"/>
  <c r="BV141" i="2"/>
  <c r="BU141" i="2"/>
  <c r="BS141" i="2"/>
  <c r="BT141" i="2" s="1"/>
  <c r="BR141" i="2"/>
  <c r="BQ141" i="2"/>
  <c r="BP141" i="2"/>
  <c r="BN141" i="2"/>
  <c r="BO141" i="2" s="1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Y141" i="2"/>
  <c r="AZ141" i="2" s="1"/>
  <c r="AX141" i="2"/>
  <c r="AW141" i="2"/>
  <c r="AV141" i="2"/>
  <c r="AT141" i="2"/>
  <c r="AU141" i="2" s="1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E141" i="2"/>
  <c r="AF141" i="2" s="1"/>
  <c r="AD141" i="2"/>
  <c r="AC141" i="2"/>
  <c r="AB141" i="2"/>
  <c r="Z141" i="2"/>
  <c r="AA141" i="2" s="1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K141" i="2"/>
  <c r="L141" i="2" s="1"/>
  <c r="J141" i="2"/>
  <c r="I141" i="2"/>
  <c r="H141" i="2"/>
  <c r="F141" i="2"/>
  <c r="G141" i="2" s="1"/>
  <c r="E141" i="2"/>
  <c r="D141" i="2"/>
  <c r="C141" i="2"/>
  <c r="CD140" i="2"/>
  <c r="CC140" i="2"/>
  <c r="CB140" i="2"/>
  <c r="CA140" i="2"/>
  <c r="BZ140" i="2"/>
  <c r="BX140" i="2"/>
  <c r="BY140" i="2" s="1"/>
  <c r="BW140" i="2"/>
  <c r="BV140" i="2"/>
  <c r="BU140" i="2"/>
  <c r="BS140" i="2"/>
  <c r="BT140" i="2" s="1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D140" i="2"/>
  <c r="BE140" i="2" s="1"/>
  <c r="BC140" i="2"/>
  <c r="BB140" i="2"/>
  <c r="BA140" i="2"/>
  <c r="AY140" i="2"/>
  <c r="AZ140" i="2" s="1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J140" i="2"/>
  <c r="AK140" i="2" s="1"/>
  <c r="AI140" i="2"/>
  <c r="AH140" i="2"/>
  <c r="AG140" i="2"/>
  <c r="AE140" i="2"/>
  <c r="AF140" i="2" s="1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P140" i="2"/>
  <c r="Q140" i="2" s="1"/>
  <c r="O140" i="2"/>
  <c r="N140" i="2"/>
  <c r="M140" i="2"/>
  <c r="K140" i="2"/>
  <c r="L140" i="2" s="1"/>
  <c r="J140" i="2"/>
  <c r="I140" i="2"/>
  <c r="H140" i="2"/>
  <c r="G140" i="2"/>
  <c r="F140" i="2"/>
  <c r="E140" i="2"/>
  <c r="D140" i="2"/>
  <c r="C140" i="2"/>
  <c r="CC139" i="2"/>
  <c r="CD139" i="2" s="1"/>
  <c r="CB139" i="2"/>
  <c r="CA139" i="2"/>
  <c r="BZ139" i="2"/>
  <c r="BX139" i="2"/>
  <c r="BY139" i="2" s="1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I139" i="2"/>
  <c r="BJ139" i="2" s="1"/>
  <c r="BH139" i="2"/>
  <c r="BG139" i="2"/>
  <c r="BF139" i="2"/>
  <c r="BD139" i="2"/>
  <c r="BE139" i="2" s="1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O139" i="2"/>
  <c r="AP139" i="2" s="1"/>
  <c r="AN139" i="2"/>
  <c r="AM139" i="2"/>
  <c r="AL139" i="2"/>
  <c r="AJ139" i="2"/>
  <c r="AK139" i="2" s="1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U139" i="2"/>
  <c r="V139" i="2" s="1"/>
  <c r="T139" i="2"/>
  <c r="S139" i="2"/>
  <c r="R139" i="2"/>
  <c r="P139" i="2"/>
  <c r="Q139" i="2" s="1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C138" i="2"/>
  <c r="CD138" i="2" s="1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N138" i="2"/>
  <c r="BM138" i="2"/>
  <c r="BL138" i="2"/>
  <c r="BK138" i="2"/>
  <c r="BI138" i="2"/>
  <c r="BJ138" i="2" s="1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T138" i="2"/>
  <c r="AU138" i="2" s="1"/>
  <c r="AS138" i="2"/>
  <c r="AR138" i="2"/>
  <c r="AQ138" i="2"/>
  <c r="AO138" i="2"/>
  <c r="AP138" i="2" s="1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Z138" i="2"/>
  <c r="AA138" i="2" s="1"/>
  <c r="Y138" i="2"/>
  <c r="X138" i="2"/>
  <c r="W138" i="2"/>
  <c r="U138" i="2"/>
  <c r="V138" i="2" s="1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F138" i="2"/>
  <c r="G138" i="2" s="1"/>
  <c r="E138" i="2"/>
  <c r="D138" i="2"/>
  <c r="C138" i="2"/>
  <c r="CD137" i="2"/>
  <c r="CC137" i="2"/>
  <c r="CB137" i="2"/>
  <c r="CA137" i="2"/>
  <c r="BZ137" i="2"/>
  <c r="BY137" i="2"/>
  <c r="BX137" i="2"/>
  <c r="BW137" i="2"/>
  <c r="BV137" i="2"/>
  <c r="BU137" i="2"/>
  <c r="BS137" i="2"/>
  <c r="BT137" i="2" s="1"/>
  <c r="BR137" i="2"/>
  <c r="BQ137" i="2"/>
  <c r="BP137" i="2"/>
  <c r="BN137" i="2"/>
  <c r="BO137" i="2" s="1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Y137" i="2"/>
  <c r="AZ137" i="2" s="1"/>
  <c r="AX137" i="2"/>
  <c r="AW137" i="2"/>
  <c r="AV137" i="2"/>
  <c r="AT137" i="2"/>
  <c r="AU137" i="2" s="1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E137" i="2"/>
  <c r="AF137" i="2" s="1"/>
  <c r="AD137" i="2"/>
  <c r="AC137" i="2"/>
  <c r="AB137" i="2"/>
  <c r="Z137" i="2"/>
  <c r="AA137" i="2" s="1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K137" i="2"/>
  <c r="L137" i="2" s="1"/>
  <c r="J137" i="2"/>
  <c r="I137" i="2"/>
  <c r="H137" i="2"/>
  <c r="F137" i="2"/>
  <c r="G137" i="2" s="1"/>
  <c r="E137" i="2"/>
  <c r="D137" i="2"/>
  <c r="C137" i="2"/>
  <c r="CD136" i="2"/>
  <c r="CC136" i="2"/>
  <c r="CB136" i="2"/>
  <c r="CA136" i="2"/>
  <c r="BZ136" i="2"/>
  <c r="BX136" i="2"/>
  <c r="BY136" i="2" s="1"/>
  <c r="BW136" i="2"/>
  <c r="BV136" i="2"/>
  <c r="BU136" i="2"/>
  <c r="BS136" i="2"/>
  <c r="BT136" i="2" s="1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D136" i="2"/>
  <c r="BE136" i="2" s="1"/>
  <c r="BC136" i="2"/>
  <c r="BB136" i="2"/>
  <c r="BA136" i="2"/>
  <c r="AY136" i="2"/>
  <c r="AZ136" i="2" s="1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J136" i="2"/>
  <c r="AK136" i="2" s="1"/>
  <c r="AI136" i="2"/>
  <c r="AH136" i="2"/>
  <c r="AG136" i="2"/>
  <c r="AE136" i="2"/>
  <c r="AF136" i="2" s="1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P136" i="2"/>
  <c r="Q136" i="2" s="1"/>
  <c r="O136" i="2"/>
  <c r="N136" i="2"/>
  <c r="M136" i="2"/>
  <c r="K136" i="2"/>
  <c r="L136" i="2" s="1"/>
  <c r="J136" i="2"/>
  <c r="I136" i="2"/>
  <c r="H136" i="2"/>
  <c r="G136" i="2"/>
  <c r="F136" i="2"/>
  <c r="E136" i="2"/>
  <c r="D136" i="2"/>
  <c r="C136" i="2"/>
  <c r="CC135" i="2"/>
  <c r="CD135" i="2" s="1"/>
  <c r="CB135" i="2"/>
  <c r="CA135" i="2"/>
  <c r="BZ135" i="2"/>
  <c r="BX135" i="2"/>
  <c r="BY135" i="2" s="1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I135" i="2"/>
  <c r="BJ135" i="2" s="1"/>
  <c r="BH135" i="2"/>
  <c r="BG135" i="2"/>
  <c r="BF135" i="2"/>
  <c r="BD135" i="2"/>
  <c r="BE135" i="2" s="1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O135" i="2"/>
  <c r="AP135" i="2" s="1"/>
  <c r="AN135" i="2"/>
  <c r="AM135" i="2"/>
  <c r="AL135" i="2"/>
  <c r="AJ135" i="2"/>
  <c r="AK135" i="2" s="1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U135" i="2"/>
  <c r="V135" i="2" s="1"/>
  <c r="T135" i="2"/>
  <c r="S135" i="2"/>
  <c r="R135" i="2"/>
  <c r="P135" i="2"/>
  <c r="Q135" i="2" s="1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CC134" i="2"/>
  <c r="CD134" i="2" s="1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N134" i="2"/>
  <c r="BM134" i="2"/>
  <c r="BL134" i="2"/>
  <c r="BK134" i="2"/>
  <c r="BI134" i="2"/>
  <c r="BJ134" i="2" s="1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T134" i="2"/>
  <c r="AU134" i="2" s="1"/>
  <c r="AS134" i="2"/>
  <c r="AR134" i="2"/>
  <c r="AQ134" i="2"/>
  <c r="AO134" i="2"/>
  <c r="AP134" i="2" s="1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Z134" i="2"/>
  <c r="AA134" i="2" s="1"/>
  <c r="Y134" i="2"/>
  <c r="X134" i="2"/>
  <c r="W134" i="2"/>
  <c r="U134" i="2"/>
  <c r="V134" i="2" s="1"/>
  <c r="T134" i="2"/>
  <c r="S134" i="2"/>
  <c r="R134" i="2"/>
  <c r="P134" i="2"/>
  <c r="Q134" i="2" s="1"/>
  <c r="O134" i="2"/>
  <c r="N134" i="2"/>
  <c r="M134" i="2"/>
  <c r="L134" i="2"/>
  <c r="K134" i="2"/>
  <c r="J134" i="2"/>
  <c r="I134" i="2"/>
  <c r="H134" i="2"/>
  <c r="F134" i="2"/>
  <c r="G134" i="2" s="1"/>
  <c r="E134" i="2"/>
  <c r="D134" i="2"/>
  <c r="C134" i="2"/>
  <c r="CD133" i="2"/>
  <c r="CC133" i="2"/>
  <c r="CB133" i="2"/>
  <c r="CA133" i="2"/>
  <c r="BZ133" i="2"/>
  <c r="BY133" i="2"/>
  <c r="BX133" i="2"/>
  <c r="BW133" i="2"/>
  <c r="BV133" i="2"/>
  <c r="BU133" i="2"/>
  <c r="BS133" i="2"/>
  <c r="BT133" i="2" s="1"/>
  <c r="BR133" i="2"/>
  <c r="BQ133" i="2"/>
  <c r="BP133" i="2"/>
  <c r="BN133" i="2"/>
  <c r="BM133" i="2"/>
  <c r="BL133" i="2"/>
  <c r="BK133" i="2"/>
  <c r="BI133" i="2"/>
  <c r="BJ133" i="2" s="1"/>
  <c r="BH133" i="2"/>
  <c r="BG133" i="2"/>
  <c r="BF133" i="2"/>
  <c r="BE133" i="2"/>
  <c r="BD133" i="2"/>
  <c r="BC133" i="2"/>
  <c r="BB133" i="2"/>
  <c r="BA133" i="2"/>
  <c r="AY133" i="2"/>
  <c r="AZ133" i="2" s="1"/>
  <c r="AX133" i="2"/>
  <c r="AW133" i="2"/>
  <c r="AV133" i="2"/>
  <c r="AT133" i="2"/>
  <c r="AU133" i="2" s="1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E133" i="2"/>
  <c r="AF133" i="2" s="1"/>
  <c r="AD133" i="2"/>
  <c r="AC133" i="2"/>
  <c r="AB133" i="2"/>
  <c r="Z133" i="2"/>
  <c r="AA133" i="2" s="1"/>
  <c r="Y133" i="2"/>
  <c r="X133" i="2"/>
  <c r="W133" i="2"/>
  <c r="U133" i="2"/>
  <c r="V133" i="2" s="1"/>
  <c r="T133" i="2"/>
  <c r="S133" i="2"/>
  <c r="R133" i="2"/>
  <c r="Q133" i="2"/>
  <c r="P133" i="2"/>
  <c r="O133" i="2"/>
  <c r="N133" i="2"/>
  <c r="M133" i="2"/>
  <c r="K133" i="2"/>
  <c r="L133" i="2" s="1"/>
  <c r="J133" i="2"/>
  <c r="I133" i="2"/>
  <c r="H133" i="2"/>
  <c r="F133" i="2"/>
  <c r="G133" i="2" s="1"/>
  <c r="E133" i="2"/>
  <c r="D133" i="2"/>
  <c r="C133" i="2"/>
  <c r="CD132" i="2"/>
  <c r="CC132" i="2"/>
  <c r="CB132" i="2"/>
  <c r="CA132" i="2"/>
  <c r="BZ132" i="2"/>
  <c r="BX132" i="2"/>
  <c r="BY132" i="2" s="1"/>
  <c r="BW132" i="2"/>
  <c r="BV132" i="2"/>
  <c r="BU132" i="2"/>
  <c r="BS132" i="2"/>
  <c r="BT132" i="2" s="1"/>
  <c r="BR132" i="2"/>
  <c r="BQ132" i="2"/>
  <c r="BP132" i="2"/>
  <c r="BN132" i="2"/>
  <c r="BO132" i="2" s="1"/>
  <c r="BM132" i="2"/>
  <c r="BL132" i="2"/>
  <c r="BK132" i="2"/>
  <c r="BJ132" i="2"/>
  <c r="BI132" i="2"/>
  <c r="BH132" i="2"/>
  <c r="BG132" i="2"/>
  <c r="BF132" i="2"/>
  <c r="BD132" i="2"/>
  <c r="BE132" i="2" s="1"/>
  <c r="BC132" i="2"/>
  <c r="BB132" i="2"/>
  <c r="BA132" i="2"/>
  <c r="AY132" i="2"/>
  <c r="AZ132" i="2" s="1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J132" i="2"/>
  <c r="AK132" i="2" s="1"/>
  <c r="AI132" i="2"/>
  <c r="AH132" i="2"/>
  <c r="AG132" i="2"/>
  <c r="AE132" i="2"/>
  <c r="AF132" i="2" s="1"/>
  <c r="AD132" i="2"/>
  <c r="AC132" i="2"/>
  <c r="AB132" i="2"/>
  <c r="Z132" i="2"/>
  <c r="AA132" i="2" s="1"/>
  <c r="Y132" i="2"/>
  <c r="X132" i="2"/>
  <c r="W132" i="2"/>
  <c r="V132" i="2"/>
  <c r="U132" i="2"/>
  <c r="T132" i="2"/>
  <c r="S132" i="2"/>
  <c r="R132" i="2"/>
  <c r="P132" i="2"/>
  <c r="Q132" i="2" s="1"/>
  <c r="O132" i="2"/>
  <c r="N132" i="2"/>
  <c r="M132" i="2"/>
  <c r="K132" i="2"/>
  <c r="L132" i="2" s="1"/>
  <c r="J132" i="2"/>
  <c r="I132" i="2"/>
  <c r="H132" i="2"/>
  <c r="G132" i="2"/>
  <c r="F132" i="2"/>
  <c r="E132" i="2"/>
  <c r="D132" i="2"/>
  <c r="C132" i="2"/>
  <c r="CC131" i="2"/>
  <c r="CD131" i="2" s="1"/>
  <c r="CB131" i="2"/>
  <c r="CA131" i="2"/>
  <c r="BZ131" i="2"/>
  <c r="BX131" i="2"/>
  <c r="BY131" i="2" s="1"/>
  <c r="BW131" i="2"/>
  <c r="BV131" i="2"/>
  <c r="BU131" i="2"/>
  <c r="BS131" i="2"/>
  <c r="BT131" i="2" s="1"/>
  <c r="BR131" i="2"/>
  <c r="BQ131" i="2"/>
  <c r="BP131" i="2"/>
  <c r="BO131" i="2"/>
  <c r="BN131" i="2"/>
  <c r="BM131" i="2"/>
  <c r="BL131" i="2"/>
  <c r="BK131" i="2"/>
  <c r="BI131" i="2"/>
  <c r="BJ131" i="2" s="1"/>
  <c r="BH131" i="2"/>
  <c r="BG131" i="2"/>
  <c r="BF131" i="2"/>
  <c r="BD131" i="2"/>
  <c r="BE131" i="2" s="1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O131" i="2"/>
  <c r="AP131" i="2" s="1"/>
  <c r="AN131" i="2"/>
  <c r="AM131" i="2"/>
  <c r="AL131" i="2"/>
  <c r="AJ131" i="2"/>
  <c r="AK131" i="2" s="1"/>
  <c r="AI131" i="2"/>
  <c r="AH131" i="2"/>
  <c r="AG131" i="2"/>
  <c r="AE131" i="2"/>
  <c r="AF131" i="2" s="1"/>
  <c r="AD131" i="2"/>
  <c r="AC131" i="2"/>
  <c r="AB131" i="2"/>
  <c r="AA131" i="2"/>
  <c r="Z131" i="2"/>
  <c r="Y131" i="2"/>
  <c r="X131" i="2"/>
  <c r="W131" i="2"/>
  <c r="U131" i="2"/>
  <c r="V131" i="2" s="1"/>
  <c r="T131" i="2"/>
  <c r="S131" i="2"/>
  <c r="R131" i="2"/>
  <c r="P131" i="2"/>
  <c r="Q131" i="2" s="1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CC130" i="2"/>
  <c r="CD130" i="2" s="1"/>
  <c r="CB130" i="2"/>
  <c r="CA130" i="2"/>
  <c r="BZ130" i="2"/>
  <c r="BX130" i="2"/>
  <c r="BY130" i="2" s="1"/>
  <c r="BW130" i="2"/>
  <c r="BV130" i="2"/>
  <c r="BU130" i="2"/>
  <c r="BT130" i="2"/>
  <c r="BS130" i="2"/>
  <c r="BR130" i="2"/>
  <c r="BQ130" i="2"/>
  <c r="BP130" i="2"/>
  <c r="BN130" i="2"/>
  <c r="BO130" i="2" s="1"/>
  <c r="BM130" i="2"/>
  <c r="BL130" i="2"/>
  <c r="BK130" i="2"/>
  <c r="BJ130" i="2"/>
  <c r="BI130" i="2"/>
  <c r="BH130" i="2"/>
  <c r="BG130" i="2"/>
  <c r="BF130" i="2"/>
  <c r="BD130" i="2"/>
  <c r="BE130" i="2" s="1"/>
  <c r="BC130" i="2"/>
  <c r="BB130" i="2"/>
  <c r="BA130" i="2"/>
  <c r="AZ130" i="2"/>
  <c r="AY130" i="2"/>
  <c r="AX130" i="2"/>
  <c r="AW130" i="2"/>
  <c r="AV130" i="2"/>
  <c r="AT130" i="2"/>
  <c r="AU130" i="2" s="1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Z130" i="2"/>
  <c r="AA130" i="2" s="1"/>
  <c r="Y130" i="2"/>
  <c r="X130" i="2"/>
  <c r="W130" i="2"/>
  <c r="U130" i="2"/>
  <c r="V130" i="2" s="1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F130" i="2"/>
  <c r="G130" i="2" s="1"/>
  <c r="E130" i="2"/>
  <c r="D130" i="2"/>
  <c r="C130" i="2"/>
  <c r="CC129" i="2"/>
  <c r="CD129" i="2" s="1"/>
  <c r="CB129" i="2"/>
  <c r="CA129" i="2"/>
  <c r="BZ129" i="2"/>
  <c r="BY129" i="2"/>
  <c r="BX129" i="2"/>
  <c r="BW129" i="2"/>
  <c r="BV129" i="2"/>
  <c r="BU129" i="2"/>
  <c r="BS129" i="2"/>
  <c r="BT129" i="2" s="1"/>
  <c r="BR129" i="2"/>
  <c r="BQ129" i="2"/>
  <c r="BP129" i="2"/>
  <c r="BN129" i="2"/>
  <c r="BM129" i="2"/>
  <c r="BO129" i="2" s="1"/>
  <c r="BL129" i="2"/>
  <c r="BK129" i="2"/>
  <c r="BI129" i="2"/>
  <c r="BJ129" i="2" s="1"/>
  <c r="BH129" i="2"/>
  <c r="BG129" i="2"/>
  <c r="BF129" i="2"/>
  <c r="BE129" i="2"/>
  <c r="BD129" i="2"/>
  <c r="BC129" i="2"/>
  <c r="BB129" i="2"/>
  <c r="BA129" i="2"/>
  <c r="AY129" i="2"/>
  <c r="AZ129" i="2" s="1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E129" i="2"/>
  <c r="AF129" i="2" s="1"/>
  <c r="AD129" i="2"/>
  <c r="AC129" i="2"/>
  <c r="AB129" i="2"/>
  <c r="Z129" i="2"/>
  <c r="AA129" i="2" s="1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K129" i="2"/>
  <c r="L129" i="2" s="1"/>
  <c r="J129" i="2"/>
  <c r="I129" i="2"/>
  <c r="H129" i="2"/>
  <c r="F129" i="2"/>
  <c r="G129" i="2" s="1"/>
  <c r="E129" i="2"/>
  <c r="D129" i="2"/>
  <c r="C129" i="2"/>
  <c r="CD128" i="2"/>
  <c r="CC128" i="2"/>
  <c r="CB128" i="2"/>
  <c r="CA128" i="2"/>
  <c r="BZ128" i="2"/>
  <c r="BX128" i="2"/>
  <c r="BY128" i="2" s="1"/>
  <c r="BW128" i="2"/>
  <c r="BV128" i="2"/>
  <c r="BU128" i="2"/>
  <c r="BT128" i="2"/>
  <c r="BS128" i="2"/>
  <c r="BR128" i="2"/>
  <c r="BQ128" i="2"/>
  <c r="BP128" i="2"/>
  <c r="BN128" i="2"/>
  <c r="BO128" i="2" s="1"/>
  <c r="BM128" i="2"/>
  <c r="BL128" i="2"/>
  <c r="BK128" i="2"/>
  <c r="BJ128" i="2"/>
  <c r="BI128" i="2"/>
  <c r="BH128" i="2"/>
  <c r="BG128" i="2"/>
  <c r="BF128" i="2"/>
  <c r="BD128" i="2"/>
  <c r="BE128" i="2" s="1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J128" i="2"/>
  <c r="AK128" i="2" s="1"/>
  <c r="AI128" i="2"/>
  <c r="AH128" i="2"/>
  <c r="AG128" i="2"/>
  <c r="AE128" i="2"/>
  <c r="AF128" i="2" s="1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P128" i="2"/>
  <c r="Q128" i="2" s="1"/>
  <c r="O128" i="2"/>
  <c r="N128" i="2"/>
  <c r="M128" i="2"/>
  <c r="K128" i="2"/>
  <c r="L128" i="2" s="1"/>
  <c r="J128" i="2"/>
  <c r="I128" i="2"/>
  <c r="H128" i="2"/>
  <c r="F128" i="2"/>
  <c r="G128" i="2" s="1"/>
  <c r="E128" i="2"/>
  <c r="D128" i="2"/>
  <c r="C128" i="2"/>
  <c r="CC127" i="2"/>
  <c r="CD127" i="2" s="1"/>
  <c r="CB127" i="2"/>
  <c r="CA127" i="2"/>
  <c r="BZ127" i="2"/>
  <c r="BY127" i="2"/>
  <c r="BX127" i="2"/>
  <c r="BW127" i="2"/>
  <c r="BV127" i="2"/>
  <c r="BU127" i="2"/>
  <c r="BS127" i="2"/>
  <c r="BT127" i="2" s="1"/>
  <c r="BR127" i="2"/>
  <c r="BQ127" i="2"/>
  <c r="BP127" i="2"/>
  <c r="BN127" i="2"/>
  <c r="BO127" i="2" s="1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Y127" i="2"/>
  <c r="AZ127" i="2" s="1"/>
  <c r="AX127" i="2"/>
  <c r="AW127" i="2"/>
  <c r="AV127" i="2"/>
  <c r="AT127" i="2"/>
  <c r="AU127" i="2" s="1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E127" i="2"/>
  <c r="AF127" i="2" s="1"/>
  <c r="AD127" i="2"/>
  <c r="AC127" i="2"/>
  <c r="AB127" i="2"/>
  <c r="Z127" i="2"/>
  <c r="AA127" i="2" s="1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K127" i="2"/>
  <c r="L127" i="2" s="1"/>
  <c r="J127" i="2"/>
  <c r="I127" i="2"/>
  <c r="H127" i="2"/>
  <c r="F127" i="2"/>
  <c r="G127" i="2" s="1"/>
  <c r="E127" i="2"/>
  <c r="D127" i="2"/>
  <c r="C127" i="2"/>
  <c r="CD126" i="2"/>
  <c r="CC126" i="2"/>
  <c r="CB126" i="2"/>
  <c r="CA126" i="2"/>
  <c r="BZ126" i="2"/>
  <c r="BX126" i="2"/>
  <c r="BY126" i="2" s="1"/>
  <c r="BW126" i="2"/>
  <c r="BV126" i="2"/>
  <c r="BU126" i="2"/>
  <c r="BS126" i="2"/>
  <c r="BT126" i="2" s="1"/>
  <c r="BR126" i="2"/>
  <c r="BQ126" i="2"/>
  <c r="BP126" i="2"/>
  <c r="BO126" i="2"/>
  <c r="BN126" i="2"/>
  <c r="BM126" i="2"/>
  <c r="BL126" i="2"/>
  <c r="BK126" i="2"/>
  <c r="BI126" i="2"/>
  <c r="BH126" i="2"/>
  <c r="BJ126" i="2" s="1"/>
  <c r="BG126" i="2"/>
  <c r="BF126" i="2"/>
  <c r="BD126" i="2"/>
  <c r="BE126" i="2" s="1"/>
  <c r="BC126" i="2"/>
  <c r="BB126" i="2"/>
  <c r="BA126" i="2"/>
  <c r="AY126" i="2"/>
  <c r="AZ126" i="2" s="1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J126" i="2"/>
  <c r="AK126" i="2" s="1"/>
  <c r="AI126" i="2"/>
  <c r="AH126" i="2"/>
  <c r="AG126" i="2"/>
  <c r="AE126" i="2"/>
  <c r="AF126" i="2" s="1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P126" i="2"/>
  <c r="Q126" i="2" s="1"/>
  <c r="O126" i="2"/>
  <c r="N126" i="2"/>
  <c r="M126" i="2"/>
  <c r="K126" i="2"/>
  <c r="L126" i="2" s="1"/>
  <c r="J126" i="2"/>
  <c r="I126" i="2"/>
  <c r="H126" i="2"/>
  <c r="G126" i="2"/>
  <c r="F126" i="2"/>
  <c r="E126" i="2"/>
  <c r="D126" i="2"/>
  <c r="C126" i="2"/>
  <c r="CC125" i="2"/>
  <c r="CD125" i="2" s="1"/>
  <c r="CB125" i="2"/>
  <c r="CA125" i="2"/>
  <c r="BZ125" i="2"/>
  <c r="BX125" i="2"/>
  <c r="BY125" i="2" s="1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I125" i="2"/>
  <c r="BJ125" i="2" s="1"/>
  <c r="BH125" i="2"/>
  <c r="BG125" i="2"/>
  <c r="BF125" i="2"/>
  <c r="BD125" i="2"/>
  <c r="BE125" i="2" s="1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O125" i="2"/>
  <c r="AP125" i="2" s="1"/>
  <c r="AN125" i="2"/>
  <c r="AM125" i="2"/>
  <c r="AL125" i="2"/>
  <c r="AJ125" i="2"/>
  <c r="AK125" i="2" s="1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U125" i="2"/>
  <c r="V125" i="2" s="1"/>
  <c r="T125" i="2"/>
  <c r="S125" i="2"/>
  <c r="R125" i="2"/>
  <c r="P125" i="2"/>
  <c r="Q125" i="2" s="1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CC124" i="2"/>
  <c r="CD124" i="2" s="1"/>
  <c r="CB124" i="2"/>
  <c r="CA124" i="2"/>
  <c r="BZ124" i="2"/>
  <c r="BY124" i="2"/>
  <c r="BX124" i="2"/>
  <c r="BW124" i="2"/>
  <c r="BV124" i="2"/>
  <c r="BU124" i="2"/>
  <c r="BT124" i="2"/>
  <c r="BS124" i="2"/>
  <c r="BR124" i="2"/>
  <c r="BQ124" i="2"/>
  <c r="BP124" i="2"/>
  <c r="BN124" i="2"/>
  <c r="BO124" i="2" s="1"/>
  <c r="BM124" i="2"/>
  <c r="BL124" i="2"/>
  <c r="BK124" i="2"/>
  <c r="BI124" i="2"/>
  <c r="BJ124" i="2" s="1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T124" i="2"/>
  <c r="AU124" i="2" s="1"/>
  <c r="AS124" i="2"/>
  <c r="AR124" i="2"/>
  <c r="AQ124" i="2"/>
  <c r="AO124" i="2"/>
  <c r="AP124" i="2" s="1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Z124" i="2"/>
  <c r="AA124" i="2" s="1"/>
  <c r="Y124" i="2"/>
  <c r="X124" i="2"/>
  <c r="W124" i="2"/>
  <c r="U124" i="2"/>
  <c r="V124" i="2" s="1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F124" i="2"/>
  <c r="G124" i="2" s="1"/>
  <c r="E124" i="2"/>
  <c r="D124" i="2"/>
  <c r="C124" i="2"/>
  <c r="CD123" i="2"/>
  <c r="CC123" i="2"/>
  <c r="CB123" i="2"/>
  <c r="CA123" i="2"/>
  <c r="BZ123" i="2"/>
  <c r="BY123" i="2"/>
  <c r="BX123" i="2"/>
  <c r="BW123" i="2"/>
  <c r="BV123" i="2"/>
  <c r="BU123" i="2"/>
  <c r="BS123" i="2"/>
  <c r="BT123" i="2" s="1"/>
  <c r="BR123" i="2"/>
  <c r="BQ123" i="2"/>
  <c r="BP123" i="2"/>
  <c r="BN123" i="2"/>
  <c r="BO123" i="2" s="1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Y123" i="2"/>
  <c r="AZ123" i="2" s="1"/>
  <c r="AX123" i="2"/>
  <c r="AW123" i="2"/>
  <c r="AV123" i="2"/>
  <c r="AT123" i="2"/>
  <c r="AU123" i="2" s="1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E123" i="2"/>
  <c r="AF123" i="2" s="1"/>
  <c r="AD123" i="2"/>
  <c r="AC123" i="2"/>
  <c r="AB123" i="2"/>
  <c r="Z123" i="2"/>
  <c r="AA123" i="2" s="1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K123" i="2"/>
  <c r="L123" i="2" s="1"/>
  <c r="J123" i="2"/>
  <c r="I123" i="2"/>
  <c r="H123" i="2"/>
  <c r="F123" i="2"/>
  <c r="G123" i="2" s="1"/>
  <c r="E123" i="2"/>
  <c r="D123" i="2"/>
  <c r="C123" i="2"/>
  <c r="CD122" i="2"/>
  <c r="CC122" i="2"/>
  <c r="CB122" i="2"/>
  <c r="CA122" i="2"/>
  <c r="BZ122" i="2"/>
  <c r="BX122" i="2"/>
  <c r="BY122" i="2" s="1"/>
  <c r="BW122" i="2"/>
  <c r="BV122" i="2"/>
  <c r="BU122" i="2"/>
  <c r="BS122" i="2"/>
  <c r="BT122" i="2" s="1"/>
  <c r="BR122" i="2"/>
  <c r="BQ122" i="2"/>
  <c r="BP122" i="2"/>
  <c r="BO122" i="2"/>
  <c r="BN122" i="2"/>
  <c r="BM122" i="2"/>
  <c r="BL122" i="2"/>
  <c r="BK122" i="2"/>
  <c r="BI122" i="2"/>
  <c r="BH122" i="2"/>
  <c r="BJ122" i="2" s="1"/>
  <c r="BG122" i="2"/>
  <c r="BF122" i="2"/>
  <c r="BD122" i="2"/>
  <c r="BE122" i="2" s="1"/>
  <c r="BC122" i="2"/>
  <c r="BB122" i="2"/>
  <c r="BA122" i="2"/>
  <c r="AY122" i="2"/>
  <c r="AZ122" i="2" s="1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J122" i="2"/>
  <c r="AK122" i="2" s="1"/>
  <c r="AI122" i="2"/>
  <c r="AH122" i="2"/>
  <c r="AG122" i="2"/>
  <c r="AE122" i="2"/>
  <c r="AF122" i="2" s="1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P122" i="2"/>
  <c r="Q122" i="2" s="1"/>
  <c r="O122" i="2"/>
  <c r="N122" i="2"/>
  <c r="M122" i="2"/>
  <c r="K122" i="2"/>
  <c r="L122" i="2" s="1"/>
  <c r="J122" i="2"/>
  <c r="I122" i="2"/>
  <c r="H122" i="2"/>
  <c r="G122" i="2"/>
  <c r="F122" i="2"/>
  <c r="E122" i="2"/>
  <c r="D122" i="2"/>
  <c r="C122" i="2"/>
  <c r="CC121" i="2"/>
  <c r="CD121" i="2" s="1"/>
  <c r="CB121" i="2"/>
  <c r="CA121" i="2"/>
  <c r="BZ121" i="2"/>
  <c r="BX121" i="2"/>
  <c r="BY121" i="2" s="1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I121" i="2"/>
  <c r="BJ121" i="2" s="1"/>
  <c r="BH121" i="2"/>
  <c r="BG121" i="2"/>
  <c r="BF121" i="2"/>
  <c r="BD121" i="2"/>
  <c r="BE121" i="2" s="1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O121" i="2"/>
  <c r="AP121" i="2" s="1"/>
  <c r="AN121" i="2"/>
  <c r="AM121" i="2"/>
  <c r="AL121" i="2"/>
  <c r="AJ121" i="2"/>
  <c r="AK121" i="2" s="1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U121" i="2"/>
  <c r="V121" i="2" s="1"/>
  <c r="T121" i="2"/>
  <c r="S121" i="2"/>
  <c r="R121" i="2"/>
  <c r="P121" i="2"/>
  <c r="Q121" i="2" s="1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CC120" i="2"/>
  <c r="CD120" i="2" s="1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N120" i="2"/>
  <c r="BO120" i="2" s="1"/>
  <c r="BM120" i="2"/>
  <c r="BL120" i="2"/>
  <c r="BK120" i="2"/>
  <c r="BI120" i="2"/>
  <c r="BJ120" i="2" s="1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T120" i="2"/>
  <c r="AU120" i="2" s="1"/>
  <c r="AS120" i="2"/>
  <c r="AR120" i="2"/>
  <c r="AQ120" i="2"/>
  <c r="AO120" i="2"/>
  <c r="AP120" i="2" s="1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Z120" i="2"/>
  <c r="AA120" i="2" s="1"/>
  <c r="Y120" i="2"/>
  <c r="X120" i="2"/>
  <c r="W120" i="2"/>
  <c r="U120" i="2"/>
  <c r="V120" i="2" s="1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F120" i="2"/>
  <c r="G120" i="2" s="1"/>
  <c r="E120" i="2"/>
  <c r="D120" i="2"/>
  <c r="C120" i="2"/>
  <c r="CD119" i="2"/>
  <c r="CC119" i="2"/>
  <c r="CB119" i="2"/>
  <c r="CA119" i="2"/>
  <c r="BZ119" i="2"/>
  <c r="BY119" i="2"/>
  <c r="BX119" i="2"/>
  <c r="BW119" i="2"/>
  <c r="BV119" i="2"/>
  <c r="BU119" i="2"/>
  <c r="BS119" i="2"/>
  <c r="BT119" i="2" s="1"/>
  <c r="BR119" i="2"/>
  <c r="BQ119" i="2"/>
  <c r="BP119" i="2"/>
  <c r="BN119" i="2"/>
  <c r="BO119" i="2" s="1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Y119" i="2"/>
  <c r="AZ119" i="2" s="1"/>
  <c r="AX119" i="2"/>
  <c r="AW119" i="2"/>
  <c r="AV119" i="2"/>
  <c r="AT119" i="2"/>
  <c r="AU119" i="2" s="1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E119" i="2"/>
  <c r="AF119" i="2" s="1"/>
  <c r="AD119" i="2"/>
  <c r="AC119" i="2"/>
  <c r="AB119" i="2"/>
  <c r="Z119" i="2"/>
  <c r="AA119" i="2" s="1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K119" i="2"/>
  <c r="L119" i="2" s="1"/>
  <c r="J119" i="2"/>
  <c r="I119" i="2"/>
  <c r="H119" i="2"/>
  <c r="F119" i="2"/>
  <c r="G119" i="2" s="1"/>
  <c r="E119" i="2"/>
  <c r="D119" i="2"/>
  <c r="C119" i="2"/>
  <c r="CD118" i="2"/>
  <c r="CC118" i="2"/>
  <c r="CB118" i="2"/>
  <c r="CA118" i="2"/>
  <c r="BZ118" i="2"/>
  <c r="BX118" i="2"/>
  <c r="BY118" i="2" s="1"/>
  <c r="BW118" i="2"/>
  <c r="BV118" i="2"/>
  <c r="BU118" i="2"/>
  <c r="BS118" i="2"/>
  <c r="BT118" i="2" s="1"/>
  <c r="BR118" i="2"/>
  <c r="BQ118" i="2"/>
  <c r="BP118" i="2"/>
  <c r="BO118" i="2"/>
  <c r="BN118" i="2"/>
  <c r="BM118" i="2"/>
  <c r="BL118" i="2"/>
  <c r="BK118" i="2"/>
  <c r="BI118" i="2"/>
  <c r="BH118" i="2"/>
  <c r="BJ118" i="2" s="1"/>
  <c r="BG118" i="2"/>
  <c r="BF118" i="2"/>
  <c r="BD118" i="2"/>
  <c r="BE118" i="2" s="1"/>
  <c r="BC118" i="2"/>
  <c r="BB118" i="2"/>
  <c r="BA118" i="2"/>
  <c r="AY118" i="2"/>
  <c r="AZ118" i="2" s="1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J118" i="2"/>
  <c r="AK118" i="2" s="1"/>
  <c r="AI118" i="2"/>
  <c r="AH118" i="2"/>
  <c r="AG118" i="2"/>
  <c r="AE118" i="2"/>
  <c r="AF118" i="2" s="1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P118" i="2"/>
  <c r="Q118" i="2" s="1"/>
  <c r="O118" i="2"/>
  <c r="N118" i="2"/>
  <c r="M118" i="2"/>
  <c r="K118" i="2"/>
  <c r="L118" i="2" s="1"/>
  <c r="J118" i="2"/>
  <c r="I118" i="2"/>
  <c r="H118" i="2"/>
  <c r="G118" i="2"/>
  <c r="F118" i="2"/>
  <c r="E118" i="2"/>
  <c r="D118" i="2"/>
  <c r="C118" i="2"/>
  <c r="CC117" i="2"/>
  <c r="CD117" i="2" s="1"/>
  <c r="CB117" i="2"/>
  <c r="CA117" i="2"/>
  <c r="BZ117" i="2"/>
  <c r="BX117" i="2"/>
  <c r="BY117" i="2" s="1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I117" i="2"/>
  <c r="BJ117" i="2" s="1"/>
  <c r="BH117" i="2"/>
  <c r="BG117" i="2"/>
  <c r="BF117" i="2"/>
  <c r="BD117" i="2"/>
  <c r="BE117" i="2" s="1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O117" i="2"/>
  <c r="AP117" i="2" s="1"/>
  <c r="AN117" i="2"/>
  <c r="AM117" i="2"/>
  <c r="AL117" i="2"/>
  <c r="AJ117" i="2"/>
  <c r="AK117" i="2" s="1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U117" i="2"/>
  <c r="V117" i="2" s="1"/>
  <c r="T117" i="2"/>
  <c r="S117" i="2"/>
  <c r="R117" i="2"/>
  <c r="P117" i="2"/>
  <c r="Q117" i="2" s="1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CC116" i="2"/>
  <c r="CD116" i="2" s="1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N116" i="2"/>
  <c r="BO116" i="2" s="1"/>
  <c r="BM116" i="2"/>
  <c r="BL116" i="2"/>
  <c r="BK116" i="2"/>
  <c r="BI116" i="2"/>
  <c r="BJ116" i="2" s="1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T116" i="2"/>
  <c r="AU116" i="2" s="1"/>
  <c r="AS116" i="2"/>
  <c r="AR116" i="2"/>
  <c r="AQ116" i="2"/>
  <c r="AO116" i="2"/>
  <c r="AP116" i="2" s="1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Z116" i="2"/>
  <c r="AA116" i="2" s="1"/>
  <c r="Y116" i="2"/>
  <c r="X116" i="2"/>
  <c r="W116" i="2"/>
  <c r="U116" i="2"/>
  <c r="V116" i="2" s="1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F116" i="2"/>
  <c r="G116" i="2" s="1"/>
  <c r="E116" i="2"/>
  <c r="D116" i="2"/>
  <c r="C116" i="2"/>
  <c r="CD115" i="2"/>
  <c r="CC115" i="2"/>
  <c r="CB115" i="2"/>
  <c r="CA115" i="2"/>
  <c r="BZ115" i="2"/>
  <c r="BY115" i="2"/>
  <c r="BX115" i="2"/>
  <c r="BW115" i="2"/>
  <c r="BV115" i="2"/>
  <c r="BU115" i="2"/>
  <c r="BS115" i="2"/>
  <c r="BT115" i="2" s="1"/>
  <c r="BR115" i="2"/>
  <c r="BQ115" i="2"/>
  <c r="BP115" i="2"/>
  <c r="BN115" i="2"/>
  <c r="BO115" i="2" s="1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Y115" i="2"/>
  <c r="AZ115" i="2" s="1"/>
  <c r="AX115" i="2"/>
  <c r="AW115" i="2"/>
  <c r="AV115" i="2"/>
  <c r="AT115" i="2"/>
  <c r="AU115" i="2" s="1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E115" i="2"/>
  <c r="AF115" i="2" s="1"/>
  <c r="AD115" i="2"/>
  <c r="AC115" i="2"/>
  <c r="AB115" i="2"/>
  <c r="Z115" i="2"/>
  <c r="AA115" i="2" s="1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K115" i="2"/>
  <c r="L115" i="2" s="1"/>
  <c r="J115" i="2"/>
  <c r="I115" i="2"/>
  <c r="H115" i="2"/>
  <c r="F115" i="2"/>
  <c r="G115" i="2" s="1"/>
  <c r="E115" i="2"/>
  <c r="D115" i="2"/>
  <c r="C115" i="2"/>
  <c r="CD114" i="2"/>
  <c r="CC114" i="2"/>
  <c r="CB114" i="2"/>
  <c r="CA114" i="2"/>
  <c r="BZ114" i="2"/>
  <c r="BX114" i="2"/>
  <c r="BY114" i="2" s="1"/>
  <c r="BW114" i="2"/>
  <c r="BV114" i="2"/>
  <c r="BU114" i="2"/>
  <c r="BS114" i="2"/>
  <c r="BT114" i="2" s="1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D114" i="2"/>
  <c r="BE114" i="2" s="1"/>
  <c r="BC114" i="2"/>
  <c r="BB114" i="2"/>
  <c r="BA114" i="2"/>
  <c r="AY114" i="2"/>
  <c r="AZ114" i="2" s="1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J114" i="2"/>
  <c r="AK114" i="2" s="1"/>
  <c r="AI114" i="2"/>
  <c r="AH114" i="2"/>
  <c r="AG114" i="2"/>
  <c r="AE114" i="2"/>
  <c r="AF114" i="2" s="1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P114" i="2"/>
  <c r="Q114" i="2" s="1"/>
  <c r="O114" i="2"/>
  <c r="N114" i="2"/>
  <c r="M114" i="2"/>
  <c r="K114" i="2"/>
  <c r="L114" i="2" s="1"/>
  <c r="J114" i="2"/>
  <c r="I114" i="2"/>
  <c r="H114" i="2"/>
  <c r="G114" i="2"/>
  <c r="F114" i="2"/>
  <c r="E114" i="2"/>
  <c r="D114" i="2"/>
  <c r="C114" i="2"/>
  <c r="CC113" i="2"/>
  <c r="CD113" i="2" s="1"/>
  <c r="CB113" i="2"/>
  <c r="CA113" i="2"/>
  <c r="BZ113" i="2"/>
  <c r="BX113" i="2"/>
  <c r="BY113" i="2" s="1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I113" i="2"/>
  <c r="BJ113" i="2" s="1"/>
  <c r="BH113" i="2"/>
  <c r="BG113" i="2"/>
  <c r="BF113" i="2"/>
  <c r="BD113" i="2"/>
  <c r="BE113" i="2" s="1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O113" i="2"/>
  <c r="AP113" i="2" s="1"/>
  <c r="AN113" i="2"/>
  <c r="AM113" i="2"/>
  <c r="AL113" i="2"/>
  <c r="AJ113" i="2"/>
  <c r="AK113" i="2" s="1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U113" i="2"/>
  <c r="V113" i="2" s="1"/>
  <c r="T113" i="2"/>
  <c r="S113" i="2"/>
  <c r="R113" i="2"/>
  <c r="P113" i="2"/>
  <c r="Q113" i="2" s="1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CC112" i="2"/>
  <c r="CD112" i="2" s="1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N112" i="2"/>
  <c r="BO112" i="2" s="1"/>
  <c r="BM112" i="2"/>
  <c r="BL112" i="2"/>
  <c r="BK112" i="2"/>
  <c r="BI112" i="2"/>
  <c r="BJ112" i="2" s="1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T112" i="2"/>
  <c r="AU112" i="2" s="1"/>
  <c r="AS112" i="2"/>
  <c r="AR112" i="2"/>
  <c r="AQ112" i="2"/>
  <c r="AO112" i="2"/>
  <c r="AP112" i="2" s="1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Z112" i="2"/>
  <c r="AA112" i="2" s="1"/>
  <c r="Y112" i="2"/>
  <c r="X112" i="2"/>
  <c r="W112" i="2"/>
  <c r="U112" i="2"/>
  <c r="V112" i="2" s="1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F112" i="2"/>
  <c r="G112" i="2" s="1"/>
  <c r="E112" i="2"/>
  <c r="D112" i="2"/>
  <c r="C112" i="2"/>
  <c r="CD111" i="2"/>
  <c r="CC111" i="2"/>
  <c r="CB111" i="2"/>
  <c r="CA111" i="2"/>
  <c r="BZ111" i="2"/>
  <c r="BY111" i="2"/>
  <c r="BX111" i="2"/>
  <c r="BW111" i="2"/>
  <c r="BV111" i="2"/>
  <c r="BU111" i="2"/>
  <c r="BS111" i="2"/>
  <c r="BT111" i="2" s="1"/>
  <c r="BR111" i="2"/>
  <c r="BQ111" i="2"/>
  <c r="BP111" i="2"/>
  <c r="BN111" i="2"/>
  <c r="BO111" i="2" s="1"/>
  <c r="BM111" i="2"/>
  <c r="BL111" i="2"/>
  <c r="BK111" i="2"/>
  <c r="BJ111" i="2"/>
  <c r="BI111" i="2"/>
  <c r="BH111" i="2"/>
  <c r="BG111" i="2"/>
  <c r="BF111" i="2"/>
  <c r="BD111" i="2"/>
  <c r="BC111" i="2"/>
  <c r="BE111" i="2" s="1"/>
  <c r="BB111" i="2"/>
  <c r="BA111" i="2"/>
  <c r="AY111" i="2"/>
  <c r="AZ111" i="2" s="1"/>
  <c r="AX111" i="2"/>
  <c r="AW111" i="2"/>
  <c r="AV111" i="2"/>
  <c r="AT111" i="2"/>
  <c r="AU111" i="2" s="1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E111" i="2"/>
  <c r="AF111" i="2" s="1"/>
  <c r="AD111" i="2"/>
  <c r="AC111" i="2"/>
  <c r="AB111" i="2"/>
  <c r="Z111" i="2"/>
  <c r="AA111" i="2" s="1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K111" i="2"/>
  <c r="L111" i="2" s="1"/>
  <c r="J111" i="2"/>
  <c r="I111" i="2"/>
  <c r="H111" i="2"/>
  <c r="F111" i="2"/>
  <c r="G111" i="2" s="1"/>
  <c r="E111" i="2"/>
  <c r="D111" i="2"/>
  <c r="C111" i="2"/>
  <c r="CD110" i="2"/>
  <c r="CC110" i="2"/>
  <c r="CB110" i="2"/>
  <c r="CA110" i="2"/>
  <c r="BZ110" i="2"/>
  <c r="BX110" i="2"/>
  <c r="BY110" i="2" s="1"/>
  <c r="BW110" i="2"/>
  <c r="BV110" i="2"/>
  <c r="BU110" i="2"/>
  <c r="BS110" i="2"/>
  <c r="BT110" i="2" s="1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D110" i="2"/>
  <c r="BE110" i="2" s="1"/>
  <c r="BC110" i="2"/>
  <c r="BB110" i="2"/>
  <c r="BA110" i="2"/>
  <c r="AY110" i="2"/>
  <c r="AZ110" i="2" s="1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J110" i="2"/>
  <c r="AK110" i="2" s="1"/>
  <c r="AI110" i="2"/>
  <c r="AH110" i="2"/>
  <c r="AG110" i="2"/>
  <c r="AE110" i="2"/>
  <c r="AF110" i="2" s="1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P110" i="2"/>
  <c r="Q110" i="2" s="1"/>
  <c r="O110" i="2"/>
  <c r="N110" i="2"/>
  <c r="M110" i="2"/>
  <c r="K110" i="2"/>
  <c r="L110" i="2" s="1"/>
  <c r="J110" i="2"/>
  <c r="I110" i="2"/>
  <c r="H110" i="2"/>
  <c r="G110" i="2"/>
  <c r="F110" i="2"/>
  <c r="E110" i="2"/>
  <c r="D110" i="2"/>
  <c r="C110" i="2"/>
  <c r="CC109" i="2"/>
  <c r="CD109" i="2" s="1"/>
  <c r="CB109" i="2"/>
  <c r="CA109" i="2"/>
  <c r="BZ109" i="2"/>
  <c r="BX109" i="2"/>
  <c r="BY109" i="2" s="1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I109" i="2"/>
  <c r="BJ109" i="2" s="1"/>
  <c r="BH109" i="2"/>
  <c r="BG109" i="2"/>
  <c r="BF109" i="2"/>
  <c r="BD109" i="2"/>
  <c r="BE109" i="2" s="1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O109" i="2"/>
  <c r="AP109" i="2" s="1"/>
  <c r="AN109" i="2"/>
  <c r="AM109" i="2"/>
  <c r="AL109" i="2"/>
  <c r="AJ109" i="2"/>
  <c r="AK109" i="2" s="1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U109" i="2"/>
  <c r="V109" i="2" s="1"/>
  <c r="T109" i="2"/>
  <c r="S109" i="2"/>
  <c r="R109" i="2"/>
  <c r="P109" i="2"/>
  <c r="Q109" i="2" s="1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CC108" i="2"/>
  <c r="CD108" i="2" s="1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N108" i="2"/>
  <c r="BO108" i="2" s="1"/>
  <c r="BM108" i="2"/>
  <c r="BL108" i="2"/>
  <c r="BK108" i="2"/>
  <c r="BI108" i="2"/>
  <c r="BJ108" i="2" s="1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T108" i="2"/>
  <c r="AU108" i="2" s="1"/>
  <c r="AS108" i="2"/>
  <c r="AR108" i="2"/>
  <c r="AQ108" i="2"/>
  <c r="AO108" i="2"/>
  <c r="AP108" i="2" s="1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Z108" i="2"/>
  <c r="AA108" i="2" s="1"/>
  <c r="Y108" i="2"/>
  <c r="X108" i="2"/>
  <c r="W108" i="2"/>
  <c r="U108" i="2"/>
  <c r="V108" i="2" s="1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F108" i="2"/>
  <c r="G108" i="2" s="1"/>
  <c r="E108" i="2"/>
  <c r="D108" i="2"/>
  <c r="C108" i="2"/>
  <c r="CD107" i="2"/>
  <c r="CC107" i="2"/>
  <c r="CB107" i="2"/>
  <c r="CA107" i="2"/>
  <c r="BZ107" i="2"/>
  <c r="BY107" i="2"/>
  <c r="BX107" i="2"/>
  <c r="BW107" i="2"/>
  <c r="BV107" i="2"/>
  <c r="BU107" i="2"/>
  <c r="BS107" i="2"/>
  <c r="BT107" i="2" s="1"/>
  <c r="BR107" i="2"/>
  <c r="BQ107" i="2"/>
  <c r="BP107" i="2"/>
  <c r="BN107" i="2"/>
  <c r="BO107" i="2" s="1"/>
  <c r="BM107" i="2"/>
  <c r="BL107" i="2"/>
  <c r="BK107" i="2"/>
  <c r="BJ107" i="2"/>
  <c r="BI107" i="2"/>
  <c r="BH107" i="2"/>
  <c r="BG107" i="2"/>
  <c r="BF107" i="2"/>
  <c r="BD107" i="2"/>
  <c r="BC107" i="2"/>
  <c r="BE107" i="2" s="1"/>
  <c r="BB107" i="2"/>
  <c r="BA107" i="2"/>
  <c r="AY107" i="2"/>
  <c r="AZ107" i="2" s="1"/>
  <c r="AX107" i="2"/>
  <c r="AW107" i="2"/>
  <c r="AV107" i="2"/>
  <c r="AT107" i="2"/>
  <c r="AU107" i="2" s="1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E107" i="2"/>
  <c r="AF107" i="2" s="1"/>
  <c r="AD107" i="2"/>
  <c r="AC107" i="2"/>
  <c r="AB107" i="2"/>
  <c r="Z107" i="2"/>
  <c r="AA107" i="2" s="1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K107" i="2"/>
  <c r="L107" i="2" s="1"/>
  <c r="J107" i="2"/>
  <c r="I107" i="2"/>
  <c r="H107" i="2"/>
  <c r="F107" i="2"/>
  <c r="G107" i="2" s="1"/>
  <c r="E107" i="2"/>
  <c r="D107" i="2"/>
  <c r="C107" i="2"/>
  <c r="CD106" i="2"/>
  <c r="CC106" i="2"/>
  <c r="CB106" i="2"/>
  <c r="CA106" i="2"/>
  <c r="BZ106" i="2"/>
  <c r="BX106" i="2"/>
  <c r="BY106" i="2" s="1"/>
  <c r="BW106" i="2"/>
  <c r="BV106" i="2"/>
  <c r="BU106" i="2"/>
  <c r="BS106" i="2"/>
  <c r="BT106" i="2" s="1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D106" i="2"/>
  <c r="BE106" i="2" s="1"/>
  <c r="BC106" i="2"/>
  <c r="BB106" i="2"/>
  <c r="BA106" i="2"/>
  <c r="AY106" i="2"/>
  <c r="AZ106" i="2" s="1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J106" i="2"/>
  <c r="AK106" i="2" s="1"/>
  <c r="AI106" i="2"/>
  <c r="AH106" i="2"/>
  <c r="AG106" i="2"/>
  <c r="AE106" i="2"/>
  <c r="AF106" i="2" s="1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P106" i="2"/>
  <c r="Q106" i="2" s="1"/>
  <c r="O106" i="2"/>
  <c r="N106" i="2"/>
  <c r="M106" i="2"/>
  <c r="K106" i="2"/>
  <c r="L106" i="2" s="1"/>
  <c r="J106" i="2"/>
  <c r="I106" i="2"/>
  <c r="H106" i="2"/>
  <c r="G106" i="2"/>
  <c r="F106" i="2"/>
  <c r="E106" i="2"/>
  <c r="D106" i="2"/>
  <c r="C106" i="2"/>
  <c r="CC105" i="2"/>
  <c r="CD105" i="2" s="1"/>
  <c r="CB105" i="2"/>
  <c r="CA105" i="2"/>
  <c r="BZ105" i="2"/>
  <c r="BX105" i="2"/>
  <c r="BY105" i="2" s="1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I105" i="2"/>
  <c r="BJ105" i="2" s="1"/>
  <c r="BH105" i="2"/>
  <c r="BG105" i="2"/>
  <c r="BF105" i="2"/>
  <c r="BD105" i="2"/>
  <c r="BE105" i="2" s="1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O105" i="2"/>
  <c r="AP105" i="2" s="1"/>
  <c r="AN105" i="2"/>
  <c r="AM105" i="2"/>
  <c r="AL105" i="2"/>
  <c r="AJ105" i="2"/>
  <c r="AK105" i="2" s="1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U105" i="2"/>
  <c r="V105" i="2" s="1"/>
  <c r="T105" i="2"/>
  <c r="S105" i="2"/>
  <c r="R105" i="2"/>
  <c r="P105" i="2"/>
  <c r="Q105" i="2" s="1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CC104" i="2"/>
  <c r="CD104" i="2" s="1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N104" i="2"/>
  <c r="BO104" i="2" s="1"/>
  <c r="BM104" i="2"/>
  <c r="BL104" i="2"/>
  <c r="BK104" i="2"/>
  <c r="BI104" i="2"/>
  <c r="BJ104" i="2" s="1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T104" i="2"/>
  <c r="AU104" i="2" s="1"/>
  <c r="AS104" i="2"/>
  <c r="AR104" i="2"/>
  <c r="AQ104" i="2"/>
  <c r="AO104" i="2"/>
  <c r="AP104" i="2" s="1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Z104" i="2"/>
  <c r="AA104" i="2" s="1"/>
  <c r="Y104" i="2"/>
  <c r="X104" i="2"/>
  <c r="W104" i="2"/>
  <c r="U104" i="2"/>
  <c r="V104" i="2" s="1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F104" i="2"/>
  <c r="G104" i="2" s="1"/>
  <c r="E104" i="2"/>
  <c r="D104" i="2"/>
  <c r="C104" i="2"/>
  <c r="CD103" i="2"/>
  <c r="CC103" i="2"/>
  <c r="CB103" i="2"/>
  <c r="CA103" i="2"/>
  <c r="BZ103" i="2"/>
  <c r="BY103" i="2"/>
  <c r="BX103" i="2"/>
  <c r="BW103" i="2"/>
  <c r="BV103" i="2"/>
  <c r="BU103" i="2"/>
  <c r="BS103" i="2"/>
  <c r="BT103" i="2" s="1"/>
  <c r="BR103" i="2"/>
  <c r="BQ103" i="2"/>
  <c r="BP103" i="2"/>
  <c r="BN103" i="2"/>
  <c r="BO103" i="2" s="1"/>
  <c r="BM103" i="2"/>
  <c r="BL103" i="2"/>
  <c r="BK103" i="2"/>
  <c r="BJ103" i="2"/>
  <c r="BI103" i="2"/>
  <c r="BH103" i="2"/>
  <c r="BG103" i="2"/>
  <c r="BF103" i="2"/>
  <c r="BD103" i="2"/>
  <c r="BC103" i="2"/>
  <c r="BE103" i="2" s="1"/>
  <c r="BB103" i="2"/>
  <c r="BA103" i="2"/>
  <c r="AY103" i="2"/>
  <c r="AZ103" i="2" s="1"/>
  <c r="AX103" i="2"/>
  <c r="AW103" i="2"/>
  <c r="AV103" i="2"/>
  <c r="AT103" i="2"/>
  <c r="AU103" i="2" s="1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E103" i="2"/>
  <c r="AF103" i="2" s="1"/>
  <c r="AD103" i="2"/>
  <c r="AC103" i="2"/>
  <c r="AB103" i="2"/>
  <c r="Z103" i="2"/>
  <c r="AA103" i="2" s="1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K103" i="2"/>
  <c r="L103" i="2" s="1"/>
  <c r="J103" i="2"/>
  <c r="I103" i="2"/>
  <c r="H103" i="2"/>
  <c r="F103" i="2"/>
  <c r="G103" i="2" s="1"/>
  <c r="E103" i="2"/>
  <c r="D103" i="2"/>
  <c r="C103" i="2"/>
  <c r="CD102" i="2"/>
  <c r="CC102" i="2"/>
  <c r="CB102" i="2"/>
  <c r="CA102" i="2"/>
  <c r="BZ102" i="2"/>
  <c r="BX102" i="2"/>
  <c r="BY102" i="2" s="1"/>
  <c r="BW102" i="2"/>
  <c r="BV102" i="2"/>
  <c r="BU102" i="2"/>
  <c r="BS102" i="2"/>
  <c r="BT102" i="2" s="1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D102" i="2"/>
  <c r="BE102" i="2" s="1"/>
  <c r="BC102" i="2"/>
  <c r="BB102" i="2"/>
  <c r="BA102" i="2"/>
  <c r="AY102" i="2"/>
  <c r="AZ102" i="2" s="1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J102" i="2"/>
  <c r="AK102" i="2" s="1"/>
  <c r="AI102" i="2"/>
  <c r="AH102" i="2"/>
  <c r="AG102" i="2"/>
  <c r="AE102" i="2"/>
  <c r="AF102" i="2" s="1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P102" i="2"/>
  <c r="Q102" i="2" s="1"/>
  <c r="O102" i="2"/>
  <c r="N102" i="2"/>
  <c r="M102" i="2"/>
  <c r="K102" i="2"/>
  <c r="L102" i="2" s="1"/>
  <c r="J102" i="2"/>
  <c r="I102" i="2"/>
  <c r="H102" i="2"/>
  <c r="G102" i="2"/>
  <c r="F102" i="2"/>
  <c r="E102" i="2"/>
  <c r="D102" i="2"/>
  <c r="C102" i="2"/>
  <c r="CC101" i="2"/>
  <c r="CD101" i="2" s="1"/>
  <c r="CB101" i="2"/>
  <c r="CA101" i="2"/>
  <c r="BZ101" i="2"/>
  <c r="BX101" i="2"/>
  <c r="BY101" i="2" s="1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I101" i="2"/>
  <c r="BJ101" i="2" s="1"/>
  <c r="BH101" i="2"/>
  <c r="BG101" i="2"/>
  <c r="BF101" i="2"/>
  <c r="BD101" i="2"/>
  <c r="BE101" i="2" s="1"/>
  <c r="BC101" i="2"/>
  <c r="BB101" i="2"/>
  <c r="BA101" i="2"/>
  <c r="AZ101" i="2"/>
  <c r="AY101" i="2"/>
  <c r="AX101" i="2"/>
  <c r="AW101" i="2"/>
  <c r="AV101" i="2"/>
  <c r="AT101" i="2"/>
  <c r="AS101" i="2"/>
  <c r="AU101" i="2" s="1"/>
  <c r="AR101" i="2"/>
  <c r="AQ101" i="2"/>
  <c r="AO101" i="2"/>
  <c r="AP101" i="2" s="1"/>
  <c r="AN101" i="2"/>
  <c r="AM101" i="2"/>
  <c r="AL101" i="2"/>
  <c r="AJ101" i="2"/>
  <c r="AK101" i="2" s="1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U101" i="2"/>
  <c r="V101" i="2" s="1"/>
  <c r="T101" i="2"/>
  <c r="S101" i="2"/>
  <c r="R101" i="2"/>
  <c r="P101" i="2"/>
  <c r="Q101" i="2" s="1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CC100" i="2"/>
  <c r="CD100" i="2" s="1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N100" i="2"/>
  <c r="BO100" i="2" s="1"/>
  <c r="BM100" i="2"/>
  <c r="BL100" i="2"/>
  <c r="BK100" i="2"/>
  <c r="BI100" i="2"/>
  <c r="BJ100" i="2" s="1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T100" i="2"/>
  <c r="AU100" i="2" s="1"/>
  <c r="AS100" i="2"/>
  <c r="AR100" i="2"/>
  <c r="AQ100" i="2"/>
  <c r="AO100" i="2"/>
  <c r="AP100" i="2" s="1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Z100" i="2"/>
  <c r="AA100" i="2" s="1"/>
  <c r="Y100" i="2"/>
  <c r="X100" i="2"/>
  <c r="W100" i="2"/>
  <c r="U100" i="2"/>
  <c r="V100" i="2" s="1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F100" i="2"/>
  <c r="G100" i="2" s="1"/>
  <c r="E100" i="2"/>
  <c r="D100" i="2"/>
  <c r="C100" i="2"/>
  <c r="CD99" i="2"/>
  <c r="CC99" i="2"/>
  <c r="CB99" i="2"/>
  <c r="CA99" i="2"/>
  <c r="BZ99" i="2"/>
  <c r="BY99" i="2"/>
  <c r="BX99" i="2"/>
  <c r="BW99" i="2"/>
  <c r="BV99" i="2"/>
  <c r="BU99" i="2"/>
  <c r="BS99" i="2"/>
  <c r="BT99" i="2" s="1"/>
  <c r="BR99" i="2"/>
  <c r="BQ99" i="2"/>
  <c r="BP99" i="2"/>
  <c r="BN99" i="2"/>
  <c r="BO99" i="2" s="1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Y99" i="2"/>
  <c r="AZ99" i="2" s="1"/>
  <c r="AX99" i="2"/>
  <c r="AW99" i="2"/>
  <c r="AV99" i="2"/>
  <c r="AT99" i="2"/>
  <c r="AU99" i="2" s="1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E99" i="2"/>
  <c r="AF99" i="2" s="1"/>
  <c r="AD99" i="2"/>
  <c r="AC99" i="2"/>
  <c r="AB99" i="2"/>
  <c r="Z99" i="2"/>
  <c r="AA99" i="2" s="1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K99" i="2"/>
  <c r="L99" i="2" s="1"/>
  <c r="J99" i="2"/>
  <c r="I99" i="2"/>
  <c r="H99" i="2"/>
  <c r="F99" i="2"/>
  <c r="G99" i="2" s="1"/>
  <c r="E99" i="2"/>
  <c r="D99" i="2"/>
  <c r="C99" i="2"/>
  <c r="CD98" i="2"/>
  <c r="CC98" i="2"/>
  <c r="CB98" i="2"/>
  <c r="CA98" i="2"/>
  <c r="BZ98" i="2"/>
  <c r="BX98" i="2"/>
  <c r="BY98" i="2" s="1"/>
  <c r="BW98" i="2"/>
  <c r="BV98" i="2"/>
  <c r="BU98" i="2"/>
  <c r="BS98" i="2"/>
  <c r="BT98" i="2" s="1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D98" i="2"/>
  <c r="BE98" i="2" s="1"/>
  <c r="BC98" i="2"/>
  <c r="BB98" i="2"/>
  <c r="BA98" i="2"/>
  <c r="AY98" i="2"/>
  <c r="AZ98" i="2" s="1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J98" i="2"/>
  <c r="AK98" i="2" s="1"/>
  <c r="AI98" i="2"/>
  <c r="AH98" i="2"/>
  <c r="AG98" i="2"/>
  <c r="AE98" i="2"/>
  <c r="AF98" i="2" s="1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P98" i="2"/>
  <c r="Q98" i="2" s="1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C97" i="2"/>
  <c r="CD97" i="2" s="1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I97" i="2"/>
  <c r="BJ97" i="2" s="1"/>
  <c r="BH97" i="2"/>
  <c r="BG97" i="2"/>
  <c r="BF97" i="2"/>
  <c r="BD97" i="2"/>
  <c r="BE97" i="2" s="1"/>
  <c r="BC97" i="2"/>
  <c r="BB97" i="2"/>
  <c r="BA97" i="2"/>
  <c r="AZ97" i="2"/>
  <c r="AY97" i="2"/>
  <c r="AX97" i="2"/>
  <c r="AW97" i="2"/>
  <c r="AV97" i="2"/>
  <c r="AT97" i="2"/>
  <c r="AS97" i="2"/>
  <c r="AU97" i="2" s="1"/>
  <c r="AR97" i="2"/>
  <c r="AQ97" i="2"/>
  <c r="AO97" i="2"/>
  <c r="AP97" i="2" s="1"/>
  <c r="AN97" i="2"/>
  <c r="AM97" i="2"/>
  <c r="AL97" i="2"/>
  <c r="AJ97" i="2"/>
  <c r="AK97" i="2" s="1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U97" i="2"/>
  <c r="V97" i="2" s="1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CC96" i="2"/>
  <c r="CD96" i="2" s="1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N96" i="2"/>
  <c r="BO96" i="2" s="1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T96" i="2"/>
  <c r="AS96" i="2"/>
  <c r="AR96" i="2"/>
  <c r="AQ96" i="2"/>
  <c r="AO96" i="2"/>
  <c r="AP96" i="2" s="1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Z96" i="2"/>
  <c r="AA96" i="2" s="1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F96" i="2"/>
  <c r="G96" i="2" s="1"/>
  <c r="E96" i="2"/>
  <c r="D96" i="2"/>
  <c r="C96" i="2"/>
  <c r="CD95" i="2"/>
  <c r="CC95" i="2"/>
  <c r="CB95" i="2"/>
  <c r="CA95" i="2"/>
  <c r="BZ95" i="2"/>
  <c r="BY95" i="2"/>
  <c r="BX95" i="2"/>
  <c r="BW95" i="2"/>
  <c r="BV95" i="2"/>
  <c r="BU95" i="2"/>
  <c r="BS95" i="2"/>
  <c r="BT95" i="2" s="1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Y95" i="2"/>
  <c r="AZ95" i="2" s="1"/>
  <c r="AX95" i="2"/>
  <c r="AW95" i="2"/>
  <c r="AV95" i="2"/>
  <c r="AT95" i="2"/>
  <c r="AU95" i="2" s="1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E95" i="2"/>
  <c r="AF95" i="2" s="1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K95" i="2"/>
  <c r="L95" i="2" s="1"/>
  <c r="J95" i="2"/>
  <c r="I95" i="2"/>
  <c r="H95" i="2"/>
  <c r="F95" i="2"/>
  <c r="G95" i="2" s="1"/>
  <c r="E95" i="2"/>
  <c r="D95" i="2"/>
  <c r="C95" i="2"/>
  <c r="CD94" i="2"/>
  <c r="CC94" i="2"/>
  <c r="CB94" i="2"/>
  <c r="CA94" i="2"/>
  <c r="BZ94" i="2"/>
  <c r="BX94" i="2"/>
  <c r="BY94" i="2" s="1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D94" i="2"/>
  <c r="BE94" i="2" s="1"/>
  <c r="BC94" i="2"/>
  <c r="BB94" i="2"/>
  <c r="BA94" i="2"/>
  <c r="AY94" i="2"/>
  <c r="AZ94" i="2" s="1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J94" i="2"/>
  <c r="AK94" i="2" s="1"/>
  <c r="AI94" i="2"/>
  <c r="AH94" i="2"/>
  <c r="AG94" i="2"/>
  <c r="AF94" i="2"/>
  <c r="AE94" i="2"/>
  <c r="AD94" i="2"/>
  <c r="AC94" i="2"/>
  <c r="AB94" i="2"/>
  <c r="Z94" i="2"/>
  <c r="AA94" i="2" s="1"/>
  <c r="Y94" i="2"/>
  <c r="X94" i="2"/>
  <c r="W94" i="2"/>
  <c r="V94" i="2"/>
  <c r="U94" i="2"/>
  <c r="T94" i="2"/>
  <c r="S94" i="2"/>
  <c r="R94" i="2"/>
  <c r="P94" i="2"/>
  <c r="Q94" i="2" s="1"/>
  <c r="O94" i="2"/>
  <c r="N94" i="2"/>
  <c r="M94" i="2"/>
  <c r="K94" i="2"/>
  <c r="L94" i="2" s="1"/>
  <c r="J94" i="2"/>
  <c r="I94" i="2"/>
  <c r="H94" i="2"/>
  <c r="G94" i="2"/>
  <c r="F94" i="2"/>
  <c r="E94" i="2"/>
  <c r="D94" i="2"/>
  <c r="C94" i="2"/>
  <c r="CC93" i="2"/>
  <c r="CD93" i="2" s="1"/>
  <c r="CB93" i="2"/>
  <c r="CA93" i="2"/>
  <c r="BZ93" i="2"/>
  <c r="BY93" i="2"/>
  <c r="BX93" i="2"/>
  <c r="BW93" i="2"/>
  <c r="BV93" i="2"/>
  <c r="BU93" i="2"/>
  <c r="BS93" i="2"/>
  <c r="BT93" i="2" s="1"/>
  <c r="BR93" i="2"/>
  <c r="BQ93" i="2"/>
  <c r="BP93" i="2"/>
  <c r="BO93" i="2"/>
  <c r="BN93" i="2"/>
  <c r="BM93" i="2"/>
  <c r="BL93" i="2"/>
  <c r="BK93" i="2"/>
  <c r="BI93" i="2"/>
  <c r="BJ93" i="2" s="1"/>
  <c r="BH93" i="2"/>
  <c r="BG93" i="2"/>
  <c r="BF93" i="2"/>
  <c r="BD93" i="2"/>
  <c r="BE93" i="2" s="1"/>
  <c r="BC93" i="2"/>
  <c r="BB93" i="2"/>
  <c r="BA93" i="2"/>
  <c r="AZ93" i="2"/>
  <c r="AY93" i="2"/>
  <c r="AX93" i="2"/>
  <c r="AW93" i="2"/>
  <c r="AV93" i="2"/>
  <c r="AT93" i="2"/>
  <c r="AS93" i="2"/>
  <c r="AU93" i="2" s="1"/>
  <c r="AR93" i="2"/>
  <c r="AQ93" i="2"/>
  <c r="AO93" i="2"/>
  <c r="AP93" i="2" s="1"/>
  <c r="AN93" i="2"/>
  <c r="AM93" i="2"/>
  <c r="AL93" i="2"/>
  <c r="AK93" i="2"/>
  <c r="AJ93" i="2"/>
  <c r="AI93" i="2"/>
  <c r="AH93" i="2"/>
  <c r="AG93" i="2"/>
  <c r="AE93" i="2"/>
  <c r="AF93" i="2" s="1"/>
  <c r="AD93" i="2"/>
  <c r="AC93" i="2"/>
  <c r="AB93" i="2"/>
  <c r="AA93" i="2"/>
  <c r="Z93" i="2"/>
  <c r="Y93" i="2"/>
  <c r="X93" i="2"/>
  <c r="W93" i="2"/>
  <c r="U93" i="2"/>
  <c r="V93" i="2" s="1"/>
  <c r="T93" i="2"/>
  <c r="S93" i="2"/>
  <c r="R93" i="2"/>
  <c r="P93" i="2"/>
  <c r="Q93" i="2" s="1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D92" i="2"/>
  <c r="CC92" i="2"/>
  <c r="CB92" i="2"/>
  <c r="CA92" i="2"/>
  <c r="BZ92" i="2"/>
  <c r="BX92" i="2"/>
  <c r="BY92" i="2" s="1"/>
  <c r="BW92" i="2"/>
  <c r="BV92" i="2"/>
  <c r="BU92" i="2"/>
  <c r="BT92" i="2"/>
  <c r="BS92" i="2"/>
  <c r="BR92" i="2"/>
  <c r="BQ92" i="2"/>
  <c r="BP92" i="2"/>
  <c r="BN92" i="2"/>
  <c r="BO92" i="2" s="1"/>
  <c r="BM92" i="2"/>
  <c r="BL92" i="2"/>
  <c r="BK92" i="2"/>
  <c r="BI92" i="2"/>
  <c r="BJ92" i="2" s="1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T92" i="2"/>
  <c r="AU92" i="2" s="1"/>
  <c r="AS92" i="2"/>
  <c r="AR92" i="2"/>
  <c r="AQ92" i="2"/>
  <c r="AP92" i="2"/>
  <c r="AO92" i="2"/>
  <c r="AN92" i="2"/>
  <c r="AM92" i="2"/>
  <c r="AL92" i="2"/>
  <c r="AJ92" i="2"/>
  <c r="AK92" i="2" s="1"/>
  <c r="AI92" i="2"/>
  <c r="AH92" i="2"/>
  <c r="AG92" i="2"/>
  <c r="AF92" i="2"/>
  <c r="AE92" i="2"/>
  <c r="AD92" i="2"/>
  <c r="AC92" i="2"/>
  <c r="AB92" i="2"/>
  <c r="Z92" i="2"/>
  <c r="AA92" i="2" s="1"/>
  <c r="Y92" i="2"/>
  <c r="X92" i="2"/>
  <c r="W92" i="2"/>
  <c r="U92" i="2"/>
  <c r="V92" i="2" s="1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F92" i="2"/>
  <c r="G92" i="2" s="1"/>
  <c r="E92" i="2"/>
  <c r="D92" i="2"/>
  <c r="C92" i="2"/>
  <c r="CC91" i="2"/>
  <c r="CD91" i="2" s="1"/>
  <c r="CB91" i="2"/>
  <c r="CA91" i="2"/>
  <c r="BZ91" i="2"/>
  <c r="BY91" i="2"/>
  <c r="BX91" i="2"/>
  <c r="BW91" i="2"/>
  <c r="BV91" i="2"/>
  <c r="BU91" i="2"/>
  <c r="BS91" i="2"/>
  <c r="BT91" i="2" s="1"/>
  <c r="BR91" i="2"/>
  <c r="BQ91" i="2"/>
  <c r="BP91" i="2"/>
  <c r="BO91" i="2"/>
  <c r="BN91" i="2"/>
  <c r="BM91" i="2"/>
  <c r="BL91" i="2"/>
  <c r="BK91" i="2"/>
  <c r="BI91" i="2"/>
  <c r="BJ91" i="2" s="1"/>
  <c r="BH91" i="2"/>
  <c r="BG91" i="2"/>
  <c r="BF91" i="2"/>
  <c r="BE91" i="2"/>
  <c r="BD91" i="2"/>
  <c r="BC91" i="2"/>
  <c r="BB91" i="2"/>
  <c r="BA91" i="2"/>
  <c r="AY91" i="2"/>
  <c r="AZ91" i="2" s="1"/>
  <c r="AX91" i="2"/>
  <c r="AW91" i="2"/>
  <c r="AV91" i="2"/>
  <c r="AT91" i="2"/>
  <c r="AS91" i="2"/>
  <c r="AU91" i="2" s="1"/>
  <c r="AR91" i="2"/>
  <c r="AQ91" i="2"/>
  <c r="AO91" i="2"/>
  <c r="AP91" i="2" s="1"/>
  <c r="AN91" i="2"/>
  <c r="AM91" i="2"/>
  <c r="AL91" i="2"/>
  <c r="AK91" i="2"/>
  <c r="AJ91" i="2"/>
  <c r="AI91" i="2"/>
  <c r="AH91" i="2"/>
  <c r="AG91" i="2"/>
  <c r="AE91" i="2"/>
  <c r="AF91" i="2" s="1"/>
  <c r="AD91" i="2"/>
  <c r="AC91" i="2"/>
  <c r="AB91" i="2"/>
  <c r="AA91" i="2"/>
  <c r="Z91" i="2"/>
  <c r="Y91" i="2"/>
  <c r="X91" i="2"/>
  <c r="W91" i="2"/>
  <c r="U91" i="2"/>
  <c r="V91" i="2" s="1"/>
  <c r="T91" i="2"/>
  <c r="S91" i="2"/>
  <c r="R91" i="2"/>
  <c r="Q91" i="2"/>
  <c r="P91" i="2"/>
  <c r="O91" i="2"/>
  <c r="N91" i="2"/>
  <c r="M91" i="2"/>
  <c r="K91" i="2"/>
  <c r="L91" i="2" s="1"/>
  <c r="J91" i="2"/>
  <c r="I91" i="2"/>
  <c r="H91" i="2"/>
  <c r="G91" i="2"/>
  <c r="F91" i="2"/>
  <c r="E91" i="2"/>
  <c r="D91" i="2"/>
  <c r="C91" i="2"/>
  <c r="CD90" i="2"/>
  <c r="CC90" i="2"/>
  <c r="CB90" i="2"/>
  <c r="CA90" i="2"/>
  <c r="BZ90" i="2"/>
  <c r="BX90" i="2"/>
  <c r="BY90" i="2" s="1"/>
  <c r="BW90" i="2"/>
  <c r="BV90" i="2"/>
  <c r="BU90" i="2"/>
  <c r="BT90" i="2"/>
  <c r="BS90" i="2"/>
  <c r="BR90" i="2"/>
  <c r="BQ90" i="2"/>
  <c r="BP90" i="2"/>
  <c r="BN90" i="2"/>
  <c r="BO90" i="2" s="1"/>
  <c r="BM90" i="2"/>
  <c r="BL90" i="2"/>
  <c r="BK90" i="2"/>
  <c r="BJ90" i="2"/>
  <c r="BI90" i="2"/>
  <c r="BH90" i="2"/>
  <c r="BG90" i="2"/>
  <c r="BF90" i="2"/>
  <c r="BD90" i="2"/>
  <c r="BE90" i="2" s="1"/>
  <c r="BC90" i="2"/>
  <c r="BB90" i="2"/>
  <c r="BA90" i="2"/>
  <c r="AZ90" i="2"/>
  <c r="AY90" i="2"/>
  <c r="AX90" i="2"/>
  <c r="AW90" i="2"/>
  <c r="AV90" i="2"/>
  <c r="AT90" i="2"/>
  <c r="AU90" i="2" s="1"/>
  <c r="AS90" i="2"/>
  <c r="AR90" i="2"/>
  <c r="AQ90" i="2"/>
  <c r="AP90" i="2"/>
  <c r="AO90" i="2"/>
  <c r="AN90" i="2"/>
  <c r="AM90" i="2"/>
  <c r="AL90" i="2"/>
  <c r="AJ90" i="2"/>
  <c r="AK90" i="2" s="1"/>
  <c r="AI90" i="2"/>
  <c r="AH90" i="2"/>
  <c r="AG90" i="2"/>
  <c r="AF90" i="2"/>
  <c r="AE90" i="2"/>
  <c r="AD90" i="2"/>
  <c r="AC90" i="2"/>
  <c r="AB90" i="2"/>
  <c r="Z90" i="2"/>
  <c r="AA90" i="2" s="1"/>
  <c r="Y90" i="2"/>
  <c r="X90" i="2"/>
  <c r="W90" i="2"/>
  <c r="V90" i="2"/>
  <c r="U90" i="2"/>
  <c r="T90" i="2"/>
  <c r="S90" i="2"/>
  <c r="R90" i="2"/>
  <c r="P90" i="2"/>
  <c r="Q90" i="2" s="1"/>
  <c r="O90" i="2"/>
  <c r="N90" i="2"/>
  <c r="M90" i="2"/>
  <c r="L90" i="2"/>
  <c r="K90" i="2"/>
  <c r="J90" i="2"/>
  <c r="I90" i="2"/>
  <c r="H90" i="2"/>
  <c r="F90" i="2"/>
  <c r="G90" i="2" s="1"/>
  <c r="E90" i="2"/>
  <c r="D90" i="2"/>
  <c r="C90" i="2"/>
  <c r="CC89" i="2"/>
  <c r="CD89" i="2" s="1"/>
  <c r="CB89" i="2"/>
  <c r="CA89" i="2"/>
  <c r="BZ89" i="2"/>
  <c r="BY89" i="2"/>
  <c r="BX89" i="2"/>
  <c r="BW89" i="2"/>
  <c r="BV89" i="2"/>
  <c r="BU89" i="2"/>
  <c r="BS89" i="2"/>
  <c r="BT89" i="2" s="1"/>
  <c r="BR89" i="2"/>
  <c r="BQ89" i="2"/>
  <c r="BP89" i="2"/>
  <c r="BO89" i="2"/>
  <c r="BN89" i="2"/>
  <c r="BM89" i="2"/>
  <c r="BL89" i="2"/>
  <c r="BK89" i="2"/>
  <c r="BI89" i="2"/>
  <c r="BJ89" i="2" s="1"/>
  <c r="BH89" i="2"/>
  <c r="BG89" i="2"/>
  <c r="BF89" i="2"/>
  <c r="BE89" i="2"/>
  <c r="BD89" i="2"/>
  <c r="BC89" i="2"/>
  <c r="BB89" i="2"/>
  <c r="BA89" i="2"/>
  <c r="AY89" i="2"/>
  <c r="AZ89" i="2" s="1"/>
  <c r="AX89" i="2"/>
  <c r="AW89" i="2"/>
  <c r="AV89" i="2"/>
  <c r="AU89" i="2"/>
  <c r="AT89" i="2"/>
  <c r="AS89" i="2"/>
  <c r="AR89" i="2"/>
  <c r="AQ89" i="2"/>
  <c r="AO89" i="2"/>
  <c r="AP89" i="2" s="1"/>
  <c r="AN89" i="2"/>
  <c r="AM89" i="2"/>
  <c r="AL89" i="2"/>
  <c r="AK89" i="2"/>
  <c r="AJ89" i="2"/>
  <c r="AI89" i="2"/>
  <c r="AH89" i="2"/>
  <c r="AG89" i="2"/>
  <c r="AE89" i="2"/>
  <c r="AF89" i="2" s="1"/>
  <c r="AD89" i="2"/>
  <c r="AC89" i="2"/>
  <c r="AB89" i="2"/>
  <c r="AA89" i="2"/>
  <c r="Z89" i="2"/>
  <c r="Y89" i="2"/>
  <c r="X89" i="2"/>
  <c r="W89" i="2"/>
  <c r="U89" i="2"/>
  <c r="V89" i="2" s="1"/>
  <c r="T89" i="2"/>
  <c r="S89" i="2"/>
  <c r="R89" i="2"/>
  <c r="Q89" i="2"/>
  <c r="P89" i="2"/>
  <c r="O89" i="2"/>
  <c r="N89" i="2"/>
  <c r="M89" i="2"/>
  <c r="K89" i="2"/>
  <c r="L89" i="2" s="1"/>
  <c r="J89" i="2"/>
  <c r="I89" i="2"/>
  <c r="H89" i="2"/>
  <c r="G89" i="2"/>
  <c r="F89" i="2"/>
  <c r="E89" i="2"/>
  <c r="D89" i="2"/>
  <c r="C89" i="2"/>
  <c r="CD88" i="2"/>
  <c r="CC88" i="2"/>
  <c r="CB88" i="2"/>
  <c r="CA88" i="2"/>
  <c r="BZ88" i="2"/>
  <c r="BX88" i="2"/>
  <c r="BY88" i="2" s="1"/>
  <c r="BW88" i="2"/>
  <c r="BV88" i="2"/>
  <c r="BU88" i="2"/>
  <c r="BT88" i="2"/>
  <c r="BS88" i="2"/>
  <c r="BR88" i="2"/>
  <c r="BQ88" i="2"/>
  <c r="BP88" i="2"/>
  <c r="BN88" i="2"/>
  <c r="BO88" i="2" s="1"/>
  <c r="BM88" i="2"/>
  <c r="BL88" i="2"/>
  <c r="BK88" i="2"/>
  <c r="BJ88" i="2"/>
  <c r="BI88" i="2"/>
  <c r="BH88" i="2"/>
  <c r="BG88" i="2"/>
  <c r="BF88" i="2"/>
  <c r="BD88" i="2"/>
  <c r="BE88" i="2" s="1"/>
  <c r="BC88" i="2"/>
  <c r="BB88" i="2"/>
  <c r="BA88" i="2"/>
  <c r="AZ88" i="2"/>
  <c r="AY88" i="2"/>
  <c r="AX88" i="2"/>
  <c r="AW88" i="2"/>
  <c r="AV88" i="2"/>
  <c r="AT88" i="2"/>
  <c r="AU88" i="2" s="1"/>
  <c r="AS88" i="2"/>
  <c r="AR88" i="2"/>
  <c r="AQ88" i="2"/>
  <c r="AP88" i="2"/>
  <c r="AO88" i="2"/>
  <c r="AN88" i="2"/>
  <c r="AM88" i="2"/>
  <c r="AL88" i="2"/>
  <c r="AJ88" i="2"/>
  <c r="AK88" i="2" s="1"/>
  <c r="AI88" i="2"/>
  <c r="AH88" i="2"/>
  <c r="AG88" i="2"/>
  <c r="AF88" i="2"/>
  <c r="AE88" i="2"/>
  <c r="AD88" i="2"/>
  <c r="AC88" i="2"/>
  <c r="AB88" i="2"/>
  <c r="Z88" i="2"/>
  <c r="AA88" i="2" s="1"/>
  <c r="Y88" i="2"/>
  <c r="X88" i="2"/>
  <c r="W88" i="2"/>
  <c r="V88" i="2"/>
  <c r="U88" i="2"/>
  <c r="T88" i="2"/>
  <c r="S88" i="2"/>
  <c r="R88" i="2"/>
  <c r="P88" i="2"/>
  <c r="Q88" i="2" s="1"/>
  <c r="O88" i="2"/>
  <c r="N88" i="2"/>
  <c r="M88" i="2"/>
  <c r="L88" i="2"/>
  <c r="K88" i="2"/>
  <c r="J88" i="2"/>
  <c r="I88" i="2"/>
  <c r="H88" i="2"/>
  <c r="F88" i="2"/>
  <c r="G88" i="2" s="1"/>
  <c r="E88" i="2"/>
  <c r="D88" i="2"/>
  <c r="C88" i="2"/>
  <c r="CC87" i="2"/>
  <c r="CD87" i="2" s="1"/>
  <c r="CB87" i="2"/>
  <c r="CA87" i="2"/>
  <c r="BZ87" i="2"/>
  <c r="BY87" i="2"/>
  <c r="BX87" i="2"/>
  <c r="BW87" i="2"/>
  <c r="BV87" i="2"/>
  <c r="BU87" i="2"/>
  <c r="BS87" i="2"/>
  <c r="BT87" i="2" s="1"/>
  <c r="BR87" i="2"/>
  <c r="BQ87" i="2"/>
  <c r="BP87" i="2"/>
  <c r="BO87" i="2"/>
  <c r="BN87" i="2"/>
  <c r="BM87" i="2"/>
  <c r="BL87" i="2"/>
  <c r="BK87" i="2"/>
  <c r="BI87" i="2"/>
  <c r="BJ87" i="2" s="1"/>
  <c r="BH87" i="2"/>
  <c r="BG87" i="2"/>
  <c r="BF87" i="2"/>
  <c r="BE87" i="2"/>
  <c r="BD87" i="2"/>
  <c r="BC87" i="2"/>
  <c r="BB87" i="2"/>
  <c r="BA87" i="2"/>
  <c r="AY87" i="2"/>
  <c r="AZ87" i="2" s="1"/>
  <c r="AX87" i="2"/>
  <c r="AW87" i="2"/>
  <c r="AV87" i="2"/>
  <c r="AT87" i="2"/>
  <c r="AS87" i="2"/>
  <c r="AU87" i="2" s="1"/>
  <c r="AR87" i="2"/>
  <c r="AQ87" i="2"/>
  <c r="AO87" i="2"/>
  <c r="AP87" i="2" s="1"/>
  <c r="AN87" i="2"/>
  <c r="AM87" i="2"/>
  <c r="AL87" i="2"/>
  <c r="AK87" i="2"/>
  <c r="AJ87" i="2"/>
  <c r="AI87" i="2"/>
  <c r="AH87" i="2"/>
  <c r="AG87" i="2"/>
  <c r="AE87" i="2"/>
  <c r="AF87" i="2" s="1"/>
  <c r="AD87" i="2"/>
  <c r="AC87" i="2"/>
  <c r="AB87" i="2"/>
  <c r="AA87" i="2"/>
  <c r="Z87" i="2"/>
  <c r="Y87" i="2"/>
  <c r="X87" i="2"/>
  <c r="W87" i="2"/>
  <c r="U87" i="2"/>
  <c r="V87" i="2" s="1"/>
  <c r="T87" i="2"/>
  <c r="S87" i="2"/>
  <c r="R87" i="2"/>
  <c r="Q87" i="2"/>
  <c r="P87" i="2"/>
  <c r="O87" i="2"/>
  <c r="N87" i="2"/>
  <c r="M87" i="2"/>
  <c r="K87" i="2"/>
  <c r="L87" i="2" s="1"/>
  <c r="J87" i="2"/>
  <c r="I87" i="2"/>
  <c r="H87" i="2"/>
  <c r="G87" i="2"/>
  <c r="F87" i="2"/>
  <c r="E87" i="2"/>
  <c r="D87" i="2"/>
  <c r="C87" i="2"/>
  <c r="CD86" i="2"/>
  <c r="CC86" i="2"/>
  <c r="CB86" i="2"/>
  <c r="CA86" i="2"/>
  <c r="BZ86" i="2"/>
  <c r="BX86" i="2"/>
  <c r="BY86" i="2" s="1"/>
  <c r="BW86" i="2"/>
  <c r="BV86" i="2"/>
  <c r="BU86" i="2"/>
  <c r="BT86" i="2"/>
  <c r="BS86" i="2"/>
  <c r="BR86" i="2"/>
  <c r="BQ86" i="2"/>
  <c r="BP86" i="2"/>
  <c r="BN86" i="2"/>
  <c r="BO86" i="2" s="1"/>
  <c r="BM86" i="2"/>
  <c r="BL86" i="2"/>
  <c r="BK86" i="2"/>
  <c r="BJ86" i="2"/>
  <c r="BI86" i="2"/>
  <c r="BH86" i="2"/>
  <c r="BG86" i="2"/>
  <c r="BF86" i="2"/>
  <c r="BD86" i="2"/>
  <c r="BE86" i="2" s="1"/>
  <c r="BC86" i="2"/>
  <c r="BB86" i="2"/>
  <c r="BA86" i="2"/>
  <c r="AZ86" i="2"/>
  <c r="AY86" i="2"/>
  <c r="AX86" i="2"/>
  <c r="AW86" i="2"/>
  <c r="AV86" i="2"/>
  <c r="AT86" i="2"/>
  <c r="AU86" i="2" s="1"/>
  <c r="AS86" i="2"/>
  <c r="AR86" i="2"/>
  <c r="AQ86" i="2"/>
  <c r="AP86" i="2"/>
  <c r="AO86" i="2"/>
  <c r="AN86" i="2"/>
  <c r="AM86" i="2"/>
  <c r="AL86" i="2"/>
  <c r="AJ86" i="2"/>
  <c r="AK86" i="2" s="1"/>
  <c r="AI86" i="2"/>
  <c r="AH86" i="2"/>
  <c r="AG86" i="2"/>
  <c r="AF86" i="2"/>
  <c r="AE86" i="2"/>
  <c r="AD86" i="2"/>
  <c r="AC86" i="2"/>
  <c r="AB86" i="2"/>
  <c r="Z86" i="2"/>
  <c r="AA86" i="2" s="1"/>
  <c r="Y86" i="2"/>
  <c r="X86" i="2"/>
  <c r="W86" i="2"/>
  <c r="V86" i="2"/>
  <c r="U86" i="2"/>
  <c r="T86" i="2"/>
  <c r="S86" i="2"/>
  <c r="R86" i="2"/>
  <c r="P86" i="2"/>
  <c r="Q86" i="2" s="1"/>
  <c r="O86" i="2"/>
  <c r="N86" i="2"/>
  <c r="M86" i="2"/>
  <c r="L86" i="2"/>
  <c r="K86" i="2"/>
  <c r="J86" i="2"/>
  <c r="I86" i="2"/>
  <c r="H86" i="2"/>
  <c r="F86" i="2"/>
  <c r="G86" i="2" s="1"/>
  <c r="E86" i="2"/>
  <c r="D86" i="2"/>
  <c r="C86" i="2"/>
  <c r="CC85" i="2"/>
  <c r="CD85" i="2" s="1"/>
  <c r="CB85" i="2"/>
  <c r="CA85" i="2"/>
  <c r="BZ85" i="2"/>
  <c r="BY85" i="2"/>
  <c r="BX85" i="2"/>
  <c r="BW85" i="2"/>
  <c r="BV85" i="2"/>
  <c r="BU85" i="2"/>
  <c r="BS85" i="2"/>
  <c r="BT85" i="2" s="1"/>
  <c r="BR85" i="2"/>
  <c r="BQ85" i="2"/>
  <c r="BP85" i="2"/>
  <c r="BO85" i="2"/>
  <c r="BN85" i="2"/>
  <c r="BM85" i="2"/>
  <c r="BL85" i="2"/>
  <c r="BK85" i="2"/>
  <c r="BI85" i="2"/>
  <c r="BJ85" i="2" s="1"/>
  <c r="BH85" i="2"/>
  <c r="BG85" i="2"/>
  <c r="BF85" i="2"/>
  <c r="BE85" i="2"/>
  <c r="BD85" i="2"/>
  <c r="BC85" i="2"/>
  <c r="BB85" i="2"/>
  <c r="BA85" i="2"/>
  <c r="AY85" i="2"/>
  <c r="AZ85" i="2" s="1"/>
  <c r="AX85" i="2"/>
  <c r="AW85" i="2"/>
  <c r="AV85" i="2"/>
  <c r="AU85" i="2"/>
  <c r="AT85" i="2"/>
  <c r="AS85" i="2"/>
  <c r="AR85" i="2"/>
  <c r="AQ85" i="2"/>
  <c r="AO85" i="2"/>
  <c r="AP85" i="2" s="1"/>
  <c r="AN85" i="2"/>
  <c r="AM85" i="2"/>
  <c r="AL85" i="2"/>
  <c r="AK85" i="2"/>
  <c r="AJ85" i="2"/>
  <c r="AI85" i="2"/>
  <c r="AH85" i="2"/>
  <c r="AG85" i="2"/>
  <c r="AE85" i="2"/>
  <c r="AF85" i="2" s="1"/>
  <c r="AD85" i="2"/>
  <c r="AC85" i="2"/>
  <c r="AB85" i="2"/>
  <c r="AA85" i="2"/>
  <c r="Z85" i="2"/>
  <c r="Y85" i="2"/>
  <c r="X85" i="2"/>
  <c r="W85" i="2"/>
  <c r="U85" i="2"/>
  <c r="V85" i="2" s="1"/>
  <c r="T85" i="2"/>
  <c r="S85" i="2"/>
  <c r="R85" i="2"/>
  <c r="Q85" i="2"/>
  <c r="P85" i="2"/>
  <c r="O85" i="2"/>
  <c r="N85" i="2"/>
  <c r="M85" i="2"/>
  <c r="K85" i="2"/>
  <c r="L85" i="2" s="1"/>
  <c r="J85" i="2"/>
  <c r="I85" i="2"/>
  <c r="H85" i="2"/>
  <c r="G85" i="2"/>
  <c r="F85" i="2"/>
  <c r="E85" i="2"/>
  <c r="D85" i="2"/>
  <c r="C85" i="2"/>
  <c r="CD84" i="2"/>
  <c r="CC84" i="2"/>
  <c r="CB84" i="2"/>
  <c r="CA84" i="2"/>
  <c r="BZ84" i="2"/>
  <c r="BX84" i="2"/>
  <c r="BY84" i="2" s="1"/>
  <c r="BW84" i="2"/>
  <c r="BV84" i="2"/>
  <c r="BU84" i="2"/>
  <c r="BT84" i="2"/>
  <c r="BS84" i="2"/>
  <c r="BR84" i="2"/>
  <c r="BQ84" i="2"/>
  <c r="BP84" i="2"/>
  <c r="BN84" i="2"/>
  <c r="BO84" i="2" s="1"/>
  <c r="BM84" i="2"/>
  <c r="BL84" i="2"/>
  <c r="BK84" i="2"/>
  <c r="BJ84" i="2"/>
  <c r="BI84" i="2"/>
  <c r="BH84" i="2"/>
  <c r="BG84" i="2"/>
  <c r="BF84" i="2"/>
  <c r="BD84" i="2"/>
  <c r="BE84" i="2" s="1"/>
  <c r="BC84" i="2"/>
  <c r="BB84" i="2"/>
  <c r="BA84" i="2"/>
  <c r="AZ84" i="2"/>
  <c r="AY84" i="2"/>
  <c r="AX84" i="2"/>
  <c r="AW84" i="2"/>
  <c r="AV84" i="2"/>
  <c r="AT84" i="2"/>
  <c r="AU84" i="2" s="1"/>
  <c r="AS84" i="2"/>
  <c r="AR84" i="2"/>
  <c r="AQ84" i="2"/>
  <c r="AP84" i="2"/>
  <c r="AO84" i="2"/>
  <c r="AN84" i="2"/>
  <c r="AM84" i="2"/>
  <c r="AL84" i="2"/>
  <c r="AJ84" i="2"/>
  <c r="AK84" i="2" s="1"/>
  <c r="AI84" i="2"/>
  <c r="AH84" i="2"/>
  <c r="AG84" i="2"/>
  <c r="AF84" i="2"/>
  <c r="AE84" i="2"/>
  <c r="AD84" i="2"/>
  <c r="AC84" i="2"/>
  <c r="AB84" i="2"/>
  <c r="Z84" i="2"/>
  <c r="AA84" i="2" s="1"/>
  <c r="Y84" i="2"/>
  <c r="X84" i="2"/>
  <c r="W84" i="2"/>
  <c r="V84" i="2"/>
  <c r="U84" i="2"/>
  <c r="T84" i="2"/>
  <c r="S84" i="2"/>
  <c r="R84" i="2"/>
  <c r="P84" i="2"/>
  <c r="Q84" i="2" s="1"/>
  <c r="O84" i="2"/>
  <c r="N84" i="2"/>
  <c r="M84" i="2"/>
  <c r="L84" i="2"/>
  <c r="K84" i="2"/>
  <c r="J84" i="2"/>
  <c r="I84" i="2"/>
  <c r="H84" i="2"/>
  <c r="F84" i="2"/>
  <c r="G84" i="2" s="1"/>
  <c r="E84" i="2"/>
  <c r="D84" i="2"/>
  <c r="C84" i="2"/>
  <c r="CC83" i="2"/>
  <c r="CD83" i="2" s="1"/>
  <c r="CB83" i="2"/>
  <c r="CA83" i="2"/>
  <c r="BZ83" i="2"/>
  <c r="BY83" i="2"/>
  <c r="BX83" i="2"/>
  <c r="BW83" i="2"/>
  <c r="BV83" i="2"/>
  <c r="BU83" i="2"/>
  <c r="BS83" i="2"/>
  <c r="BT83" i="2" s="1"/>
  <c r="BR83" i="2"/>
  <c r="BQ83" i="2"/>
  <c r="BP83" i="2"/>
  <c r="BO83" i="2"/>
  <c r="BN83" i="2"/>
  <c r="BM83" i="2"/>
  <c r="BL83" i="2"/>
  <c r="BK83" i="2"/>
  <c r="BI83" i="2"/>
  <c r="BJ83" i="2" s="1"/>
  <c r="BH83" i="2"/>
  <c r="BG83" i="2"/>
  <c r="BF83" i="2"/>
  <c r="BE83" i="2"/>
  <c r="BD83" i="2"/>
  <c r="BC83" i="2"/>
  <c r="BB83" i="2"/>
  <c r="BA83" i="2"/>
  <c r="AY83" i="2"/>
  <c r="AZ83" i="2" s="1"/>
  <c r="AX83" i="2"/>
  <c r="AW83" i="2"/>
  <c r="AV83" i="2"/>
  <c r="AT83" i="2"/>
  <c r="AS83" i="2"/>
  <c r="AU83" i="2" s="1"/>
  <c r="AR83" i="2"/>
  <c r="AQ83" i="2"/>
  <c r="AO83" i="2"/>
  <c r="AP83" i="2" s="1"/>
  <c r="AN83" i="2"/>
  <c r="AM83" i="2"/>
  <c r="AL83" i="2"/>
  <c r="AK83" i="2"/>
  <c r="AJ83" i="2"/>
  <c r="AI83" i="2"/>
  <c r="AH83" i="2"/>
  <c r="AG83" i="2"/>
  <c r="AE83" i="2"/>
  <c r="AF83" i="2" s="1"/>
  <c r="AD83" i="2"/>
  <c r="AC83" i="2"/>
  <c r="AB83" i="2"/>
  <c r="AA83" i="2"/>
  <c r="Z83" i="2"/>
  <c r="Y83" i="2"/>
  <c r="X83" i="2"/>
  <c r="W83" i="2"/>
  <c r="U83" i="2"/>
  <c r="V83" i="2" s="1"/>
  <c r="T83" i="2"/>
  <c r="S83" i="2"/>
  <c r="R83" i="2"/>
  <c r="Q83" i="2"/>
  <c r="P83" i="2"/>
  <c r="O83" i="2"/>
  <c r="N83" i="2"/>
  <c r="M83" i="2"/>
  <c r="K83" i="2"/>
  <c r="L83" i="2" s="1"/>
  <c r="J83" i="2"/>
  <c r="I83" i="2"/>
  <c r="H83" i="2"/>
  <c r="G83" i="2"/>
  <c r="F83" i="2"/>
  <c r="E83" i="2"/>
  <c r="D83" i="2"/>
  <c r="C83" i="2"/>
  <c r="CD82" i="2"/>
  <c r="CC82" i="2"/>
  <c r="CB82" i="2"/>
  <c r="CA82" i="2"/>
  <c r="BZ82" i="2"/>
  <c r="BX82" i="2"/>
  <c r="BY82" i="2" s="1"/>
  <c r="BW82" i="2"/>
  <c r="BV82" i="2"/>
  <c r="BU82" i="2"/>
  <c r="BT82" i="2"/>
  <c r="BS82" i="2"/>
  <c r="BR82" i="2"/>
  <c r="BQ82" i="2"/>
  <c r="BP82" i="2"/>
  <c r="BN82" i="2"/>
  <c r="BO82" i="2" s="1"/>
  <c r="BM82" i="2"/>
  <c r="BL82" i="2"/>
  <c r="BK82" i="2"/>
  <c r="BJ82" i="2"/>
  <c r="BI82" i="2"/>
  <c r="BH82" i="2"/>
  <c r="BG82" i="2"/>
  <c r="BF82" i="2"/>
  <c r="BD82" i="2"/>
  <c r="BE82" i="2" s="1"/>
  <c r="BC82" i="2"/>
  <c r="BB82" i="2"/>
  <c r="BA82" i="2"/>
  <c r="AZ82" i="2"/>
  <c r="AY82" i="2"/>
  <c r="AX82" i="2"/>
  <c r="AW82" i="2"/>
  <c r="AV82" i="2"/>
  <c r="AT82" i="2"/>
  <c r="AU82" i="2" s="1"/>
  <c r="AS82" i="2"/>
  <c r="AR82" i="2"/>
  <c r="AQ82" i="2"/>
  <c r="AP82" i="2"/>
  <c r="AO82" i="2"/>
  <c r="AN82" i="2"/>
  <c r="AM82" i="2"/>
  <c r="AL82" i="2"/>
  <c r="AJ82" i="2"/>
  <c r="AK82" i="2" s="1"/>
  <c r="AI82" i="2"/>
  <c r="AH82" i="2"/>
  <c r="AG82" i="2"/>
  <c r="AF82" i="2"/>
  <c r="AE82" i="2"/>
  <c r="AD82" i="2"/>
  <c r="AC82" i="2"/>
  <c r="AB82" i="2"/>
  <c r="Z82" i="2"/>
  <c r="AA82" i="2" s="1"/>
  <c r="Y82" i="2"/>
  <c r="X82" i="2"/>
  <c r="W82" i="2"/>
  <c r="V82" i="2"/>
  <c r="U82" i="2"/>
  <c r="T82" i="2"/>
  <c r="S82" i="2"/>
  <c r="R82" i="2"/>
  <c r="P82" i="2"/>
  <c r="Q82" i="2" s="1"/>
  <c r="O82" i="2"/>
  <c r="N82" i="2"/>
  <c r="M82" i="2"/>
  <c r="L82" i="2"/>
  <c r="K82" i="2"/>
  <c r="J82" i="2"/>
  <c r="I82" i="2"/>
  <c r="H82" i="2"/>
  <c r="F82" i="2"/>
  <c r="G82" i="2" s="1"/>
  <c r="E82" i="2"/>
  <c r="D82" i="2"/>
  <c r="C82" i="2"/>
  <c r="CC81" i="2"/>
  <c r="CD81" i="2" s="1"/>
  <c r="CB81" i="2"/>
  <c r="CA81" i="2"/>
  <c r="BZ81" i="2"/>
  <c r="BY81" i="2"/>
  <c r="BX81" i="2"/>
  <c r="BW81" i="2"/>
  <c r="BV81" i="2"/>
  <c r="BU81" i="2"/>
  <c r="BS81" i="2"/>
  <c r="BT81" i="2" s="1"/>
  <c r="BR81" i="2"/>
  <c r="BQ81" i="2"/>
  <c r="BP81" i="2"/>
  <c r="BO81" i="2"/>
  <c r="BN81" i="2"/>
  <c r="BM81" i="2"/>
  <c r="BL81" i="2"/>
  <c r="BK81" i="2"/>
  <c r="BI81" i="2"/>
  <c r="BJ81" i="2" s="1"/>
  <c r="BH81" i="2"/>
  <c r="BG81" i="2"/>
  <c r="BF81" i="2"/>
  <c r="BE81" i="2"/>
  <c r="BD81" i="2"/>
  <c r="BC81" i="2"/>
  <c r="BB81" i="2"/>
  <c r="BA81" i="2"/>
  <c r="AY81" i="2"/>
  <c r="AZ81" i="2" s="1"/>
  <c r="AX81" i="2"/>
  <c r="AW81" i="2"/>
  <c r="AV81" i="2"/>
  <c r="AU81" i="2"/>
  <c r="AT81" i="2"/>
  <c r="AS81" i="2"/>
  <c r="AR81" i="2"/>
  <c r="AQ81" i="2"/>
  <c r="AO81" i="2"/>
  <c r="AP81" i="2" s="1"/>
  <c r="AN81" i="2"/>
  <c r="AM81" i="2"/>
  <c r="AL81" i="2"/>
  <c r="AK81" i="2"/>
  <c r="AJ81" i="2"/>
  <c r="AI81" i="2"/>
  <c r="AH81" i="2"/>
  <c r="AG81" i="2"/>
  <c r="AE81" i="2"/>
  <c r="AF81" i="2" s="1"/>
  <c r="AD81" i="2"/>
  <c r="AC81" i="2"/>
  <c r="AB81" i="2"/>
  <c r="AA81" i="2"/>
  <c r="Z81" i="2"/>
  <c r="Y81" i="2"/>
  <c r="X81" i="2"/>
  <c r="W81" i="2"/>
  <c r="U81" i="2"/>
  <c r="V81" i="2" s="1"/>
  <c r="T81" i="2"/>
  <c r="S81" i="2"/>
  <c r="R81" i="2"/>
  <c r="Q81" i="2"/>
  <c r="P81" i="2"/>
  <c r="O81" i="2"/>
  <c r="N81" i="2"/>
  <c r="M81" i="2"/>
  <c r="K81" i="2"/>
  <c r="L81" i="2" s="1"/>
  <c r="J81" i="2"/>
  <c r="I81" i="2"/>
  <c r="H81" i="2"/>
  <c r="G81" i="2"/>
  <c r="F81" i="2"/>
  <c r="E81" i="2"/>
  <c r="D81" i="2"/>
  <c r="C81" i="2"/>
  <c r="CD80" i="2"/>
  <c r="CC80" i="2"/>
  <c r="CB80" i="2"/>
  <c r="CA80" i="2"/>
  <c r="BZ80" i="2"/>
  <c r="BX80" i="2"/>
  <c r="BY80" i="2" s="1"/>
  <c r="BW80" i="2"/>
  <c r="BV80" i="2"/>
  <c r="BU80" i="2"/>
  <c r="BT80" i="2"/>
  <c r="BS80" i="2"/>
  <c r="BR80" i="2"/>
  <c r="BQ80" i="2"/>
  <c r="BP80" i="2"/>
  <c r="BN80" i="2"/>
  <c r="BO80" i="2" s="1"/>
  <c r="BM80" i="2"/>
  <c r="BL80" i="2"/>
  <c r="BK80" i="2"/>
  <c r="BJ80" i="2"/>
  <c r="BI80" i="2"/>
  <c r="BH80" i="2"/>
  <c r="BG80" i="2"/>
  <c r="BF80" i="2"/>
  <c r="BD80" i="2"/>
  <c r="BE80" i="2" s="1"/>
  <c r="BC80" i="2"/>
  <c r="BB80" i="2"/>
  <c r="BA80" i="2"/>
  <c r="AZ80" i="2"/>
  <c r="AY80" i="2"/>
  <c r="AX80" i="2"/>
  <c r="AW80" i="2"/>
  <c r="AV80" i="2"/>
  <c r="AT80" i="2"/>
  <c r="AU80" i="2" s="1"/>
  <c r="AS80" i="2"/>
  <c r="AR80" i="2"/>
  <c r="AQ80" i="2"/>
  <c r="AP80" i="2"/>
  <c r="AO80" i="2"/>
  <c r="AN80" i="2"/>
  <c r="AM80" i="2"/>
  <c r="AL80" i="2"/>
  <c r="AJ80" i="2"/>
  <c r="AK80" i="2" s="1"/>
  <c r="AI80" i="2"/>
  <c r="AH80" i="2"/>
  <c r="AG80" i="2"/>
  <c r="AF80" i="2"/>
  <c r="AE80" i="2"/>
  <c r="AD80" i="2"/>
  <c r="AC80" i="2"/>
  <c r="AB80" i="2"/>
  <c r="Z80" i="2"/>
  <c r="AA80" i="2" s="1"/>
  <c r="Y80" i="2"/>
  <c r="X80" i="2"/>
  <c r="W80" i="2"/>
  <c r="V80" i="2"/>
  <c r="U80" i="2"/>
  <c r="T80" i="2"/>
  <c r="S80" i="2"/>
  <c r="R80" i="2"/>
  <c r="P80" i="2"/>
  <c r="Q80" i="2" s="1"/>
  <c r="O80" i="2"/>
  <c r="N80" i="2"/>
  <c r="M80" i="2"/>
  <c r="L80" i="2"/>
  <c r="K80" i="2"/>
  <c r="J80" i="2"/>
  <c r="I80" i="2"/>
  <c r="H80" i="2"/>
  <c r="F80" i="2"/>
  <c r="G80" i="2" s="1"/>
  <c r="E80" i="2"/>
  <c r="D80" i="2"/>
  <c r="C80" i="2"/>
  <c r="CC79" i="2"/>
  <c r="CD79" i="2" s="1"/>
  <c r="CB79" i="2"/>
  <c r="CA79" i="2"/>
  <c r="BZ79" i="2"/>
  <c r="BY79" i="2"/>
  <c r="BX79" i="2"/>
  <c r="BW79" i="2"/>
  <c r="BV79" i="2"/>
  <c r="BU79" i="2"/>
  <c r="BS79" i="2"/>
  <c r="BT79" i="2" s="1"/>
  <c r="BR79" i="2"/>
  <c r="BQ79" i="2"/>
  <c r="BP79" i="2"/>
  <c r="BO79" i="2"/>
  <c r="BN79" i="2"/>
  <c r="BM79" i="2"/>
  <c r="BL79" i="2"/>
  <c r="BK79" i="2"/>
  <c r="BI79" i="2"/>
  <c r="BJ79" i="2" s="1"/>
  <c r="BH79" i="2"/>
  <c r="BG79" i="2"/>
  <c r="BF79" i="2"/>
  <c r="BE79" i="2"/>
  <c r="BD79" i="2"/>
  <c r="BC79" i="2"/>
  <c r="BB79" i="2"/>
  <c r="BA79" i="2"/>
  <c r="AY79" i="2"/>
  <c r="AZ79" i="2" s="1"/>
  <c r="AX79" i="2"/>
  <c r="AW79" i="2"/>
  <c r="AV79" i="2"/>
  <c r="AT79" i="2"/>
  <c r="AS79" i="2"/>
  <c r="AU79" i="2" s="1"/>
  <c r="AR79" i="2"/>
  <c r="AQ79" i="2"/>
  <c r="AO79" i="2"/>
  <c r="AP79" i="2" s="1"/>
  <c r="AN79" i="2"/>
  <c r="AM79" i="2"/>
  <c r="AL79" i="2"/>
  <c r="AK79" i="2"/>
  <c r="AJ79" i="2"/>
  <c r="AI79" i="2"/>
  <c r="AH79" i="2"/>
  <c r="AG79" i="2"/>
  <c r="AE79" i="2"/>
  <c r="AF79" i="2" s="1"/>
  <c r="AD79" i="2"/>
  <c r="AC79" i="2"/>
  <c r="AB79" i="2"/>
  <c r="AA79" i="2"/>
  <c r="Z79" i="2"/>
  <c r="Y79" i="2"/>
  <c r="X79" i="2"/>
  <c r="W79" i="2"/>
  <c r="U79" i="2"/>
  <c r="V79" i="2" s="1"/>
  <c r="T79" i="2"/>
  <c r="S79" i="2"/>
  <c r="R79" i="2"/>
  <c r="Q79" i="2"/>
  <c r="P79" i="2"/>
  <c r="O79" i="2"/>
  <c r="N79" i="2"/>
  <c r="M79" i="2"/>
  <c r="K79" i="2"/>
  <c r="L79" i="2" s="1"/>
  <c r="J79" i="2"/>
  <c r="I79" i="2"/>
  <c r="H79" i="2"/>
  <c r="G79" i="2"/>
  <c r="F79" i="2"/>
  <c r="E79" i="2"/>
  <c r="D79" i="2"/>
  <c r="C79" i="2"/>
  <c r="CD78" i="2"/>
  <c r="CC78" i="2"/>
  <c r="CB78" i="2"/>
  <c r="CA78" i="2"/>
  <c r="BZ78" i="2"/>
  <c r="BX78" i="2"/>
  <c r="BY78" i="2" s="1"/>
  <c r="BW78" i="2"/>
  <c r="BV78" i="2"/>
  <c r="BU78" i="2"/>
  <c r="BT78" i="2"/>
  <c r="BS78" i="2"/>
  <c r="BR78" i="2"/>
  <c r="BQ78" i="2"/>
  <c r="BP78" i="2"/>
  <c r="BN78" i="2"/>
  <c r="BO78" i="2" s="1"/>
  <c r="BM78" i="2"/>
  <c r="BL78" i="2"/>
  <c r="BK78" i="2"/>
  <c r="BJ78" i="2"/>
  <c r="BI78" i="2"/>
  <c r="BH78" i="2"/>
  <c r="BG78" i="2"/>
  <c r="BF78" i="2"/>
  <c r="BD78" i="2"/>
  <c r="BE78" i="2" s="1"/>
  <c r="BC78" i="2"/>
  <c r="BB78" i="2"/>
  <c r="BA78" i="2"/>
  <c r="AZ78" i="2"/>
  <c r="AY78" i="2"/>
  <c r="AX78" i="2"/>
  <c r="AW78" i="2"/>
  <c r="AV78" i="2"/>
  <c r="AT78" i="2"/>
  <c r="AU78" i="2" s="1"/>
  <c r="AS78" i="2"/>
  <c r="AR78" i="2"/>
  <c r="AQ78" i="2"/>
  <c r="AP78" i="2"/>
  <c r="AO78" i="2"/>
  <c r="AN78" i="2"/>
  <c r="AM78" i="2"/>
  <c r="AL78" i="2"/>
  <c r="AJ78" i="2"/>
  <c r="AK78" i="2" s="1"/>
  <c r="AI78" i="2"/>
  <c r="AH78" i="2"/>
  <c r="AG78" i="2"/>
  <c r="AF78" i="2"/>
  <c r="AE78" i="2"/>
  <c r="AD78" i="2"/>
  <c r="AC78" i="2"/>
  <c r="AB78" i="2"/>
  <c r="Z78" i="2"/>
  <c r="AA78" i="2" s="1"/>
  <c r="Y78" i="2"/>
  <c r="X78" i="2"/>
  <c r="W78" i="2"/>
  <c r="V78" i="2"/>
  <c r="U78" i="2"/>
  <c r="T78" i="2"/>
  <c r="S78" i="2"/>
  <c r="R78" i="2"/>
  <c r="P78" i="2"/>
  <c r="Q78" i="2" s="1"/>
  <c r="O78" i="2"/>
  <c r="N78" i="2"/>
  <c r="M78" i="2"/>
  <c r="L78" i="2"/>
  <c r="K78" i="2"/>
  <c r="J78" i="2"/>
  <c r="I78" i="2"/>
  <c r="H78" i="2"/>
  <c r="F78" i="2"/>
  <c r="G78" i="2" s="1"/>
  <c r="E78" i="2"/>
  <c r="D78" i="2"/>
  <c r="C78" i="2"/>
  <c r="CC77" i="2"/>
  <c r="CD77" i="2" s="1"/>
  <c r="CB77" i="2"/>
  <c r="CA77" i="2"/>
  <c r="BZ77" i="2"/>
  <c r="BY77" i="2"/>
  <c r="BX77" i="2"/>
  <c r="BW77" i="2"/>
  <c r="BV77" i="2"/>
  <c r="BU77" i="2"/>
  <c r="BS77" i="2"/>
  <c r="BT77" i="2" s="1"/>
  <c r="BR77" i="2"/>
  <c r="BQ77" i="2"/>
  <c r="BP77" i="2"/>
  <c r="BO77" i="2"/>
  <c r="BN77" i="2"/>
  <c r="BM77" i="2"/>
  <c r="BL77" i="2"/>
  <c r="BK77" i="2"/>
  <c r="BI77" i="2"/>
  <c r="BJ77" i="2" s="1"/>
  <c r="BH77" i="2"/>
  <c r="BG77" i="2"/>
  <c r="BF77" i="2"/>
  <c r="BE77" i="2"/>
  <c r="BD77" i="2"/>
  <c r="BC77" i="2"/>
  <c r="BB77" i="2"/>
  <c r="BA77" i="2"/>
  <c r="AY77" i="2"/>
  <c r="AZ77" i="2" s="1"/>
  <c r="AX77" i="2"/>
  <c r="AW77" i="2"/>
  <c r="AV77" i="2"/>
  <c r="AU77" i="2"/>
  <c r="AT77" i="2"/>
  <c r="AS77" i="2"/>
  <c r="AR77" i="2"/>
  <c r="AQ77" i="2"/>
  <c r="AO77" i="2"/>
  <c r="AP77" i="2" s="1"/>
  <c r="AN77" i="2"/>
  <c r="AM77" i="2"/>
  <c r="AL77" i="2"/>
  <c r="AK77" i="2"/>
  <c r="AJ77" i="2"/>
  <c r="AI77" i="2"/>
  <c r="AH77" i="2"/>
  <c r="AG77" i="2"/>
  <c r="AE77" i="2"/>
  <c r="AF77" i="2" s="1"/>
  <c r="AD77" i="2"/>
  <c r="AC77" i="2"/>
  <c r="AB77" i="2"/>
  <c r="AA77" i="2"/>
  <c r="Z77" i="2"/>
  <c r="Y77" i="2"/>
  <c r="X77" i="2"/>
  <c r="W77" i="2"/>
  <c r="U77" i="2"/>
  <c r="V77" i="2" s="1"/>
  <c r="T77" i="2"/>
  <c r="S77" i="2"/>
  <c r="R77" i="2"/>
  <c r="Q77" i="2"/>
  <c r="P77" i="2"/>
  <c r="O77" i="2"/>
  <c r="N77" i="2"/>
  <c r="M77" i="2"/>
  <c r="K77" i="2"/>
  <c r="L77" i="2" s="1"/>
  <c r="J77" i="2"/>
  <c r="I77" i="2"/>
  <c r="H77" i="2"/>
  <c r="G77" i="2"/>
  <c r="F77" i="2"/>
  <c r="E77" i="2"/>
  <c r="D77" i="2"/>
  <c r="C77" i="2"/>
  <c r="CD76" i="2"/>
  <c r="CC76" i="2"/>
  <c r="CB76" i="2"/>
  <c r="CA76" i="2"/>
  <c r="BZ76" i="2"/>
  <c r="BX76" i="2"/>
  <c r="BY76" i="2" s="1"/>
  <c r="BW76" i="2"/>
  <c r="BV76" i="2"/>
  <c r="BU76" i="2"/>
  <c r="BT76" i="2"/>
  <c r="BS76" i="2"/>
  <c r="BR76" i="2"/>
  <c r="BQ76" i="2"/>
  <c r="BP76" i="2"/>
  <c r="BN76" i="2"/>
  <c r="BO76" i="2" s="1"/>
  <c r="BM76" i="2"/>
  <c r="BL76" i="2"/>
  <c r="BK76" i="2"/>
  <c r="BJ76" i="2"/>
  <c r="BI76" i="2"/>
  <c r="BH76" i="2"/>
  <c r="BG76" i="2"/>
  <c r="BF76" i="2"/>
  <c r="BD76" i="2"/>
  <c r="BE76" i="2" s="1"/>
  <c r="BC76" i="2"/>
  <c r="BB76" i="2"/>
  <c r="BA76" i="2"/>
  <c r="AZ76" i="2"/>
  <c r="AY76" i="2"/>
  <c r="AX76" i="2"/>
  <c r="AW76" i="2"/>
  <c r="AV76" i="2"/>
  <c r="AT76" i="2"/>
  <c r="AU76" i="2" s="1"/>
  <c r="AS76" i="2"/>
  <c r="AR76" i="2"/>
  <c r="AQ76" i="2"/>
  <c r="AO76" i="2"/>
  <c r="AN76" i="2"/>
  <c r="AP76" i="2" s="1"/>
  <c r="AM76" i="2"/>
  <c r="AL76" i="2"/>
  <c r="AJ76" i="2"/>
  <c r="AK76" i="2" s="1"/>
  <c r="AI76" i="2"/>
  <c r="AH76" i="2"/>
  <c r="AG76" i="2"/>
  <c r="AF76" i="2"/>
  <c r="AE76" i="2"/>
  <c r="AD76" i="2"/>
  <c r="AC76" i="2"/>
  <c r="AB76" i="2"/>
  <c r="Z76" i="2"/>
  <c r="AA76" i="2" s="1"/>
  <c r="Y76" i="2"/>
  <c r="X76" i="2"/>
  <c r="W76" i="2"/>
  <c r="V76" i="2"/>
  <c r="U76" i="2"/>
  <c r="T76" i="2"/>
  <c r="S76" i="2"/>
  <c r="R76" i="2"/>
  <c r="P76" i="2"/>
  <c r="Q76" i="2" s="1"/>
  <c r="O76" i="2"/>
  <c r="N76" i="2"/>
  <c r="M76" i="2"/>
  <c r="L76" i="2"/>
  <c r="K76" i="2"/>
  <c r="J76" i="2"/>
  <c r="I76" i="2"/>
  <c r="H76" i="2"/>
  <c r="F76" i="2"/>
  <c r="G76" i="2" s="1"/>
  <c r="E76" i="2"/>
  <c r="D76" i="2"/>
  <c r="C76" i="2"/>
  <c r="CC75" i="2"/>
  <c r="CD75" i="2" s="1"/>
  <c r="CB75" i="2"/>
  <c r="CA75" i="2"/>
  <c r="BZ75" i="2"/>
  <c r="BY75" i="2"/>
  <c r="BX75" i="2"/>
  <c r="BW75" i="2"/>
  <c r="BV75" i="2"/>
  <c r="BU75" i="2"/>
  <c r="BS75" i="2"/>
  <c r="BT75" i="2" s="1"/>
  <c r="BR75" i="2"/>
  <c r="BQ75" i="2"/>
  <c r="BP75" i="2"/>
  <c r="BO75" i="2"/>
  <c r="BN75" i="2"/>
  <c r="BM75" i="2"/>
  <c r="BL75" i="2"/>
  <c r="BK75" i="2"/>
  <c r="BI75" i="2"/>
  <c r="BJ75" i="2" s="1"/>
  <c r="BH75" i="2"/>
  <c r="BG75" i="2"/>
  <c r="BF75" i="2"/>
  <c r="BE75" i="2"/>
  <c r="BD75" i="2"/>
  <c r="BC75" i="2"/>
  <c r="BB75" i="2"/>
  <c r="BA75" i="2"/>
  <c r="AY75" i="2"/>
  <c r="AZ75" i="2" s="1"/>
  <c r="AX75" i="2"/>
  <c r="AW75" i="2"/>
  <c r="AV75" i="2"/>
  <c r="AU75" i="2"/>
  <c r="AT75" i="2"/>
  <c r="AS75" i="2"/>
  <c r="AR75" i="2"/>
  <c r="AQ75" i="2"/>
  <c r="AO75" i="2"/>
  <c r="AP75" i="2" s="1"/>
  <c r="AN75" i="2"/>
  <c r="AM75" i="2"/>
  <c r="AL75" i="2"/>
  <c r="AK75" i="2"/>
  <c r="AJ75" i="2"/>
  <c r="AI75" i="2"/>
  <c r="AH75" i="2"/>
  <c r="AG75" i="2"/>
  <c r="AE75" i="2"/>
  <c r="AF75" i="2" s="1"/>
  <c r="AD75" i="2"/>
  <c r="AC75" i="2"/>
  <c r="AB75" i="2"/>
  <c r="AA75" i="2"/>
  <c r="Z75" i="2"/>
  <c r="Y75" i="2"/>
  <c r="X75" i="2"/>
  <c r="W75" i="2"/>
  <c r="U75" i="2"/>
  <c r="V75" i="2" s="1"/>
  <c r="T75" i="2"/>
  <c r="S75" i="2"/>
  <c r="R75" i="2"/>
  <c r="Q75" i="2"/>
  <c r="P75" i="2"/>
  <c r="O75" i="2"/>
  <c r="N75" i="2"/>
  <c r="M75" i="2"/>
  <c r="K75" i="2"/>
  <c r="L75" i="2" s="1"/>
  <c r="J75" i="2"/>
  <c r="I75" i="2"/>
  <c r="H75" i="2"/>
  <c r="G75" i="2"/>
  <c r="F75" i="2"/>
  <c r="E75" i="2"/>
  <c r="D75" i="2"/>
  <c r="C75" i="2"/>
  <c r="CD74" i="2"/>
  <c r="CC74" i="2"/>
  <c r="CB74" i="2"/>
  <c r="CA74" i="2"/>
  <c r="BZ74" i="2"/>
  <c r="BX74" i="2"/>
  <c r="BY74" i="2" s="1"/>
  <c r="BW74" i="2"/>
  <c r="BV74" i="2"/>
  <c r="BU74" i="2"/>
  <c r="BT74" i="2"/>
  <c r="BS74" i="2"/>
  <c r="BR74" i="2"/>
  <c r="BQ74" i="2"/>
  <c r="BP74" i="2"/>
  <c r="BN74" i="2"/>
  <c r="BO74" i="2" s="1"/>
  <c r="BM74" i="2"/>
  <c r="BL74" i="2"/>
  <c r="BK74" i="2"/>
  <c r="BJ74" i="2"/>
  <c r="BI74" i="2"/>
  <c r="BH74" i="2"/>
  <c r="BG74" i="2"/>
  <c r="BF74" i="2"/>
  <c r="BD74" i="2"/>
  <c r="BE74" i="2" s="1"/>
  <c r="BC74" i="2"/>
  <c r="BB74" i="2"/>
  <c r="BA74" i="2"/>
  <c r="AZ74" i="2"/>
  <c r="AY74" i="2"/>
  <c r="AX74" i="2"/>
  <c r="AW74" i="2"/>
  <c r="AV74" i="2"/>
  <c r="AT74" i="2"/>
  <c r="AU74" i="2" s="1"/>
  <c r="AS74" i="2"/>
  <c r="AR74" i="2"/>
  <c r="AQ74" i="2"/>
  <c r="AO74" i="2"/>
  <c r="AN74" i="2"/>
  <c r="AP74" i="2" s="1"/>
  <c r="AM74" i="2"/>
  <c r="AL74" i="2"/>
  <c r="AJ74" i="2"/>
  <c r="AK74" i="2" s="1"/>
  <c r="AI74" i="2"/>
  <c r="AH74" i="2"/>
  <c r="AG74" i="2"/>
  <c r="AF74" i="2"/>
  <c r="AE74" i="2"/>
  <c r="AD74" i="2"/>
  <c r="AC74" i="2"/>
  <c r="AB74" i="2"/>
  <c r="Z74" i="2"/>
  <c r="AA74" i="2" s="1"/>
  <c r="Y74" i="2"/>
  <c r="X74" i="2"/>
  <c r="W74" i="2"/>
  <c r="V74" i="2"/>
  <c r="U74" i="2"/>
  <c r="T74" i="2"/>
  <c r="S74" i="2"/>
  <c r="R74" i="2"/>
  <c r="P74" i="2"/>
  <c r="Q74" i="2" s="1"/>
  <c r="O74" i="2"/>
  <c r="N74" i="2"/>
  <c r="M74" i="2"/>
  <c r="L74" i="2"/>
  <c r="K74" i="2"/>
  <c r="J74" i="2"/>
  <c r="I74" i="2"/>
  <c r="H74" i="2"/>
  <c r="F74" i="2"/>
  <c r="G74" i="2" s="1"/>
  <c r="E74" i="2"/>
  <c r="D74" i="2"/>
  <c r="C74" i="2"/>
  <c r="CC73" i="2"/>
  <c r="CD73" i="2" s="1"/>
  <c r="CB73" i="2"/>
  <c r="CA73" i="2"/>
  <c r="BZ73" i="2"/>
  <c r="BY73" i="2"/>
  <c r="BX73" i="2"/>
  <c r="BW73" i="2"/>
  <c r="BV73" i="2"/>
  <c r="BU73" i="2"/>
  <c r="BS73" i="2"/>
  <c r="BT73" i="2" s="1"/>
  <c r="BR73" i="2"/>
  <c r="BQ73" i="2"/>
  <c r="BP73" i="2"/>
  <c r="BO73" i="2"/>
  <c r="BN73" i="2"/>
  <c r="BM73" i="2"/>
  <c r="BL73" i="2"/>
  <c r="BK73" i="2"/>
  <c r="BI73" i="2"/>
  <c r="BJ73" i="2" s="1"/>
  <c r="BH73" i="2"/>
  <c r="BG73" i="2"/>
  <c r="BF73" i="2"/>
  <c r="BE73" i="2"/>
  <c r="BD73" i="2"/>
  <c r="BC73" i="2"/>
  <c r="BB73" i="2"/>
  <c r="BA73" i="2"/>
  <c r="AY73" i="2"/>
  <c r="AZ73" i="2" s="1"/>
  <c r="AX73" i="2"/>
  <c r="AW73" i="2"/>
  <c r="AV73" i="2"/>
  <c r="AU73" i="2"/>
  <c r="AT73" i="2"/>
  <c r="AS73" i="2"/>
  <c r="AR73" i="2"/>
  <c r="AQ73" i="2"/>
  <c r="AO73" i="2"/>
  <c r="AP73" i="2" s="1"/>
  <c r="AN73" i="2"/>
  <c r="AM73" i="2"/>
  <c r="AL73" i="2"/>
  <c r="AK73" i="2"/>
  <c r="AJ73" i="2"/>
  <c r="AI73" i="2"/>
  <c r="AH73" i="2"/>
  <c r="AG73" i="2"/>
  <c r="AE73" i="2"/>
  <c r="AF73" i="2" s="1"/>
  <c r="AD73" i="2"/>
  <c r="AC73" i="2"/>
  <c r="AB73" i="2"/>
  <c r="AA73" i="2"/>
  <c r="Z73" i="2"/>
  <c r="Y73" i="2"/>
  <c r="X73" i="2"/>
  <c r="W73" i="2"/>
  <c r="U73" i="2"/>
  <c r="V73" i="2" s="1"/>
  <c r="T73" i="2"/>
  <c r="S73" i="2"/>
  <c r="R73" i="2"/>
  <c r="Q73" i="2"/>
  <c r="P73" i="2"/>
  <c r="O73" i="2"/>
  <c r="N73" i="2"/>
  <c r="M73" i="2"/>
  <c r="K73" i="2"/>
  <c r="L73" i="2" s="1"/>
  <c r="J73" i="2"/>
  <c r="I73" i="2"/>
  <c r="H73" i="2"/>
  <c r="G73" i="2"/>
  <c r="F73" i="2"/>
  <c r="E73" i="2"/>
  <c r="D73" i="2"/>
  <c r="C73" i="2"/>
  <c r="CD72" i="2"/>
  <c r="CC72" i="2"/>
  <c r="CB72" i="2"/>
  <c r="CA72" i="2"/>
  <c r="BZ72" i="2"/>
  <c r="BX72" i="2"/>
  <c r="BY72" i="2" s="1"/>
  <c r="BW72" i="2"/>
  <c r="BV72" i="2"/>
  <c r="BU72" i="2"/>
  <c r="BT72" i="2"/>
  <c r="BS72" i="2"/>
  <c r="BR72" i="2"/>
  <c r="BQ72" i="2"/>
  <c r="BP72" i="2"/>
  <c r="BN72" i="2"/>
  <c r="BO72" i="2" s="1"/>
  <c r="BM72" i="2"/>
  <c r="BL72" i="2"/>
  <c r="BK72" i="2"/>
  <c r="BJ72" i="2"/>
  <c r="BI72" i="2"/>
  <c r="BH72" i="2"/>
  <c r="BG72" i="2"/>
  <c r="BF72" i="2"/>
  <c r="BD72" i="2"/>
  <c r="BE72" i="2" s="1"/>
  <c r="BC72" i="2"/>
  <c r="BB72" i="2"/>
  <c r="BA72" i="2"/>
  <c r="AZ72" i="2"/>
  <c r="AY72" i="2"/>
  <c r="AX72" i="2"/>
  <c r="AW72" i="2"/>
  <c r="AV72" i="2"/>
  <c r="AT72" i="2"/>
  <c r="AU72" i="2" s="1"/>
  <c r="AS72" i="2"/>
  <c r="AR72" i="2"/>
  <c r="AQ72" i="2"/>
  <c r="AP72" i="2"/>
  <c r="AO72" i="2"/>
  <c r="AN72" i="2"/>
  <c r="AM72" i="2"/>
  <c r="AL72" i="2"/>
  <c r="AJ72" i="2"/>
  <c r="AK72" i="2" s="1"/>
  <c r="AI72" i="2"/>
  <c r="AH72" i="2"/>
  <c r="AG72" i="2"/>
  <c r="AF72" i="2"/>
  <c r="AE72" i="2"/>
  <c r="AD72" i="2"/>
  <c r="AC72" i="2"/>
  <c r="AB72" i="2"/>
  <c r="Z72" i="2"/>
  <c r="AA72" i="2" s="1"/>
  <c r="Y72" i="2"/>
  <c r="X72" i="2"/>
  <c r="W72" i="2"/>
  <c r="V72" i="2"/>
  <c r="U72" i="2"/>
  <c r="T72" i="2"/>
  <c r="S72" i="2"/>
  <c r="R72" i="2"/>
  <c r="P72" i="2"/>
  <c r="Q72" i="2" s="1"/>
  <c r="O72" i="2"/>
  <c r="N72" i="2"/>
  <c r="M72" i="2"/>
  <c r="L72" i="2"/>
  <c r="K72" i="2"/>
  <c r="J72" i="2"/>
  <c r="I72" i="2"/>
  <c r="H72" i="2"/>
  <c r="F72" i="2"/>
  <c r="G72" i="2" s="1"/>
  <c r="E72" i="2"/>
  <c r="D72" i="2"/>
  <c r="C72" i="2"/>
  <c r="CC71" i="2"/>
  <c r="CD71" i="2" s="1"/>
  <c r="CB71" i="2"/>
  <c r="CA71" i="2"/>
  <c r="BZ71" i="2"/>
  <c r="BY71" i="2"/>
  <c r="BX71" i="2"/>
  <c r="BW71" i="2"/>
  <c r="BV71" i="2"/>
  <c r="BU71" i="2"/>
  <c r="BS71" i="2"/>
  <c r="BT71" i="2" s="1"/>
  <c r="BR71" i="2"/>
  <c r="BQ71" i="2"/>
  <c r="BP71" i="2"/>
  <c r="BO71" i="2"/>
  <c r="BN71" i="2"/>
  <c r="BM71" i="2"/>
  <c r="BL71" i="2"/>
  <c r="BK71" i="2"/>
  <c r="BI71" i="2"/>
  <c r="BJ71" i="2" s="1"/>
  <c r="BH71" i="2"/>
  <c r="BG71" i="2"/>
  <c r="BF71" i="2"/>
  <c r="BE71" i="2"/>
  <c r="BD71" i="2"/>
  <c r="BC71" i="2"/>
  <c r="BB71" i="2"/>
  <c r="BA71" i="2"/>
  <c r="AY71" i="2"/>
  <c r="AZ71" i="2" s="1"/>
  <c r="AX71" i="2"/>
  <c r="AW71" i="2"/>
  <c r="AV71" i="2"/>
  <c r="AU71" i="2"/>
  <c r="AT71" i="2"/>
  <c r="AS71" i="2"/>
  <c r="AR71" i="2"/>
  <c r="AQ71" i="2"/>
  <c r="AO71" i="2"/>
  <c r="AP71" i="2" s="1"/>
  <c r="AN71" i="2"/>
  <c r="AM71" i="2"/>
  <c r="AL71" i="2"/>
  <c r="AK71" i="2"/>
  <c r="AJ71" i="2"/>
  <c r="AI71" i="2"/>
  <c r="AH71" i="2"/>
  <c r="AG71" i="2"/>
  <c r="AE71" i="2"/>
  <c r="AF71" i="2" s="1"/>
  <c r="AD71" i="2"/>
  <c r="AC71" i="2"/>
  <c r="AB71" i="2"/>
  <c r="AA71" i="2"/>
  <c r="Z71" i="2"/>
  <c r="Y71" i="2"/>
  <c r="X71" i="2"/>
  <c r="W71" i="2"/>
  <c r="U71" i="2"/>
  <c r="V71" i="2" s="1"/>
  <c r="T71" i="2"/>
  <c r="S71" i="2"/>
  <c r="R71" i="2"/>
  <c r="Q71" i="2"/>
  <c r="P71" i="2"/>
  <c r="O71" i="2"/>
  <c r="N71" i="2"/>
  <c r="M71" i="2"/>
  <c r="K71" i="2"/>
  <c r="L71" i="2" s="1"/>
  <c r="J71" i="2"/>
  <c r="I71" i="2"/>
  <c r="H71" i="2"/>
  <c r="G71" i="2"/>
  <c r="F71" i="2"/>
  <c r="E71" i="2"/>
  <c r="D71" i="2"/>
  <c r="C71" i="2"/>
  <c r="CD70" i="2"/>
  <c r="CC70" i="2"/>
  <c r="CB70" i="2"/>
  <c r="CA70" i="2"/>
  <c r="BZ70" i="2"/>
  <c r="BX70" i="2"/>
  <c r="BY70" i="2" s="1"/>
  <c r="BW70" i="2"/>
  <c r="BV70" i="2"/>
  <c r="BU70" i="2"/>
  <c r="BT70" i="2"/>
  <c r="BS70" i="2"/>
  <c r="BR70" i="2"/>
  <c r="BQ70" i="2"/>
  <c r="BP70" i="2"/>
  <c r="BN70" i="2"/>
  <c r="BO70" i="2" s="1"/>
  <c r="BM70" i="2"/>
  <c r="BL70" i="2"/>
  <c r="BK70" i="2"/>
  <c r="BJ70" i="2"/>
  <c r="BI70" i="2"/>
  <c r="BH70" i="2"/>
  <c r="BG70" i="2"/>
  <c r="BF70" i="2"/>
  <c r="BD70" i="2"/>
  <c r="BE70" i="2" s="1"/>
  <c r="BC70" i="2"/>
  <c r="BB70" i="2"/>
  <c r="BA70" i="2"/>
  <c r="AZ70" i="2"/>
  <c r="AY70" i="2"/>
  <c r="AX70" i="2"/>
  <c r="AW70" i="2"/>
  <c r="AV70" i="2"/>
  <c r="AT70" i="2"/>
  <c r="AU70" i="2" s="1"/>
  <c r="AS70" i="2"/>
  <c r="AR70" i="2"/>
  <c r="AQ70" i="2"/>
  <c r="AO70" i="2"/>
  <c r="AN70" i="2"/>
  <c r="AP70" i="2" s="1"/>
  <c r="AM70" i="2"/>
  <c r="AL70" i="2"/>
  <c r="AJ70" i="2"/>
  <c r="AK70" i="2" s="1"/>
  <c r="AI70" i="2"/>
  <c r="AH70" i="2"/>
  <c r="AG70" i="2"/>
  <c r="AF70" i="2"/>
  <c r="AE70" i="2"/>
  <c r="AD70" i="2"/>
  <c r="AC70" i="2"/>
  <c r="AB70" i="2"/>
  <c r="Z70" i="2"/>
  <c r="AA70" i="2" s="1"/>
  <c r="Y70" i="2"/>
  <c r="X70" i="2"/>
  <c r="W70" i="2"/>
  <c r="V70" i="2"/>
  <c r="U70" i="2"/>
  <c r="T70" i="2"/>
  <c r="S70" i="2"/>
  <c r="R70" i="2"/>
  <c r="P70" i="2"/>
  <c r="Q70" i="2" s="1"/>
  <c r="O70" i="2"/>
  <c r="N70" i="2"/>
  <c r="M70" i="2"/>
  <c r="L70" i="2"/>
  <c r="K70" i="2"/>
  <c r="J70" i="2"/>
  <c r="I70" i="2"/>
  <c r="H70" i="2"/>
  <c r="F70" i="2"/>
  <c r="G70" i="2" s="1"/>
  <c r="E70" i="2"/>
  <c r="D70" i="2"/>
  <c r="C70" i="2"/>
  <c r="CC69" i="2"/>
  <c r="CD69" i="2" s="1"/>
  <c r="CB69" i="2"/>
  <c r="CA69" i="2"/>
  <c r="BZ69" i="2"/>
  <c r="BY69" i="2"/>
  <c r="BX69" i="2"/>
  <c r="BW69" i="2"/>
  <c r="BV69" i="2"/>
  <c r="BU69" i="2"/>
  <c r="BS69" i="2"/>
  <c r="BT69" i="2" s="1"/>
  <c r="BR69" i="2"/>
  <c r="BQ69" i="2"/>
  <c r="BP69" i="2"/>
  <c r="BO69" i="2"/>
  <c r="BN69" i="2"/>
  <c r="BM69" i="2"/>
  <c r="BL69" i="2"/>
  <c r="BK69" i="2"/>
  <c r="BI69" i="2"/>
  <c r="BJ69" i="2" s="1"/>
  <c r="BH69" i="2"/>
  <c r="BG69" i="2"/>
  <c r="BF69" i="2"/>
  <c r="BE69" i="2"/>
  <c r="BD69" i="2"/>
  <c r="BC69" i="2"/>
  <c r="BB69" i="2"/>
  <c r="BA69" i="2"/>
  <c r="AY69" i="2"/>
  <c r="AZ69" i="2" s="1"/>
  <c r="AX69" i="2"/>
  <c r="AW69" i="2"/>
  <c r="AV69" i="2"/>
  <c r="AU69" i="2"/>
  <c r="AT69" i="2"/>
  <c r="AS69" i="2"/>
  <c r="AR69" i="2"/>
  <c r="AQ69" i="2"/>
  <c r="AO69" i="2"/>
  <c r="AP69" i="2" s="1"/>
  <c r="AN69" i="2"/>
  <c r="AM69" i="2"/>
  <c r="AL69" i="2"/>
  <c r="AK69" i="2"/>
  <c r="AJ69" i="2"/>
  <c r="AI69" i="2"/>
  <c r="AH69" i="2"/>
  <c r="AG69" i="2"/>
  <c r="AE69" i="2"/>
  <c r="AF69" i="2" s="1"/>
  <c r="AD69" i="2"/>
  <c r="AC69" i="2"/>
  <c r="AB69" i="2"/>
  <c r="AA69" i="2"/>
  <c r="Z69" i="2"/>
  <c r="Y69" i="2"/>
  <c r="X69" i="2"/>
  <c r="W69" i="2"/>
  <c r="U69" i="2"/>
  <c r="V69" i="2" s="1"/>
  <c r="T69" i="2"/>
  <c r="S69" i="2"/>
  <c r="R69" i="2"/>
  <c r="Q69" i="2"/>
  <c r="P69" i="2"/>
  <c r="O69" i="2"/>
  <c r="N69" i="2"/>
  <c r="M69" i="2"/>
  <c r="K69" i="2"/>
  <c r="L69" i="2" s="1"/>
  <c r="J69" i="2"/>
  <c r="I69" i="2"/>
  <c r="H69" i="2"/>
  <c r="G69" i="2"/>
  <c r="F69" i="2"/>
  <c r="E69" i="2"/>
  <c r="D69" i="2"/>
  <c r="C69" i="2"/>
  <c r="CD68" i="2"/>
  <c r="CC68" i="2"/>
  <c r="CB68" i="2"/>
  <c r="CA68" i="2"/>
  <c r="BZ68" i="2"/>
  <c r="BX68" i="2"/>
  <c r="BY68" i="2" s="1"/>
  <c r="BW68" i="2"/>
  <c r="BV68" i="2"/>
  <c r="BU68" i="2"/>
  <c r="BT68" i="2"/>
  <c r="BS68" i="2"/>
  <c r="BR68" i="2"/>
  <c r="BQ68" i="2"/>
  <c r="BP68" i="2"/>
  <c r="BN68" i="2"/>
  <c r="BO68" i="2" s="1"/>
  <c r="BM68" i="2"/>
  <c r="BL68" i="2"/>
  <c r="BK68" i="2"/>
  <c r="BJ68" i="2"/>
  <c r="BI68" i="2"/>
  <c r="BH68" i="2"/>
  <c r="BG68" i="2"/>
  <c r="BF68" i="2"/>
  <c r="BD68" i="2"/>
  <c r="BE68" i="2" s="1"/>
  <c r="BC68" i="2"/>
  <c r="BB68" i="2"/>
  <c r="BA68" i="2"/>
  <c r="AZ68" i="2"/>
  <c r="AY68" i="2"/>
  <c r="AX68" i="2"/>
  <c r="AW68" i="2"/>
  <c r="AV68" i="2"/>
  <c r="AT68" i="2"/>
  <c r="AU68" i="2" s="1"/>
  <c r="AS68" i="2"/>
  <c r="AR68" i="2"/>
  <c r="AQ68" i="2"/>
  <c r="AP68" i="2"/>
  <c r="AO68" i="2"/>
  <c r="AN68" i="2"/>
  <c r="AM68" i="2"/>
  <c r="AL68" i="2"/>
  <c r="AJ68" i="2"/>
  <c r="AK68" i="2" s="1"/>
  <c r="AI68" i="2"/>
  <c r="AH68" i="2"/>
  <c r="AG68" i="2"/>
  <c r="AF68" i="2"/>
  <c r="AE68" i="2"/>
  <c r="AD68" i="2"/>
  <c r="AC68" i="2"/>
  <c r="AB68" i="2"/>
  <c r="Z68" i="2"/>
  <c r="AA68" i="2" s="1"/>
  <c r="Y68" i="2"/>
  <c r="X68" i="2"/>
  <c r="W68" i="2"/>
  <c r="V68" i="2"/>
  <c r="U68" i="2"/>
  <c r="T68" i="2"/>
  <c r="S68" i="2"/>
  <c r="R68" i="2"/>
  <c r="P68" i="2"/>
  <c r="Q68" i="2" s="1"/>
  <c r="O68" i="2"/>
  <c r="N68" i="2"/>
  <c r="M68" i="2"/>
  <c r="L68" i="2"/>
  <c r="K68" i="2"/>
  <c r="J68" i="2"/>
  <c r="I68" i="2"/>
  <c r="H68" i="2"/>
  <c r="F68" i="2"/>
  <c r="G68" i="2" s="1"/>
  <c r="E68" i="2"/>
  <c r="D68" i="2"/>
  <c r="C68" i="2"/>
  <c r="CC67" i="2"/>
  <c r="CD67" i="2" s="1"/>
  <c r="CB67" i="2"/>
  <c r="CA67" i="2"/>
  <c r="BZ67" i="2"/>
  <c r="BY67" i="2"/>
  <c r="BX67" i="2"/>
  <c r="BW67" i="2"/>
  <c r="BV67" i="2"/>
  <c r="BU67" i="2"/>
  <c r="BS67" i="2"/>
  <c r="BT67" i="2" s="1"/>
  <c r="BR67" i="2"/>
  <c r="BQ67" i="2"/>
  <c r="BP67" i="2"/>
  <c r="BO67" i="2"/>
  <c r="BN67" i="2"/>
  <c r="BM67" i="2"/>
  <c r="BL67" i="2"/>
  <c r="BK67" i="2"/>
  <c r="BI67" i="2"/>
  <c r="BJ67" i="2" s="1"/>
  <c r="BH67" i="2"/>
  <c r="BG67" i="2"/>
  <c r="BF67" i="2"/>
  <c r="BE67" i="2"/>
  <c r="BD67" i="2"/>
  <c r="BC67" i="2"/>
  <c r="BB67" i="2"/>
  <c r="BA67" i="2"/>
  <c r="AY67" i="2"/>
  <c r="AZ67" i="2" s="1"/>
  <c r="AX67" i="2"/>
  <c r="AW67" i="2"/>
  <c r="AV67" i="2"/>
  <c r="AU67" i="2"/>
  <c r="AT67" i="2"/>
  <c r="AS67" i="2"/>
  <c r="AR67" i="2"/>
  <c r="AQ67" i="2"/>
  <c r="AO67" i="2"/>
  <c r="AP67" i="2" s="1"/>
  <c r="AN67" i="2"/>
  <c r="AM67" i="2"/>
  <c r="AL67" i="2"/>
  <c r="AK67" i="2"/>
  <c r="AJ67" i="2"/>
  <c r="AI67" i="2"/>
  <c r="AH67" i="2"/>
  <c r="AG67" i="2"/>
  <c r="AE67" i="2"/>
  <c r="AF67" i="2" s="1"/>
  <c r="AD67" i="2"/>
  <c r="AC67" i="2"/>
  <c r="AB67" i="2"/>
  <c r="AA67" i="2"/>
  <c r="Z67" i="2"/>
  <c r="Y67" i="2"/>
  <c r="X67" i="2"/>
  <c r="W67" i="2"/>
  <c r="U67" i="2"/>
  <c r="V67" i="2" s="1"/>
  <c r="T67" i="2"/>
  <c r="S67" i="2"/>
  <c r="R67" i="2"/>
  <c r="Q67" i="2"/>
  <c r="P67" i="2"/>
  <c r="O67" i="2"/>
  <c r="N67" i="2"/>
  <c r="M67" i="2"/>
  <c r="K67" i="2"/>
  <c r="L67" i="2" s="1"/>
  <c r="J67" i="2"/>
  <c r="I67" i="2"/>
  <c r="H67" i="2"/>
  <c r="G67" i="2"/>
  <c r="F67" i="2"/>
  <c r="E67" i="2"/>
  <c r="D67" i="2"/>
  <c r="C67" i="2"/>
  <c r="CD66" i="2"/>
  <c r="CC66" i="2"/>
  <c r="CB66" i="2"/>
  <c r="CA66" i="2"/>
  <c r="BZ66" i="2"/>
  <c r="BX66" i="2"/>
  <c r="BY66" i="2" s="1"/>
  <c r="BW66" i="2"/>
  <c r="BV66" i="2"/>
  <c r="BU66" i="2"/>
  <c r="BT66" i="2"/>
  <c r="BS66" i="2"/>
  <c r="BR66" i="2"/>
  <c r="BQ66" i="2"/>
  <c r="BP66" i="2"/>
  <c r="BN66" i="2"/>
  <c r="BO66" i="2" s="1"/>
  <c r="BM66" i="2"/>
  <c r="BL66" i="2"/>
  <c r="BK66" i="2"/>
  <c r="BJ66" i="2"/>
  <c r="BI66" i="2"/>
  <c r="BH66" i="2"/>
  <c r="BG66" i="2"/>
  <c r="BF66" i="2"/>
  <c r="BD66" i="2"/>
  <c r="BE66" i="2" s="1"/>
  <c r="BC66" i="2"/>
  <c r="BB66" i="2"/>
  <c r="BA66" i="2"/>
  <c r="AZ66" i="2"/>
  <c r="AY66" i="2"/>
  <c r="AX66" i="2"/>
  <c r="AW66" i="2"/>
  <c r="AV66" i="2"/>
  <c r="AT66" i="2"/>
  <c r="AU66" i="2" s="1"/>
  <c r="AS66" i="2"/>
  <c r="AR66" i="2"/>
  <c r="AQ66" i="2"/>
  <c r="AO66" i="2"/>
  <c r="AN66" i="2"/>
  <c r="AP66" i="2" s="1"/>
  <c r="AM66" i="2"/>
  <c r="AL66" i="2"/>
  <c r="AJ66" i="2"/>
  <c r="AK66" i="2" s="1"/>
  <c r="AI66" i="2"/>
  <c r="AH66" i="2"/>
  <c r="AG66" i="2"/>
  <c r="AF66" i="2"/>
  <c r="AE66" i="2"/>
  <c r="AD66" i="2"/>
  <c r="AC66" i="2"/>
  <c r="AB66" i="2"/>
  <c r="Z66" i="2"/>
  <c r="AA66" i="2" s="1"/>
  <c r="Y66" i="2"/>
  <c r="X66" i="2"/>
  <c r="W66" i="2"/>
  <c r="V66" i="2"/>
  <c r="U66" i="2"/>
  <c r="T66" i="2"/>
  <c r="S66" i="2"/>
  <c r="R66" i="2"/>
  <c r="P66" i="2"/>
  <c r="Q66" i="2" s="1"/>
  <c r="O66" i="2"/>
  <c r="N66" i="2"/>
  <c r="M66" i="2"/>
  <c r="L66" i="2"/>
  <c r="K66" i="2"/>
  <c r="J66" i="2"/>
  <c r="I66" i="2"/>
  <c r="H66" i="2"/>
  <c r="F66" i="2"/>
  <c r="G66" i="2" s="1"/>
  <c r="E66" i="2"/>
  <c r="D66" i="2"/>
  <c r="C66" i="2"/>
  <c r="CC65" i="2"/>
  <c r="CD65" i="2" s="1"/>
  <c r="CB65" i="2"/>
  <c r="CA65" i="2"/>
  <c r="BZ65" i="2"/>
  <c r="BY65" i="2"/>
  <c r="BX65" i="2"/>
  <c r="BW65" i="2"/>
  <c r="BV65" i="2"/>
  <c r="BU65" i="2"/>
  <c r="BS65" i="2"/>
  <c r="BT65" i="2" s="1"/>
  <c r="BR65" i="2"/>
  <c r="BQ65" i="2"/>
  <c r="BP65" i="2"/>
  <c r="BO65" i="2"/>
  <c r="BN65" i="2"/>
  <c r="BM65" i="2"/>
  <c r="BL65" i="2"/>
  <c r="BK65" i="2"/>
  <c r="BI65" i="2"/>
  <c r="BJ65" i="2" s="1"/>
  <c r="BH65" i="2"/>
  <c r="BG65" i="2"/>
  <c r="BF65" i="2"/>
  <c r="BE65" i="2"/>
  <c r="BD65" i="2"/>
  <c r="BC65" i="2"/>
  <c r="BB65" i="2"/>
  <c r="BA65" i="2"/>
  <c r="AY65" i="2"/>
  <c r="AZ65" i="2" s="1"/>
  <c r="AX65" i="2"/>
  <c r="AW65" i="2"/>
  <c r="AV65" i="2"/>
  <c r="AU65" i="2"/>
  <c r="AT65" i="2"/>
  <c r="AS65" i="2"/>
  <c r="AR65" i="2"/>
  <c r="AQ65" i="2"/>
  <c r="AO65" i="2"/>
  <c r="AP65" i="2" s="1"/>
  <c r="AN65" i="2"/>
  <c r="AM65" i="2"/>
  <c r="AL65" i="2"/>
  <c r="AK65" i="2"/>
  <c r="AJ65" i="2"/>
  <c r="AI65" i="2"/>
  <c r="AH65" i="2"/>
  <c r="AG65" i="2"/>
  <c r="AE65" i="2"/>
  <c r="AF65" i="2" s="1"/>
  <c r="AD65" i="2"/>
  <c r="AC65" i="2"/>
  <c r="AB65" i="2"/>
  <c r="AA65" i="2"/>
  <c r="Z65" i="2"/>
  <c r="Y65" i="2"/>
  <c r="X65" i="2"/>
  <c r="W65" i="2"/>
  <c r="U65" i="2"/>
  <c r="V65" i="2" s="1"/>
  <c r="T65" i="2"/>
  <c r="S65" i="2"/>
  <c r="R65" i="2"/>
  <c r="Q65" i="2"/>
  <c r="P65" i="2"/>
  <c r="O65" i="2"/>
  <c r="N65" i="2"/>
  <c r="M65" i="2"/>
  <c r="K65" i="2"/>
  <c r="L65" i="2" s="1"/>
  <c r="J65" i="2"/>
  <c r="I65" i="2"/>
  <c r="H65" i="2"/>
  <c r="G65" i="2"/>
  <c r="F65" i="2"/>
  <c r="E65" i="2"/>
  <c r="D65" i="2"/>
  <c r="C65" i="2"/>
  <c r="CD64" i="2"/>
  <c r="CC64" i="2"/>
  <c r="CB64" i="2"/>
  <c r="CA64" i="2"/>
  <c r="BZ64" i="2"/>
  <c r="BX64" i="2"/>
  <c r="BY64" i="2" s="1"/>
  <c r="BW64" i="2"/>
  <c r="BV64" i="2"/>
  <c r="BU64" i="2"/>
  <c r="BT64" i="2"/>
  <c r="BS64" i="2"/>
  <c r="BR64" i="2"/>
  <c r="BQ64" i="2"/>
  <c r="BP64" i="2"/>
  <c r="BN64" i="2"/>
  <c r="BO64" i="2" s="1"/>
  <c r="BM64" i="2"/>
  <c r="BL64" i="2"/>
  <c r="BK64" i="2"/>
  <c r="BJ64" i="2"/>
  <c r="BI64" i="2"/>
  <c r="BH64" i="2"/>
  <c r="BG64" i="2"/>
  <c r="BF64" i="2"/>
  <c r="BD64" i="2"/>
  <c r="BE64" i="2" s="1"/>
  <c r="BC64" i="2"/>
  <c r="BB64" i="2"/>
  <c r="BA64" i="2"/>
  <c r="AZ64" i="2"/>
  <c r="AY64" i="2"/>
  <c r="AX64" i="2"/>
  <c r="AW64" i="2"/>
  <c r="AV64" i="2"/>
  <c r="AT64" i="2"/>
  <c r="AU64" i="2" s="1"/>
  <c r="AS64" i="2"/>
  <c r="AR64" i="2"/>
  <c r="AQ64" i="2"/>
  <c r="AP64" i="2"/>
  <c r="AO64" i="2"/>
  <c r="AN64" i="2"/>
  <c r="AM64" i="2"/>
  <c r="AL64" i="2"/>
  <c r="AJ64" i="2"/>
  <c r="AK64" i="2" s="1"/>
  <c r="AI64" i="2"/>
  <c r="AH64" i="2"/>
  <c r="AG64" i="2"/>
  <c r="AF64" i="2"/>
  <c r="AE64" i="2"/>
  <c r="AD64" i="2"/>
  <c r="AC64" i="2"/>
  <c r="AB64" i="2"/>
  <c r="Z64" i="2"/>
  <c r="AA64" i="2" s="1"/>
  <c r="Y64" i="2"/>
  <c r="X64" i="2"/>
  <c r="W64" i="2"/>
  <c r="V64" i="2"/>
  <c r="U64" i="2"/>
  <c r="T64" i="2"/>
  <c r="S64" i="2"/>
  <c r="R64" i="2"/>
  <c r="P64" i="2"/>
  <c r="Q64" i="2" s="1"/>
  <c r="O64" i="2"/>
  <c r="N64" i="2"/>
  <c r="M64" i="2"/>
  <c r="L64" i="2"/>
  <c r="K64" i="2"/>
  <c r="J64" i="2"/>
  <c r="I64" i="2"/>
  <c r="H64" i="2"/>
  <c r="F64" i="2"/>
  <c r="G64" i="2" s="1"/>
  <c r="E64" i="2"/>
  <c r="D64" i="2"/>
  <c r="C64" i="2"/>
  <c r="CC63" i="2"/>
  <c r="CD63" i="2" s="1"/>
  <c r="CB63" i="2"/>
  <c r="CA63" i="2"/>
  <c r="BZ63" i="2"/>
  <c r="BY63" i="2"/>
  <c r="BX63" i="2"/>
  <c r="BW63" i="2"/>
  <c r="BV63" i="2"/>
  <c r="BU63" i="2"/>
  <c r="BS63" i="2"/>
  <c r="BT63" i="2" s="1"/>
  <c r="BR63" i="2"/>
  <c r="BQ63" i="2"/>
  <c r="BP63" i="2"/>
  <c r="BO63" i="2"/>
  <c r="BN63" i="2"/>
  <c r="BM63" i="2"/>
  <c r="BL63" i="2"/>
  <c r="BK63" i="2"/>
  <c r="BI63" i="2"/>
  <c r="BJ63" i="2" s="1"/>
  <c r="BH63" i="2"/>
  <c r="BG63" i="2"/>
  <c r="BF63" i="2"/>
  <c r="BE63" i="2"/>
  <c r="BD63" i="2"/>
  <c r="BC63" i="2"/>
  <c r="BB63" i="2"/>
  <c r="BA63" i="2"/>
  <c r="AY63" i="2"/>
  <c r="AZ63" i="2" s="1"/>
  <c r="AX63" i="2"/>
  <c r="AW63" i="2"/>
  <c r="AV63" i="2"/>
  <c r="AU63" i="2"/>
  <c r="AT63" i="2"/>
  <c r="AS63" i="2"/>
  <c r="AR63" i="2"/>
  <c r="AQ63" i="2"/>
  <c r="AO63" i="2"/>
  <c r="AP63" i="2" s="1"/>
  <c r="AN63" i="2"/>
  <c r="AM63" i="2"/>
  <c r="AL63" i="2"/>
  <c r="AK63" i="2"/>
  <c r="AJ63" i="2"/>
  <c r="AI63" i="2"/>
  <c r="AH63" i="2"/>
  <c r="AG63" i="2"/>
  <c r="AE63" i="2"/>
  <c r="AF63" i="2" s="1"/>
  <c r="AD63" i="2"/>
  <c r="AC63" i="2"/>
  <c r="AB63" i="2"/>
  <c r="AA63" i="2"/>
  <c r="Z63" i="2"/>
  <c r="Y63" i="2"/>
  <c r="X63" i="2"/>
  <c r="W63" i="2"/>
  <c r="U63" i="2"/>
  <c r="V63" i="2" s="1"/>
  <c r="T63" i="2"/>
  <c r="S63" i="2"/>
  <c r="R63" i="2"/>
  <c r="Q63" i="2"/>
  <c r="P63" i="2"/>
  <c r="O63" i="2"/>
  <c r="N63" i="2"/>
  <c r="M63" i="2"/>
  <c r="K63" i="2"/>
  <c r="L63" i="2" s="1"/>
  <c r="J63" i="2"/>
  <c r="I63" i="2"/>
  <c r="H63" i="2"/>
  <c r="G63" i="2"/>
  <c r="F63" i="2"/>
  <c r="E63" i="2"/>
  <c r="D63" i="2"/>
  <c r="C63" i="2"/>
  <c r="CD62" i="2"/>
  <c r="CC62" i="2"/>
  <c r="CB62" i="2"/>
  <c r="CA62" i="2"/>
  <c r="BZ62" i="2"/>
  <c r="BX62" i="2"/>
  <c r="BY62" i="2" s="1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D62" i="2"/>
  <c r="BE62" i="2" s="1"/>
  <c r="BC62" i="2"/>
  <c r="BB62" i="2"/>
  <c r="BA62" i="2"/>
  <c r="AZ62" i="2"/>
  <c r="AY62" i="2"/>
  <c r="AX62" i="2"/>
  <c r="AW62" i="2"/>
  <c r="AV62" i="2"/>
  <c r="AT62" i="2"/>
  <c r="AU62" i="2" s="1"/>
  <c r="AS62" i="2"/>
  <c r="AR62" i="2"/>
  <c r="AQ62" i="2"/>
  <c r="AP62" i="2"/>
  <c r="AO62" i="2"/>
  <c r="AN62" i="2"/>
  <c r="AM62" i="2"/>
  <c r="AL62" i="2"/>
  <c r="AJ62" i="2"/>
  <c r="AK62" i="2" s="1"/>
  <c r="AI62" i="2"/>
  <c r="AH62" i="2"/>
  <c r="AG62" i="2"/>
  <c r="AF62" i="2"/>
  <c r="AE62" i="2"/>
  <c r="AD62" i="2"/>
  <c r="AC62" i="2"/>
  <c r="AB62" i="2"/>
  <c r="Z62" i="2"/>
  <c r="AA62" i="2" s="1"/>
  <c r="Y62" i="2"/>
  <c r="X62" i="2"/>
  <c r="W62" i="2"/>
  <c r="V62" i="2"/>
  <c r="U62" i="2"/>
  <c r="T62" i="2"/>
  <c r="S62" i="2"/>
  <c r="R62" i="2"/>
  <c r="P62" i="2"/>
  <c r="Q62" i="2" s="1"/>
  <c r="O62" i="2"/>
  <c r="N62" i="2"/>
  <c r="M62" i="2"/>
  <c r="L62" i="2"/>
  <c r="K62" i="2"/>
  <c r="J62" i="2"/>
  <c r="I62" i="2"/>
  <c r="H62" i="2"/>
  <c r="F62" i="2"/>
  <c r="G62" i="2" s="1"/>
  <c r="E62" i="2"/>
  <c r="D62" i="2"/>
  <c r="C62" i="2"/>
  <c r="CC61" i="2"/>
  <c r="CD61" i="2" s="1"/>
  <c r="CB61" i="2"/>
  <c r="CA61" i="2"/>
  <c r="BZ61" i="2"/>
  <c r="BY61" i="2"/>
  <c r="BX61" i="2"/>
  <c r="BW61" i="2"/>
  <c r="BV61" i="2"/>
  <c r="BU61" i="2"/>
  <c r="BS61" i="2"/>
  <c r="BT61" i="2" s="1"/>
  <c r="BR61" i="2"/>
  <c r="BQ61" i="2"/>
  <c r="BP61" i="2"/>
  <c r="BO61" i="2"/>
  <c r="BN61" i="2"/>
  <c r="BM61" i="2"/>
  <c r="BL61" i="2"/>
  <c r="BK61" i="2"/>
  <c r="BI61" i="2"/>
  <c r="BJ61" i="2" s="1"/>
  <c r="BH61" i="2"/>
  <c r="BG61" i="2"/>
  <c r="BF61" i="2"/>
  <c r="BE61" i="2"/>
  <c r="BD61" i="2"/>
  <c r="BC61" i="2"/>
  <c r="BB61" i="2"/>
  <c r="BA61" i="2"/>
  <c r="AY61" i="2"/>
  <c r="AZ61" i="2" s="1"/>
  <c r="AX61" i="2"/>
  <c r="AW61" i="2"/>
  <c r="AV61" i="2"/>
  <c r="AT61" i="2"/>
  <c r="AS61" i="2"/>
  <c r="AU61" i="2" s="1"/>
  <c r="AR61" i="2"/>
  <c r="AQ61" i="2"/>
  <c r="AO61" i="2"/>
  <c r="AP61" i="2" s="1"/>
  <c r="AN61" i="2"/>
  <c r="AM61" i="2"/>
  <c r="AL61" i="2"/>
  <c r="AK61" i="2"/>
  <c r="AJ61" i="2"/>
  <c r="AI61" i="2"/>
  <c r="AH61" i="2"/>
  <c r="AG61" i="2"/>
  <c r="AE61" i="2"/>
  <c r="AF61" i="2" s="1"/>
  <c r="AD61" i="2"/>
  <c r="AC61" i="2"/>
  <c r="AB61" i="2"/>
  <c r="AA61" i="2"/>
  <c r="Z61" i="2"/>
  <c r="Y61" i="2"/>
  <c r="X61" i="2"/>
  <c r="W61" i="2"/>
  <c r="U61" i="2"/>
  <c r="V61" i="2" s="1"/>
  <c r="T61" i="2"/>
  <c r="S61" i="2"/>
  <c r="R61" i="2"/>
  <c r="Q61" i="2"/>
  <c r="P61" i="2"/>
  <c r="O61" i="2"/>
  <c r="N61" i="2"/>
  <c r="M61" i="2"/>
  <c r="K61" i="2"/>
  <c r="L61" i="2" s="1"/>
  <c r="J61" i="2"/>
  <c r="I61" i="2"/>
  <c r="H61" i="2"/>
  <c r="G61" i="2"/>
  <c r="F61" i="2"/>
  <c r="E61" i="2"/>
  <c r="D61" i="2"/>
  <c r="C61" i="2"/>
  <c r="CD60" i="2"/>
  <c r="CC60" i="2"/>
  <c r="CB60" i="2"/>
  <c r="CA60" i="2"/>
  <c r="BZ60" i="2"/>
  <c r="BX60" i="2"/>
  <c r="BY60" i="2" s="1"/>
  <c r="BW60" i="2"/>
  <c r="BV60" i="2"/>
  <c r="BU60" i="2"/>
  <c r="BT60" i="2"/>
  <c r="BS60" i="2"/>
  <c r="BR60" i="2"/>
  <c r="BQ60" i="2"/>
  <c r="BP60" i="2"/>
  <c r="BN60" i="2"/>
  <c r="BO60" i="2" s="1"/>
  <c r="BM60" i="2"/>
  <c r="BL60" i="2"/>
  <c r="BK60" i="2"/>
  <c r="BJ60" i="2"/>
  <c r="BI60" i="2"/>
  <c r="BH60" i="2"/>
  <c r="BG60" i="2"/>
  <c r="BF60" i="2"/>
  <c r="BD60" i="2"/>
  <c r="BE60" i="2" s="1"/>
  <c r="BC60" i="2"/>
  <c r="BB60" i="2"/>
  <c r="BA60" i="2"/>
  <c r="AZ60" i="2"/>
  <c r="AY60" i="2"/>
  <c r="AX60" i="2"/>
  <c r="AW60" i="2"/>
  <c r="AV60" i="2"/>
  <c r="AT60" i="2"/>
  <c r="AU60" i="2" s="1"/>
  <c r="AS60" i="2"/>
  <c r="AR60" i="2"/>
  <c r="AQ60" i="2"/>
  <c r="AP60" i="2"/>
  <c r="AO60" i="2"/>
  <c r="AN60" i="2"/>
  <c r="AM60" i="2"/>
  <c r="AL60" i="2"/>
  <c r="AJ60" i="2"/>
  <c r="AK60" i="2" s="1"/>
  <c r="AI60" i="2"/>
  <c r="AH60" i="2"/>
  <c r="AG60" i="2"/>
  <c r="AF60" i="2"/>
  <c r="AE60" i="2"/>
  <c r="AD60" i="2"/>
  <c r="AC60" i="2"/>
  <c r="AB60" i="2"/>
  <c r="Z60" i="2"/>
  <c r="AA60" i="2" s="1"/>
  <c r="Y60" i="2"/>
  <c r="X60" i="2"/>
  <c r="W60" i="2"/>
  <c r="V60" i="2"/>
  <c r="U60" i="2"/>
  <c r="T60" i="2"/>
  <c r="S60" i="2"/>
  <c r="R60" i="2"/>
  <c r="P60" i="2"/>
  <c r="Q60" i="2" s="1"/>
  <c r="O60" i="2"/>
  <c r="N60" i="2"/>
  <c r="M60" i="2"/>
  <c r="L60" i="2"/>
  <c r="K60" i="2"/>
  <c r="J60" i="2"/>
  <c r="I60" i="2"/>
  <c r="H60" i="2"/>
  <c r="F60" i="2"/>
  <c r="G60" i="2" s="1"/>
  <c r="E60" i="2"/>
  <c r="D60" i="2"/>
  <c r="C60" i="2"/>
  <c r="CC59" i="2"/>
  <c r="CD59" i="2" s="1"/>
  <c r="CB59" i="2"/>
  <c r="CA59" i="2"/>
  <c r="BZ59" i="2"/>
  <c r="BY59" i="2"/>
  <c r="BX59" i="2"/>
  <c r="BW59" i="2"/>
  <c r="BV59" i="2"/>
  <c r="BU59" i="2"/>
  <c r="BS59" i="2"/>
  <c r="BT59" i="2" s="1"/>
  <c r="BR59" i="2"/>
  <c r="BQ59" i="2"/>
  <c r="BP59" i="2"/>
  <c r="BO59" i="2"/>
  <c r="BN59" i="2"/>
  <c r="BM59" i="2"/>
  <c r="BL59" i="2"/>
  <c r="BK59" i="2"/>
  <c r="BI59" i="2"/>
  <c r="BJ59" i="2" s="1"/>
  <c r="BH59" i="2"/>
  <c r="BG59" i="2"/>
  <c r="BF59" i="2"/>
  <c r="BE59" i="2"/>
  <c r="BD59" i="2"/>
  <c r="BC59" i="2"/>
  <c r="BB59" i="2"/>
  <c r="BA59" i="2"/>
  <c r="AY59" i="2"/>
  <c r="AZ59" i="2" s="1"/>
  <c r="AX59" i="2"/>
  <c r="AW59" i="2"/>
  <c r="AV59" i="2"/>
  <c r="AU59" i="2"/>
  <c r="AT59" i="2"/>
  <c r="AS59" i="2"/>
  <c r="AR59" i="2"/>
  <c r="AQ59" i="2"/>
  <c r="AO59" i="2"/>
  <c r="AP59" i="2" s="1"/>
  <c r="AN59" i="2"/>
  <c r="AM59" i="2"/>
  <c r="AL59" i="2"/>
  <c r="AK59" i="2"/>
  <c r="AJ59" i="2"/>
  <c r="AI59" i="2"/>
  <c r="AH59" i="2"/>
  <c r="AG59" i="2"/>
  <c r="AE59" i="2"/>
  <c r="AF59" i="2" s="1"/>
  <c r="AD59" i="2"/>
  <c r="AC59" i="2"/>
  <c r="AB59" i="2"/>
  <c r="AA59" i="2"/>
  <c r="Z59" i="2"/>
  <c r="Y59" i="2"/>
  <c r="X59" i="2"/>
  <c r="W59" i="2"/>
  <c r="U59" i="2"/>
  <c r="V59" i="2" s="1"/>
  <c r="T59" i="2"/>
  <c r="S59" i="2"/>
  <c r="R59" i="2"/>
  <c r="Q59" i="2"/>
  <c r="P59" i="2"/>
  <c r="O59" i="2"/>
  <c r="N59" i="2"/>
  <c r="M59" i="2"/>
  <c r="K59" i="2"/>
  <c r="L59" i="2" s="1"/>
  <c r="J59" i="2"/>
  <c r="I59" i="2"/>
  <c r="H59" i="2"/>
  <c r="G59" i="2"/>
  <c r="F59" i="2"/>
  <c r="E59" i="2"/>
  <c r="D59" i="2"/>
  <c r="C59" i="2"/>
  <c r="CD58" i="2"/>
  <c r="CC58" i="2"/>
  <c r="CB58" i="2"/>
  <c r="CA58" i="2"/>
  <c r="BZ58" i="2"/>
  <c r="BX58" i="2"/>
  <c r="BY58" i="2" s="1"/>
  <c r="BW58" i="2"/>
  <c r="BV58" i="2"/>
  <c r="BU58" i="2"/>
  <c r="BT58" i="2"/>
  <c r="BS58" i="2"/>
  <c r="BR58" i="2"/>
  <c r="BQ58" i="2"/>
  <c r="BP58" i="2"/>
  <c r="BN58" i="2"/>
  <c r="BO58" i="2" s="1"/>
  <c r="BM58" i="2"/>
  <c r="BL58" i="2"/>
  <c r="BK58" i="2"/>
  <c r="BJ58" i="2"/>
  <c r="BI58" i="2"/>
  <c r="BH58" i="2"/>
  <c r="BG58" i="2"/>
  <c r="BF58" i="2"/>
  <c r="BD58" i="2"/>
  <c r="BE58" i="2" s="1"/>
  <c r="BC58" i="2"/>
  <c r="BB58" i="2"/>
  <c r="BA58" i="2"/>
  <c r="AZ58" i="2"/>
  <c r="AY58" i="2"/>
  <c r="AX58" i="2"/>
  <c r="AW58" i="2"/>
  <c r="AV58" i="2"/>
  <c r="AT58" i="2"/>
  <c r="AU58" i="2" s="1"/>
  <c r="AS58" i="2"/>
  <c r="AR58" i="2"/>
  <c r="AQ58" i="2"/>
  <c r="AP58" i="2"/>
  <c r="AO58" i="2"/>
  <c r="AN58" i="2"/>
  <c r="AM58" i="2"/>
  <c r="AL58" i="2"/>
  <c r="AJ58" i="2"/>
  <c r="AK58" i="2" s="1"/>
  <c r="AI58" i="2"/>
  <c r="AH58" i="2"/>
  <c r="AG58" i="2"/>
  <c r="AF58" i="2"/>
  <c r="AE58" i="2"/>
  <c r="AD58" i="2"/>
  <c r="AC58" i="2"/>
  <c r="AB58" i="2"/>
  <c r="Z58" i="2"/>
  <c r="AA58" i="2" s="1"/>
  <c r="Y58" i="2"/>
  <c r="X58" i="2"/>
  <c r="W58" i="2"/>
  <c r="V58" i="2"/>
  <c r="U58" i="2"/>
  <c r="T58" i="2"/>
  <c r="S58" i="2"/>
  <c r="R58" i="2"/>
  <c r="P58" i="2"/>
  <c r="Q58" i="2" s="1"/>
  <c r="O58" i="2"/>
  <c r="N58" i="2"/>
  <c r="M58" i="2"/>
  <c r="L58" i="2"/>
  <c r="K58" i="2"/>
  <c r="J58" i="2"/>
  <c r="I58" i="2"/>
  <c r="H58" i="2"/>
  <c r="F58" i="2"/>
  <c r="G58" i="2" s="1"/>
  <c r="E58" i="2"/>
  <c r="D58" i="2"/>
  <c r="C58" i="2"/>
  <c r="CC57" i="2"/>
  <c r="CD57" i="2" s="1"/>
  <c r="CB57" i="2"/>
  <c r="CA57" i="2"/>
  <c r="BZ57" i="2"/>
  <c r="BY57" i="2"/>
  <c r="BX57" i="2"/>
  <c r="BW57" i="2"/>
  <c r="BV57" i="2"/>
  <c r="BU57" i="2"/>
  <c r="BS57" i="2"/>
  <c r="BT57" i="2" s="1"/>
  <c r="BR57" i="2"/>
  <c r="BQ57" i="2"/>
  <c r="BP57" i="2"/>
  <c r="BO57" i="2"/>
  <c r="BN57" i="2"/>
  <c r="BM57" i="2"/>
  <c r="BL57" i="2"/>
  <c r="BK57" i="2"/>
  <c r="BI57" i="2"/>
  <c r="BJ57" i="2" s="1"/>
  <c r="BH57" i="2"/>
  <c r="BG57" i="2"/>
  <c r="BF57" i="2"/>
  <c r="BE57" i="2"/>
  <c r="BD57" i="2"/>
  <c r="BC57" i="2"/>
  <c r="BB57" i="2"/>
  <c r="BA57" i="2"/>
  <c r="AY57" i="2"/>
  <c r="AZ57" i="2" s="1"/>
  <c r="AX57" i="2"/>
  <c r="AW57" i="2"/>
  <c r="AV57" i="2"/>
  <c r="AU57" i="2"/>
  <c r="AT57" i="2"/>
  <c r="AS57" i="2"/>
  <c r="AR57" i="2"/>
  <c r="AQ57" i="2"/>
  <c r="AO57" i="2"/>
  <c r="AP57" i="2" s="1"/>
  <c r="AN57" i="2"/>
  <c r="AM57" i="2"/>
  <c r="AL57" i="2"/>
  <c r="AK57" i="2"/>
  <c r="AJ57" i="2"/>
  <c r="AI57" i="2"/>
  <c r="AH57" i="2"/>
  <c r="AG57" i="2"/>
  <c r="AE57" i="2"/>
  <c r="AF57" i="2" s="1"/>
  <c r="AD57" i="2"/>
  <c r="AC57" i="2"/>
  <c r="AB57" i="2"/>
  <c r="AA57" i="2"/>
  <c r="Z57" i="2"/>
  <c r="Y57" i="2"/>
  <c r="X57" i="2"/>
  <c r="W57" i="2"/>
  <c r="U57" i="2"/>
  <c r="V57" i="2" s="1"/>
  <c r="T57" i="2"/>
  <c r="S57" i="2"/>
  <c r="R57" i="2"/>
  <c r="Q57" i="2"/>
  <c r="P57" i="2"/>
  <c r="O57" i="2"/>
  <c r="N57" i="2"/>
  <c r="M57" i="2"/>
  <c r="K57" i="2"/>
  <c r="L57" i="2" s="1"/>
  <c r="J57" i="2"/>
  <c r="I57" i="2"/>
  <c r="H57" i="2"/>
  <c r="G57" i="2"/>
  <c r="F57" i="2"/>
  <c r="E57" i="2"/>
  <c r="D57" i="2"/>
  <c r="C57" i="2"/>
  <c r="CD56" i="2"/>
  <c r="CC56" i="2"/>
  <c r="CB56" i="2"/>
  <c r="CA56" i="2"/>
  <c r="BZ56" i="2"/>
  <c r="BX56" i="2"/>
  <c r="BY56" i="2" s="1"/>
  <c r="BW56" i="2"/>
  <c r="BV56" i="2"/>
  <c r="BU56" i="2"/>
  <c r="BT56" i="2"/>
  <c r="BS56" i="2"/>
  <c r="BR56" i="2"/>
  <c r="BQ56" i="2"/>
  <c r="BP56" i="2"/>
  <c r="BN56" i="2"/>
  <c r="BO56" i="2" s="1"/>
  <c r="BM56" i="2"/>
  <c r="BL56" i="2"/>
  <c r="BK56" i="2"/>
  <c r="BJ56" i="2"/>
  <c r="BI56" i="2"/>
  <c r="BH56" i="2"/>
  <c r="BG56" i="2"/>
  <c r="BF56" i="2"/>
  <c r="BD56" i="2"/>
  <c r="BE56" i="2" s="1"/>
  <c r="BC56" i="2"/>
  <c r="BB56" i="2"/>
  <c r="BA56" i="2"/>
  <c r="AZ56" i="2"/>
  <c r="AY56" i="2"/>
  <c r="AX56" i="2"/>
  <c r="AW56" i="2"/>
  <c r="AV56" i="2"/>
  <c r="AT56" i="2"/>
  <c r="AU56" i="2" s="1"/>
  <c r="AS56" i="2"/>
  <c r="AR56" i="2"/>
  <c r="AQ56" i="2"/>
  <c r="AO56" i="2"/>
  <c r="AP56" i="2" s="1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Z56" i="2"/>
  <c r="AA56" i="2" s="1"/>
  <c r="Y56" i="2"/>
  <c r="X56" i="2"/>
  <c r="W56" i="2"/>
  <c r="U56" i="2"/>
  <c r="V56" i="2" s="1"/>
  <c r="T56" i="2"/>
  <c r="S56" i="2"/>
  <c r="R56" i="2"/>
  <c r="P56" i="2"/>
  <c r="Q56" i="2" s="1"/>
  <c r="O56" i="2"/>
  <c r="N56" i="2"/>
  <c r="M56" i="2"/>
  <c r="L56" i="2"/>
  <c r="K56" i="2"/>
  <c r="J56" i="2"/>
  <c r="I56" i="2"/>
  <c r="H56" i="2"/>
  <c r="F56" i="2"/>
  <c r="G56" i="2" s="1"/>
  <c r="E56" i="2"/>
  <c r="D56" i="2"/>
  <c r="C56" i="2"/>
  <c r="CC55" i="2"/>
  <c r="CD55" i="2" s="1"/>
  <c r="CB55" i="2"/>
  <c r="CA55" i="2"/>
  <c r="BZ55" i="2"/>
  <c r="BY55" i="2"/>
  <c r="BX55" i="2"/>
  <c r="BW55" i="2"/>
  <c r="BV55" i="2"/>
  <c r="BU55" i="2"/>
  <c r="BS55" i="2"/>
  <c r="BT55" i="2" s="1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Y55" i="2"/>
  <c r="AZ55" i="2" s="1"/>
  <c r="AX55" i="2"/>
  <c r="AW55" i="2"/>
  <c r="AV55" i="2"/>
  <c r="AT55" i="2"/>
  <c r="AU55" i="2" s="1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E55" i="2"/>
  <c r="AF55" i="2" s="1"/>
  <c r="AD55" i="2"/>
  <c r="AC55" i="2"/>
  <c r="AB55" i="2"/>
  <c r="Z55" i="2"/>
  <c r="AA55" i="2" s="1"/>
  <c r="Y55" i="2"/>
  <c r="X55" i="2"/>
  <c r="W55" i="2"/>
  <c r="U55" i="2"/>
  <c r="V55" i="2" s="1"/>
  <c r="T55" i="2"/>
  <c r="S55" i="2"/>
  <c r="R55" i="2"/>
  <c r="Q55" i="2"/>
  <c r="P55" i="2"/>
  <c r="O55" i="2"/>
  <c r="N55" i="2"/>
  <c r="M55" i="2"/>
  <c r="K55" i="2"/>
  <c r="L55" i="2" s="1"/>
  <c r="J55" i="2"/>
  <c r="I55" i="2"/>
  <c r="H55" i="2"/>
  <c r="G55" i="2"/>
  <c r="F55" i="2"/>
  <c r="E55" i="2"/>
  <c r="D55" i="2"/>
  <c r="C55" i="2"/>
  <c r="CD54" i="2"/>
  <c r="CC54" i="2"/>
  <c r="CB54" i="2"/>
  <c r="CA54" i="2"/>
  <c r="BZ54" i="2"/>
  <c r="BX54" i="2"/>
  <c r="BY54" i="2" s="1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I54" i="2"/>
  <c r="BH54" i="2"/>
  <c r="BJ54" i="2" s="1"/>
  <c r="BG54" i="2"/>
  <c r="BF54" i="2"/>
  <c r="BD54" i="2"/>
  <c r="BE54" i="2" s="1"/>
  <c r="BC54" i="2"/>
  <c r="BB54" i="2"/>
  <c r="BA54" i="2"/>
  <c r="AY54" i="2"/>
  <c r="AZ54" i="2" s="1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J54" i="2"/>
  <c r="AK54" i="2" s="1"/>
  <c r="AI54" i="2"/>
  <c r="AH54" i="2"/>
  <c r="AG54" i="2"/>
  <c r="AE54" i="2"/>
  <c r="AF54" i="2" s="1"/>
  <c r="AD54" i="2"/>
  <c r="AC54" i="2"/>
  <c r="AB54" i="2"/>
  <c r="Z54" i="2"/>
  <c r="AA54" i="2" s="1"/>
  <c r="Y54" i="2"/>
  <c r="X54" i="2"/>
  <c r="W54" i="2"/>
  <c r="V54" i="2"/>
  <c r="U54" i="2"/>
  <c r="T54" i="2"/>
  <c r="S54" i="2"/>
  <c r="R54" i="2"/>
  <c r="P54" i="2"/>
  <c r="Q54" i="2" s="1"/>
  <c r="O54" i="2"/>
  <c r="N54" i="2"/>
  <c r="M54" i="2"/>
  <c r="L54" i="2"/>
  <c r="K54" i="2"/>
  <c r="J54" i="2"/>
  <c r="I54" i="2"/>
  <c r="H54" i="2"/>
  <c r="F54" i="2"/>
  <c r="G54" i="2" s="1"/>
  <c r="E54" i="2"/>
  <c r="D54" i="2"/>
  <c r="C54" i="2"/>
  <c r="CC53" i="2"/>
  <c r="CD53" i="2" s="1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I53" i="2"/>
  <c r="BJ53" i="2" s="1"/>
  <c r="BH53" i="2"/>
  <c r="BG53" i="2"/>
  <c r="BF53" i="2"/>
  <c r="BD53" i="2"/>
  <c r="BE53" i="2" s="1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O53" i="2"/>
  <c r="AN53" i="2"/>
  <c r="AM53" i="2"/>
  <c r="AL53" i="2"/>
  <c r="AJ53" i="2"/>
  <c r="AK53" i="2" s="1"/>
  <c r="AI53" i="2"/>
  <c r="AH53" i="2"/>
  <c r="AG53" i="2"/>
  <c r="AE53" i="2"/>
  <c r="AF53" i="2" s="1"/>
  <c r="AD53" i="2"/>
  <c r="AC53" i="2"/>
  <c r="AB53" i="2"/>
  <c r="AA53" i="2"/>
  <c r="Z53" i="2"/>
  <c r="Y53" i="2"/>
  <c r="X53" i="2"/>
  <c r="W53" i="2"/>
  <c r="U53" i="2"/>
  <c r="V53" i="2" s="1"/>
  <c r="T53" i="2"/>
  <c r="S53" i="2"/>
  <c r="R53" i="2"/>
  <c r="Q53" i="2"/>
  <c r="P53" i="2"/>
  <c r="O53" i="2"/>
  <c r="N53" i="2"/>
  <c r="M53" i="2"/>
  <c r="K53" i="2"/>
  <c r="L53" i="2" s="1"/>
  <c r="J53" i="2"/>
  <c r="I53" i="2"/>
  <c r="H53" i="2"/>
  <c r="F53" i="2"/>
  <c r="G53" i="2" s="1"/>
  <c r="E53" i="2"/>
  <c r="D53" i="2"/>
  <c r="C53" i="2"/>
  <c r="CD52" i="2"/>
  <c r="CC52" i="2"/>
  <c r="CB52" i="2"/>
  <c r="CA52" i="2"/>
  <c r="BZ52" i="2"/>
  <c r="BX52" i="2"/>
  <c r="BY52" i="2" s="1"/>
  <c r="BW52" i="2"/>
  <c r="BV52" i="2"/>
  <c r="BU52" i="2"/>
  <c r="BS52" i="2"/>
  <c r="BT52" i="2" s="1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D52" i="2"/>
  <c r="BE52" i="2" s="1"/>
  <c r="BC52" i="2"/>
  <c r="BB52" i="2"/>
  <c r="BA52" i="2"/>
  <c r="AY52" i="2"/>
  <c r="AZ52" i="2" s="1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J52" i="2"/>
  <c r="AK52" i="2" s="1"/>
  <c r="AI52" i="2"/>
  <c r="AH52" i="2"/>
  <c r="AG52" i="2"/>
  <c r="AE52" i="2"/>
  <c r="AF52" i="2" s="1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P52" i="2"/>
  <c r="Q52" i="2" s="1"/>
  <c r="O52" i="2"/>
  <c r="N52" i="2"/>
  <c r="M52" i="2"/>
  <c r="K52" i="2"/>
  <c r="L52" i="2" s="1"/>
  <c r="J52" i="2"/>
  <c r="I52" i="2"/>
  <c r="H52" i="2"/>
  <c r="G52" i="2"/>
  <c r="F52" i="2"/>
  <c r="E52" i="2"/>
  <c r="D52" i="2"/>
  <c r="C52" i="2"/>
  <c r="CC51" i="2"/>
  <c r="CD51" i="2" s="1"/>
  <c r="CB51" i="2"/>
  <c r="CA51" i="2"/>
  <c r="BZ51" i="2"/>
  <c r="BX51" i="2"/>
  <c r="BY51" i="2" s="1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I51" i="2"/>
  <c r="BJ51" i="2" s="1"/>
  <c r="BH51" i="2"/>
  <c r="BG51" i="2"/>
  <c r="BF51" i="2"/>
  <c r="BD51" i="2"/>
  <c r="BE51" i="2" s="1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O51" i="2"/>
  <c r="AP51" i="2" s="1"/>
  <c r="AN51" i="2"/>
  <c r="AM51" i="2"/>
  <c r="AL51" i="2"/>
  <c r="AJ51" i="2"/>
  <c r="AK51" i="2" s="1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U51" i="2"/>
  <c r="V51" i="2" s="1"/>
  <c r="T51" i="2"/>
  <c r="S51" i="2"/>
  <c r="R51" i="2"/>
  <c r="P51" i="2"/>
  <c r="Q51" i="2" s="1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CC50" i="2"/>
  <c r="CD50" i="2" s="1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N50" i="2"/>
  <c r="BO50" i="2" s="1"/>
  <c r="BM50" i="2"/>
  <c r="BL50" i="2"/>
  <c r="BK50" i="2"/>
  <c r="BI50" i="2"/>
  <c r="BJ50" i="2" s="1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T50" i="2"/>
  <c r="AU50" i="2" s="1"/>
  <c r="AS50" i="2"/>
  <c r="AR50" i="2"/>
  <c r="AQ50" i="2"/>
  <c r="AO50" i="2"/>
  <c r="AP50" i="2" s="1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Z50" i="2"/>
  <c r="AA50" i="2" s="1"/>
  <c r="Y50" i="2"/>
  <c r="X50" i="2"/>
  <c r="W50" i="2"/>
  <c r="U50" i="2"/>
  <c r="V50" i="2" s="1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F50" i="2"/>
  <c r="G50" i="2" s="1"/>
  <c r="E50" i="2"/>
  <c r="D50" i="2"/>
  <c r="C50" i="2"/>
  <c r="CD49" i="2"/>
  <c r="CC49" i="2"/>
  <c r="CB49" i="2"/>
  <c r="CA49" i="2"/>
  <c r="BZ49" i="2"/>
  <c r="BY49" i="2"/>
  <c r="BX49" i="2"/>
  <c r="BW49" i="2"/>
  <c r="BV49" i="2"/>
  <c r="BU49" i="2"/>
  <c r="BS49" i="2"/>
  <c r="BT49" i="2" s="1"/>
  <c r="BR49" i="2"/>
  <c r="BQ49" i="2"/>
  <c r="BP49" i="2"/>
  <c r="BN49" i="2"/>
  <c r="BO49" i="2" s="1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Y49" i="2"/>
  <c r="AZ49" i="2" s="1"/>
  <c r="AX49" i="2"/>
  <c r="AW49" i="2"/>
  <c r="AV49" i="2"/>
  <c r="AT49" i="2"/>
  <c r="AU49" i="2" s="1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E49" i="2"/>
  <c r="AF49" i="2" s="1"/>
  <c r="AD49" i="2"/>
  <c r="AC49" i="2"/>
  <c r="AB49" i="2"/>
  <c r="Z49" i="2"/>
  <c r="AA49" i="2" s="1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K49" i="2"/>
  <c r="L49" i="2" s="1"/>
  <c r="J49" i="2"/>
  <c r="I49" i="2"/>
  <c r="H49" i="2"/>
  <c r="F49" i="2"/>
  <c r="G49" i="2" s="1"/>
  <c r="E49" i="2"/>
  <c r="D49" i="2"/>
  <c r="C49" i="2"/>
  <c r="CD48" i="2"/>
  <c r="CC48" i="2"/>
  <c r="CB48" i="2"/>
  <c r="CA48" i="2"/>
  <c r="BZ48" i="2"/>
  <c r="BX48" i="2"/>
  <c r="BY48" i="2" s="1"/>
  <c r="BW48" i="2"/>
  <c r="BV48" i="2"/>
  <c r="BU48" i="2"/>
  <c r="BS48" i="2"/>
  <c r="BT48" i="2" s="1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D48" i="2"/>
  <c r="BE48" i="2" s="1"/>
  <c r="BC48" i="2"/>
  <c r="BB48" i="2"/>
  <c r="BA48" i="2"/>
  <c r="AY48" i="2"/>
  <c r="AZ48" i="2" s="1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J48" i="2"/>
  <c r="AK48" i="2" s="1"/>
  <c r="AI48" i="2"/>
  <c r="AH48" i="2"/>
  <c r="AG48" i="2"/>
  <c r="AE48" i="2"/>
  <c r="AF48" i="2" s="1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P48" i="2"/>
  <c r="Q48" i="2" s="1"/>
  <c r="O48" i="2"/>
  <c r="N48" i="2"/>
  <c r="M48" i="2"/>
  <c r="K48" i="2"/>
  <c r="L48" i="2" s="1"/>
  <c r="J48" i="2"/>
  <c r="I48" i="2"/>
  <c r="H48" i="2"/>
  <c r="G48" i="2"/>
  <c r="F48" i="2"/>
  <c r="E48" i="2"/>
  <c r="D48" i="2"/>
  <c r="C48" i="2"/>
  <c r="CC47" i="2"/>
  <c r="CD47" i="2" s="1"/>
  <c r="CB47" i="2"/>
  <c r="CA47" i="2"/>
  <c r="BZ47" i="2"/>
  <c r="BX47" i="2"/>
  <c r="BY47" i="2" s="1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I47" i="2"/>
  <c r="BJ47" i="2" s="1"/>
  <c r="BH47" i="2"/>
  <c r="BG47" i="2"/>
  <c r="BF47" i="2"/>
  <c r="BD47" i="2"/>
  <c r="BE47" i="2" s="1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O47" i="2"/>
  <c r="AP47" i="2" s="1"/>
  <c r="AN47" i="2"/>
  <c r="AM47" i="2"/>
  <c r="AL47" i="2"/>
  <c r="AJ47" i="2"/>
  <c r="AK47" i="2" s="1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U47" i="2"/>
  <c r="V47" i="2" s="1"/>
  <c r="T47" i="2"/>
  <c r="S47" i="2"/>
  <c r="R47" i="2"/>
  <c r="P47" i="2"/>
  <c r="Q47" i="2" s="1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C46" i="2"/>
  <c r="CD46" i="2" s="1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N46" i="2"/>
  <c r="BO46" i="2" s="1"/>
  <c r="BM46" i="2"/>
  <c r="BL46" i="2"/>
  <c r="BK46" i="2"/>
  <c r="BI46" i="2"/>
  <c r="BJ46" i="2" s="1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O46" i="2"/>
  <c r="AP46" i="2" s="1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U46" i="2"/>
  <c r="V46" i="2" s="1"/>
  <c r="T46" i="2"/>
  <c r="S46" i="2"/>
  <c r="R46" i="2"/>
  <c r="Q46" i="2"/>
  <c r="P46" i="2"/>
  <c r="O46" i="2"/>
  <c r="N46" i="2"/>
  <c r="M46" i="2"/>
  <c r="K46" i="2"/>
  <c r="L46" i="2" s="1"/>
  <c r="J46" i="2"/>
  <c r="I46" i="2"/>
  <c r="H46" i="2"/>
  <c r="G46" i="2"/>
  <c r="F46" i="2"/>
  <c r="E46" i="2"/>
  <c r="D46" i="2"/>
  <c r="C46" i="2"/>
  <c r="CD45" i="2"/>
  <c r="CC45" i="2"/>
  <c r="CB45" i="2"/>
  <c r="CA45" i="2"/>
  <c r="BZ45" i="2"/>
  <c r="BX45" i="2"/>
  <c r="BY45" i="2" s="1"/>
  <c r="BW45" i="2"/>
  <c r="BV45" i="2"/>
  <c r="BU45" i="2"/>
  <c r="BT45" i="2"/>
  <c r="BS45" i="2"/>
  <c r="BR45" i="2"/>
  <c r="BQ45" i="2"/>
  <c r="BP45" i="2"/>
  <c r="BN45" i="2"/>
  <c r="BO45" i="2" s="1"/>
  <c r="BM45" i="2"/>
  <c r="BL45" i="2"/>
  <c r="BK45" i="2"/>
  <c r="BJ45" i="2"/>
  <c r="BI45" i="2"/>
  <c r="BH45" i="2"/>
  <c r="BG45" i="2"/>
  <c r="BF45" i="2"/>
  <c r="BD45" i="2"/>
  <c r="BE45" i="2" s="1"/>
  <c r="BC45" i="2"/>
  <c r="BB45" i="2"/>
  <c r="BA45" i="2"/>
  <c r="AZ45" i="2"/>
  <c r="AY45" i="2"/>
  <c r="AX45" i="2"/>
  <c r="AW45" i="2"/>
  <c r="AV45" i="2"/>
  <c r="AT45" i="2"/>
  <c r="AU45" i="2" s="1"/>
  <c r="AS45" i="2"/>
  <c r="AR45" i="2"/>
  <c r="AQ45" i="2"/>
  <c r="AO45" i="2"/>
  <c r="AN45" i="2"/>
  <c r="AP45" i="2" s="1"/>
  <c r="AM45" i="2"/>
  <c r="AL45" i="2"/>
  <c r="AJ45" i="2"/>
  <c r="AK45" i="2" s="1"/>
  <c r="AI45" i="2"/>
  <c r="AH45" i="2"/>
  <c r="AG45" i="2"/>
  <c r="AF45" i="2"/>
  <c r="AE45" i="2"/>
  <c r="AD45" i="2"/>
  <c r="AC45" i="2"/>
  <c r="AB45" i="2"/>
  <c r="Z45" i="2"/>
  <c r="AA45" i="2" s="1"/>
  <c r="Y45" i="2"/>
  <c r="X45" i="2"/>
  <c r="W45" i="2"/>
  <c r="V45" i="2"/>
  <c r="U45" i="2"/>
  <c r="T45" i="2"/>
  <c r="S45" i="2"/>
  <c r="R45" i="2"/>
  <c r="P45" i="2"/>
  <c r="Q45" i="2" s="1"/>
  <c r="O45" i="2"/>
  <c r="N45" i="2"/>
  <c r="M45" i="2"/>
  <c r="L45" i="2"/>
  <c r="K45" i="2"/>
  <c r="J45" i="2"/>
  <c r="I45" i="2"/>
  <c r="H45" i="2"/>
  <c r="F45" i="2"/>
  <c r="G45" i="2" s="1"/>
  <c r="E45" i="2"/>
  <c r="D45" i="2"/>
  <c r="C45" i="2"/>
  <c r="CC44" i="2"/>
  <c r="CD44" i="2" s="1"/>
  <c r="CB44" i="2"/>
  <c r="CA44" i="2"/>
  <c r="BZ44" i="2"/>
  <c r="BY44" i="2"/>
  <c r="BX44" i="2"/>
  <c r="BW44" i="2"/>
  <c r="BV44" i="2"/>
  <c r="BU44" i="2"/>
  <c r="BS44" i="2"/>
  <c r="BT44" i="2" s="1"/>
  <c r="BR44" i="2"/>
  <c r="BQ44" i="2"/>
  <c r="BP44" i="2"/>
  <c r="BO44" i="2"/>
  <c r="BN44" i="2"/>
  <c r="BM44" i="2"/>
  <c r="BL44" i="2"/>
  <c r="BK44" i="2"/>
  <c r="BI44" i="2"/>
  <c r="BJ44" i="2" s="1"/>
  <c r="BH44" i="2"/>
  <c r="BG44" i="2"/>
  <c r="BF44" i="2"/>
  <c r="BE44" i="2"/>
  <c r="BD44" i="2"/>
  <c r="BC44" i="2"/>
  <c r="BB44" i="2"/>
  <c r="BA44" i="2"/>
  <c r="AY44" i="2"/>
  <c r="AZ44" i="2" s="1"/>
  <c r="AX44" i="2"/>
  <c r="AW44" i="2"/>
  <c r="AV44" i="2"/>
  <c r="AU44" i="2"/>
  <c r="AT44" i="2"/>
  <c r="AS44" i="2"/>
  <c r="AR44" i="2"/>
  <c r="AQ44" i="2"/>
  <c r="AO44" i="2"/>
  <c r="AP44" i="2" s="1"/>
  <c r="AN44" i="2"/>
  <c r="AM44" i="2"/>
  <c r="AL44" i="2"/>
  <c r="AK44" i="2"/>
  <c r="AJ44" i="2"/>
  <c r="AI44" i="2"/>
  <c r="AH44" i="2"/>
  <c r="AG44" i="2"/>
  <c r="AE44" i="2"/>
  <c r="AF44" i="2" s="1"/>
  <c r="AD44" i="2"/>
  <c r="AC44" i="2"/>
  <c r="AB44" i="2"/>
  <c r="AA44" i="2"/>
  <c r="Z44" i="2"/>
  <c r="Y44" i="2"/>
  <c r="X44" i="2"/>
  <c r="W44" i="2"/>
  <c r="U44" i="2"/>
  <c r="V44" i="2" s="1"/>
  <c r="T44" i="2"/>
  <c r="S44" i="2"/>
  <c r="R44" i="2"/>
  <c r="Q44" i="2"/>
  <c r="P44" i="2"/>
  <c r="O44" i="2"/>
  <c r="N44" i="2"/>
  <c r="M44" i="2"/>
  <c r="K44" i="2"/>
  <c r="L44" i="2" s="1"/>
  <c r="J44" i="2"/>
  <c r="I44" i="2"/>
  <c r="H44" i="2"/>
  <c r="G44" i="2"/>
  <c r="F44" i="2"/>
  <c r="E44" i="2"/>
  <c r="D44" i="2"/>
  <c r="C44" i="2"/>
  <c r="CD43" i="2"/>
  <c r="CC43" i="2"/>
  <c r="CB43" i="2"/>
  <c r="CA43" i="2"/>
  <c r="BZ43" i="2"/>
  <c r="BX43" i="2"/>
  <c r="BY43" i="2" s="1"/>
  <c r="BW43" i="2"/>
  <c r="BV43" i="2"/>
  <c r="BU43" i="2"/>
  <c r="BS43" i="2"/>
  <c r="BR43" i="2"/>
  <c r="BT43" i="2" s="1"/>
  <c r="BQ43" i="2"/>
  <c r="BP43" i="2"/>
  <c r="BN43" i="2"/>
  <c r="BO43" i="2" s="1"/>
  <c r="BM43" i="2"/>
  <c r="BL43" i="2"/>
  <c r="BK43" i="2"/>
  <c r="BJ43" i="2"/>
  <c r="BI43" i="2"/>
  <c r="BH43" i="2"/>
  <c r="BG43" i="2"/>
  <c r="BF43" i="2"/>
  <c r="BD43" i="2"/>
  <c r="BE43" i="2" s="1"/>
  <c r="BC43" i="2"/>
  <c r="BB43" i="2"/>
  <c r="BA43" i="2"/>
  <c r="AZ43" i="2"/>
  <c r="AY43" i="2"/>
  <c r="AX43" i="2"/>
  <c r="AW43" i="2"/>
  <c r="AV43" i="2"/>
  <c r="AT43" i="2"/>
  <c r="AU43" i="2" s="1"/>
  <c r="AS43" i="2"/>
  <c r="AR43" i="2"/>
  <c r="AQ43" i="2"/>
  <c r="AP43" i="2"/>
  <c r="AO43" i="2"/>
  <c r="AN43" i="2"/>
  <c r="AM43" i="2"/>
  <c r="AL43" i="2"/>
  <c r="AJ43" i="2"/>
  <c r="AK43" i="2" s="1"/>
  <c r="AI43" i="2"/>
  <c r="AH43" i="2"/>
  <c r="AG43" i="2"/>
  <c r="AF43" i="2"/>
  <c r="AE43" i="2"/>
  <c r="AD43" i="2"/>
  <c r="AC43" i="2"/>
  <c r="AB43" i="2"/>
  <c r="Z43" i="2"/>
  <c r="AA43" i="2" s="1"/>
  <c r="Y43" i="2"/>
  <c r="X43" i="2"/>
  <c r="W43" i="2"/>
  <c r="V43" i="2"/>
  <c r="U43" i="2"/>
  <c r="T43" i="2"/>
  <c r="S43" i="2"/>
  <c r="R43" i="2"/>
  <c r="P43" i="2"/>
  <c r="Q43" i="2" s="1"/>
  <c r="O43" i="2"/>
  <c r="N43" i="2"/>
  <c r="M43" i="2"/>
  <c r="L43" i="2"/>
  <c r="K43" i="2"/>
  <c r="J43" i="2"/>
  <c r="I43" i="2"/>
  <c r="H43" i="2"/>
  <c r="F43" i="2"/>
  <c r="G43" i="2" s="1"/>
  <c r="E43" i="2"/>
  <c r="D43" i="2"/>
  <c r="C43" i="2"/>
  <c r="CC42" i="2"/>
  <c r="CD42" i="2" s="1"/>
  <c r="CB42" i="2"/>
  <c r="CA42" i="2"/>
  <c r="BZ42" i="2"/>
  <c r="BY42" i="2"/>
  <c r="BX42" i="2"/>
  <c r="BW42" i="2"/>
  <c r="BV42" i="2"/>
  <c r="BU42" i="2"/>
  <c r="BS42" i="2"/>
  <c r="BT42" i="2" s="1"/>
  <c r="BR42" i="2"/>
  <c r="BQ42" i="2"/>
  <c r="BP42" i="2"/>
  <c r="BN42" i="2"/>
  <c r="BM42" i="2"/>
  <c r="BO42" i="2" s="1"/>
  <c r="BL42" i="2"/>
  <c r="BK42" i="2"/>
  <c r="BI42" i="2"/>
  <c r="BJ42" i="2" s="1"/>
  <c r="BH42" i="2"/>
  <c r="BG42" i="2"/>
  <c r="BF42" i="2"/>
  <c r="BE42" i="2"/>
  <c r="BD42" i="2"/>
  <c r="BC42" i="2"/>
  <c r="BB42" i="2"/>
  <c r="BA42" i="2"/>
  <c r="AY42" i="2"/>
  <c r="AZ42" i="2" s="1"/>
  <c r="AX42" i="2"/>
  <c r="AW42" i="2"/>
  <c r="AV42" i="2"/>
  <c r="AU42" i="2"/>
  <c r="AT42" i="2"/>
  <c r="AS42" i="2"/>
  <c r="AR42" i="2"/>
  <c r="AQ42" i="2"/>
  <c r="AO42" i="2"/>
  <c r="AP42" i="2" s="1"/>
  <c r="AN42" i="2"/>
  <c r="AM42" i="2"/>
  <c r="AL42" i="2"/>
  <c r="AK42" i="2"/>
  <c r="AJ42" i="2"/>
  <c r="AI42" i="2"/>
  <c r="AH42" i="2"/>
  <c r="AG42" i="2"/>
  <c r="AE42" i="2"/>
  <c r="AF42" i="2" s="1"/>
  <c r="AD42" i="2"/>
  <c r="AC42" i="2"/>
  <c r="AB42" i="2"/>
  <c r="Z42" i="2"/>
  <c r="Y42" i="2"/>
  <c r="AA42" i="2" s="1"/>
  <c r="X42" i="2"/>
  <c r="W42" i="2"/>
  <c r="U42" i="2"/>
  <c r="V42" i="2" s="1"/>
  <c r="T42" i="2"/>
  <c r="S42" i="2"/>
  <c r="R42" i="2"/>
  <c r="Q42" i="2"/>
  <c r="P42" i="2"/>
  <c r="O42" i="2"/>
  <c r="N42" i="2"/>
  <c r="M42" i="2"/>
  <c r="K42" i="2"/>
  <c r="L42" i="2" s="1"/>
  <c r="J42" i="2"/>
  <c r="I42" i="2"/>
  <c r="H42" i="2"/>
  <c r="G42" i="2"/>
  <c r="F42" i="2"/>
  <c r="E42" i="2"/>
  <c r="D42" i="2"/>
  <c r="C42" i="2"/>
  <c r="CD41" i="2"/>
  <c r="CC41" i="2"/>
  <c r="CB41" i="2"/>
  <c r="CA41" i="2"/>
  <c r="BZ41" i="2"/>
  <c r="BX41" i="2"/>
  <c r="BY41" i="2" s="1"/>
  <c r="BW41" i="2"/>
  <c r="BV41" i="2"/>
  <c r="BU41" i="2"/>
  <c r="BT41" i="2"/>
  <c r="BS41" i="2"/>
  <c r="BR41" i="2"/>
  <c r="BQ41" i="2"/>
  <c r="BP41" i="2"/>
  <c r="BN41" i="2"/>
  <c r="BO41" i="2" s="1"/>
  <c r="BM41" i="2"/>
  <c r="BL41" i="2"/>
  <c r="BK41" i="2"/>
  <c r="BJ41" i="2"/>
  <c r="BI41" i="2"/>
  <c r="BH41" i="2"/>
  <c r="BG41" i="2"/>
  <c r="BF41" i="2"/>
  <c r="BD41" i="2"/>
  <c r="BE41" i="2" s="1"/>
  <c r="BC41" i="2"/>
  <c r="BB41" i="2"/>
  <c r="BA41" i="2"/>
  <c r="AZ41" i="2"/>
  <c r="AY41" i="2"/>
  <c r="AX41" i="2"/>
  <c r="AW41" i="2"/>
  <c r="AV41" i="2"/>
  <c r="AT41" i="2"/>
  <c r="AU41" i="2" s="1"/>
  <c r="AS41" i="2"/>
  <c r="AR41" i="2"/>
  <c r="AQ41" i="2"/>
  <c r="AO41" i="2"/>
  <c r="AN41" i="2"/>
  <c r="AP41" i="2" s="1"/>
  <c r="AM41" i="2"/>
  <c r="AL41" i="2"/>
  <c r="AJ41" i="2"/>
  <c r="AK41" i="2" s="1"/>
  <c r="AI41" i="2"/>
  <c r="AH41" i="2"/>
  <c r="AG41" i="2"/>
  <c r="AF41" i="2"/>
  <c r="AE41" i="2"/>
  <c r="AD41" i="2"/>
  <c r="AC41" i="2"/>
  <c r="AB41" i="2"/>
  <c r="Z41" i="2"/>
  <c r="AA41" i="2" s="1"/>
  <c r="Y41" i="2"/>
  <c r="X41" i="2"/>
  <c r="W41" i="2"/>
  <c r="V41" i="2"/>
  <c r="U41" i="2"/>
  <c r="T41" i="2"/>
  <c r="S41" i="2"/>
  <c r="R41" i="2"/>
  <c r="P41" i="2"/>
  <c r="Q41" i="2" s="1"/>
  <c r="O41" i="2"/>
  <c r="N41" i="2"/>
  <c r="M41" i="2"/>
  <c r="L41" i="2"/>
  <c r="K41" i="2"/>
  <c r="J41" i="2"/>
  <c r="I41" i="2"/>
  <c r="H41" i="2"/>
  <c r="F41" i="2"/>
  <c r="G41" i="2" s="1"/>
  <c r="E41" i="2"/>
  <c r="D41" i="2"/>
  <c r="C41" i="2"/>
  <c r="CC40" i="2"/>
  <c r="CD40" i="2" s="1"/>
  <c r="CB40" i="2"/>
  <c r="CA40" i="2"/>
  <c r="BZ40" i="2"/>
  <c r="BX40" i="2"/>
  <c r="BW40" i="2"/>
  <c r="BY40" i="2" s="1"/>
  <c r="BV40" i="2"/>
  <c r="BU40" i="2"/>
  <c r="BS40" i="2"/>
  <c r="BT40" i="2" s="1"/>
  <c r="BR40" i="2"/>
  <c r="BQ40" i="2"/>
  <c r="BP40" i="2"/>
  <c r="BO40" i="2"/>
  <c r="BN40" i="2"/>
  <c r="BM40" i="2"/>
  <c r="BL40" i="2"/>
  <c r="BK40" i="2"/>
  <c r="BI40" i="2"/>
  <c r="BJ40" i="2" s="1"/>
  <c r="BH40" i="2"/>
  <c r="BG40" i="2"/>
  <c r="BF40" i="2"/>
  <c r="BE40" i="2"/>
  <c r="BD40" i="2"/>
  <c r="BC40" i="2"/>
  <c r="BB40" i="2"/>
  <c r="BA40" i="2"/>
  <c r="AY40" i="2"/>
  <c r="AZ40" i="2" s="1"/>
  <c r="AX40" i="2"/>
  <c r="AW40" i="2"/>
  <c r="AV40" i="2"/>
  <c r="AU40" i="2"/>
  <c r="AT40" i="2"/>
  <c r="AS40" i="2"/>
  <c r="AR40" i="2"/>
  <c r="AQ40" i="2"/>
  <c r="AO40" i="2"/>
  <c r="AP40" i="2" s="1"/>
  <c r="AN40" i="2"/>
  <c r="AM40" i="2"/>
  <c r="AL40" i="2"/>
  <c r="AK40" i="2"/>
  <c r="AJ40" i="2"/>
  <c r="AI40" i="2"/>
  <c r="AH40" i="2"/>
  <c r="AG40" i="2"/>
  <c r="AE40" i="2"/>
  <c r="AF40" i="2" s="1"/>
  <c r="AD40" i="2"/>
  <c r="AC40" i="2"/>
  <c r="AB40" i="2"/>
  <c r="AA40" i="2"/>
  <c r="Z40" i="2"/>
  <c r="Y40" i="2"/>
  <c r="X40" i="2"/>
  <c r="W40" i="2"/>
  <c r="U40" i="2"/>
  <c r="V40" i="2" s="1"/>
  <c r="T40" i="2"/>
  <c r="S40" i="2"/>
  <c r="R40" i="2"/>
  <c r="Q40" i="2"/>
  <c r="P40" i="2"/>
  <c r="O40" i="2"/>
  <c r="N40" i="2"/>
  <c r="M40" i="2"/>
  <c r="K40" i="2"/>
  <c r="L40" i="2" s="1"/>
  <c r="J40" i="2"/>
  <c r="I40" i="2"/>
  <c r="H40" i="2"/>
  <c r="G40" i="2"/>
  <c r="F40" i="2"/>
  <c r="E40" i="2"/>
  <c r="D40" i="2"/>
  <c r="C40" i="2"/>
  <c r="CD39" i="2"/>
  <c r="CC39" i="2"/>
  <c r="CB39" i="2"/>
  <c r="CA39" i="2"/>
  <c r="BZ39" i="2"/>
  <c r="BX39" i="2"/>
  <c r="BY39" i="2" s="1"/>
  <c r="BW39" i="2"/>
  <c r="BV39" i="2"/>
  <c r="BU39" i="2"/>
  <c r="BT39" i="2"/>
  <c r="BS39" i="2"/>
  <c r="BR39" i="2"/>
  <c r="BQ39" i="2"/>
  <c r="BP39" i="2"/>
  <c r="BN39" i="2"/>
  <c r="BO39" i="2" s="1"/>
  <c r="BM39" i="2"/>
  <c r="BL39" i="2"/>
  <c r="BK39" i="2"/>
  <c r="BJ39" i="2"/>
  <c r="BI39" i="2"/>
  <c r="BH39" i="2"/>
  <c r="BG39" i="2"/>
  <c r="BF39" i="2"/>
  <c r="BD39" i="2"/>
  <c r="BE39" i="2" s="1"/>
  <c r="BC39" i="2"/>
  <c r="BB39" i="2"/>
  <c r="BA39" i="2"/>
  <c r="AY39" i="2"/>
  <c r="AZ39" i="2" s="1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J39" i="2"/>
  <c r="AK39" i="2" s="1"/>
  <c r="AI39" i="2"/>
  <c r="AH39" i="2"/>
  <c r="AG39" i="2"/>
  <c r="AF39" i="2"/>
  <c r="AE39" i="2"/>
  <c r="AD39" i="2"/>
  <c r="AC39" i="2"/>
  <c r="AB39" i="2"/>
  <c r="Z39" i="2"/>
  <c r="AA39" i="2" s="1"/>
  <c r="Y39" i="2"/>
  <c r="X39" i="2"/>
  <c r="W39" i="2"/>
  <c r="V39" i="2"/>
  <c r="U39" i="2"/>
  <c r="T39" i="2"/>
  <c r="S39" i="2"/>
  <c r="R39" i="2"/>
  <c r="P39" i="2"/>
  <c r="Q39" i="2" s="1"/>
  <c r="O39" i="2"/>
  <c r="N39" i="2"/>
  <c r="M39" i="2"/>
  <c r="K39" i="2"/>
  <c r="J39" i="2"/>
  <c r="I39" i="2"/>
  <c r="H39" i="2"/>
  <c r="G39" i="2"/>
  <c r="F39" i="2"/>
  <c r="E39" i="2"/>
  <c r="D39" i="2"/>
  <c r="C39" i="2"/>
  <c r="CC38" i="2"/>
  <c r="CD38" i="2" s="1"/>
  <c r="CB38" i="2"/>
  <c r="CA38" i="2"/>
  <c r="BZ38" i="2"/>
  <c r="BY38" i="2"/>
  <c r="BX38" i="2"/>
  <c r="BW38" i="2"/>
  <c r="BV38" i="2"/>
  <c r="BU38" i="2"/>
  <c r="BS38" i="2"/>
  <c r="BT38" i="2" s="1"/>
  <c r="BR38" i="2"/>
  <c r="BQ38" i="2"/>
  <c r="BP38" i="2"/>
  <c r="BO38" i="2"/>
  <c r="BN38" i="2"/>
  <c r="BM38" i="2"/>
  <c r="BL38" i="2"/>
  <c r="BK38" i="2"/>
  <c r="BI38" i="2"/>
  <c r="BJ38" i="2" s="1"/>
  <c r="BH38" i="2"/>
  <c r="BG38" i="2"/>
  <c r="BF38" i="2"/>
  <c r="BD38" i="2"/>
  <c r="BE38" i="2" s="1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O38" i="2"/>
  <c r="AP38" i="2" s="1"/>
  <c r="AN38" i="2"/>
  <c r="AM38" i="2"/>
  <c r="AL38" i="2"/>
  <c r="AK38" i="2"/>
  <c r="AJ38" i="2"/>
  <c r="AI38" i="2"/>
  <c r="AH38" i="2"/>
  <c r="AG38" i="2"/>
  <c r="AE38" i="2"/>
  <c r="AF38" i="2" s="1"/>
  <c r="AD38" i="2"/>
  <c r="AC38" i="2"/>
  <c r="AB38" i="2"/>
  <c r="AA38" i="2"/>
  <c r="Z38" i="2"/>
  <c r="Y38" i="2"/>
  <c r="X38" i="2"/>
  <c r="W38" i="2"/>
  <c r="U38" i="2"/>
  <c r="V38" i="2" s="1"/>
  <c r="T38" i="2"/>
  <c r="S38" i="2"/>
  <c r="R38" i="2"/>
  <c r="P38" i="2"/>
  <c r="Q38" i="2" s="1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C37" i="2"/>
  <c r="CD37" i="2" s="1"/>
  <c r="CB37" i="2"/>
  <c r="CA37" i="2"/>
  <c r="BZ37" i="2"/>
  <c r="BX37" i="2"/>
  <c r="BY37" i="2" s="1"/>
  <c r="BW37" i="2"/>
  <c r="BV37" i="2"/>
  <c r="BU37" i="2"/>
  <c r="BT37" i="2"/>
  <c r="BS37" i="2"/>
  <c r="BR37" i="2"/>
  <c r="BQ37" i="2"/>
  <c r="BP37" i="2"/>
  <c r="BN37" i="2"/>
  <c r="BM37" i="2"/>
  <c r="BL37" i="2"/>
  <c r="BK37" i="2"/>
  <c r="BI37" i="2"/>
  <c r="BJ37" i="2" s="1"/>
  <c r="BH37" i="2"/>
  <c r="BG37" i="2"/>
  <c r="BF37" i="2"/>
  <c r="BD37" i="2"/>
  <c r="BE37" i="2" s="1"/>
  <c r="BC37" i="2"/>
  <c r="BB37" i="2"/>
  <c r="BA37" i="2"/>
  <c r="AZ37" i="2"/>
  <c r="AY37" i="2"/>
  <c r="AX37" i="2"/>
  <c r="AW37" i="2"/>
  <c r="AV37" i="2"/>
  <c r="AT37" i="2"/>
  <c r="AU37" i="2" s="1"/>
  <c r="AS37" i="2"/>
  <c r="AR37" i="2"/>
  <c r="AQ37" i="2"/>
  <c r="AP37" i="2"/>
  <c r="AO37" i="2"/>
  <c r="AN37" i="2"/>
  <c r="AM37" i="2"/>
  <c r="AL37" i="2"/>
  <c r="AJ37" i="2"/>
  <c r="AK37" i="2" s="1"/>
  <c r="AI37" i="2"/>
  <c r="AH37" i="2"/>
  <c r="AG37" i="2"/>
  <c r="AF37" i="2"/>
  <c r="AE37" i="2"/>
  <c r="AD37" i="2"/>
  <c r="AC37" i="2"/>
  <c r="AB37" i="2"/>
  <c r="Z37" i="2"/>
  <c r="AA37" i="2" s="1"/>
  <c r="Y37" i="2"/>
  <c r="X37" i="2"/>
  <c r="W37" i="2"/>
  <c r="U37" i="2"/>
  <c r="V37" i="2" s="1"/>
  <c r="T37" i="2"/>
  <c r="S37" i="2"/>
  <c r="R37" i="2"/>
  <c r="Q37" i="2"/>
  <c r="P37" i="2"/>
  <c r="O37" i="2"/>
  <c r="N37" i="2"/>
  <c r="M37" i="2"/>
  <c r="K37" i="2"/>
  <c r="L37" i="2" s="1"/>
  <c r="J37" i="2"/>
  <c r="I37" i="2"/>
  <c r="H37" i="2"/>
  <c r="G37" i="2"/>
  <c r="F37" i="2"/>
  <c r="E37" i="2"/>
  <c r="D37" i="2"/>
  <c r="C37" i="2"/>
  <c r="CD36" i="2"/>
  <c r="CC36" i="2"/>
  <c r="CB36" i="2"/>
  <c r="CA36" i="2"/>
  <c r="BZ36" i="2"/>
  <c r="BX36" i="2"/>
  <c r="BY36" i="2" s="1"/>
  <c r="BW36" i="2"/>
  <c r="BV36" i="2"/>
  <c r="BU36" i="2"/>
  <c r="BT36" i="2"/>
  <c r="BS36" i="2"/>
  <c r="BR36" i="2"/>
  <c r="BQ36" i="2"/>
  <c r="BP36" i="2"/>
  <c r="BN36" i="2"/>
  <c r="BO36" i="2" s="1"/>
  <c r="BM36" i="2"/>
  <c r="BL36" i="2"/>
  <c r="BK36" i="2"/>
  <c r="BJ36" i="2"/>
  <c r="BI36" i="2"/>
  <c r="BH36" i="2"/>
  <c r="BG36" i="2"/>
  <c r="BF36" i="2"/>
  <c r="BD36" i="2"/>
  <c r="BE36" i="2" s="1"/>
  <c r="BC36" i="2"/>
  <c r="BB36" i="2"/>
  <c r="BA36" i="2"/>
  <c r="AZ36" i="2"/>
  <c r="AY36" i="2"/>
  <c r="AX36" i="2"/>
  <c r="AW36" i="2"/>
  <c r="AV36" i="2"/>
  <c r="AT36" i="2"/>
  <c r="AU36" i="2" s="1"/>
  <c r="AS36" i="2"/>
  <c r="AR36" i="2"/>
  <c r="AQ36" i="2"/>
  <c r="AO36" i="2"/>
  <c r="AN36" i="2"/>
  <c r="AP36" i="2" s="1"/>
  <c r="AM36" i="2"/>
  <c r="AL36" i="2"/>
  <c r="AJ36" i="2"/>
  <c r="AK36" i="2" s="1"/>
  <c r="AI36" i="2"/>
  <c r="AH36" i="2"/>
  <c r="AG36" i="2"/>
  <c r="AF36" i="2"/>
  <c r="AE36" i="2"/>
  <c r="AD36" i="2"/>
  <c r="AC36" i="2"/>
  <c r="AB36" i="2"/>
  <c r="Z36" i="2"/>
  <c r="AA36" i="2" s="1"/>
  <c r="Y36" i="2"/>
  <c r="X36" i="2"/>
  <c r="W36" i="2"/>
  <c r="V36" i="2"/>
  <c r="U36" i="2"/>
  <c r="T36" i="2"/>
  <c r="S36" i="2"/>
  <c r="R36" i="2"/>
  <c r="P36" i="2"/>
  <c r="Q36" i="2" s="1"/>
  <c r="O36" i="2"/>
  <c r="N36" i="2"/>
  <c r="M36" i="2"/>
  <c r="L36" i="2"/>
  <c r="K36" i="2"/>
  <c r="J36" i="2"/>
  <c r="I36" i="2"/>
  <c r="H36" i="2"/>
  <c r="F36" i="2"/>
  <c r="G36" i="2" s="1"/>
  <c r="E36" i="2"/>
  <c r="D36" i="2"/>
  <c r="C36" i="2"/>
  <c r="CC35" i="2"/>
  <c r="CD35" i="2" s="1"/>
  <c r="CB35" i="2"/>
  <c r="CA35" i="2"/>
  <c r="BZ35" i="2"/>
  <c r="BY35" i="2"/>
  <c r="BX35" i="2"/>
  <c r="BW35" i="2"/>
  <c r="BV35" i="2"/>
  <c r="BU35" i="2"/>
  <c r="BS35" i="2"/>
  <c r="BT35" i="2" s="1"/>
  <c r="BR35" i="2"/>
  <c r="BQ35" i="2"/>
  <c r="BP35" i="2"/>
  <c r="BO35" i="2"/>
  <c r="BN35" i="2"/>
  <c r="BM35" i="2"/>
  <c r="BL35" i="2"/>
  <c r="BK35" i="2"/>
  <c r="BI35" i="2"/>
  <c r="BJ35" i="2" s="1"/>
  <c r="BH35" i="2"/>
  <c r="BG35" i="2"/>
  <c r="BF35" i="2"/>
  <c r="BE35" i="2"/>
  <c r="BD35" i="2"/>
  <c r="BC35" i="2"/>
  <c r="BB35" i="2"/>
  <c r="BA35" i="2"/>
  <c r="AY35" i="2"/>
  <c r="AZ35" i="2" s="1"/>
  <c r="AX35" i="2"/>
  <c r="AW35" i="2"/>
  <c r="AV35" i="2"/>
  <c r="AU35" i="2"/>
  <c r="AT35" i="2"/>
  <c r="AS35" i="2"/>
  <c r="AR35" i="2"/>
  <c r="AQ35" i="2"/>
  <c r="AO35" i="2"/>
  <c r="AP35" i="2" s="1"/>
  <c r="AN35" i="2"/>
  <c r="AM35" i="2"/>
  <c r="AL35" i="2"/>
  <c r="AK35" i="2"/>
  <c r="AJ35" i="2"/>
  <c r="AI35" i="2"/>
  <c r="AH35" i="2"/>
  <c r="AG35" i="2"/>
  <c r="AE35" i="2"/>
  <c r="AF35" i="2" s="1"/>
  <c r="AD35" i="2"/>
  <c r="AC35" i="2"/>
  <c r="AB35" i="2"/>
  <c r="AA35" i="2"/>
  <c r="Z35" i="2"/>
  <c r="Y35" i="2"/>
  <c r="X35" i="2"/>
  <c r="W35" i="2"/>
  <c r="U35" i="2"/>
  <c r="V35" i="2" s="1"/>
  <c r="T35" i="2"/>
  <c r="S35" i="2"/>
  <c r="R35" i="2"/>
  <c r="Q35" i="2"/>
  <c r="P35" i="2"/>
  <c r="O35" i="2"/>
  <c r="N35" i="2"/>
  <c r="M35" i="2"/>
  <c r="K35" i="2"/>
  <c r="L35" i="2" s="1"/>
  <c r="J35" i="2"/>
  <c r="I35" i="2"/>
  <c r="H35" i="2"/>
  <c r="G35" i="2"/>
  <c r="F35" i="2"/>
  <c r="E35" i="2"/>
  <c r="D35" i="2"/>
  <c r="C35" i="2"/>
  <c r="CD34" i="2"/>
  <c r="CC34" i="2"/>
  <c r="CB34" i="2"/>
  <c r="CA34" i="2"/>
  <c r="BZ34" i="2"/>
  <c r="BX34" i="2"/>
  <c r="BY34" i="2" s="1"/>
  <c r="BW34" i="2"/>
  <c r="BV34" i="2"/>
  <c r="BU34" i="2"/>
  <c r="BT34" i="2"/>
  <c r="BS34" i="2"/>
  <c r="BR34" i="2"/>
  <c r="BQ34" i="2"/>
  <c r="BP34" i="2"/>
  <c r="BN34" i="2"/>
  <c r="BO34" i="2" s="1"/>
  <c r="BM34" i="2"/>
  <c r="BL34" i="2"/>
  <c r="BK34" i="2"/>
  <c r="BJ34" i="2"/>
  <c r="BI34" i="2"/>
  <c r="BH34" i="2"/>
  <c r="BG34" i="2"/>
  <c r="BF34" i="2"/>
  <c r="BD34" i="2"/>
  <c r="BE34" i="2" s="1"/>
  <c r="BC34" i="2"/>
  <c r="BB34" i="2"/>
  <c r="BA34" i="2"/>
  <c r="AZ34" i="2"/>
  <c r="AY34" i="2"/>
  <c r="AX34" i="2"/>
  <c r="AW34" i="2"/>
  <c r="AV34" i="2"/>
  <c r="AT34" i="2"/>
  <c r="AU34" i="2" s="1"/>
  <c r="AS34" i="2"/>
  <c r="AR34" i="2"/>
  <c r="AQ34" i="2"/>
  <c r="AP34" i="2"/>
  <c r="AO34" i="2"/>
  <c r="AN34" i="2"/>
  <c r="AM34" i="2"/>
  <c r="AL34" i="2"/>
  <c r="AJ34" i="2"/>
  <c r="AK34" i="2" s="1"/>
  <c r="AI34" i="2"/>
  <c r="AH34" i="2"/>
  <c r="AG34" i="2"/>
  <c r="AF34" i="2"/>
  <c r="AE34" i="2"/>
  <c r="AD34" i="2"/>
  <c r="AC34" i="2"/>
  <c r="AB34" i="2"/>
  <c r="Z34" i="2"/>
  <c r="AA34" i="2" s="1"/>
  <c r="Y34" i="2"/>
  <c r="X34" i="2"/>
  <c r="W34" i="2"/>
  <c r="U34" i="2"/>
  <c r="V34" i="2" s="1"/>
  <c r="T34" i="2"/>
  <c r="S34" i="2"/>
  <c r="R34" i="2"/>
  <c r="P34" i="2"/>
  <c r="Q34" i="2" s="1"/>
  <c r="O34" i="2"/>
  <c r="N34" i="2"/>
  <c r="M34" i="2"/>
  <c r="K34" i="2"/>
  <c r="J34" i="2"/>
  <c r="L34" i="2" s="1"/>
  <c r="I34" i="2"/>
  <c r="H34" i="2"/>
  <c r="F34" i="2"/>
  <c r="G34" i="2" s="1"/>
  <c r="E34" i="2"/>
  <c r="D34" i="2"/>
  <c r="C34" i="2"/>
  <c r="CC33" i="2"/>
  <c r="CD33" i="2" s="1"/>
  <c r="CB33" i="2"/>
  <c r="CA33" i="2"/>
  <c r="BZ33" i="2"/>
  <c r="BY33" i="2"/>
  <c r="BX33" i="2"/>
  <c r="BW33" i="2"/>
  <c r="BV33" i="2"/>
  <c r="BU33" i="2"/>
  <c r="BS33" i="2"/>
  <c r="BT33" i="2" s="1"/>
  <c r="BR33" i="2"/>
  <c r="BQ33" i="2"/>
  <c r="BP33" i="2"/>
  <c r="BO33" i="2"/>
  <c r="BN33" i="2"/>
  <c r="BM33" i="2"/>
  <c r="BL33" i="2"/>
  <c r="BK33" i="2"/>
  <c r="BI33" i="2"/>
  <c r="BJ33" i="2" s="1"/>
  <c r="BH33" i="2"/>
  <c r="BG33" i="2"/>
  <c r="BF33" i="2"/>
  <c r="BE33" i="2"/>
  <c r="BD33" i="2"/>
  <c r="BC33" i="2"/>
  <c r="BB33" i="2"/>
  <c r="BA33" i="2"/>
  <c r="AY33" i="2"/>
  <c r="AZ33" i="2" s="1"/>
  <c r="AX33" i="2"/>
  <c r="AW33" i="2"/>
  <c r="AV33" i="2"/>
  <c r="AT33" i="2"/>
  <c r="AS33" i="2"/>
  <c r="AU33" i="2" s="1"/>
  <c r="AR33" i="2"/>
  <c r="AQ33" i="2"/>
  <c r="AO33" i="2"/>
  <c r="AP33" i="2" s="1"/>
  <c r="AN33" i="2"/>
  <c r="AM33" i="2"/>
  <c r="AL33" i="2"/>
  <c r="AK33" i="2"/>
  <c r="AJ33" i="2"/>
  <c r="AI33" i="2"/>
  <c r="AH33" i="2"/>
  <c r="AG33" i="2"/>
  <c r="AE33" i="2"/>
  <c r="AF33" i="2" s="1"/>
  <c r="AD33" i="2"/>
  <c r="AC33" i="2"/>
  <c r="AB33" i="2"/>
  <c r="AA33" i="2"/>
  <c r="Z33" i="2"/>
  <c r="Y33" i="2"/>
  <c r="X33" i="2"/>
  <c r="W33" i="2"/>
  <c r="U33" i="2"/>
  <c r="V33" i="2" s="1"/>
  <c r="T33" i="2"/>
  <c r="S33" i="2"/>
  <c r="R33" i="2"/>
  <c r="Q33" i="2"/>
  <c r="P33" i="2"/>
  <c r="O33" i="2"/>
  <c r="N33" i="2"/>
  <c r="M33" i="2"/>
  <c r="K33" i="2"/>
  <c r="L33" i="2" s="1"/>
  <c r="J33" i="2"/>
  <c r="I33" i="2"/>
  <c r="H33" i="2"/>
  <c r="F33" i="2"/>
  <c r="G33" i="2" s="1"/>
  <c r="E33" i="2"/>
  <c r="D33" i="2"/>
  <c r="C33" i="2"/>
  <c r="CD32" i="2"/>
  <c r="CC32" i="2"/>
  <c r="CB32" i="2"/>
  <c r="CA32" i="2"/>
  <c r="BZ32" i="2"/>
  <c r="BX32" i="2"/>
  <c r="BY32" i="2" s="1"/>
  <c r="BW32" i="2"/>
  <c r="BV32" i="2"/>
  <c r="BU32" i="2"/>
  <c r="BS32" i="2"/>
  <c r="BT32" i="2" s="1"/>
  <c r="BR32" i="2"/>
  <c r="BQ32" i="2"/>
  <c r="BP32" i="2"/>
  <c r="BN32" i="2"/>
  <c r="BO32" i="2" s="1"/>
  <c r="BM32" i="2"/>
  <c r="BL32" i="2"/>
  <c r="BK32" i="2"/>
  <c r="BJ32" i="2"/>
  <c r="BI32" i="2"/>
  <c r="BH32" i="2"/>
  <c r="BG32" i="2"/>
  <c r="BF32" i="2"/>
  <c r="BD32" i="2"/>
  <c r="BE32" i="2" s="1"/>
  <c r="BC32" i="2"/>
  <c r="BB32" i="2"/>
  <c r="BA32" i="2"/>
  <c r="AY32" i="2"/>
  <c r="AZ32" i="2" s="1"/>
  <c r="AX32" i="2"/>
  <c r="AW32" i="2"/>
  <c r="AV32" i="2"/>
  <c r="AT32" i="2"/>
  <c r="AU32" i="2" s="1"/>
  <c r="AS32" i="2"/>
  <c r="AR32" i="2"/>
  <c r="AQ32" i="2"/>
  <c r="AP32" i="2"/>
  <c r="AO32" i="2"/>
  <c r="AN32" i="2"/>
  <c r="AM32" i="2"/>
  <c r="AL32" i="2"/>
  <c r="AJ32" i="2"/>
  <c r="AK32" i="2" s="1"/>
  <c r="AI32" i="2"/>
  <c r="AH32" i="2"/>
  <c r="AG32" i="2"/>
  <c r="AE32" i="2"/>
  <c r="AF32" i="2" s="1"/>
  <c r="AD32" i="2"/>
  <c r="AC32" i="2"/>
  <c r="AB32" i="2"/>
  <c r="Z32" i="2"/>
  <c r="AA32" i="2" s="1"/>
  <c r="Y32" i="2"/>
  <c r="X32" i="2"/>
  <c r="W32" i="2"/>
  <c r="V32" i="2"/>
  <c r="U32" i="2"/>
  <c r="T32" i="2"/>
  <c r="S32" i="2"/>
  <c r="R32" i="2"/>
  <c r="P32" i="2"/>
  <c r="Q32" i="2" s="1"/>
  <c r="O32" i="2"/>
  <c r="N32" i="2"/>
  <c r="M32" i="2"/>
  <c r="K32" i="2"/>
  <c r="L32" i="2" s="1"/>
  <c r="J32" i="2"/>
  <c r="I32" i="2"/>
  <c r="H32" i="2"/>
  <c r="F32" i="2"/>
  <c r="G32" i="2" s="1"/>
  <c r="E32" i="2"/>
  <c r="D32" i="2"/>
  <c r="C32" i="2"/>
  <c r="CC31" i="2"/>
  <c r="CD31" i="2" s="1"/>
  <c r="CB31" i="2"/>
  <c r="CA31" i="2"/>
  <c r="BZ31" i="2"/>
  <c r="BX31" i="2"/>
  <c r="BY31" i="2" s="1"/>
  <c r="BW31" i="2"/>
  <c r="BV31" i="2"/>
  <c r="BU31" i="2"/>
  <c r="BS31" i="2"/>
  <c r="BT31" i="2" s="1"/>
  <c r="BR31" i="2"/>
  <c r="BQ31" i="2"/>
  <c r="BP31" i="2"/>
  <c r="BO31" i="2"/>
  <c r="BN31" i="2"/>
  <c r="BM31" i="2"/>
  <c r="BL31" i="2"/>
  <c r="BK31" i="2"/>
  <c r="BI31" i="2"/>
  <c r="BJ31" i="2" s="1"/>
  <c r="BH31" i="2"/>
  <c r="BG31" i="2"/>
  <c r="BF31" i="2"/>
  <c r="BD31" i="2"/>
  <c r="BE31" i="2" s="1"/>
  <c r="BC31" i="2"/>
  <c r="BB31" i="2"/>
  <c r="BA31" i="2"/>
  <c r="AY31" i="2"/>
  <c r="AZ31" i="2" s="1"/>
  <c r="AX31" i="2"/>
  <c r="AW31" i="2"/>
  <c r="AV31" i="2"/>
  <c r="AU31" i="2"/>
  <c r="AT31" i="2"/>
  <c r="AS31" i="2"/>
  <c r="AR31" i="2"/>
  <c r="AQ31" i="2"/>
  <c r="AO31" i="2"/>
  <c r="AP31" i="2" s="1"/>
  <c r="AN31" i="2"/>
  <c r="AM31" i="2"/>
  <c r="AL31" i="2"/>
  <c r="AJ31" i="2"/>
  <c r="AK31" i="2" s="1"/>
  <c r="AI31" i="2"/>
  <c r="AH31" i="2"/>
  <c r="AG31" i="2"/>
  <c r="AE31" i="2"/>
  <c r="AF31" i="2" s="1"/>
  <c r="AD31" i="2"/>
  <c r="AC31" i="2"/>
  <c r="AB31" i="2"/>
  <c r="AA31" i="2"/>
  <c r="Z31" i="2"/>
  <c r="Y31" i="2"/>
  <c r="X31" i="2"/>
  <c r="W31" i="2"/>
  <c r="U31" i="2"/>
  <c r="V31" i="2" s="1"/>
  <c r="T31" i="2"/>
  <c r="S31" i="2"/>
  <c r="R31" i="2"/>
  <c r="P31" i="2"/>
  <c r="Q31" i="2" s="1"/>
  <c r="O31" i="2"/>
  <c r="N31" i="2"/>
  <c r="M31" i="2"/>
  <c r="K31" i="2"/>
  <c r="L31" i="2" s="1"/>
  <c r="J31" i="2"/>
  <c r="I31" i="2"/>
  <c r="H31" i="2"/>
  <c r="G31" i="2"/>
  <c r="F31" i="2"/>
  <c r="E31" i="2"/>
  <c r="D31" i="2"/>
  <c r="C31" i="2"/>
  <c r="CC30" i="2"/>
  <c r="CD30" i="2" s="1"/>
  <c r="CB30" i="2"/>
  <c r="CA30" i="2"/>
  <c r="BZ30" i="2"/>
  <c r="BX30" i="2"/>
  <c r="BY30" i="2" s="1"/>
  <c r="BW30" i="2"/>
  <c r="BV30" i="2"/>
  <c r="BU30" i="2"/>
  <c r="BT30" i="2"/>
  <c r="BS30" i="2"/>
  <c r="BR30" i="2"/>
  <c r="BQ30" i="2"/>
  <c r="BP30" i="2"/>
  <c r="BN30" i="2"/>
  <c r="BO30" i="2" s="1"/>
  <c r="BM30" i="2"/>
  <c r="BL30" i="2"/>
  <c r="BK30" i="2"/>
  <c r="BI30" i="2"/>
  <c r="BJ30" i="2" s="1"/>
  <c r="BH30" i="2"/>
  <c r="BG30" i="2"/>
  <c r="BF30" i="2"/>
  <c r="BD30" i="2"/>
  <c r="BE30" i="2" s="1"/>
  <c r="BC30" i="2"/>
  <c r="BB30" i="2"/>
  <c r="BA30" i="2"/>
  <c r="AZ30" i="2"/>
  <c r="AY30" i="2"/>
  <c r="AX30" i="2"/>
  <c r="AW30" i="2"/>
  <c r="AV30" i="2"/>
  <c r="AT30" i="2"/>
  <c r="AU30" i="2" s="1"/>
  <c r="AS30" i="2"/>
  <c r="AR30" i="2"/>
  <c r="AQ30" i="2"/>
  <c r="AP30" i="2"/>
  <c r="AO30" i="2"/>
  <c r="AN30" i="2"/>
  <c r="AM30" i="2"/>
  <c r="AL30" i="2"/>
  <c r="AJ30" i="2"/>
  <c r="AK30" i="2" s="1"/>
  <c r="AI30" i="2"/>
  <c r="AH30" i="2"/>
  <c r="AG30" i="2"/>
  <c r="AF30" i="2"/>
  <c r="AE30" i="2"/>
  <c r="AD30" i="2"/>
  <c r="AC30" i="2"/>
  <c r="AB30" i="2"/>
  <c r="Z30" i="2"/>
  <c r="AA30" i="2" s="1"/>
  <c r="Y30" i="2"/>
  <c r="X30" i="2"/>
  <c r="W30" i="2"/>
  <c r="V30" i="2"/>
  <c r="U30" i="2"/>
  <c r="T30" i="2"/>
  <c r="S30" i="2"/>
  <c r="R30" i="2"/>
  <c r="P30" i="2"/>
  <c r="Q30" i="2" s="1"/>
  <c r="O30" i="2"/>
  <c r="N30" i="2"/>
  <c r="M30" i="2"/>
  <c r="L30" i="2"/>
  <c r="K30" i="2"/>
  <c r="J30" i="2"/>
  <c r="I30" i="2"/>
  <c r="H30" i="2"/>
  <c r="F30" i="2"/>
  <c r="G30" i="2" s="1"/>
  <c r="E30" i="2"/>
  <c r="D30" i="2"/>
  <c r="C30" i="2"/>
  <c r="CD29" i="2"/>
  <c r="CC29" i="2"/>
  <c r="CB29" i="2"/>
  <c r="CA29" i="2"/>
  <c r="BZ29" i="2"/>
  <c r="BY29" i="2"/>
  <c r="BX29" i="2"/>
  <c r="BW29" i="2"/>
  <c r="BV29" i="2"/>
  <c r="BU29" i="2"/>
  <c r="BS29" i="2"/>
  <c r="BT29" i="2" s="1"/>
  <c r="BR29" i="2"/>
  <c r="BQ29" i="2"/>
  <c r="BP29" i="2"/>
  <c r="BN29" i="2"/>
  <c r="BO29" i="2" s="1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Y29" i="2"/>
  <c r="AZ29" i="2" s="1"/>
  <c r="AX29" i="2"/>
  <c r="AW29" i="2"/>
  <c r="AV29" i="2"/>
  <c r="AT29" i="2"/>
  <c r="AU29" i="2" s="1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E29" i="2"/>
  <c r="AF29" i="2" s="1"/>
  <c r="AD29" i="2"/>
  <c r="AC29" i="2"/>
  <c r="AB29" i="2"/>
  <c r="Z29" i="2"/>
  <c r="AA29" i="2" s="1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K29" i="2"/>
  <c r="L29" i="2" s="1"/>
  <c r="J29" i="2"/>
  <c r="I29" i="2"/>
  <c r="H29" i="2"/>
  <c r="F29" i="2"/>
  <c r="G29" i="2" s="1"/>
  <c r="E29" i="2"/>
  <c r="D29" i="2"/>
  <c r="C29" i="2"/>
  <c r="CD28" i="2"/>
  <c r="CC28" i="2"/>
  <c r="CB28" i="2"/>
  <c r="CA28" i="2"/>
  <c r="BZ28" i="2"/>
  <c r="BX28" i="2"/>
  <c r="BY28" i="2" s="1"/>
  <c r="BW28" i="2"/>
  <c r="BV28" i="2"/>
  <c r="BU28" i="2"/>
  <c r="BS28" i="2"/>
  <c r="BT28" i="2" s="1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D28" i="2"/>
  <c r="BE28" i="2" s="1"/>
  <c r="BC28" i="2"/>
  <c r="BB28" i="2"/>
  <c r="BA28" i="2"/>
  <c r="AY28" i="2"/>
  <c r="AZ28" i="2" s="1"/>
  <c r="AX28" i="2"/>
  <c r="AW28" i="2"/>
  <c r="AV28" i="2"/>
  <c r="AU28" i="2"/>
  <c r="AT28" i="2"/>
  <c r="AS28" i="2"/>
  <c r="AR28" i="2"/>
  <c r="AQ28" i="2"/>
  <c r="AO28" i="2"/>
  <c r="AN28" i="2"/>
  <c r="AP28" i="2" s="1"/>
  <c r="AM28" i="2"/>
  <c r="AL28" i="2"/>
  <c r="AJ28" i="2"/>
  <c r="AK28" i="2" s="1"/>
  <c r="AI28" i="2"/>
  <c r="AH28" i="2"/>
  <c r="AG28" i="2"/>
  <c r="AE28" i="2"/>
  <c r="AF28" i="2" s="1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P28" i="2"/>
  <c r="Q28" i="2" s="1"/>
  <c r="O28" i="2"/>
  <c r="N28" i="2"/>
  <c r="M28" i="2"/>
  <c r="K28" i="2"/>
  <c r="L28" i="2" s="1"/>
  <c r="J28" i="2"/>
  <c r="I28" i="2"/>
  <c r="H28" i="2"/>
  <c r="G28" i="2"/>
  <c r="F28" i="2"/>
  <c r="E28" i="2"/>
  <c r="D28" i="2"/>
  <c r="C28" i="2"/>
  <c r="CC27" i="2"/>
  <c r="CD27" i="2" s="1"/>
  <c r="CB27" i="2"/>
  <c r="CA27" i="2"/>
  <c r="BZ27" i="2"/>
  <c r="BX27" i="2"/>
  <c r="BY27" i="2" s="1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I27" i="2"/>
  <c r="BJ27" i="2" s="1"/>
  <c r="BH27" i="2"/>
  <c r="BG27" i="2"/>
  <c r="BF27" i="2"/>
  <c r="BD27" i="2"/>
  <c r="BE27" i="2" s="1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O27" i="2"/>
  <c r="AP27" i="2" s="1"/>
  <c r="AN27" i="2"/>
  <c r="AM27" i="2"/>
  <c r="AL27" i="2"/>
  <c r="AJ27" i="2"/>
  <c r="AK27" i="2" s="1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U27" i="2"/>
  <c r="V27" i="2" s="1"/>
  <c r="T27" i="2"/>
  <c r="S27" i="2"/>
  <c r="R27" i="2"/>
  <c r="P27" i="2"/>
  <c r="Q27" i="2" s="1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C26" i="2"/>
  <c r="CD26" i="2" s="1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N26" i="2"/>
  <c r="BO26" i="2" s="1"/>
  <c r="BM26" i="2"/>
  <c r="BL26" i="2"/>
  <c r="BK26" i="2"/>
  <c r="BI26" i="2"/>
  <c r="BJ26" i="2" s="1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T26" i="2"/>
  <c r="AU26" i="2" s="1"/>
  <c r="AS26" i="2"/>
  <c r="AR26" i="2"/>
  <c r="AQ26" i="2"/>
  <c r="AO26" i="2"/>
  <c r="AP26" i="2" s="1"/>
  <c r="AN26" i="2"/>
  <c r="AM26" i="2"/>
  <c r="AL26" i="2"/>
  <c r="AK26" i="2"/>
  <c r="AJ26" i="2"/>
  <c r="AI26" i="2"/>
  <c r="AH26" i="2"/>
  <c r="AG26" i="2"/>
  <c r="AE26" i="2"/>
  <c r="AD26" i="2"/>
  <c r="AF26" i="2" s="1"/>
  <c r="AC26" i="2"/>
  <c r="AB26" i="2"/>
  <c r="Z26" i="2"/>
  <c r="AA26" i="2" s="1"/>
  <c r="Y26" i="2"/>
  <c r="X26" i="2"/>
  <c r="W26" i="2"/>
  <c r="U26" i="2"/>
  <c r="V26" i="2" s="1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F26" i="2"/>
  <c r="G26" i="2" s="1"/>
  <c r="E26" i="2"/>
  <c r="D26" i="2"/>
  <c r="C26" i="2"/>
  <c r="CD25" i="2"/>
  <c r="CC25" i="2"/>
  <c r="CB25" i="2"/>
  <c r="CA25" i="2"/>
  <c r="BZ25" i="2"/>
  <c r="BX25" i="2"/>
  <c r="BW25" i="2"/>
  <c r="BY25" i="2" s="1"/>
  <c r="BV25" i="2"/>
  <c r="BU25" i="2"/>
  <c r="BS25" i="2"/>
  <c r="BT25" i="2" s="1"/>
  <c r="BR25" i="2"/>
  <c r="BQ25" i="2"/>
  <c r="BP25" i="2"/>
  <c r="BN25" i="2"/>
  <c r="BO25" i="2" s="1"/>
  <c r="BM25" i="2"/>
  <c r="BL25" i="2"/>
  <c r="BK25" i="2"/>
  <c r="BJ25" i="2"/>
  <c r="BI25" i="2"/>
  <c r="BH25" i="2"/>
  <c r="BG25" i="2"/>
  <c r="BF25" i="2"/>
  <c r="BD25" i="2"/>
  <c r="BC25" i="2"/>
  <c r="BE25" i="2" s="1"/>
  <c r="BB25" i="2"/>
  <c r="BA25" i="2"/>
  <c r="AY25" i="2"/>
  <c r="AZ25" i="2" s="1"/>
  <c r="AX25" i="2"/>
  <c r="AW25" i="2"/>
  <c r="AV25" i="2"/>
  <c r="AT25" i="2"/>
  <c r="AU25" i="2" s="1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E25" i="2"/>
  <c r="AF25" i="2" s="1"/>
  <c r="AD25" i="2"/>
  <c r="AC25" i="2"/>
  <c r="AB25" i="2"/>
  <c r="Z25" i="2"/>
  <c r="AA25" i="2" s="1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K25" i="2"/>
  <c r="L25" i="2" s="1"/>
  <c r="J25" i="2"/>
  <c r="I25" i="2"/>
  <c r="H25" i="2"/>
  <c r="F25" i="2"/>
  <c r="G25" i="2" s="1"/>
  <c r="E25" i="2"/>
  <c r="D25" i="2"/>
  <c r="C25" i="2"/>
  <c r="CD24" i="2"/>
  <c r="CC24" i="2"/>
  <c r="CB24" i="2"/>
  <c r="CA24" i="2"/>
  <c r="BZ24" i="2"/>
  <c r="BX24" i="2"/>
  <c r="BY24" i="2" s="1"/>
  <c r="BW24" i="2"/>
  <c r="BV24" i="2"/>
  <c r="BU24" i="2"/>
  <c r="BS24" i="2"/>
  <c r="BT24" i="2" s="1"/>
  <c r="BR24" i="2"/>
  <c r="BQ24" i="2"/>
  <c r="BP24" i="2"/>
  <c r="BO24" i="2"/>
  <c r="BN24" i="2"/>
  <c r="BM24" i="2"/>
  <c r="BL24" i="2"/>
  <c r="BK24" i="2"/>
  <c r="BI24" i="2"/>
  <c r="BH24" i="2"/>
  <c r="BJ24" i="2" s="1"/>
  <c r="BG24" i="2"/>
  <c r="BF24" i="2"/>
  <c r="BD24" i="2"/>
  <c r="BE24" i="2" s="1"/>
  <c r="BC24" i="2"/>
  <c r="BB24" i="2"/>
  <c r="BA24" i="2"/>
  <c r="AY24" i="2"/>
  <c r="AZ24" i="2" s="1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J24" i="2"/>
  <c r="AK24" i="2" s="1"/>
  <c r="AI24" i="2"/>
  <c r="AH24" i="2"/>
  <c r="AG24" i="2"/>
  <c r="AE24" i="2"/>
  <c r="AF24" i="2" s="1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P24" i="2"/>
  <c r="Q24" i="2" s="1"/>
  <c r="O24" i="2"/>
  <c r="N24" i="2"/>
  <c r="M24" i="2"/>
  <c r="K24" i="2"/>
  <c r="L24" i="2" s="1"/>
  <c r="J24" i="2"/>
  <c r="I24" i="2"/>
  <c r="H24" i="2"/>
  <c r="G24" i="2"/>
  <c r="F24" i="2"/>
  <c r="E24" i="2"/>
  <c r="D24" i="2"/>
  <c r="C24" i="2"/>
  <c r="CC23" i="2"/>
  <c r="CD23" i="2" s="1"/>
  <c r="CB23" i="2"/>
  <c r="CA23" i="2"/>
  <c r="BZ23" i="2"/>
  <c r="BX23" i="2"/>
  <c r="BY23" i="2" s="1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I23" i="2"/>
  <c r="BJ23" i="2" s="1"/>
  <c r="BH23" i="2"/>
  <c r="BG23" i="2"/>
  <c r="BF23" i="2"/>
  <c r="BD23" i="2"/>
  <c r="BE23" i="2" s="1"/>
  <c r="BC23" i="2"/>
  <c r="BB23" i="2"/>
  <c r="BA23" i="2"/>
  <c r="AZ23" i="2"/>
  <c r="AY23" i="2"/>
  <c r="AX23" i="2"/>
  <c r="AW23" i="2"/>
  <c r="AV23" i="2"/>
  <c r="AT23" i="2"/>
  <c r="AS23" i="2"/>
  <c r="AU23" i="2" s="1"/>
  <c r="AR23" i="2"/>
  <c r="AQ23" i="2"/>
  <c r="AO23" i="2"/>
  <c r="AP23" i="2" s="1"/>
  <c r="AN23" i="2"/>
  <c r="AM23" i="2"/>
  <c r="AL23" i="2"/>
  <c r="AJ23" i="2"/>
  <c r="AK23" i="2" s="1"/>
  <c r="AI23" i="2"/>
  <c r="AH23" i="2"/>
  <c r="AG23" i="2"/>
  <c r="AF23" i="2"/>
  <c r="AE23" i="2"/>
  <c r="AD23" i="2"/>
  <c r="AC23" i="2"/>
  <c r="AB23" i="2"/>
  <c r="Z23" i="2"/>
  <c r="Y23" i="2"/>
  <c r="AA23" i="2" s="1"/>
  <c r="X23" i="2"/>
  <c r="W23" i="2"/>
  <c r="U23" i="2"/>
  <c r="V23" i="2" s="1"/>
  <c r="T23" i="2"/>
  <c r="S23" i="2"/>
  <c r="R23" i="2"/>
  <c r="P23" i="2"/>
  <c r="Q23" i="2" s="1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C22" i="2"/>
  <c r="CD22" i="2" s="1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N22" i="2"/>
  <c r="BO22" i="2" s="1"/>
  <c r="BM22" i="2"/>
  <c r="BL22" i="2"/>
  <c r="BK22" i="2"/>
  <c r="BI22" i="2"/>
  <c r="BJ22" i="2" s="1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T22" i="2"/>
  <c r="AU22" i="2" s="1"/>
  <c r="AS22" i="2"/>
  <c r="AR22" i="2"/>
  <c r="AQ22" i="2"/>
  <c r="AO22" i="2"/>
  <c r="AP22" i="2" s="1"/>
  <c r="AN22" i="2"/>
  <c r="AM22" i="2"/>
  <c r="AL22" i="2"/>
  <c r="AK22" i="2"/>
  <c r="AJ22" i="2"/>
  <c r="AI22" i="2"/>
  <c r="AH22" i="2"/>
  <c r="AG22" i="2"/>
  <c r="AE22" i="2"/>
  <c r="AD22" i="2"/>
  <c r="AF22" i="2" s="1"/>
  <c r="AC22" i="2"/>
  <c r="AB22" i="2"/>
  <c r="Z22" i="2"/>
  <c r="AA22" i="2" s="1"/>
  <c r="Y22" i="2"/>
  <c r="X22" i="2"/>
  <c r="W22" i="2"/>
  <c r="U22" i="2"/>
  <c r="V22" i="2" s="1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F22" i="2"/>
  <c r="G22" i="2" s="1"/>
  <c r="E22" i="2"/>
  <c r="D22" i="2"/>
  <c r="C22" i="2"/>
  <c r="CD21" i="2"/>
  <c r="CC21" i="2"/>
  <c r="CB21" i="2"/>
  <c r="CA21" i="2"/>
  <c r="BZ21" i="2"/>
  <c r="BY21" i="2"/>
  <c r="BX21" i="2"/>
  <c r="BW21" i="2"/>
  <c r="BV21" i="2"/>
  <c r="BU21" i="2"/>
  <c r="BS21" i="2"/>
  <c r="BT21" i="2" s="1"/>
  <c r="BR21" i="2"/>
  <c r="BQ21" i="2"/>
  <c r="BP21" i="2"/>
  <c r="BN21" i="2"/>
  <c r="BO21" i="2" s="1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Y21" i="2"/>
  <c r="AZ21" i="2" s="1"/>
  <c r="AX21" i="2"/>
  <c r="AW21" i="2"/>
  <c r="AV21" i="2"/>
  <c r="AT21" i="2"/>
  <c r="AU21" i="2" s="1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E21" i="2"/>
  <c r="AF21" i="2" s="1"/>
  <c r="AD21" i="2"/>
  <c r="AC21" i="2"/>
  <c r="AB21" i="2"/>
  <c r="Z21" i="2"/>
  <c r="AA21" i="2" s="1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K21" i="2"/>
  <c r="L21" i="2" s="1"/>
  <c r="J21" i="2"/>
  <c r="I21" i="2"/>
  <c r="H21" i="2"/>
  <c r="F21" i="2"/>
  <c r="G21" i="2" s="1"/>
  <c r="E21" i="2"/>
  <c r="D21" i="2"/>
  <c r="C21" i="2"/>
  <c r="CD20" i="2"/>
  <c r="CC20" i="2"/>
  <c r="CB20" i="2"/>
  <c r="CA20" i="2"/>
  <c r="BZ20" i="2"/>
  <c r="BX20" i="2"/>
  <c r="BY20" i="2" s="1"/>
  <c r="BW20" i="2"/>
  <c r="BV20" i="2"/>
  <c r="BU20" i="2"/>
  <c r="BS20" i="2"/>
  <c r="BT20" i="2" s="1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D20" i="2"/>
  <c r="BE20" i="2" s="1"/>
  <c r="BC20" i="2"/>
  <c r="BB20" i="2"/>
  <c r="BA20" i="2"/>
  <c r="AY20" i="2"/>
  <c r="AZ20" i="2" s="1"/>
  <c r="AX20" i="2"/>
  <c r="AW20" i="2"/>
  <c r="AV20" i="2"/>
  <c r="AU20" i="2"/>
  <c r="AT20" i="2"/>
  <c r="AS20" i="2"/>
  <c r="AR20" i="2"/>
  <c r="AQ20" i="2"/>
  <c r="AO20" i="2"/>
  <c r="AN20" i="2"/>
  <c r="AP20" i="2" s="1"/>
  <c r="AM20" i="2"/>
  <c r="AL20" i="2"/>
  <c r="AJ20" i="2"/>
  <c r="AK20" i="2" s="1"/>
  <c r="AI20" i="2"/>
  <c r="AH20" i="2"/>
  <c r="AG20" i="2"/>
  <c r="AE20" i="2"/>
  <c r="AF20" i="2" s="1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P20" i="2"/>
  <c r="Q20" i="2" s="1"/>
  <c r="O20" i="2"/>
  <c r="N20" i="2"/>
  <c r="M20" i="2"/>
  <c r="K20" i="2"/>
  <c r="L20" i="2" s="1"/>
  <c r="J20" i="2"/>
  <c r="I20" i="2"/>
  <c r="H20" i="2"/>
  <c r="G20" i="2"/>
  <c r="F20" i="2"/>
  <c r="E20" i="2"/>
  <c r="D20" i="2"/>
  <c r="C20" i="2"/>
  <c r="CC19" i="2"/>
  <c r="CD19" i="2" s="1"/>
  <c r="CB19" i="2"/>
  <c r="CA19" i="2"/>
  <c r="BZ19" i="2"/>
  <c r="BX19" i="2"/>
  <c r="BY19" i="2" s="1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I19" i="2"/>
  <c r="BJ19" i="2" s="1"/>
  <c r="BH19" i="2"/>
  <c r="BG19" i="2"/>
  <c r="BF19" i="2"/>
  <c r="BD19" i="2"/>
  <c r="BE19" i="2" s="1"/>
  <c r="BC19" i="2"/>
  <c r="BB19" i="2"/>
  <c r="BA19" i="2"/>
  <c r="AZ19" i="2"/>
  <c r="AY19" i="2"/>
  <c r="AX19" i="2"/>
  <c r="AW19" i="2"/>
  <c r="AV19" i="2"/>
  <c r="AT19" i="2"/>
  <c r="AS19" i="2"/>
  <c r="AU19" i="2" s="1"/>
  <c r="AR19" i="2"/>
  <c r="AQ19" i="2"/>
  <c r="AO19" i="2"/>
  <c r="AP19" i="2" s="1"/>
  <c r="AN19" i="2"/>
  <c r="AM19" i="2"/>
  <c r="AL19" i="2"/>
  <c r="AJ19" i="2"/>
  <c r="AK19" i="2" s="1"/>
  <c r="AI19" i="2"/>
  <c r="AH19" i="2"/>
  <c r="AG19" i="2"/>
  <c r="AF19" i="2"/>
  <c r="AE19" i="2"/>
  <c r="AD19" i="2"/>
  <c r="AC19" i="2"/>
  <c r="AB19" i="2"/>
  <c r="Z19" i="2"/>
  <c r="Y19" i="2"/>
  <c r="AA19" i="2" s="1"/>
  <c r="X19" i="2"/>
  <c r="W19" i="2"/>
  <c r="U19" i="2"/>
  <c r="V19" i="2" s="1"/>
  <c r="T19" i="2"/>
  <c r="S19" i="2"/>
  <c r="R19" i="2"/>
  <c r="P19" i="2"/>
  <c r="Q19" i="2" s="1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CC18" i="2"/>
  <c r="CD18" i="2" s="1"/>
  <c r="CB18" i="2"/>
  <c r="CA18" i="2"/>
  <c r="BZ18" i="2"/>
  <c r="BY18" i="2"/>
  <c r="BX18" i="2"/>
  <c r="BW18" i="2"/>
  <c r="BV18" i="2"/>
  <c r="BU18" i="2"/>
  <c r="BS18" i="2"/>
  <c r="BR18" i="2"/>
  <c r="BT18" i="2" s="1"/>
  <c r="BQ18" i="2"/>
  <c r="BP18" i="2"/>
  <c r="BN18" i="2"/>
  <c r="BO18" i="2" s="1"/>
  <c r="BM18" i="2"/>
  <c r="BL18" i="2"/>
  <c r="BK18" i="2"/>
  <c r="BI18" i="2"/>
  <c r="BJ18" i="2" s="1"/>
  <c r="BH18" i="2"/>
  <c r="BG18" i="2"/>
  <c r="BF18" i="2"/>
  <c r="BE18" i="2"/>
  <c r="BD18" i="2"/>
  <c r="BC18" i="2"/>
  <c r="BB18" i="2"/>
  <c r="BA18" i="2"/>
  <c r="AY18" i="2"/>
  <c r="AX18" i="2"/>
  <c r="AZ18" i="2" s="1"/>
  <c r="AW18" i="2"/>
  <c r="AV18" i="2"/>
  <c r="AT18" i="2"/>
  <c r="AU18" i="2" s="1"/>
  <c r="AS18" i="2"/>
  <c r="AR18" i="2"/>
  <c r="AQ18" i="2"/>
  <c r="AO18" i="2"/>
  <c r="AP18" i="2" s="1"/>
  <c r="AN18" i="2"/>
  <c r="AM18" i="2"/>
  <c r="AL18" i="2"/>
  <c r="AK18" i="2"/>
  <c r="AJ18" i="2"/>
  <c r="AI18" i="2"/>
  <c r="AH18" i="2"/>
  <c r="AG18" i="2"/>
  <c r="AE18" i="2"/>
  <c r="AD18" i="2"/>
  <c r="AF18" i="2" s="1"/>
  <c r="AC18" i="2"/>
  <c r="AB18" i="2"/>
  <c r="Z18" i="2"/>
  <c r="AA18" i="2" s="1"/>
  <c r="Y18" i="2"/>
  <c r="X18" i="2"/>
  <c r="W18" i="2"/>
  <c r="U18" i="2"/>
  <c r="V18" i="2" s="1"/>
  <c r="T18" i="2"/>
  <c r="S18" i="2"/>
  <c r="R18" i="2"/>
  <c r="Q18" i="2"/>
  <c r="P18" i="2"/>
  <c r="O18" i="2"/>
  <c r="N18" i="2"/>
  <c r="M18" i="2"/>
  <c r="K18" i="2"/>
  <c r="J18" i="2"/>
  <c r="L18" i="2" s="1"/>
  <c r="I18" i="2"/>
  <c r="H18" i="2"/>
  <c r="F18" i="2"/>
  <c r="G18" i="2" s="1"/>
  <c r="E18" i="2"/>
  <c r="D18" i="2"/>
  <c r="C18" i="2"/>
  <c r="CD17" i="2"/>
  <c r="CC17" i="2"/>
  <c r="CB17" i="2"/>
  <c r="CA17" i="2"/>
  <c r="BZ17" i="2"/>
  <c r="BX17" i="2"/>
  <c r="BW17" i="2"/>
  <c r="BY17" i="2" s="1"/>
  <c r="BV17" i="2"/>
  <c r="BU17" i="2"/>
  <c r="BT17" i="2"/>
  <c r="BR17" i="2"/>
  <c r="BQ17" i="2"/>
  <c r="BP17" i="2"/>
  <c r="BN17" i="2"/>
  <c r="BO17" i="2" s="1"/>
  <c r="BM17" i="2"/>
  <c r="BL17" i="2"/>
  <c r="BK17" i="2"/>
  <c r="BI17" i="2"/>
  <c r="BJ17" i="2" s="1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T17" i="2"/>
  <c r="AU17" i="2" s="1"/>
  <c r="AS17" i="2"/>
  <c r="AR17" i="2"/>
  <c r="AQ17" i="2"/>
  <c r="AO17" i="2"/>
  <c r="AP17" i="2" s="1"/>
  <c r="AN17" i="2"/>
  <c r="AM17" i="2"/>
  <c r="AL17" i="2"/>
  <c r="AK17" i="2"/>
  <c r="AJ17" i="2"/>
  <c r="AI17" i="2"/>
  <c r="AH17" i="2"/>
  <c r="AG17" i="2"/>
  <c r="AE17" i="2"/>
  <c r="AD17" i="2"/>
  <c r="AF17" i="2" s="1"/>
  <c r="AC17" i="2"/>
  <c r="AB17" i="2"/>
  <c r="Z17" i="2"/>
  <c r="AA17" i="2" s="1"/>
  <c r="Y17" i="2"/>
  <c r="X17" i="2"/>
  <c r="W17" i="2"/>
  <c r="U17" i="2"/>
  <c r="V17" i="2" s="1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F17" i="2"/>
  <c r="G17" i="2" s="1"/>
  <c r="E17" i="2"/>
  <c r="D17" i="2"/>
  <c r="C17" i="2"/>
  <c r="CD16" i="2"/>
  <c r="CC16" i="2"/>
  <c r="CB16" i="2"/>
  <c r="CA16" i="2"/>
  <c r="BZ16" i="2"/>
  <c r="BY16" i="2"/>
  <c r="BX16" i="2"/>
  <c r="BW16" i="2"/>
  <c r="BV16" i="2"/>
  <c r="BU16" i="2"/>
  <c r="BS16" i="2"/>
  <c r="BT16" i="2" s="1"/>
  <c r="BR16" i="2"/>
  <c r="BQ16" i="2"/>
  <c r="BP16" i="2"/>
  <c r="BN16" i="2"/>
  <c r="BO16" i="2" s="1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Y16" i="2"/>
  <c r="AZ16" i="2" s="1"/>
  <c r="AX16" i="2"/>
  <c r="AW16" i="2"/>
  <c r="AV16" i="2"/>
  <c r="AT16" i="2"/>
  <c r="AU16" i="2" s="1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E16" i="2"/>
  <c r="AF16" i="2" s="1"/>
  <c r="AD16" i="2"/>
  <c r="AC16" i="2"/>
  <c r="AB16" i="2"/>
  <c r="Z16" i="2"/>
  <c r="AA16" i="2" s="1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K16" i="2"/>
  <c r="L16" i="2" s="1"/>
  <c r="J16" i="2"/>
  <c r="I16" i="2"/>
  <c r="H16" i="2"/>
  <c r="F16" i="2"/>
  <c r="G16" i="2" s="1"/>
  <c r="E16" i="2"/>
  <c r="D16" i="2"/>
  <c r="C16" i="2"/>
  <c r="CD15" i="2"/>
  <c r="CC15" i="2"/>
  <c r="CB15" i="2"/>
  <c r="CA15" i="2"/>
  <c r="BZ15" i="2"/>
  <c r="BX15" i="2"/>
  <c r="BY15" i="2" s="1"/>
  <c r="BW15" i="2"/>
  <c r="BV15" i="2"/>
  <c r="BU15" i="2"/>
  <c r="BS15" i="2"/>
  <c r="BT15" i="2" s="1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D15" i="2"/>
  <c r="BE15" i="2" s="1"/>
  <c r="BC15" i="2"/>
  <c r="BB15" i="2"/>
  <c r="BA15" i="2"/>
  <c r="AY15" i="2"/>
  <c r="AZ15" i="2" s="1"/>
  <c r="AX15" i="2"/>
  <c r="AW15" i="2"/>
  <c r="AV15" i="2"/>
  <c r="AU15" i="2"/>
  <c r="AT15" i="2"/>
  <c r="AS15" i="2"/>
  <c r="AR15" i="2"/>
  <c r="AQ15" i="2"/>
  <c r="AO15" i="2"/>
  <c r="AN15" i="2"/>
  <c r="AP15" i="2" s="1"/>
  <c r="AM15" i="2"/>
  <c r="AL15" i="2"/>
  <c r="AJ15" i="2"/>
  <c r="AK15" i="2" s="1"/>
  <c r="AI15" i="2"/>
  <c r="AH15" i="2"/>
  <c r="AG15" i="2"/>
  <c r="AE15" i="2"/>
  <c r="AF15" i="2" s="1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P15" i="2"/>
  <c r="Q15" i="2" s="1"/>
  <c r="O15" i="2"/>
  <c r="N15" i="2"/>
  <c r="M15" i="2"/>
  <c r="K15" i="2"/>
  <c r="L15" i="2" s="1"/>
  <c r="J15" i="2"/>
  <c r="I15" i="2"/>
  <c r="H15" i="2"/>
  <c r="G15" i="2"/>
  <c r="F15" i="2"/>
  <c r="E15" i="2"/>
  <c r="D15" i="2"/>
  <c r="C15" i="2"/>
  <c r="CC14" i="2"/>
  <c r="CD14" i="2" s="1"/>
  <c r="CB14" i="2"/>
  <c r="CA14" i="2"/>
  <c r="BZ14" i="2"/>
  <c r="BX14" i="2"/>
  <c r="BY14" i="2" s="1"/>
  <c r="BW14" i="2"/>
  <c r="BV14" i="2"/>
  <c r="BU14" i="2"/>
  <c r="BT14" i="2"/>
  <c r="BS14" i="2"/>
  <c r="BR14" i="2"/>
  <c r="BQ14" i="2"/>
  <c r="BP14" i="2"/>
  <c r="BN14" i="2"/>
  <c r="BM14" i="2"/>
  <c r="BO14" i="2" s="1"/>
  <c r="BL14" i="2"/>
  <c r="BK14" i="2"/>
  <c r="BI14" i="2"/>
  <c r="BJ14" i="2" s="1"/>
  <c r="BH14" i="2"/>
  <c r="BG14" i="2"/>
  <c r="BF14" i="2"/>
  <c r="BD14" i="2"/>
  <c r="BE14" i="2" s="1"/>
  <c r="BC14" i="2"/>
  <c r="BB14" i="2"/>
  <c r="BA14" i="2"/>
  <c r="AZ14" i="2"/>
  <c r="AY14" i="2"/>
  <c r="AX14" i="2"/>
  <c r="AW14" i="2"/>
  <c r="AV14" i="2"/>
  <c r="AT14" i="2"/>
  <c r="AS14" i="2"/>
  <c r="AU14" i="2" s="1"/>
  <c r="AR14" i="2"/>
  <c r="AQ14" i="2"/>
  <c r="AO14" i="2"/>
  <c r="AP14" i="2" s="1"/>
  <c r="AN14" i="2"/>
  <c r="AM14" i="2"/>
  <c r="AL14" i="2"/>
  <c r="AJ14" i="2"/>
  <c r="AK14" i="2" s="1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U14" i="2"/>
  <c r="V14" i="2" s="1"/>
  <c r="T14" i="2"/>
  <c r="S14" i="2"/>
  <c r="R14" i="2"/>
  <c r="P14" i="2"/>
  <c r="Q14" i="2" s="1"/>
  <c r="O14" i="2"/>
  <c r="N14" i="2"/>
  <c r="M14" i="2"/>
  <c r="L14" i="2"/>
  <c r="K14" i="2"/>
  <c r="J14" i="2"/>
  <c r="I14" i="2"/>
  <c r="H14" i="2"/>
  <c r="F14" i="2"/>
  <c r="E14" i="2"/>
  <c r="G14" i="2" s="1"/>
  <c r="D14" i="2"/>
  <c r="C14" i="2"/>
  <c r="CC13" i="2"/>
  <c r="CD13" i="2" s="1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N13" i="2"/>
  <c r="BO13" i="2" s="1"/>
  <c r="BM13" i="2"/>
  <c r="BL13" i="2"/>
  <c r="BK13" i="2"/>
  <c r="BI13" i="2"/>
  <c r="BJ13" i="2" s="1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T13" i="2"/>
  <c r="AU13" i="2" s="1"/>
  <c r="AS13" i="2"/>
  <c r="AR13" i="2"/>
  <c r="AQ13" i="2"/>
  <c r="AO13" i="2"/>
  <c r="AP13" i="2" s="1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Z13" i="2"/>
  <c r="AA13" i="2" s="1"/>
  <c r="Y13" i="2"/>
  <c r="X13" i="2"/>
  <c r="W13" i="2"/>
  <c r="U13" i="2"/>
  <c r="V13" i="2" s="1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F13" i="2"/>
  <c r="G13" i="2" s="1"/>
  <c r="E13" i="2"/>
  <c r="D13" i="2"/>
  <c r="C13" i="2"/>
  <c r="CD12" i="2"/>
  <c r="CC12" i="2"/>
  <c r="CB12" i="2"/>
  <c r="CA12" i="2"/>
  <c r="BZ12" i="2"/>
  <c r="BY12" i="2"/>
  <c r="BW12" i="2"/>
  <c r="BV12" i="2"/>
  <c r="BU12" i="2"/>
  <c r="BS12" i="2"/>
  <c r="BR12" i="2"/>
  <c r="BT12" i="2" s="1"/>
  <c r="BQ12" i="2"/>
  <c r="BP12" i="2"/>
  <c r="BN12" i="2"/>
  <c r="BO12" i="2" s="1"/>
  <c r="BM12" i="2"/>
  <c r="BL12" i="2"/>
  <c r="BK12" i="2"/>
  <c r="BI12" i="2"/>
  <c r="BJ12" i="2" s="1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T12" i="2"/>
  <c r="AU12" i="2" s="1"/>
  <c r="AS12" i="2"/>
  <c r="AR12" i="2"/>
  <c r="AQ12" i="2"/>
  <c r="AO12" i="2"/>
  <c r="AP12" i="2" s="1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Z12" i="2"/>
  <c r="AA12" i="2" s="1"/>
  <c r="Y12" i="2"/>
  <c r="X12" i="2"/>
  <c r="W12" i="2"/>
  <c r="U12" i="2"/>
  <c r="V12" i="2" s="1"/>
  <c r="T12" i="2"/>
  <c r="S12" i="2"/>
  <c r="R12" i="2"/>
  <c r="Q12" i="2"/>
  <c r="P12" i="2"/>
  <c r="O12" i="2"/>
  <c r="N12" i="2"/>
  <c r="M12" i="2"/>
  <c r="K12" i="2"/>
  <c r="J12" i="2"/>
  <c r="L12" i="2" s="1"/>
  <c r="I12" i="2"/>
  <c r="H12" i="2"/>
  <c r="F12" i="2"/>
  <c r="G12" i="2" s="1"/>
  <c r="E12" i="2"/>
  <c r="D12" i="2"/>
  <c r="C12" i="2"/>
  <c r="CD11" i="2"/>
  <c r="CC11" i="2"/>
  <c r="CB11" i="2"/>
  <c r="CA11" i="2"/>
  <c r="BZ11" i="2"/>
  <c r="BX11" i="2"/>
  <c r="BW11" i="2"/>
  <c r="BY11" i="2" s="1"/>
  <c r="BV11" i="2"/>
  <c r="BU11" i="2"/>
  <c r="BS11" i="2"/>
  <c r="BT11" i="2" s="1"/>
  <c r="BR11" i="2"/>
  <c r="BQ11" i="2"/>
  <c r="BP11" i="2"/>
  <c r="BN11" i="2"/>
  <c r="BO11" i="2" s="1"/>
  <c r="BM11" i="2"/>
  <c r="BL11" i="2"/>
  <c r="BK11" i="2"/>
  <c r="BJ11" i="2"/>
  <c r="BI11" i="2"/>
  <c r="BH11" i="2"/>
  <c r="BG11" i="2"/>
  <c r="BF11" i="2"/>
  <c r="BD11" i="2"/>
  <c r="BC11" i="2"/>
  <c r="BE11" i="2" s="1"/>
  <c r="BB11" i="2"/>
  <c r="BA11" i="2"/>
  <c r="AY11" i="2"/>
  <c r="AZ11" i="2" s="1"/>
  <c r="AX11" i="2"/>
  <c r="AW11" i="2"/>
  <c r="AV11" i="2"/>
  <c r="AT11" i="2"/>
  <c r="AU11" i="2" s="1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E11" i="2"/>
  <c r="AF11" i="2" s="1"/>
  <c r="AD11" i="2"/>
  <c r="AC11" i="2"/>
  <c r="AB11" i="2"/>
  <c r="Z11" i="2"/>
  <c r="AA11" i="2" s="1"/>
  <c r="Y11" i="2"/>
  <c r="X11" i="2"/>
  <c r="W11" i="2"/>
  <c r="V11" i="2"/>
  <c r="U11" i="2"/>
  <c r="T11" i="2"/>
  <c r="S11" i="2"/>
  <c r="R11" i="2"/>
  <c r="P11" i="2"/>
  <c r="O11" i="2"/>
  <c r="Q11" i="2" s="1"/>
  <c r="N11" i="2"/>
  <c r="M11" i="2"/>
  <c r="K11" i="2"/>
  <c r="L11" i="2" s="1"/>
  <c r="J11" i="2"/>
  <c r="I11" i="2"/>
  <c r="H11" i="2"/>
  <c r="F11" i="2"/>
  <c r="E11" i="2"/>
  <c r="D11" i="2"/>
  <c r="C11" i="2"/>
  <c r="CC10" i="2"/>
  <c r="CB10" i="2"/>
  <c r="CD10" i="2" s="1"/>
  <c r="CA10" i="2"/>
  <c r="BZ10" i="2"/>
  <c r="BX10" i="2"/>
  <c r="BY10" i="2" s="1"/>
  <c r="BW10" i="2"/>
  <c r="BV10" i="2"/>
  <c r="BU10" i="2"/>
  <c r="BS10" i="2"/>
  <c r="BT10" i="2" s="1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D10" i="2"/>
  <c r="BE10" i="2" s="1"/>
  <c r="BC10" i="2"/>
  <c r="BB10" i="2"/>
  <c r="BA10" i="2"/>
  <c r="AY10" i="2"/>
  <c r="AZ10" i="2" s="1"/>
  <c r="AX10" i="2"/>
  <c r="AW10" i="2"/>
  <c r="AV10" i="2"/>
  <c r="AU10" i="2"/>
  <c r="AT10" i="2"/>
  <c r="AS10" i="2"/>
  <c r="AR10" i="2"/>
  <c r="AQ10" i="2"/>
  <c r="AO10" i="2"/>
  <c r="AN10" i="2"/>
  <c r="AP10" i="2" s="1"/>
  <c r="AM10" i="2"/>
  <c r="AL10" i="2"/>
  <c r="AJ10" i="2"/>
  <c r="AK10" i="2" s="1"/>
  <c r="AI10" i="2"/>
  <c r="AH10" i="2"/>
  <c r="AG10" i="2"/>
  <c r="AE10" i="2"/>
  <c r="AF10" i="2" s="1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P10" i="2"/>
  <c r="Q10" i="2" s="1"/>
  <c r="O10" i="2"/>
  <c r="N10" i="2"/>
  <c r="M10" i="2"/>
  <c r="K10" i="2"/>
  <c r="L10" i="2" s="1"/>
  <c r="J10" i="2"/>
  <c r="I10" i="2"/>
  <c r="H10" i="2"/>
  <c r="G10" i="2"/>
  <c r="F10" i="2"/>
  <c r="E10" i="2"/>
  <c r="D10" i="2"/>
  <c r="C10" i="2"/>
  <c r="CC9" i="2"/>
  <c r="CD9" i="2" s="1"/>
  <c r="CB9" i="2"/>
  <c r="CA9" i="2"/>
  <c r="BZ9" i="2"/>
  <c r="BX9" i="2"/>
  <c r="BY9" i="2" s="1"/>
  <c r="BW9" i="2"/>
  <c r="BV9" i="2"/>
  <c r="BU9" i="2"/>
  <c r="BT9" i="2"/>
  <c r="BS9" i="2"/>
  <c r="BR9" i="2"/>
  <c r="BQ9" i="2"/>
  <c r="BP9" i="2"/>
  <c r="BN9" i="2"/>
  <c r="BM9" i="2"/>
  <c r="BO9" i="2" s="1"/>
  <c r="BL9" i="2"/>
  <c r="BK9" i="2"/>
  <c r="BI9" i="2"/>
  <c r="BJ9" i="2" s="1"/>
  <c r="BH9" i="2"/>
  <c r="BG9" i="2"/>
  <c r="BF9" i="2"/>
  <c r="BD9" i="2"/>
  <c r="BE9" i="2" s="1"/>
  <c r="BC9" i="2"/>
  <c r="BB9" i="2"/>
  <c r="BA9" i="2"/>
  <c r="AZ9" i="2"/>
  <c r="AY9" i="2"/>
  <c r="AX9" i="2"/>
  <c r="AW9" i="2"/>
  <c r="AV9" i="2"/>
  <c r="AT9" i="2"/>
  <c r="AS9" i="2"/>
  <c r="AU9" i="2" s="1"/>
  <c r="AR9" i="2"/>
  <c r="AQ9" i="2"/>
  <c r="AO9" i="2"/>
  <c r="AP9" i="2" s="1"/>
  <c r="AN9" i="2"/>
  <c r="AM9" i="2"/>
  <c r="AL9" i="2"/>
  <c r="AJ9" i="2"/>
  <c r="AK9" i="2" s="1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U9" i="2"/>
  <c r="V9" i="2" s="1"/>
  <c r="T9" i="2"/>
  <c r="S9" i="2"/>
  <c r="R9" i="2"/>
  <c r="P9" i="2"/>
  <c r="Q9" i="2" s="1"/>
  <c r="O9" i="2"/>
  <c r="N9" i="2"/>
  <c r="M9" i="2"/>
  <c r="L9" i="2"/>
  <c r="K9" i="2"/>
  <c r="J9" i="2"/>
  <c r="I9" i="2"/>
  <c r="H9" i="2"/>
  <c r="F9" i="2"/>
  <c r="E9" i="2"/>
  <c r="G9" i="2" s="1"/>
  <c r="D9" i="2"/>
  <c r="C9" i="2"/>
  <c r="CC8" i="2"/>
  <c r="CD8" i="2" s="1"/>
  <c r="CB8" i="2"/>
  <c r="CA8" i="2"/>
  <c r="BZ8" i="2"/>
  <c r="BY8" i="2"/>
  <c r="BX8" i="2"/>
  <c r="BW8" i="2"/>
  <c r="BV8" i="2"/>
  <c r="BU8" i="2"/>
  <c r="BS8" i="2"/>
  <c r="BR8" i="2"/>
  <c r="BT8" i="2" s="1"/>
  <c r="BQ8" i="2"/>
  <c r="BP8" i="2"/>
  <c r="BN8" i="2"/>
  <c r="BO8" i="2" s="1"/>
  <c r="BM8" i="2"/>
  <c r="BL8" i="2"/>
  <c r="BK8" i="2"/>
  <c r="BI8" i="2"/>
  <c r="BJ8" i="2" s="1"/>
  <c r="BH8" i="2"/>
  <c r="BG8" i="2"/>
  <c r="BF8" i="2"/>
  <c r="BE8" i="2"/>
  <c r="BD8" i="2"/>
  <c r="BC8" i="2"/>
  <c r="BB8" i="2"/>
  <c r="BA8" i="2"/>
  <c r="AY8" i="2"/>
  <c r="AX8" i="2"/>
  <c r="AZ8" i="2" s="1"/>
  <c r="AW8" i="2"/>
  <c r="AV8" i="2"/>
  <c r="AT8" i="2"/>
  <c r="AU8" i="2" s="1"/>
  <c r="AS8" i="2"/>
  <c r="AR8" i="2"/>
  <c r="AQ8" i="2"/>
  <c r="AO8" i="2"/>
  <c r="AP8" i="2" s="1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Z8" i="2"/>
  <c r="AA8" i="2" s="1"/>
  <c r="Y8" i="2"/>
  <c r="X8" i="2"/>
  <c r="W8" i="2"/>
  <c r="U8" i="2"/>
  <c r="V8" i="2" s="1"/>
  <c r="T8" i="2"/>
  <c r="S8" i="2"/>
  <c r="R8" i="2"/>
  <c r="Q8" i="2"/>
  <c r="P8" i="2"/>
  <c r="O8" i="2"/>
  <c r="N8" i="2"/>
  <c r="M8" i="2"/>
  <c r="L8" i="2"/>
  <c r="K8" i="2"/>
  <c r="J8" i="2"/>
  <c r="I8" i="2"/>
  <c r="H8" i="2"/>
  <c r="F8" i="2"/>
  <c r="G8" i="2" s="1"/>
  <c r="E8" i="2"/>
  <c r="D8" i="2"/>
  <c r="C8" i="2"/>
  <c r="CD7" i="2"/>
  <c r="CC7" i="2"/>
  <c r="CB7" i="2"/>
  <c r="CA7" i="2"/>
  <c r="BZ7" i="2"/>
  <c r="BX7" i="2"/>
  <c r="BW7" i="2"/>
  <c r="BY7" i="2" s="1"/>
  <c r="BV7" i="2"/>
  <c r="BU7" i="2"/>
  <c r="BS7" i="2"/>
  <c r="BT7" i="2" s="1"/>
  <c r="BR7" i="2"/>
  <c r="BQ7" i="2"/>
  <c r="BP7" i="2"/>
  <c r="BN7" i="2"/>
  <c r="BO7" i="2" s="1"/>
  <c r="BM7" i="2"/>
  <c r="BL7" i="2"/>
  <c r="BK7" i="2"/>
  <c r="BJ7" i="2"/>
  <c r="BI7" i="2"/>
  <c r="BH7" i="2"/>
  <c r="BG7" i="2"/>
  <c r="BF7" i="2"/>
  <c r="BD7" i="2"/>
  <c r="BC7" i="2"/>
  <c r="BE7" i="2" s="1"/>
  <c r="BB7" i="2"/>
  <c r="BA7" i="2"/>
  <c r="AY7" i="2"/>
  <c r="AZ7" i="2" s="1"/>
  <c r="AX7" i="2"/>
  <c r="AW7" i="2"/>
  <c r="AV7" i="2"/>
  <c r="AT7" i="2"/>
  <c r="AU7" i="2" s="1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E7" i="2"/>
  <c r="AF7" i="2" s="1"/>
  <c r="AD7" i="2"/>
  <c r="AC7" i="2"/>
  <c r="AB7" i="2"/>
  <c r="Z7" i="2"/>
  <c r="AA7" i="2" s="1"/>
  <c r="Y7" i="2"/>
  <c r="X7" i="2"/>
  <c r="W7" i="2"/>
  <c r="V7" i="2"/>
  <c r="U7" i="2"/>
  <c r="T7" i="2"/>
  <c r="S7" i="2"/>
  <c r="R7" i="2"/>
  <c r="P7" i="2"/>
  <c r="O7" i="2"/>
  <c r="Q7" i="2" s="1"/>
  <c r="N7" i="2"/>
  <c r="M7" i="2"/>
  <c r="K7" i="2"/>
  <c r="L7" i="2" s="1"/>
  <c r="J7" i="2"/>
  <c r="I7" i="2"/>
  <c r="H7" i="2"/>
  <c r="F7" i="2"/>
  <c r="E7" i="2"/>
  <c r="D7" i="2"/>
  <c r="C7" i="2"/>
  <c r="CD6" i="2"/>
  <c r="CC6" i="2"/>
  <c r="CB6" i="2"/>
  <c r="CA6" i="2"/>
  <c r="BZ6" i="2"/>
  <c r="BX6" i="2"/>
  <c r="BY6" i="2" s="1"/>
  <c r="BW6" i="2"/>
  <c r="BV6" i="2"/>
  <c r="BU6" i="2"/>
  <c r="BS6" i="2"/>
  <c r="BT6" i="2" s="1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D6" i="2"/>
  <c r="BE6" i="2" s="1"/>
  <c r="BC6" i="2"/>
  <c r="BB6" i="2"/>
  <c r="BA6" i="2"/>
  <c r="AY6" i="2"/>
  <c r="AZ6" i="2" s="1"/>
  <c r="AX6" i="2"/>
  <c r="AW6" i="2"/>
  <c r="AV6" i="2"/>
  <c r="AU6" i="2"/>
  <c r="AT6" i="2"/>
  <c r="AS6" i="2"/>
  <c r="AR6" i="2"/>
  <c r="AQ6" i="2"/>
  <c r="AO6" i="2"/>
  <c r="AN6" i="2"/>
  <c r="AP6" i="2" s="1"/>
  <c r="AM6" i="2"/>
  <c r="AL6" i="2"/>
  <c r="AJ6" i="2"/>
  <c r="AK6" i="2" s="1"/>
  <c r="AI6" i="2"/>
  <c r="AH6" i="2"/>
  <c r="AG6" i="2"/>
  <c r="AE6" i="2"/>
  <c r="AF6" i="2" s="1"/>
  <c r="AD6" i="2"/>
  <c r="AC6" i="2"/>
  <c r="AB6" i="2"/>
  <c r="AA6" i="2"/>
  <c r="Z6" i="2"/>
  <c r="Y6" i="2"/>
  <c r="X6" i="2"/>
  <c r="W6" i="2"/>
  <c r="V6" i="2"/>
  <c r="U6" i="2"/>
  <c r="T6" i="2"/>
  <c r="S6" i="2"/>
  <c r="R6" i="2"/>
  <c r="P6" i="2"/>
  <c r="Q6" i="2" s="1"/>
  <c r="O6" i="2"/>
  <c r="N6" i="2"/>
  <c r="M6" i="2"/>
  <c r="K6" i="2"/>
  <c r="L6" i="2" s="1"/>
  <c r="J6" i="2"/>
  <c r="I6" i="2"/>
  <c r="H6" i="2"/>
  <c r="G6" i="2"/>
  <c r="F6" i="2"/>
  <c r="E6" i="2"/>
  <c r="D6" i="2"/>
  <c r="C6" i="2"/>
  <c r="CC5" i="2"/>
  <c r="CD5" i="2" s="1"/>
  <c r="CB5" i="2"/>
  <c r="CA5" i="2"/>
  <c r="BZ5" i="2"/>
  <c r="BX5" i="2"/>
  <c r="BY5" i="2" s="1"/>
  <c r="BW5" i="2"/>
  <c r="BV5" i="2"/>
  <c r="BU5" i="2"/>
  <c r="BT5" i="2"/>
  <c r="BS5" i="2"/>
  <c r="BR5" i="2"/>
  <c r="BQ5" i="2"/>
  <c r="BP5" i="2"/>
  <c r="BN5" i="2"/>
  <c r="BM5" i="2"/>
  <c r="BO5" i="2" s="1"/>
  <c r="BL5" i="2"/>
  <c r="BK5" i="2"/>
  <c r="BI5" i="2"/>
  <c r="BJ5" i="2" s="1"/>
  <c r="BH5" i="2"/>
  <c r="BG5" i="2"/>
  <c r="BF5" i="2"/>
  <c r="BD5" i="2"/>
  <c r="BE5" i="2" s="1"/>
  <c r="BC5" i="2"/>
  <c r="BB5" i="2"/>
  <c r="BA5" i="2"/>
  <c r="AZ5" i="2"/>
  <c r="AY5" i="2"/>
  <c r="AX5" i="2"/>
  <c r="AW5" i="2"/>
  <c r="AV5" i="2"/>
  <c r="AT5" i="2"/>
  <c r="AS5" i="2"/>
  <c r="AU5" i="2" s="1"/>
  <c r="AR5" i="2"/>
  <c r="AQ5" i="2"/>
  <c r="AO5" i="2"/>
  <c r="AP5" i="2" s="1"/>
  <c r="AN5" i="2"/>
  <c r="AM5" i="2"/>
  <c r="AL5" i="2"/>
  <c r="AJ5" i="2"/>
  <c r="AK5" i="2" s="1"/>
  <c r="AI5" i="2"/>
  <c r="AH5" i="2"/>
  <c r="AG5" i="2"/>
  <c r="AF5" i="2"/>
  <c r="AE5" i="2"/>
  <c r="AD5" i="2"/>
  <c r="AC5" i="2"/>
  <c r="AB5" i="2"/>
  <c r="Z5" i="2"/>
  <c r="Y5" i="2"/>
  <c r="AA5" i="2" s="1"/>
  <c r="X5" i="2"/>
  <c r="W5" i="2"/>
  <c r="U5" i="2"/>
  <c r="V5" i="2" s="1"/>
  <c r="T5" i="2"/>
  <c r="S5" i="2"/>
  <c r="R5" i="2"/>
  <c r="P5" i="2"/>
  <c r="Q5" i="2" s="1"/>
  <c r="O5" i="2"/>
  <c r="N5" i="2"/>
  <c r="M5" i="2"/>
  <c r="L5" i="2"/>
  <c r="K5" i="2"/>
  <c r="J5" i="2"/>
  <c r="I5" i="2"/>
  <c r="H5" i="2"/>
  <c r="F5" i="2"/>
  <c r="E5" i="2"/>
  <c r="G5" i="2" s="1"/>
  <c r="D5" i="2"/>
  <c r="C5" i="2"/>
  <c r="CC4" i="2"/>
  <c r="CD4" i="2" s="1"/>
  <c r="CB4" i="2"/>
  <c r="CA4" i="2"/>
  <c r="BZ4" i="2"/>
  <c r="BY4" i="2"/>
  <c r="BX4" i="2"/>
  <c r="BW4" i="2"/>
  <c r="BV4" i="2"/>
  <c r="BU4" i="2"/>
  <c r="BS4" i="2"/>
  <c r="BR4" i="2"/>
  <c r="BT4" i="2" s="1"/>
  <c r="BQ4" i="2"/>
  <c r="BP4" i="2"/>
  <c r="BN4" i="2"/>
  <c r="BO4" i="2" s="1"/>
  <c r="BM4" i="2"/>
  <c r="BL4" i="2"/>
  <c r="BK4" i="2"/>
  <c r="BI4" i="2"/>
  <c r="BJ4" i="2" s="1"/>
  <c r="BH4" i="2"/>
  <c r="BG4" i="2"/>
  <c r="BF4" i="2"/>
  <c r="BE4" i="2"/>
  <c r="BD4" i="2"/>
  <c r="BC4" i="2"/>
  <c r="BB4" i="2"/>
  <c r="BA4" i="2"/>
  <c r="AY4" i="2"/>
  <c r="AX4" i="2"/>
  <c r="AZ4" i="2" s="1"/>
  <c r="AW4" i="2"/>
  <c r="AV4" i="2"/>
  <c r="AT4" i="2"/>
  <c r="AU4" i="2" s="1"/>
  <c r="AS4" i="2"/>
  <c r="AR4" i="2"/>
  <c r="AQ4" i="2"/>
  <c r="AO4" i="2"/>
  <c r="AP4" i="2" s="1"/>
  <c r="AN4" i="2"/>
  <c r="AM4" i="2"/>
  <c r="AL4" i="2"/>
  <c r="AK4" i="2"/>
  <c r="AJ4" i="2"/>
  <c r="AI4" i="2"/>
  <c r="AH4" i="2"/>
  <c r="AG4" i="2"/>
  <c r="AE4" i="2"/>
  <c r="AD4" i="2"/>
  <c r="AF4" i="2" s="1"/>
  <c r="AC4" i="2"/>
  <c r="AB4" i="2"/>
  <c r="Z4" i="2"/>
  <c r="AA4" i="2" s="1"/>
  <c r="Y4" i="2"/>
  <c r="X4" i="2"/>
  <c r="W4" i="2"/>
  <c r="U4" i="2"/>
  <c r="V4" i="2" s="1"/>
  <c r="T4" i="2"/>
  <c r="S4" i="2"/>
  <c r="R4" i="2"/>
  <c r="Q4" i="2"/>
  <c r="P4" i="2"/>
  <c r="O4" i="2"/>
  <c r="N4" i="2"/>
  <c r="M4" i="2"/>
  <c r="K4" i="2"/>
  <c r="J4" i="2"/>
  <c r="L4" i="2" s="1"/>
  <c r="I4" i="2"/>
  <c r="H4" i="2"/>
  <c r="F4" i="2"/>
  <c r="G4" i="2" s="1"/>
  <c r="E4" i="2"/>
  <c r="D4" i="2"/>
  <c r="C4" i="2"/>
  <c r="CD3" i="2"/>
  <c r="CC3" i="2"/>
  <c r="CB3" i="2"/>
  <c r="CA3" i="2"/>
  <c r="BZ3" i="2"/>
  <c r="BX3" i="2"/>
  <c r="BW3" i="2"/>
  <c r="BY3" i="2" s="1"/>
  <c r="BV3" i="2"/>
  <c r="BU3" i="2"/>
  <c r="BS3" i="2"/>
  <c r="BT3" i="2" s="1"/>
  <c r="BR3" i="2"/>
  <c r="BQ3" i="2"/>
  <c r="BP3" i="2"/>
  <c r="BN3" i="2"/>
  <c r="BO3" i="2" s="1"/>
  <c r="BM3" i="2"/>
  <c r="BL3" i="2"/>
  <c r="BK3" i="2"/>
  <c r="BJ3" i="2"/>
  <c r="BI3" i="2"/>
  <c r="BH3" i="2"/>
  <c r="BG3" i="2"/>
  <c r="BF3" i="2"/>
  <c r="BD3" i="2"/>
  <c r="BC3" i="2"/>
  <c r="BE3" i="2" s="1"/>
  <c r="BB3" i="2"/>
  <c r="BA3" i="2"/>
  <c r="AY3" i="2"/>
  <c r="AZ3" i="2" s="1"/>
  <c r="AX3" i="2"/>
  <c r="AW3" i="2"/>
  <c r="AV3" i="2"/>
  <c r="AT3" i="2"/>
  <c r="AU3" i="2" s="1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E3" i="2"/>
  <c r="AF3" i="2" s="1"/>
  <c r="AD3" i="2"/>
  <c r="AC3" i="2"/>
  <c r="AB3" i="2"/>
  <c r="Z3" i="2"/>
  <c r="AA3" i="2" s="1"/>
  <c r="Y3" i="2"/>
  <c r="X3" i="2"/>
  <c r="W3" i="2"/>
  <c r="V3" i="2"/>
  <c r="U3" i="2"/>
  <c r="T3" i="2"/>
  <c r="S3" i="2"/>
  <c r="R3" i="2"/>
  <c r="Q3" i="2"/>
  <c r="P3" i="2"/>
  <c r="O3" i="2"/>
  <c r="N3" i="2"/>
  <c r="M3" i="2"/>
  <c r="K3" i="2"/>
  <c r="L3" i="2" s="1"/>
  <c r="J3" i="2"/>
  <c r="I3" i="2"/>
  <c r="H3" i="2"/>
  <c r="F3" i="2"/>
  <c r="G3" i="2" s="1"/>
  <c r="E3" i="2"/>
  <c r="D3" i="2"/>
  <c r="C3" i="2"/>
  <c r="AA601" i="1"/>
  <c r="AA600" i="1"/>
  <c r="AA599" i="1"/>
  <c r="AA598" i="1"/>
  <c r="AA597" i="1"/>
  <c r="AA596" i="1"/>
  <c r="AA595" i="1"/>
  <c r="H595" i="1"/>
  <c r="AA594" i="1"/>
  <c r="AA593" i="1"/>
  <c r="AA592" i="1"/>
  <c r="AA591" i="1"/>
  <c r="H591" i="1"/>
  <c r="AA590" i="1"/>
  <c r="AA589" i="1"/>
  <c r="AA588" i="1"/>
  <c r="AA587" i="1"/>
  <c r="AA586" i="1"/>
  <c r="AA585" i="1"/>
  <c r="AA584" i="1"/>
  <c r="AA583" i="1"/>
  <c r="AA582" i="1"/>
  <c r="AA581" i="1"/>
  <c r="H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H558" i="1"/>
  <c r="AA557" i="1"/>
  <c r="AA556" i="1"/>
  <c r="AA555" i="1"/>
  <c r="AA554" i="1"/>
  <c r="AA553" i="1"/>
  <c r="AA552" i="1"/>
  <c r="AA551" i="1"/>
  <c r="H551" i="1"/>
  <c r="AA550" i="1"/>
  <c r="AA549" i="1"/>
  <c r="AA548" i="1"/>
  <c r="AA547" i="1"/>
  <c r="AA546" i="1"/>
  <c r="H546" i="1"/>
  <c r="AA545" i="1"/>
  <c r="AA544" i="1"/>
  <c r="AA543" i="1"/>
  <c r="AA542" i="1"/>
  <c r="AA541" i="1"/>
  <c r="AA540" i="1"/>
  <c r="AA539" i="1"/>
  <c r="AA538" i="1"/>
  <c r="H538" i="1"/>
  <c r="AA537" i="1"/>
  <c r="AA536" i="1"/>
  <c r="H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H524" i="1"/>
  <c r="AA523" i="1"/>
  <c r="AA522" i="1"/>
  <c r="AA521" i="1"/>
  <c r="AA520" i="1"/>
  <c r="AA519" i="1"/>
  <c r="AA518" i="1"/>
  <c r="H518" i="1"/>
  <c r="AA517" i="1"/>
  <c r="AA516" i="1"/>
  <c r="AA515" i="1"/>
  <c r="AA514" i="1"/>
  <c r="H514" i="1"/>
  <c r="AA513" i="1"/>
  <c r="AA512" i="1"/>
  <c r="AA511" i="1"/>
  <c r="AA510" i="1"/>
  <c r="AA509" i="1"/>
  <c r="AA508" i="1"/>
  <c r="AA507" i="1"/>
  <c r="AA506" i="1"/>
  <c r="AA505" i="1"/>
  <c r="AA504" i="1"/>
  <c r="AA503" i="1"/>
  <c r="H503" i="1"/>
  <c r="AA502" i="1"/>
  <c r="AA501" i="1"/>
  <c r="AA500" i="1"/>
  <c r="AA499" i="1"/>
  <c r="AA498" i="1"/>
  <c r="AA497" i="1"/>
  <c r="AA496" i="1"/>
  <c r="H496" i="1"/>
  <c r="AA495" i="1"/>
  <c r="AA494" i="1"/>
  <c r="AA493" i="1"/>
  <c r="AA492" i="1"/>
  <c r="AA491" i="1"/>
  <c r="H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H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H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H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H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H382" i="1"/>
  <c r="AA381" i="1"/>
  <c r="AA380" i="1"/>
  <c r="AA379" i="1"/>
  <c r="AA378" i="1"/>
  <c r="AA377" i="1"/>
  <c r="AA376" i="1"/>
  <c r="H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H353" i="1"/>
  <c r="H344" i="1"/>
  <c r="H317" i="1"/>
  <c r="H307" i="1"/>
  <c r="H298" i="1"/>
  <c r="H262" i="1"/>
  <c r="H257" i="1"/>
  <c r="H242" i="1"/>
  <c r="H241" i="1"/>
  <c r="H238" i="1"/>
  <c r="H225" i="1"/>
  <c r="H219" i="1"/>
  <c r="H209" i="1"/>
  <c r="H206" i="1"/>
  <c r="H204" i="1"/>
  <c r="H186" i="1"/>
  <c r="H180" i="1"/>
  <c r="H146" i="1"/>
  <c r="H116" i="1"/>
  <c r="H107" i="1"/>
  <c r="H98" i="1"/>
  <c r="H85" i="1"/>
  <c r="H81" i="1"/>
  <c r="H76" i="1"/>
  <c r="H58" i="1"/>
  <c r="H49" i="1"/>
  <c r="H47" i="1"/>
  <c r="H44" i="1"/>
  <c r="H43" i="1"/>
  <c r="H40" i="1"/>
  <c r="H36" i="1"/>
  <c r="H35" i="1"/>
  <c r="H22" i="1"/>
  <c r="H21" i="1"/>
  <c r="H15" i="1"/>
  <c r="H14" i="1"/>
  <c r="H12" i="1"/>
  <c r="H7" i="1"/>
  <c r="L39" i="2" l="1"/>
  <c r="G7" i="2"/>
  <c r="G11" i="2"/>
  <c r="BO37" i="2"/>
  <c r="AP53" i="2"/>
  <c r="AU96" i="2"/>
  <c r="BO142" i="2"/>
  <c r="BO133" i="2"/>
  <c r="BO134" i="2"/>
  <c r="BO138" i="2"/>
  <c r="BT166" i="2"/>
  <c r="BY178" i="2"/>
  <c r="L187" i="2"/>
  <c r="BY169" i="2"/>
  <c r="BY170" i="2"/>
  <c r="BY186" i="2"/>
  <c r="BY187" i="2"/>
  <c r="CD194" i="2"/>
  <c r="CD199" i="2"/>
  <c r="CD203" i="2"/>
</calcChain>
</file>

<file path=xl/comments1.xml><?xml version="1.0" encoding="utf-8"?>
<comments xmlns="http://schemas.openxmlformats.org/spreadsheetml/2006/main">
  <authors>
    <author/>
  </authors>
  <commentList>
    <comment ref="B2" authorId="0" shapeId="0">
      <text>
        <r>
          <rPr>
            <sz val="11"/>
            <color theme="1"/>
            <rFont val="Arial"/>
            <scheme val="minor"/>
          </rPr>
          <t>======
ID#AAABtq1QM_M
Deepak verma    (2025-11-10 12:37:41)
Explanation:
Status                                  Logic
NO TRAFFIC =               total spend = 0 (no money spent → no test)
CLICKS NO SALES =     money       spent but zero sales
WINNER =               ACOS &lt;= 30%
HIGH ACOS =       sales but ACOS &gt; 35%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GK7Jm0nkQdhZheB4jwHv7HxFTA=="/>
    </ext>
  </extLst>
</comments>
</file>

<file path=xl/comments2.xml><?xml version="1.0" encoding="utf-8"?>
<comments xmlns="http://schemas.openxmlformats.org/spreadsheetml/2006/main">
  <authors>
    <author/>
  </authors>
  <commentList>
    <comment ref="P1" authorId="0" shapeId="0">
      <text>
        <r>
          <rPr>
            <sz val="11"/>
            <color theme="1"/>
            <rFont val="Arial"/>
            <scheme val="minor"/>
          </rPr>
          <t>======
ID#AAABr8rPqps
Deepak verma    (2025-10-06 07:50:45)
In this column sometimes it shows values like $24.94 with is consider as text so use this formula to extract delimiter =SPLIT(P2, " - ")</t>
        </r>
      </text>
    </comment>
    <comment ref="Q1" authorId="0" shapeId="0">
      <text>
        <r>
          <rPr>
            <sz val="11"/>
            <color theme="1"/>
            <rFont val="Arial"/>
            <scheme val="minor"/>
          </rPr>
          <t>======
ID#AAABr8rPqpw
Deepak verma    (2025-10-06 08:18:24)
=TEXTSPLIT(A2, ",")
use case Eg: value 20.752876% this will help me to extract value in 20.752876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HroApr4Shn+C9/NvU4eYATLQVQ=="/>
    </ext>
  </extLst>
</comments>
</file>

<file path=xl/sharedStrings.xml><?xml version="1.0" encoding="utf-8"?>
<sst xmlns="http://schemas.openxmlformats.org/spreadsheetml/2006/main" count="13703" uniqueCount="918">
  <si>
    <t>Start Date</t>
  </si>
  <si>
    <t>End Date</t>
  </si>
  <si>
    <t>Portfolio name</t>
  </si>
  <si>
    <t>Currency</t>
  </si>
  <si>
    <t>Campaign Name</t>
  </si>
  <si>
    <t>Ad Group Name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</si>
  <si>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</si>
  <si>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</si>
  <si>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</si>
  <si>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</si>
  <si>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</si>
  <si>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</si>
  <si>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</si>
  <si>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</si>
  <si>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</si>
  <si>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>7 Day Total Sales</t>
  </si>
  <si>
    <t>Total Advertising Cost of Sales (ACOS)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</si>
  <si>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</si>
  <si>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</si>
  <si>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</si>
  <si>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</si>
  <si>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</si>
  <si>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</si>
  <si>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>7 Day Advertised SKU Sales</t>
  </si>
  <si>
    <t>7 Day Other SKU Sales</t>
  </si>
  <si>
    <t>Week Number</t>
  </si>
  <si>
    <t>Acos</t>
  </si>
  <si>
    <t>SP BROAD SEED</t>
  </si>
  <si>
    <t>USD</t>
  </si>
  <si>
    <t>SP MACA ROOT KW ASHWAGANDHA BROAD GA 29102022</t>
  </si>
  <si>
    <t>ashwagandha</t>
  </si>
  <si>
    <t>United States</t>
  </si>
  <si>
    <t>BROAD</t>
  </si>
  <si>
    <t>ashwagandha coq10</t>
  </si>
  <si>
    <t>$2.83</t>
  </si>
  <si>
    <t>$24.94</t>
  </si>
  <si>
    <t>$0.00</t>
  </si>
  <si>
    <t>ashwagandha pills for men</t>
  </si>
  <si>
    <t>$4.48</t>
  </si>
  <si>
    <t>maca amd ashwagandha</t>
  </si>
  <si>
    <t>SP TOS</t>
  </si>
  <si>
    <t>SP TOS MACA ASHWA KW RANK GA 04042024</t>
  </si>
  <si>
    <t>MACA ASHWAGANDHA</t>
  </si>
  <si>
    <t>maca root ashwagandha</t>
  </si>
  <si>
    <t>PHRASE</t>
  </si>
  <si>
    <t>magnesium zinc maca root ashwagandha</t>
  </si>
  <si>
    <t>$3.19</t>
  </si>
  <si>
    <t>$99.76</t>
  </si>
  <si>
    <t>Saffron Supplement</t>
  </si>
  <si>
    <t>SP SAFFRON AUTO RESEARCH 05192025 GA</t>
  </si>
  <si>
    <t>auto</t>
  </si>
  <si>
    <t>loose-match</t>
  </si>
  <si>
    <t>-</t>
  </si>
  <si>
    <t>raw certified organic saffron capsules</t>
  </si>
  <si>
    <t>$2.67</t>
  </si>
  <si>
    <t>$21.90</t>
  </si>
  <si>
    <t>SP MACA BROAD RESEARCH 22082024 HB</t>
  </si>
  <si>
    <t>MACA RESEARCH</t>
  </si>
  <si>
    <t>wild yam and maca root</t>
  </si>
  <si>
    <t>$4.35</t>
  </si>
  <si>
    <t>maca root and ashwagandha</t>
  </si>
  <si>
    <t>$2.68</t>
  </si>
  <si>
    <t>SP SAFFRON EXACT SALES COMBO KW GA 05132025</t>
  </si>
  <si>
    <t>Combo Exact</t>
  </si>
  <si>
    <t>saffron magnesium supplements</t>
  </si>
  <si>
    <t>EXACT</t>
  </si>
  <si>
    <t>$2.97</t>
  </si>
  <si>
    <t>$43.80</t>
  </si>
  <si>
    <t>ashwagandha magnesium</t>
  </si>
  <si>
    <t>ashwagandha and magnesium</t>
  </si>
  <si>
    <t>$4.39</t>
  </si>
  <si>
    <t>SP AUTO MACA KW DISCOVERY GA</t>
  </si>
  <si>
    <t>AUTO</t>
  </si>
  <si>
    <t>close-match</t>
  </si>
  <si>
    <t>ashwagandha maca root</t>
  </si>
  <si>
    <t>$3.60</t>
  </si>
  <si>
    <t>maca root capsules</t>
  </si>
  <si>
    <t>$3.82</t>
  </si>
  <si>
    <t>$49.88</t>
  </si>
  <si>
    <t>ashwagandha for women</t>
  </si>
  <si>
    <t>$1.46</t>
  </si>
  <si>
    <t>maca root supplement</t>
  </si>
  <si>
    <t>$2.07</t>
  </si>
  <si>
    <t>magnesium maca root</t>
  </si>
  <si>
    <t>$4.26</t>
  </si>
  <si>
    <t>No Portfolio</t>
  </si>
  <si>
    <t>SP SAFFRON PHRASE SAFFRON ASHWA SALES GA 07182025</t>
  </si>
  <si>
    <t>saffron ashwagandha</t>
  </si>
  <si>
    <t>saffron ashwagandha supplements</t>
  </si>
  <si>
    <t>saffron and ashwagandha supplements</t>
  </si>
  <si>
    <t>$3.41</t>
  </si>
  <si>
    <t>$4.54</t>
  </si>
  <si>
    <t>$3.04</t>
  </si>
  <si>
    <t>$74.82</t>
  </si>
  <si>
    <t>ashwagandha (root &amp; leaf)</t>
  </si>
  <si>
    <t>ashwagandha root maca root l-carnitine</t>
  </si>
  <si>
    <t>gaia herbs maca root</t>
  </si>
  <si>
    <t>maca capsules for men</t>
  </si>
  <si>
    <t>maca powder organic</t>
  </si>
  <si>
    <t>$2.38</t>
  </si>
  <si>
    <t>$3.63</t>
  </si>
  <si>
    <t>maca root capsules for men</t>
  </si>
  <si>
    <t>$2.73</t>
  </si>
  <si>
    <t>women's energy enhancer</t>
  </si>
  <si>
    <t>$3.72</t>
  </si>
  <si>
    <t>Rank</t>
  </si>
  <si>
    <t>SP TOS KW ASHWGANDHA GA RANK 07082024</t>
  </si>
  <si>
    <t>$2.91</t>
  </si>
  <si>
    <t>SP EXACT BRANDED SEARCH</t>
  </si>
  <si>
    <t>Branded search</t>
  </si>
  <si>
    <t>circle of nature</t>
  </si>
  <si>
    <t>circle of nature saffron</t>
  </si>
  <si>
    <t>$2.57</t>
  </si>
  <si>
    <t>concentrated maca root and ashwagandha</t>
  </si>
  <si>
    <t>$3.33</t>
  </si>
  <si>
    <t>maca mix capsules</t>
  </si>
  <si>
    <t>$3.79</t>
  </si>
  <si>
    <t>MACA ROOT TOS EXACT CAMPAIGN 27042022 RANK</t>
  </si>
  <si>
    <t>MACA EXACT TEST CAMPAIGN</t>
  </si>
  <si>
    <t>maca root</t>
  </si>
  <si>
    <t>$3.10</t>
  </si>
  <si>
    <t>$174.58</t>
  </si>
  <si>
    <t>$3.65</t>
  </si>
  <si>
    <t>maca root ashwagandha drops</t>
  </si>
  <si>
    <t>$2.63</t>
  </si>
  <si>
    <t>maca root for menopause</t>
  </si>
  <si>
    <t>$3.27</t>
  </si>
  <si>
    <t>nature's way maca root capsules</t>
  </si>
  <si>
    <t>$3.98</t>
  </si>
  <si>
    <t>$4.97</t>
  </si>
  <si>
    <t>ashwagandha and saffron supplements</t>
  </si>
  <si>
    <t>$3.00</t>
  </si>
  <si>
    <t>shawanda and maca root</t>
  </si>
  <si>
    <t>ashwagandha capsules 400mg root</t>
  </si>
  <si>
    <t>ashwagandha spirulina chlorella turmeric ginger pill</t>
  </si>
  <si>
    <t>$2.59</t>
  </si>
  <si>
    <t>ocalgon maca root</t>
  </si>
  <si>
    <t>black girl vitamins maca root</t>
  </si>
  <si>
    <t>irwin naturals maca root (and ashwagandha) 75 liquid softgel</t>
  </si>
  <si>
    <t>$2.08</t>
  </si>
  <si>
    <t>maca root extract</t>
  </si>
  <si>
    <t>$4.68</t>
  </si>
  <si>
    <t>natures bounty maca root</t>
  </si>
  <si>
    <t>CATCH ALL</t>
  </si>
  <si>
    <t>SP BROAD CATCH ALL MACA GA 21052022</t>
  </si>
  <si>
    <t>ashwagandha supplements</t>
  </si>
  <si>
    <t>$0.63</t>
  </si>
  <si>
    <t>maca root 1500 2000 mg</t>
  </si>
  <si>
    <t>$3.44</t>
  </si>
  <si>
    <t>$3.06</t>
  </si>
  <si>
    <t>$3.89</t>
  </si>
  <si>
    <t>maca root circle of nature</t>
  </si>
  <si>
    <t>$3.09</t>
  </si>
  <si>
    <t>saffron supplements</t>
  </si>
  <si>
    <t>$2.25</t>
  </si>
  <si>
    <t>high dose ashwagandha</t>
  </si>
  <si>
    <t>maca del peru capsula</t>
  </si>
  <si>
    <t>$2.62</t>
  </si>
  <si>
    <t>saffron stigma in capsules</t>
  </si>
  <si>
    <t>ashwagandha and maca root</t>
  </si>
  <si>
    <t>$3.69</t>
  </si>
  <si>
    <t>ashwagandha damiana maca</t>
  </si>
  <si>
    <t>ashwagandha for men</t>
  </si>
  <si>
    <t>$3.81</t>
  </si>
  <si>
    <t>max strength ashwagandha</t>
  </si>
  <si>
    <t>$3.86</t>
  </si>
  <si>
    <t>number one saffron capsules dietary</t>
  </si>
  <si>
    <t>$5.18</t>
  </si>
  <si>
    <t>saffron with magnesium</t>
  </si>
  <si>
    <t>saffron and magnesium</t>
  </si>
  <si>
    <t>$4.28</t>
  </si>
  <si>
    <t>saffron magnesium</t>
  </si>
  <si>
    <t>$3.59</t>
  </si>
  <si>
    <t>maca</t>
  </si>
  <si>
    <t>transformation supplements maca</t>
  </si>
  <si>
    <t>$0.76</t>
  </si>
  <si>
    <t>afron saffron</t>
  </si>
  <si>
    <t>$2.19</t>
  </si>
  <si>
    <t>ashwagandha natural supplements</t>
  </si>
  <si>
    <t>$4.34</t>
  </si>
  <si>
    <t>ashwagandha supplements high dose</t>
  </si>
  <si>
    <t>$2.50</t>
  </si>
  <si>
    <t>$0.83</t>
  </si>
  <si>
    <t>maca and ashwagandha supplement</t>
  </si>
  <si>
    <t>$3.01</t>
  </si>
  <si>
    <t>$249.40</t>
  </si>
  <si>
    <t>$2.99</t>
  </si>
  <si>
    <t>$3.11</t>
  </si>
  <si>
    <t>rosbella saffron</t>
  </si>
  <si>
    <t>maca root extract for men</t>
  </si>
  <si>
    <t>$4.70</t>
  </si>
  <si>
    <t>blyss nutrition alive - maca root</t>
  </si>
  <si>
    <t>$3.29</t>
  </si>
  <si>
    <t>maca capsules men</t>
  </si>
  <si>
    <t>$2.74</t>
  </si>
  <si>
    <t>organic maca and ashwagandha</t>
  </si>
  <si>
    <t>$1.36</t>
  </si>
  <si>
    <t>peruvian maca root for women</t>
  </si>
  <si>
    <t>$3.66</t>
  </si>
  <si>
    <t>ashwagandha root extract</t>
  </si>
  <si>
    <t>heavy duty ashwagandha</t>
  </si>
  <si>
    <t>$3.67</t>
  </si>
  <si>
    <t>maca 500</t>
  </si>
  <si>
    <t>maca capsules for pits</t>
  </si>
  <si>
    <t>$3.14</t>
  </si>
  <si>
    <t>maca pills 1000mg</t>
  </si>
  <si>
    <t>$2.72</t>
  </si>
  <si>
    <t>saffron saffron ashwagandha</t>
  </si>
  <si>
    <t>$4.53</t>
  </si>
  <si>
    <t>vitamin awagashaga</t>
  </si>
  <si>
    <t>$3.15</t>
  </si>
  <si>
    <t>ashwagandha for men's hair loss 450 mg</t>
  </si>
  <si>
    <t>$2.03</t>
  </si>
  <si>
    <t>ashwagandha gut health</t>
  </si>
  <si>
    <t>fertility for him maca root multivitamin gummies</t>
  </si>
  <si>
    <t>$4.18</t>
  </si>
  <si>
    <t>maca ashwagandha</t>
  </si>
  <si>
    <t>$1.82</t>
  </si>
  <si>
    <t>maca root and ashwagandha vitamin</t>
  </si>
  <si>
    <t>$2.92</t>
  </si>
  <si>
    <t>$4.20</t>
  </si>
  <si>
    <t>saffron 88.5 mg</t>
  </si>
  <si>
    <t>$2.54</t>
  </si>
  <si>
    <t>saffron capsules</t>
  </si>
  <si>
    <t>$2.87</t>
  </si>
  <si>
    <t>SP SAFFRON BROAD RESEARCH COMBO KW GA 05132025</t>
  </si>
  <si>
    <t>Combo Broad</t>
  </si>
  <si>
    <t>afron and ashwagandha</t>
  </si>
  <si>
    <t>$1.45</t>
  </si>
  <si>
    <t>b01hoxirzu</t>
  </si>
  <si>
    <t>$3.37</t>
  </si>
  <si>
    <t>maca root capsule</t>
  </si>
  <si>
    <t>$4.00</t>
  </si>
  <si>
    <t>SP SAFFRON BROAD RESEARCH HIGH GA 05132025</t>
  </si>
  <si>
    <t>Broad Saffron Main</t>
  </si>
  <si>
    <t>pure saffron supplements</t>
  </si>
  <si>
    <t>$2.00</t>
  </si>
  <si>
    <t>$4.42</t>
  </si>
  <si>
    <t>$3.76</t>
  </si>
  <si>
    <t>250 mg saffron</t>
  </si>
  <si>
    <t>$2.71</t>
  </si>
  <si>
    <t>$0.77</t>
  </si>
  <si>
    <t>$3.73</t>
  </si>
  <si>
    <t>$4.04</t>
  </si>
  <si>
    <t>$3.23</t>
  </si>
  <si>
    <t>$2.70</t>
  </si>
  <si>
    <t>saffron brain</t>
  </si>
  <si>
    <t>ashwagandha and maca root gel capsules</t>
  </si>
  <si>
    <t>$3.03</t>
  </si>
  <si>
    <t>best ashwagandha supplement</t>
  </si>
  <si>
    <t>raises de maca</t>
  </si>
  <si>
    <t>$3.17</t>
  </si>
  <si>
    <t>maca and ashawanda</t>
  </si>
  <si>
    <t>ashwagandha and maca root gummies fertility</t>
  </si>
  <si>
    <t>ashwagandha and zinc supplements</t>
  </si>
  <si>
    <t>saffron with ashwagandha</t>
  </si>
  <si>
    <t>100% ashwagandha</t>
  </si>
  <si>
    <t>$4.07</t>
  </si>
  <si>
    <t>$0.86</t>
  </si>
  <si>
    <t>$4.09</t>
  </si>
  <si>
    <t>$65.70</t>
  </si>
  <si>
    <t>ashwagandha, mecca root, fenaugteek, beet root, l- argine oil</t>
  </si>
  <si>
    <t>$3.24</t>
  </si>
  <si>
    <t>$1.02</t>
  </si>
  <si>
    <t>maca roots and ashwagandha</t>
  </si>
  <si>
    <t>natural labs maca</t>
  </si>
  <si>
    <t>organic maca for women</t>
  </si>
  <si>
    <t>ashwagandha root and leaves extract 150mg</t>
  </si>
  <si>
    <t>ashwagandha women</t>
  </si>
  <si>
    <t>$3.08</t>
  </si>
  <si>
    <t>maco root for women</t>
  </si>
  <si>
    <t>$2.86</t>
  </si>
  <si>
    <t>$149.64</t>
  </si>
  <si>
    <t>ashwagandha with magnesium</t>
  </si>
  <si>
    <t>$2.27</t>
  </si>
  <si>
    <t>maca root (gelatinized) –</t>
  </si>
  <si>
    <t>$3.46</t>
  </si>
  <si>
    <t>$4.24</t>
  </si>
  <si>
    <t>ashwagandha with maca and rudiola</t>
  </si>
  <si>
    <t>lead-free maca root</t>
  </si>
  <si>
    <t>$0.42</t>
  </si>
  <si>
    <t>peruvian maca</t>
  </si>
  <si>
    <t>$3.30</t>
  </si>
  <si>
    <t>asquared nutrition</t>
  </si>
  <si>
    <t>$1.88</t>
  </si>
  <si>
    <t>maca ashwagandha turmeric</t>
  </si>
  <si>
    <t>$2.51</t>
  </si>
  <si>
    <t>ashwagandha maca tumeric</t>
  </si>
  <si>
    <t>$4.38</t>
  </si>
  <si>
    <t>roots ashwagandha</t>
  </si>
  <si>
    <t>ashwagandha 500mg capsules</t>
  </si>
  <si>
    <t>maca root gluten free</t>
  </si>
  <si>
    <t>maju maca</t>
  </si>
  <si>
    <t>$3.57</t>
  </si>
  <si>
    <t>$2.88</t>
  </si>
  <si>
    <t>$3.07</t>
  </si>
  <si>
    <t>maca root i</t>
  </si>
  <si>
    <t>$2.18</t>
  </si>
  <si>
    <t>maca root made in usa</t>
  </si>
  <si>
    <t>saffron supplements for women</t>
  </si>
  <si>
    <t>ashwagandha maca oil</t>
  </si>
  <si>
    <t>$4.21</t>
  </si>
  <si>
    <t>ashwagandha supplements for men</t>
  </si>
  <si>
    <t>ashwagandha, tribulus terrestris, and maca root may have some benefits.</t>
  </si>
  <si>
    <t>circle of nature ashwagandha</t>
  </si>
  <si>
    <t>$4.56</t>
  </si>
  <si>
    <t>macaroni root</t>
  </si>
  <si>
    <t>$2.13</t>
  </si>
  <si>
    <t>saffron and ashwagandha</t>
  </si>
  <si>
    <t>$3.70</t>
  </si>
  <si>
    <t>$2.77</t>
  </si>
  <si>
    <t>$4.03</t>
  </si>
  <si>
    <t>$3.77</t>
  </si>
  <si>
    <t>$3.55</t>
  </si>
  <si>
    <t>$3.38</t>
  </si>
  <si>
    <t>$224.46</t>
  </si>
  <si>
    <t>$2.84</t>
  </si>
  <si>
    <t>$4.02</t>
  </si>
  <si>
    <t>saffron supplements organic with saffron trademark</t>
  </si>
  <si>
    <t>$3.51</t>
  </si>
  <si>
    <t>maca root ashwagandha capsules</t>
  </si>
  <si>
    <t>$2.40</t>
  </si>
  <si>
    <t>maca root powder capsules</t>
  </si>
  <si>
    <t>america ginseng and maca root</t>
  </si>
  <si>
    <t>$4.75</t>
  </si>
  <si>
    <t>ashwagandha and maca root for men</t>
  </si>
  <si>
    <t>$3.26</t>
  </si>
  <si>
    <t>terrasoul maca</t>
  </si>
  <si>
    <t>ashwagandha maca cinnamon</t>
  </si>
  <si>
    <t>$2.02</t>
  </si>
  <si>
    <t>ashwagandha with maca root</t>
  </si>
  <si>
    <t>$1.89</t>
  </si>
  <si>
    <t>high dose maca root</t>
  </si>
  <si>
    <t>$2.33</t>
  </si>
  <si>
    <t>la.maca.de women 600 mg</t>
  </si>
  <si>
    <t>maca root with ashwagandha</t>
  </si>
  <si>
    <t>$3.35</t>
  </si>
  <si>
    <t>maca: 450mg</t>
  </si>
  <si>
    <t>b079k32qb6</t>
  </si>
  <si>
    <t>$0.89</t>
  </si>
  <si>
    <t>$19.95</t>
  </si>
  <si>
    <t>macca root,ashwagandha,fenugreek,beet root l-arginine liquid drop</t>
  </si>
  <si>
    <t>$3.58</t>
  </si>
  <si>
    <t>$17.52</t>
  </si>
  <si>
    <t>ashwagandha + maca root</t>
  </si>
  <si>
    <t>ashwagandha ksm66</t>
  </si>
  <si>
    <t>maca for men</t>
  </si>
  <si>
    <t>maca powder for men</t>
  </si>
  <si>
    <t>maca root extra strength 5000</t>
  </si>
  <si>
    <t>$39.90</t>
  </si>
  <si>
    <t>$2.82</t>
  </si>
  <si>
    <t>maca root capsules for women</t>
  </si>
  <si>
    <t>$4.77</t>
  </si>
  <si>
    <t>maca root for smoothie</t>
  </si>
  <si>
    <t>perfect maca</t>
  </si>
  <si>
    <t>$1.80</t>
  </si>
  <si>
    <t>$4.49</t>
  </si>
  <si>
    <t>saffron extract</t>
  </si>
  <si>
    <t>saffron extract for sleep</t>
  </si>
  <si>
    <t>$2.24</t>
  </si>
  <si>
    <t>ashwagandha benefits for men</t>
  </si>
  <si>
    <t>$44.89</t>
  </si>
  <si>
    <t>ashwagandha stress supplements</t>
  </si>
  <si>
    <t>$2.53</t>
  </si>
  <si>
    <t>magnesium glycinate with ashwagandha</t>
  </si>
  <si>
    <t>organic maca root</t>
  </si>
  <si>
    <t>ashwagandha turmeric vitamin d</t>
  </si>
  <si>
    <t>$3.21</t>
  </si>
  <si>
    <t>$164.60</t>
  </si>
  <si>
    <t>$3.39</t>
  </si>
  <si>
    <t>maca vitamins for women</t>
  </si>
  <si>
    <t>$3.16</t>
  </si>
  <si>
    <t>magnesium saffron</t>
  </si>
  <si>
    <t>saffron and magnesium for adults</t>
  </si>
  <si>
    <t>$3.13</t>
  </si>
  <si>
    <t>ashwagandha root 920 mg</t>
  </si>
  <si>
    <t>maca and ashwagandha</t>
  </si>
  <si>
    <t>maca root and ashwagandha for pcos women</t>
  </si>
  <si>
    <t>saffron supplement 250 mg</t>
  </si>
  <si>
    <t>saffron supplement tablets</t>
  </si>
  <si>
    <t>$3.53</t>
  </si>
  <si>
    <t>ashwagandha and maca root supplements</t>
  </si>
  <si>
    <t>$0.49</t>
  </si>
  <si>
    <t>maca root 2grams</t>
  </si>
  <si>
    <t>maca root extra strength</t>
  </si>
  <si>
    <t>$2.75</t>
  </si>
  <si>
    <t>maca root to gain weight</t>
  </si>
  <si>
    <t>saffron stigma extract (3% crocins)</t>
  </si>
  <si>
    <t>$3.12</t>
  </si>
  <si>
    <t>saffron and curcumin supplements</t>
  </si>
  <si>
    <t>all natural ashwagandha supplement</t>
  </si>
  <si>
    <t>ashwagandha and mecca</t>
  </si>
  <si>
    <t>pure saffron supplement</t>
  </si>
  <si>
    <t>natural life labs maca</t>
  </si>
  <si>
    <t>$3.75</t>
  </si>
  <si>
    <t>$4.93</t>
  </si>
  <si>
    <t>$167.80</t>
  </si>
  <si>
    <t>$21.84</t>
  </si>
  <si>
    <t>maca real gelatinizada</t>
  </si>
  <si>
    <t>maca root capsules ashwagandha</t>
  </si>
  <si>
    <t>$3.34</t>
  </si>
  <si>
    <t>peruvian black maca root capsules</t>
  </si>
  <si>
    <t>ashwagandha made in usa</t>
  </si>
  <si>
    <t>irwin naturals maca root ashwagandha</t>
  </si>
  <si>
    <t>maca ashwagandha supplement</t>
  </si>
  <si>
    <t>ashwagandha extract capsules</t>
  </si>
  <si>
    <t>ashwagandha capsules for men</t>
  </si>
  <si>
    <t>$7.77</t>
  </si>
  <si>
    <t>ashwagandha root</t>
  </si>
  <si>
    <t>$5.02</t>
  </si>
  <si>
    <t>$10.03</t>
  </si>
  <si>
    <t>irwin naturals extra strength ashwagandha</t>
  </si>
  <si>
    <t>zhou ashwagandha</t>
  </si>
  <si>
    <t>$2.22</t>
  </si>
  <si>
    <t>ashwagandha fast acting</t>
  </si>
  <si>
    <t>$5.24</t>
  </si>
  <si>
    <t>$20.94</t>
  </si>
  <si>
    <t>damiana maca root</t>
  </si>
  <si>
    <t>$2.85</t>
  </si>
  <si>
    <t>$1.22</t>
  </si>
  <si>
    <t>$4.88</t>
  </si>
  <si>
    <t>maca root and ashwagandha for women</t>
  </si>
  <si>
    <t>$5.68</t>
  </si>
  <si>
    <t>maca root ashwagandha circle of nature</t>
  </si>
  <si>
    <t>$1.70</t>
  </si>
  <si>
    <t>maca root vitamin</t>
  </si>
  <si>
    <t>$3.68</t>
  </si>
  <si>
    <t>$7.35</t>
  </si>
  <si>
    <t>maca, ashwagandha and magnesium 0 sugar</t>
  </si>
  <si>
    <t>$2.58</t>
  </si>
  <si>
    <t>$5.16</t>
  </si>
  <si>
    <t>$0.65</t>
  </si>
  <si>
    <t>$1.95</t>
  </si>
  <si>
    <t>$2.49</t>
  </si>
  <si>
    <t>gluten free saffron</t>
  </si>
  <si>
    <t>$1.98</t>
  </si>
  <si>
    <t>maca 2000mg</t>
  </si>
  <si>
    <t>maca or ashwagandha from a clean herbal brand.</t>
  </si>
  <si>
    <t>saffron rosemary holy basil</t>
  </si>
  <si>
    <t>$36.02</t>
  </si>
  <si>
    <t>$3.74</t>
  </si>
  <si>
    <t>$4.29</t>
  </si>
  <si>
    <t>$21.44</t>
  </si>
  <si>
    <t>magnesium glycinate and saffron</t>
  </si>
  <si>
    <t>$3.96</t>
  </si>
  <si>
    <t>$19.80</t>
  </si>
  <si>
    <t>SP SAFFRON PHRASE USE CASE MOOD KW GA 05132025</t>
  </si>
  <si>
    <t>Alternative Keywords</t>
  </si>
  <si>
    <t>mood support</t>
  </si>
  <si>
    <t>$6.78</t>
  </si>
  <si>
    <t>saffron 88.5</t>
  </si>
  <si>
    <t>$6.24</t>
  </si>
  <si>
    <t>$8.06</t>
  </si>
  <si>
    <t>$4.52</t>
  </si>
  <si>
    <t>$18.08</t>
  </si>
  <si>
    <t>$3.62</t>
  </si>
  <si>
    <t>$25.35</t>
  </si>
  <si>
    <t>ashwagandha root extracts</t>
  </si>
  <si>
    <t>$2.89</t>
  </si>
  <si>
    <t>$23.10</t>
  </si>
  <si>
    <t>liposomal saffron supplements</t>
  </si>
  <si>
    <t>$1.86</t>
  </si>
  <si>
    <t>$179.27</t>
  </si>
  <si>
    <t>$97.32</t>
  </si>
  <si>
    <t>$21.49</t>
  </si>
  <si>
    <t>$13.64</t>
  </si>
  <si>
    <t>$48.05</t>
  </si>
  <si>
    <t>$122.26</t>
  </si>
  <si>
    <t>$4.46</t>
  </si>
  <si>
    <t>$26.77</t>
  </si>
  <si>
    <t>micro ingredients saffron supplement ￼</t>
  </si>
  <si>
    <t>organic saffron capsules</t>
  </si>
  <si>
    <t>$27.83</t>
  </si>
  <si>
    <t>saffron ashwagandha magnesium supplement</t>
  </si>
  <si>
    <t>$3.99</t>
  </si>
  <si>
    <t>$7.97</t>
  </si>
  <si>
    <t>gluten free maca root for retrograde ejaculation</t>
  </si>
  <si>
    <t>maca roots organic</t>
  </si>
  <si>
    <t>saffron capsules in glass bottle</t>
  </si>
  <si>
    <t>$2.93</t>
  </si>
  <si>
    <t>ashwagandha men</t>
  </si>
  <si>
    <t>$3.45</t>
  </si>
  <si>
    <t>$6.89</t>
  </si>
  <si>
    <t>b007p4x380</t>
  </si>
  <si>
    <t>$2.45</t>
  </si>
  <si>
    <t>magnesium, ashwagandha, turmeric, and vit d</t>
  </si>
  <si>
    <t>saffron with holy basil</t>
  </si>
  <si>
    <t>ashwagandha for men 1000 mg</t>
  </si>
  <si>
    <t>$0.08</t>
  </si>
  <si>
    <t>$0.23</t>
  </si>
  <si>
    <t>maca root booty growth</t>
  </si>
  <si>
    <t>maka root</t>
  </si>
  <si>
    <t>circle of nature maca root ashwagandha</t>
  </si>
  <si>
    <t>$6.00</t>
  </si>
  <si>
    <t>Mushroom</t>
  </si>
  <si>
    <t>SP AUTO MUSHROOM DISCOVERY LOW GA 05142024</t>
  </si>
  <si>
    <t>Bulk Auto 1.00</t>
  </si>
  <si>
    <t>ginko and lions mane</t>
  </si>
  <si>
    <t>$29.99</t>
  </si>
  <si>
    <t>maca andina ashwagandha</t>
  </si>
  <si>
    <t>maca negra y ashwagandha</t>
  </si>
  <si>
    <t>pastillas de maca</t>
  </si>
  <si>
    <t>saffron that helps with mood sex and brain health</t>
  </si>
  <si>
    <t>$20.72</t>
  </si>
  <si>
    <t>saffron magnesium ashwagandha</t>
  </si>
  <si>
    <t>ashwagandha+saffron+magnesium + black cohosh</t>
  </si>
  <si>
    <t>$5.73</t>
  </si>
  <si>
    <t>magnesium and saffron</t>
  </si>
  <si>
    <t>methodic wellness saffron 88 mg</t>
  </si>
  <si>
    <t>$2.52</t>
  </si>
  <si>
    <t>$4.05</t>
  </si>
  <si>
    <t>ashwagandha capsules for women and men</t>
  </si>
  <si>
    <t>b0blrfqwdk</t>
  </si>
  <si>
    <t>$5.10</t>
  </si>
  <si>
    <t>$10.20</t>
  </si>
  <si>
    <t>$14.21</t>
  </si>
  <si>
    <t>$38.55</t>
  </si>
  <si>
    <t>$4.08</t>
  </si>
  <si>
    <t>$8.15</t>
  </si>
  <si>
    <t>$4.06</t>
  </si>
  <si>
    <t>$16.25</t>
  </si>
  <si>
    <t>$3.97</t>
  </si>
  <si>
    <t>$7.93</t>
  </si>
  <si>
    <t>spices</t>
  </si>
  <si>
    <t>$1.57</t>
  </si>
  <si>
    <t>$4.63</t>
  </si>
  <si>
    <t>$69.52</t>
  </si>
  <si>
    <t>ashwagandha for men capsules</t>
  </si>
  <si>
    <t>l arginine with maca</t>
  </si>
  <si>
    <t>$2.98</t>
  </si>
  <si>
    <t>$239.51</t>
  </si>
  <si>
    <t>$199.52</t>
  </si>
  <si>
    <t>maca root 14 in 1</t>
  </si>
  <si>
    <t>maca root and ashwagandha capsules for womenby nativas</t>
  </si>
  <si>
    <t>$36.56</t>
  </si>
  <si>
    <t>$4.17</t>
  </si>
  <si>
    <t>$8.34</t>
  </si>
  <si>
    <t>$7.58</t>
  </si>
  <si>
    <t>$4.62</t>
  </si>
  <si>
    <t>$13.87</t>
  </si>
  <si>
    <t>$4.13</t>
  </si>
  <si>
    <t>$28.94</t>
  </si>
  <si>
    <t>$6.38</t>
  </si>
  <si>
    <t>$2.94</t>
  </si>
  <si>
    <t>$194.16</t>
  </si>
  <si>
    <t>$374.10</t>
  </si>
  <si>
    <t>$3.54</t>
  </si>
  <si>
    <t>$24.75</t>
  </si>
  <si>
    <t>$124.70</t>
  </si>
  <si>
    <t>$3.31</t>
  </si>
  <si>
    <t>$29.76</t>
  </si>
  <si>
    <t>1st Week</t>
  </si>
  <si>
    <t>circle of nature maca with ashwagandha</t>
  </si>
  <si>
    <t>$4.41</t>
  </si>
  <si>
    <t>$1.25</t>
  </si>
  <si>
    <t>la maca capsules</t>
  </si>
  <si>
    <t>$5.00</t>
  </si>
  <si>
    <t>$7.09</t>
  </si>
  <si>
    <t>amazon basics maca</t>
  </si>
  <si>
    <t>$1.62</t>
  </si>
  <si>
    <t>maca root or ashwagandha</t>
  </si>
  <si>
    <t>$5.94</t>
  </si>
  <si>
    <t>maca root sex drive women</t>
  </si>
  <si>
    <t>$8.78</t>
  </si>
  <si>
    <t>$11.38</t>
  </si>
  <si>
    <t>$10.63</t>
  </si>
  <si>
    <t>turmeric supplement</t>
  </si>
  <si>
    <t>turmeric and maca supplement</t>
  </si>
  <si>
    <t>$0.82</t>
  </si>
  <si>
    <t>ashwagandha maca supplements</t>
  </si>
  <si>
    <t>maca root gelatinized capsules</t>
  </si>
  <si>
    <t>$3.50</t>
  </si>
  <si>
    <t>raiz de maca</t>
  </si>
  <si>
    <t>$30.18</t>
  </si>
  <si>
    <t>ashwagandha supplements for weight loss</t>
  </si>
  <si>
    <t>$10.05</t>
  </si>
  <si>
    <t>maca root and ashwagandha capsules for women</t>
  </si>
  <si>
    <t>$2.39</t>
  </si>
  <si>
    <t>maca root bar</t>
  </si>
  <si>
    <t>saffron and magnesium supplements</t>
  </si>
  <si>
    <t>$5.43</t>
  </si>
  <si>
    <t>$10.86</t>
  </si>
  <si>
    <t>$6.74</t>
  </si>
  <si>
    <t>ashwa maca root</t>
  </si>
  <si>
    <t>2nd Week</t>
  </si>
  <si>
    <t>ashwagandha ksm 66</t>
  </si>
  <si>
    <t>$0.85</t>
  </si>
  <si>
    <t>$206.90</t>
  </si>
  <si>
    <t>$315.00</t>
  </si>
  <si>
    <t>$52.60</t>
  </si>
  <si>
    <t>$5.98</t>
  </si>
  <si>
    <t>$11.95</t>
  </si>
  <si>
    <t>ashwagandha organic</t>
  </si>
  <si>
    <t>organic maca ashwagandha</t>
  </si>
  <si>
    <t>$17.54</t>
  </si>
  <si>
    <t>$9.28</t>
  </si>
  <si>
    <t>ashwagandha vitamins for men</t>
  </si>
  <si>
    <t>maca ashwagandha for women</t>
  </si>
  <si>
    <t>$2.55</t>
  </si>
  <si>
    <t>macha root</t>
  </si>
  <si>
    <t>saw palmetto maca root ashwagandha</t>
  </si>
  <si>
    <t>b079bqqvy7</t>
  </si>
  <si>
    <t>$1.84</t>
  </si>
  <si>
    <t>$21.95</t>
  </si>
  <si>
    <t>maca ashwagandha pill</t>
  </si>
  <si>
    <t>black maca and ashwagandha pill</t>
  </si>
  <si>
    <t>$2.95</t>
  </si>
  <si>
    <t>mushrooms for alertness</t>
  </si>
  <si>
    <t>organic pure maca root</t>
  </si>
  <si>
    <t>$2.96</t>
  </si>
  <si>
    <t>$70.94</t>
  </si>
  <si>
    <t>maca root for weight loss</t>
  </si>
  <si>
    <t>$2.28</t>
  </si>
  <si>
    <t>maca root &amp; ashwagandha</t>
  </si>
  <si>
    <t>$8.51</t>
  </si>
  <si>
    <t>saffron circle of nature</t>
  </si>
  <si>
    <t>blue vervain</t>
  </si>
  <si>
    <t>maca root ashwagandha for women</t>
  </si>
  <si>
    <t>$3.52</t>
  </si>
  <si>
    <t>$10.57</t>
  </si>
  <si>
    <t>$2.78</t>
  </si>
  <si>
    <t>$19.48</t>
  </si>
  <si>
    <t>3rd Week</t>
  </si>
  <si>
    <t>$6.66</t>
  </si>
  <si>
    <t>$12.19</t>
  </si>
  <si>
    <t>$10.93</t>
  </si>
  <si>
    <t>$47.26</t>
  </si>
  <si>
    <t>$40.00</t>
  </si>
  <si>
    <t>$3.28</t>
  </si>
  <si>
    <t>$16.40</t>
  </si>
  <si>
    <t>$10.00</t>
  </si>
  <si>
    <t>mood magic</t>
  </si>
  <si>
    <t>magnesium complex</t>
  </si>
  <si>
    <t>nutrient forbrain</t>
  </si>
  <si>
    <t>SP SAFFRON EXACT SALES HIGH GA 05132025</t>
  </si>
  <si>
    <t>Exact Saffron</t>
  </si>
  <si>
    <t>saffron supplement</t>
  </si>
  <si>
    <t>$3.85</t>
  </si>
  <si>
    <t>$88.48</t>
  </si>
  <si>
    <t>$65.85</t>
  </si>
  <si>
    <t>curcumin supplement</t>
  </si>
  <si>
    <t>turmeric curcumin supplement</t>
  </si>
  <si>
    <t>$0.18</t>
  </si>
  <si>
    <t>zaffrus saffron</t>
  </si>
  <si>
    <t>ashawanda capsulas</t>
  </si>
  <si>
    <t>ashawanda capsulas 6000mg</t>
  </si>
  <si>
    <t>$4.30</t>
  </si>
  <si>
    <t>$8.59</t>
  </si>
  <si>
    <t>$3.71</t>
  </si>
  <si>
    <t>$18.57</t>
  </si>
  <si>
    <t>ashwagandha mood support</t>
  </si>
  <si>
    <t>gratitude garden brain boost</t>
  </si>
  <si>
    <t>maca root for serving</t>
  </si>
  <si>
    <t>$2.66</t>
  </si>
  <si>
    <t>maca root, ashwagandha</t>
  </si>
  <si>
    <t>organic maca</t>
  </si>
  <si>
    <t>$2.17</t>
  </si>
  <si>
    <t>fermented maca root</t>
  </si>
  <si>
    <t>maca 3</t>
  </si>
  <si>
    <t>$36.32</t>
  </si>
  <si>
    <t>red maca root and ashwagandha</t>
  </si>
  <si>
    <t>$13.24</t>
  </si>
  <si>
    <t>$43.90</t>
  </si>
  <si>
    <t>$3.18</t>
  </si>
  <si>
    <t>$15.92</t>
  </si>
  <si>
    <t>$5.46</t>
  </si>
  <si>
    <t>$27.29</t>
  </si>
  <si>
    <t>$34.98</t>
  </si>
  <si>
    <t>4th Week</t>
  </si>
  <si>
    <t>SP TOS MACA KW EXACT ASHWAGANDHA G3 GA 07082024 RANK</t>
  </si>
  <si>
    <t>$12.22</t>
  </si>
  <si>
    <t>$1.31</t>
  </si>
  <si>
    <t>$5.23</t>
  </si>
  <si>
    <t>$2.36</t>
  </si>
  <si>
    <t>$33.05</t>
  </si>
  <si>
    <t>$2.76</t>
  </si>
  <si>
    <t>$93.85</t>
  </si>
  <si>
    <t>$6.54</t>
  </si>
  <si>
    <t>$13.79</t>
  </si>
  <si>
    <t>maca root fenugreek ashwagandha</t>
  </si>
  <si>
    <t>passionflower with maca root supplement</t>
  </si>
  <si>
    <t>$7.29</t>
  </si>
  <si>
    <t>$2.04</t>
  </si>
  <si>
    <t>$5.35</t>
  </si>
  <si>
    <t>b07phg29rk</t>
  </si>
  <si>
    <t>$2.16</t>
  </si>
  <si>
    <t>maca root + ashwagandha + omega 3</t>
  </si>
  <si>
    <t>$8.91</t>
  </si>
  <si>
    <t>youtheory ashwagandha</t>
  </si>
  <si>
    <t>$2.26</t>
  </si>
  <si>
    <t>brainstorm mushroom</t>
  </si>
  <si>
    <t>maca root for women libido</t>
  </si>
  <si>
    <t>saffron 3% crocin, 2% safranal</t>
  </si>
  <si>
    <t>saffron dr amen</t>
  </si>
  <si>
    <t>suplementos naturales para el enfoque y concentración</t>
  </si>
  <si>
    <t>ashwagandha maca root supplements</t>
  </si>
  <si>
    <t>bravenly products</t>
  </si>
  <si>
    <t>$59.98</t>
  </si>
  <si>
    <t>circle of nature mushroom complex</t>
  </si>
  <si>
    <t>$0.92</t>
  </si>
  <si>
    <t>mac root ashwagandha</t>
  </si>
  <si>
    <t>maca root 3 mg</t>
  </si>
  <si>
    <t>$3.20</t>
  </si>
  <si>
    <t>maca with ashwagandha capsules for men</t>
  </si>
  <si>
    <t>$3.02</t>
  </si>
  <si>
    <t>saffron, ghee and ashwagandha</t>
  </si>
  <si>
    <t>zaffron</t>
  </si>
  <si>
    <t>$1.39</t>
  </si>
  <si>
    <t>ashwagandha maca fenugreek</t>
  </si>
  <si>
    <t>circle of nature maca root</t>
  </si>
  <si>
    <t>$2.48</t>
  </si>
  <si>
    <t>$4.96</t>
  </si>
  <si>
    <t>mac root supplement</t>
  </si>
  <si>
    <t>$6.35</t>
  </si>
  <si>
    <t>b0bzk4tjv7</t>
  </si>
  <si>
    <t>$1.79</t>
  </si>
  <si>
    <t>$5.37</t>
  </si>
  <si>
    <t>maca powder no gelatin</t>
  </si>
  <si>
    <t>$0.21</t>
  </si>
  <si>
    <t>$6.19</t>
  </si>
  <si>
    <t>saffron</t>
  </si>
  <si>
    <t>$9.54</t>
  </si>
  <si>
    <t>$18.04</t>
  </si>
  <si>
    <t>ashwagandha burdock</t>
  </si>
  <si>
    <t>$12.38</t>
  </si>
  <si>
    <t>gaia maca root</t>
  </si>
  <si>
    <t>$0.35</t>
  </si>
  <si>
    <t>$0.69</t>
  </si>
  <si>
    <t>$4.14</t>
  </si>
  <si>
    <t>$5.25</t>
  </si>
  <si>
    <t>$2.43</t>
  </si>
  <si>
    <t>$4.85</t>
  </si>
  <si>
    <t>$6.52</t>
  </si>
  <si>
    <t>$3.83</t>
  </si>
  <si>
    <t>5th Week</t>
  </si>
  <si>
    <t>ashwagandha and mica</t>
  </si>
  <si>
    <t>$3.22</t>
  </si>
  <si>
    <t>$12.87</t>
  </si>
  <si>
    <t>$2.65</t>
  </si>
  <si>
    <t>$116.42</t>
  </si>
  <si>
    <t>$2.44</t>
  </si>
  <si>
    <t>$148.84</t>
  </si>
  <si>
    <t>$22.26</t>
  </si>
  <si>
    <t>$47.49</t>
  </si>
  <si>
    <t>maca root ashwagandha beet root</t>
  </si>
  <si>
    <t>$12.91</t>
  </si>
  <si>
    <t>$62.97</t>
  </si>
  <si>
    <t>$144.76</t>
  </si>
  <si>
    <t>$2.30</t>
  </si>
  <si>
    <t>$20.70</t>
  </si>
  <si>
    <t>mood support supplements women</t>
  </si>
  <si>
    <t>$0.72</t>
  </si>
  <si>
    <t>natural maca for men</t>
  </si>
  <si>
    <t>saffron supplements for women libido</t>
  </si>
  <si>
    <t>women herbs that contain ashwagandha and maca root</t>
  </si>
  <si>
    <t>$6.60</t>
  </si>
  <si>
    <t>$4.01</t>
  </si>
  <si>
    <t>$12.03</t>
  </si>
  <si>
    <t>saffron extract 30mg</t>
  </si>
  <si>
    <t>ashwagandha maca</t>
  </si>
  <si>
    <t>ashwagandha maca men</t>
  </si>
  <si>
    <t>maca root and ashwagandha for men</t>
  </si>
  <si>
    <t>maca root women</t>
  </si>
  <si>
    <t>$3.05</t>
  </si>
  <si>
    <t>mushroom organic pill</t>
  </si>
  <si>
    <t>$9.69</t>
  </si>
  <si>
    <t>ashwagandha 600 mg</t>
  </si>
  <si>
    <t>fenugreek maca root</t>
  </si>
  <si>
    <t>$2.37</t>
  </si>
  <si>
    <t>maca root ashwagandha with turmeric</t>
  </si>
  <si>
    <t>$4.86</t>
  </si>
  <si>
    <t>saffron supplement amazon</t>
  </si>
  <si>
    <t>$4.79</t>
  </si>
  <si>
    <t>black maca root and ashwagandha</t>
  </si>
  <si>
    <t>$3.78</t>
  </si>
  <si>
    <t>$11.33</t>
  </si>
  <si>
    <t>maca root benefits for women</t>
  </si>
  <si>
    <t>$2.64</t>
  </si>
  <si>
    <t>$4.76</t>
  </si>
  <si>
    <t>mood enhancer</t>
  </si>
  <si>
    <t>mood enhancers</t>
  </si>
  <si>
    <t>now foods ashwagandha</t>
  </si>
  <si>
    <t>organic saffron</t>
  </si>
  <si>
    <t>$2.42</t>
  </si>
  <si>
    <t>$4.83</t>
  </si>
  <si>
    <t>$24.95</t>
  </si>
  <si>
    <t>ashwagandha amazon</t>
  </si>
  <si>
    <t>$9.51</t>
  </si>
  <si>
    <t>$1.20</t>
  </si>
  <si>
    <t>$19.83</t>
  </si>
  <si>
    <t>$22.04</t>
  </si>
  <si>
    <t>$6.41</t>
  </si>
  <si>
    <t>$11.34</t>
  </si>
  <si>
    <t>maca roots ashwagandha</t>
  </si>
  <si>
    <t>$2.80</t>
  </si>
  <si>
    <t>$22.41</t>
  </si>
  <si>
    <t>6th Week</t>
  </si>
  <si>
    <t>$18.94</t>
  </si>
  <si>
    <t>$13.18</t>
  </si>
  <si>
    <t>b0bbkb3qvv</t>
  </si>
  <si>
    <t>$7.95</t>
  </si>
  <si>
    <t>maca capsules</t>
  </si>
  <si>
    <t>$15.17</t>
  </si>
  <si>
    <t>maca for women</t>
  </si>
  <si>
    <t>$16.37</t>
  </si>
  <si>
    <t>$82.36</t>
  </si>
  <si>
    <t>$155.65</t>
  </si>
  <si>
    <t>$4.57</t>
  </si>
  <si>
    <t>$9.14</t>
  </si>
  <si>
    <t>$16.57</t>
  </si>
  <si>
    <t>$3.36</t>
  </si>
  <si>
    <t>$26.87</t>
  </si>
  <si>
    <t>maca root now</t>
  </si>
  <si>
    <t>$2.90</t>
  </si>
  <si>
    <t>maca root pill</t>
  </si>
  <si>
    <t>$24.17</t>
  </si>
  <si>
    <t>$6.77</t>
  </si>
  <si>
    <t>SP |TOS RANK | SAFFRON EXTRACT | PHRASE GA 06092025</t>
  </si>
  <si>
    <t>SAFFRON</t>
  </si>
  <si>
    <t>$4.61</t>
  </si>
  <si>
    <t>$13.83</t>
  </si>
  <si>
    <t>$9.91</t>
  </si>
  <si>
    <t>ashwagandha magnesium glycinate</t>
  </si>
  <si>
    <t>########</t>
  </si>
  <si>
    <t>$74.85</t>
  </si>
  <si>
    <t>maca 500mg</t>
  </si>
  <si>
    <t>maca root for sexual enhancement</t>
  </si>
  <si>
    <t>maca with ashwagandha</t>
  </si>
  <si>
    <t>nature made for men</t>
  </si>
  <si>
    <t>maca root plus ashwagandha</t>
  </si>
  <si>
    <t>raíz de maca, extracto de raíz de ashwagandha, cápsulas para hombres y mujeres con curcumina de cúrcuma y bioperina, 120 cápsulas fabricadas en estados unidos</t>
  </si>
  <si>
    <t>shilajit ginseng ashwagandha</t>
  </si>
  <si>
    <t>ashwagandha vitamins</t>
  </si>
  <si>
    <t>maca root chewable for men</t>
  </si>
  <si>
    <t>$2.31</t>
  </si>
  <si>
    <t>maca root capsules for women 500 mg</t>
  </si>
  <si>
    <t>rosabella organic beet root capsules</t>
  </si>
  <si>
    <t>$1.35</t>
  </si>
  <si>
    <t>$4.80</t>
  </si>
  <si>
    <t>$33.63</t>
  </si>
  <si>
    <t>saffron extract supplements</t>
  </si>
  <si>
    <t>$4.36</t>
  </si>
  <si>
    <t>$17.45</t>
  </si>
  <si>
    <t>$49.90</t>
  </si>
  <si>
    <t>saffron pills</t>
  </si>
  <si>
    <t>$3.80</t>
  </si>
  <si>
    <t>$19.00</t>
  </si>
  <si>
    <t>ashwagandha black maka for men</t>
  </si>
  <si>
    <t>circle nature mushroom</t>
  </si>
  <si>
    <t>$23.77</t>
  </si>
  <si>
    <t>$2.46</t>
  </si>
  <si>
    <t>$4.92</t>
  </si>
  <si>
    <t>saffron with magnesium supplements</t>
  </si>
  <si>
    <t>affron saffron extract</t>
  </si>
  <si>
    <t>$3.93</t>
  </si>
  <si>
    <t>$6.03</t>
  </si>
  <si>
    <t>ashwagandha doctors best</t>
  </si>
  <si>
    <t>ashwagandha for fertility</t>
  </si>
  <si>
    <t>$12.64</t>
  </si>
  <si>
    <t>maca root for men</t>
  </si>
  <si>
    <t>$7.92</t>
  </si>
  <si>
    <t>saffron supplements with magnesium</t>
  </si>
  <si>
    <t>$7.08</t>
  </si>
  <si>
    <t>$48.50</t>
  </si>
  <si>
    <t>$31.57</t>
  </si>
  <si>
    <t>$24.40</t>
  </si>
  <si>
    <t>$15.11</t>
  </si>
  <si>
    <t>black maca root ashwagandha</t>
  </si>
  <si>
    <t>$40.92</t>
  </si>
  <si>
    <t>$20.22</t>
  </si>
  <si>
    <t>$155.58</t>
  </si>
  <si>
    <t>$246.96</t>
  </si>
  <si>
    <t>$10.71</t>
  </si>
  <si>
    <t>$27.46</t>
  </si>
  <si>
    <t>$47.85</t>
  </si>
  <si>
    <t>$16.59</t>
  </si>
  <si>
    <t>maca root vegan</t>
  </si>
  <si>
    <t>$22.50</t>
  </si>
  <si>
    <t>maca root with ashwagandha for women</t>
  </si>
  <si>
    <t>root</t>
  </si>
  <si>
    <t>$14.56</t>
  </si>
  <si>
    <t>$24.76</t>
  </si>
  <si>
    <t>$99.80</t>
  </si>
  <si>
    <t>saffron stigma capsules</t>
  </si>
  <si>
    <t>$6.59</t>
  </si>
  <si>
    <t>tongkat ali ashwagandha maca root gummies</t>
  </si>
  <si>
    <t>5 week comp.</t>
  </si>
  <si>
    <t>November 2nd Week</t>
  </si>
  <si>
    <t>November 1st Week</t>
  </si>
  <si>
    <t>October 4th Week</t>
  </si>
  <si>
    <t>October 3rd Week</t>
  </si>
  <si>
    <t>October 2nd Week</t>
  </si>
  <si>
    <t>October 1st Week</t>
  </si>
  <si>
    <t>Sep 5th Week</t>
  </si>
  <si>
    <t>Sep 4th Week</t>
  </si>
  <si>
    <t>Sep 3rd Week</t>
  </si>
  <si>
    <t>Sep 2nd Week</t>
  </si>
  <si>
    <t>Sep 1st Week</t>
  </si>
  <si>
    <t>Aug Week 5</t>
  </si>
  <si>
    <t>Aug Week 4</t>
  </si>
  <si>
    <t>Aug Week 3</t>
  </si>
  <si>
    <t>Aug Week 2</t>
  </si>
  <si>
    <t>Aug Week 1</t>
  </si>
  <si>
    <t>Performance</t>
  </si>
  <si>
    <t>Imp</t>
  </si>
  <si>
    <t>Sales</t>
  </si>
  <si>
    <t>Comclusion Why Acos should be like this in CamparisionReport</t>
  </si>
  <si>
    <t>total sales</t>
  </si>
  <si>
    <t>Summing Up for comparision</t>
  </si>
  <si>
    <t>X</t>
  </si>
  <si>
    <t xml:space="preserve">7 Day Total Sales </t>
  </si>
  <si>
    <t xml:space="preserve">Total Advertising Cost of Sales (ACOS) </t>
  </si>
  <si>
    <t xml:space="preserve">7 Day Advertised SKU Sales </t>
  </si>
  <si>
    <t xml:space="preserve">7 Day Other SKU Sales </t>
  </si>
  <si>
    <t>+maca +root</t>
  </si>
  <si>
    <t>MACA EXACT  TEST CAMPAIGN</t>
  </si>
  <si>
    <t>+saffron 88.5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</si>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</sst>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m\ dd\,\ yyyy"/>
    <numFmt numFmtId="165" formatCode="[$$-409]#,##0.00"/>
    <numFmt numFmtId="166" formatCode="#,##0.0000%"/>
    <numFmt numFmtId="167" formatCode="mmm\ d\,\ yyyy"/>
    <numFmt numFmtId="168" formatCode="d/m/yyyy"/>
  </numFmts>
  <fonts count="46" x14ac:knownFonts="1">
    <font>
      <sz val="11"/>
      <color theme="1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Arial"/>
    </font>
    <font>
      <sz val="13"/>
      <color theme="1"/>
      <name val="Arial"/>
      <scheme val="minor"/>
    </font>
    <font>
      <b/>
      <u/>
      <sz val="11"/>
      <color rgb="FFFFFFFF"/>
      <name val="Calibri"/>
    </font>
    <font>
      <sz val="13"/>
      <color theme="1"/>
      <name val="Calibri"/>
    </font>
    <font>
      <sz val="11"/>
      <name val="Arial"/>
    </font>
    <font>
      <b/>
      <u/>
      <sz val="11"/>
      <color theme="0"/>
      <name val="Calibri"/>
    </font>
    <font>
      <b/>
      <u/>
      <sz val="11"/>
      <color theme="0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Arial"/>
      <scheme val="minor"/>
    </font>
    <font>
      <b/>
      <sz val="15"/>
      <color rgb="FF000000"/>
      <name val="Calibri"/>
    </font>
    <font>
      <sz val="11"/>
      <color theme="7"/>
      <name val="Calibri"/>
    </font>
    <font>
      <sz val="11"/>
      <color rgb="FFFF0000"/>
      <name val="Calibri"/>
    </font>
    <font>
      <sz val="19"/>
      <color rgb="FFFF0000"/>
      <name val="Calibri"/>
    </font>
    <font>
      <b/>
      <sz val="11"/>
      <color theme="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theme="4"/>
        <bgColor theme="4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4B083"/>
        <bgColor rgb="FFF4B083"/>
      </patternFill>
    </fill>
    <fill>
      <patternFill patternType="solid">
        <fgColor rgb="FFD0CECE"/>
        <bgColor rgb="FFD0CECE"/>
      </patternFill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28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CC2E5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CC2E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9BC2E6"/>
      </bottom>
      <diagonal/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9BC2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</borders>
  <cellStyleXfs count="1">
    <xf numFmtId="0" fontId="0" fillId="0" borderId="0"/>
  </cellStyleXfs>
  <cellXfs count="248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2" fillId="0" borderId="0" xfId="0" applyFont="1" applyAlignment="1"/>
    <xf numFmtId="166" fontId="2" fillId="0" borderId="0" xfId="0" applyNumberFormat="1" applyFont="1" applyAlignment="1"/>
    <xf numFmtId="165" fontId="2" fillId="0" borderId="0" xfId="0" applyNumberFormat="1" applyFont="1" applyAlignment="1"/>
    <xf numFmtId="4" fontId="2" fillId="0" borderId="0" xfId="0" applyNumberFormat="1" applyFont="1" applyAlignment="1"/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7" fontId="2" fillId="3" borderId="1" xfId="0" applyNumberFormat="1" applyFont="1" applyFill="1" applyBorder="1" applyAlignment="1">
      <alignment horizontal="right"/>
    </xf>
    <xf numFmtId="167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/>
    <xf numFmtId="0" fontId="2" fillId="3" borderId="2" xfId="0" applyFont="1" applyFill="1" applyBorder="1" applyAlignment="1">
      <alignment horizontal="right"/>
    </xf>
    <xf numFmtId="10" fontId="2" fillId="3" borderId="2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2" xfId="0" applyFont="1" applyFill="1" applyBorder="1" applyAlignment="1"/>
    <xf numFmtId="167" fontId="3" fillId="0" borderId="0" xfId="0" applyNumberFormat="1" applyFont="1" applyAlignment="1">
      <alignment horizontal="right"/>
    </xf>
    <xf numFmtId="0" fontId="3" fillId="0" borderId="0" xfId="0" applyFont="1" applyAlignment="1"/>
    <xf numFmtId="1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/>
    <xf numFmtId="167" fontId="2" fillId="3" borderId="1" xfId="0" applyNumberFormat="1" applyFont="1" applyFill="1" applyBorder="1" applyAlignment="1">
      <alignment horizontal="right"/>
    </xf>
    <xf numFmtId="167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/>
    <xf numFmtId="0" fontId="2" fillId="3" borderId="2" xfId="0" applyFont="1" applyFill="1" applyBorder="1" applyAlignment="1">
      <alignment horizontal="right"/>
    </xf>
    <xf numFmtId="10" fontId="2" fillId="3" borderId="2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10" fontId="2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7" fontId="2" fillId="3" borderId="4" xfId="0" applyNumberFormat="1" applyFont="1" applyFill="1" applyBorder="1" applyAlignment="1">
      <alignment horizontal="right"/>
    </xf>
    <xf numFmtId="167" fontId="2" fillId="3" borderId="5" xfId="0" applyNumberFormat="1" applyFont="1" applyFill="1" applyBorder="1" applyAlignment="1">
      <alignment horizontal="right"/>
    </xf>
    <xf numFmtId="0" fontId="2" fillId="3" borderId="5" xfId="0" applyFont="1" applyFill="1" applyBorder="1" applyAlignment="1"/>
    <xf numFmtId="0" fontId="2" fillId="3" borderId="5" xfId="0" applyFont="1" applyFill="1" applyBorder="1" applyAlignment="1">
      <alignment horizontal="right"/>
    </xf>
    <xf numFmtId="10" fontId="2" fillId="3" borderId="5" xfId="0" applyNumberFormat="1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10" fontId="2" fillId="4" borderId="5" xfId="0" applyNumberFormat="1" applyFont="1" applyFill="1" applyBorder="1" applyAlignment="1">
      <alignment horizontal="right"/>
    </xf>
    <xf numFmtId="0" fontId="2" fillId="4" borderId="6" xfId="0" applyFont="1" applyFill="1" applyBorder="1" applyAlignment="1">
      <alignment horizontal="right"/>
    </xf>
    <xf numFmtId="0" fontId="2" fillId="3" borderId="5" xfId="0" applyFont="1" applyFill="1" applyBorder="1" applyAlignment="1"/>
    <xf numFmtId="0" fontId="2" fillId="0" borderId="5" xfId="0" applyFont="1" applyBorder="1" applyAlignment="1">
      <alignment horizontal="right"/>
    </xf>
    <xf numFmtId="10" fontId="2" fillId="0" borderId="5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7" fontId="3" fillId="3" borderId="4" xfId="0" applyNumberFormat="1" applyFont="1" applyFill="1" applyBorder="1" applyAlignment="1">
      <alignment horizontal="right"/>
    </xf>
    <xf numFmtId="167" fontId="3" fillId="3" borderId="5" xfId="0" applyNumberFormat="1" applyFont="1" applyFill="1" applyBorder="1" applyAlignment="1">
      <alignment horizontal="right"/>
    </xf>
    <xf numFmtId="0" fontId="3" fillId="3" borderId="5" xfId="0" applyFont="1" applyFill="1" applyBorder="1" applyAlignment="1"/>
    <xf numFmtId="0" fontId="3" fillId="3" borderId="5" xfId="0" applyFont="1" applyFill="1" applyBorder="1" applyAlignment="1">
      <alignment horizontal="right"/>
    </xf>
    <xf numFmtId="10" fontId="3" fillId="3" borderId="5" xfId="0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right"/>
    </xf>
    <xf numFmtId="10" fontId="3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4" fillId="0" borderId="0" xfId="0" applyFont="1" applyAlignment="1"/>
    <xf numFmtId="0" fontId="3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right"/>
    </xf>
    <xf numFmtId="10" fontId="3" fillId="4" borderId="5" xfId="0" applyNumberFormat="1" applyFont="1" applyFill="1" applyBorder="1" applyAlignment="1">
      <alignment horizontal="right"/>
    </xf>
    <xf numFmtId="0" fontId="3" fillId="4" borderId="6" xfId="0" applyFont="1" applyFill="1" applyBorder="1" applyAlignment="1">
      <alignment horizontal="right"/>
    </xf>
    <xf numFmtId="167" fontId="3" fillId="3" borderId="1" xfId="0" applyNumberFormat="1" applyFont="1" applyFill="1" applyBorder="1" applyAlignment="1">
      <alignment horizontal="right"/>
    </xf>
    <xf numFmtId="167" fontId="3" fillId="3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/>
    <xf numFmtId="0" fontId="3" fillId="3" borderId="2" xfId="0" applyFont="1" applyFill="1" applyBorder="1" applyAlignment="1">
      <alignment horizontal="right"/>
    </xf>
    <xf numFmtId="10" fontId="3" fillId="3" borderId="2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right"/>
    </xf>
    <xf numFmtId="10" fontId="3" fillId="0" borderId="2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64" fontId="3" fillId="3" borderId="4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5" borderId="7" xfId="0" applyFont="1" applyFill="1" applyBorder="1" applyAlignment="1">
      <alignment wrapText="1"/>
    </xf>
    <xf numFmtId="0" fontId="9" fillId="5" borderId="13" xfId="0" applyFont="1" applyFill="1" applyBorder="1" applyAlignment="1">
      <alignment wrapText="1"/>
    </xf>
    <xf numFmtId="0" fontId="10" fillId="5" borderId="14" xfId="0" applyFont="1" applyFill="1" applyBorder="1" applyAlignment="1">
      <alignment wrapText="1"/>
    </xf>
    <xf numFmtId="0" fontId="11" fillId="6" borderId="13" xfId="0" applyFont="1" applyFill="1" applyBorder="1" applyAlignment="1">
      <alignment horizontal="center"/>
    </xf>
    <xf numFmtId="0" fontId="12" fillId="19" borderId="13" xfId="0" applyFont="1" applyFill="1" applyBorder="1" applyAlignment="1">
      <alignment horizontal="center"/>
    </xf>
    <xf numFmtId="0" fontId="13" fillId="8" borderId="13" xfId="0" applyFont="1" applyFill="1" applyBorder="1" applyAlignment="1">
      <alignment horizontal="center"/>
    </xf>
    <xf numFmtId="0" fontId="14" fillId="9" borderId="13" xfId="0" applyFont="1" applyFill="1" applyBorder="1" applyAlignment="1">
      <alignment horizontal="center"/>
    </xf>
    <xf numFmtId="0" fontId="15" fillId="10" borderId="13" xfId="0" applyFont="1" applyFill="1" applyBorder="1" applyAlignment="1">
      <alignment horizontal="center"/>
    </xf>
    <xf numFmtId="0" fontId="16" fillId="11" borderId="13" xfId="0" applyFont="1" applyFill="1" applyBorder="1" applyAlignment="1">
      <alignment horizontal="center"/>
    </xf>
    <xf numFmtId="0" fontId="17" fillId="11" borderId="13" xfId="0" applyFont="1" applyFill="1" applyBorder="1" applyAlignment="1">
      <alignment horizontal="center"/>
    </xf>
    <xf numFmtId="1" fontId="18" fillId="11" borderId="13" xfId="0" applyNumberFormat="1" applyFont="1" applyFill="1" applyBorder="1" applyAlignment="1">
      <alignment horizontal="center"/>
    </xf>
    <xf numFmtId="0" fontId="19" fillId="12" borderId="13" xfId="0" applyFont="1" applyFill="1" applyBorder="1" applyAlignment="1">
      <alignment horizontal="center"/>
    </xf>
    <xf numFmtId="0" fontId="20" fillId="12" borderId="13" xfId="0" applyFont="1" applyFill="1" applyBorder="1" applyAlignment="1">
      <alignment horizontal="center"/>
    </xf>
    <xf numFmtId="1" fontId="21" fillId="12" borderId="13" xfId="0" applyNumberFormat="1" applyFont="1" applyFill="1" applyBorder="1" applyAlignment="1">
      <alignment horizontal="center"/>
    </xf>
    <xf numFmtId="0" fontId="22" fillId="13" borderId="13" xfId="0" applyFont="1" applyFill="1" applyBorder="1" applyAlignment="1">
      <alignment horizontal="center"/>
    </xf>
    <xf numFmtId="0" fontId="23" fillId="13" borderId="13" xfId="0" applyFont="1" applyFill="1" applyBorder="1" applyAlignment="1">
      <alignment horizontal="center"/>
    </xf>
    <xf numFmtId="1" fontId="24" fillId="13" borderId="13" xfId="0" applyNumberFormat="1" applyFont="1" applyFill="1" applyBorder="1" applyAlignment="1">
      <alignment horizontal="center"/>
    </xf>
    <xf numFmtId="0" fontId="25" fillId="14" borderId="13" xfId="0" applyFont="1" applyFill="1" applyBorder="1" applyAlignment="1">
      <alignment horizontal="center"/>
    </xf>
    <xf numFmtId="0" fontId="26" fillId="14" borderId="13" xfId="0" applyFont="1" applyFill="1" applyBorder="1" applyAlignment="1">
      <alignment horizontal="center"/>
    </xf>
    <xf numFmtId="1" fontId="27" fillId="14" borderId="13" xfId="0" applyNumberFormat="1" applyFont="1" applyFill="1" applyBorder="1" applyAlignment="1">
      <alignment horizontal="center"/>
    </xf>
    <xf numFmtId="0" fontId="28" fillId="15" borderId="13" xfId="0" applyFont="1" applyFill="1" applyBorder="1" applyAlignment="1">
      <alignment horizontal="center"/>
    </xf>
    <xf numFmtId="0" fontId="29" fillId="15" borderId="13" xfId="0" applyFont="1" applyFill="1" applyBorder="1" applyAlignment="1">
      <alignment horizontal="center"/>
    </xf>
    <xf numFmtId="1" fontId="30" fillId="15" borderId="13" xfId="0" applyNumberFormat="1" applyFont="1" applyFill="1" applyBorder="1" applyAlignment="1">
      <alignment horizontal="center"/>
    </xf>
    <xf numFmtId="0" fontId="31" fillId="16" borderId="13" xfId="0" applyFont="1" applyFill="1" applyBorder="1" applyAlignment="1">
      <alignment horizontal="center"/>
    </xf>
    <xf numFmtId="0" fontId="32" fillId="16" borderId="13" xfId="0" applyFont="1" applyFill="1" applyBorder="1" applyAlignment="1">
      <alignment horizontal="center"/>
    </xf>
    <xf numFmtId="1" fontId="33" fillId="16" borderId="13" xfId="0" applyNumberFormat="1" applyFont="1" applyFill="1" applyBorder="1" applyAlignment="1">
      <alignment horizontal="center"/>
    </xf>
    <xf numFmtId="0" fontId="34" fillId="17" borderId="13" xfId="0" applyFont="1" applyFill="1" applyBorder="1" applyAlignment="1">
      <alignment horizontal="center"/>
    </xf>
    <xf numFmtId="0" fontId="35" fillId="17" borderId="13" xfId="0" applyFont="1" applyFill="1" applyBorder="1" applyAlignment="1">
      <alignment horizontal="center"/>
    </xf>
    <xf numFmtId="1" fontId="36" fillId="17" borderId="13" xfId="0" applyNumberFormat="1" applyFont="1" applyFill="1" applyBorder="1" applyAlignment="1">
      <alignment horizontal="center"/>
    </xf>
    <xf numFmtId="0" fontId="37" fillId="18" borderId="13" xfId="0" applyFont="1" applyFill="1" applyBorder="1" applyAlignment="1">
      <alignment horizontal="center"/>
    </xf>
    <xf numFmtId="0" fontId="38" fillId="18" borderId="13" xfId="0" applyFont="1" applyFill="1" applyBorder="1" applyAlignment="1">
      <alignment horizontal="center"/>
    </xf>
    <xf numFmtId="1" fontId="39" fillId="18" borderId="13" xfId="0" applyNumberFormat="1" applyFont="1" applyFill="1" applyBorder="1" applyAlignment="1">
      <alignment horizontal="center"/>
    </xf>
    <xf numFmtId="0" fontId="2" fillId="3" borderId="15" xfId="0" applyFont="1" applyFill="1" applyBorder="1" applyAlignment="1">
      <alignment wrapText="1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3" borderId="15" xfId="0" applyFont="1" applyFill="1" applyBorder="1" applyAlignment="1">
      <alignment wrapText="1"/>
    </xf>
    <xf numFmtId="0" fontId="2" fillId="3" borderId="16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3" fillId="3" borderId="15" xfId="0" applyFont="1" applyFill="1" applyBorder="1" applyAlignment="1">
      <alignment wrapText="1"/>
    </xf>
    <xf numFmtId="0" fontId="2" fillId="3" borderId="15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3" borderId="15" xfId="0" applyFont="1" applyFill="1" applyBorder="1" applyAlignment="1">
      <alignment vertical="center" wrapText="1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3" borderId="16" xfId="0" applyFont="1" applyFill="1" applyBorder="1" applyAlignment="1">
      <alignment wrapText="1"/>
    </xf>
    <xf numFmtId="0" fontId="3" fillId="3" borderId="17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2" fillId="0" borderId="0" xfId="0" applyNumberFormat="1" applyFont="1"/>
    <xf numFmtId="1" fontId="2" fillId="0" borderId="0" xfId="0" applyNumberFormat="1" applyFont="1"/>
    <xf numFmtId="4" fontId="2" fillId="0" borderId="0" xfId="0" applyNumberFormat="1" applyFont="1"/>
    <xf numFmtId="166" fontId="2" fillId="0" borderId="0" xfId="0" applyNumberFormat="1" applyFont="1"/>
    <xf numFmtId="4" fontId="40" fillId="0" borderId="0" xfId="0" applyNumberFormat="1" applyFont="1"/>
    <xf numFmtId="0" fontId="4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4" fontId="1" fillId="2" borderId="2" xfId="0" applyNumberFormat="1" applyFont="1" applyFill="1" applyBorder="1" applyAlignment="1"/>
    <xf numFmtId="0" fontId="1" fillId="2" borderId="3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2" fontId="1" fillId="2" borderId="2" xfId="0" applyNumberFormat="1" applyFont="1" applyFill="1" applyBorder="1" applyAlignment="1"/>
    <xf numFmtId="0" fontId="1" fillId="2" borderId="3" xfId="0" applyFont="1" applyFill="1" applyBorder="1" applyAlignment="1"/>
    <xf numFmtId="4" fontId="42" fillId="0" borderId="9" xfId="0" applyNumberFormat="1" applyFont="1" applyBorder="1"/>
    <xf numFmtId="165" fontId="2" fillId="0" borderId="19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42" fillId="0" borderId="10" xfId="0" applyNumberFormat="1" applyFont="1" applyBorder="1" applyAlignment="1"/>
    <xf numFmtId="165" fontId="2" fillId="0" borderId="19" xfId="0" applyNumberFormat="1" applyFont="1" applyBorder="1" applyAlignment="1"/>
    <xf numFmtId="165" fontId="2" fillId="0" borderId="0" xfId="0" applyNumberFormat="1" applyFont="1" applyAlignment="1"/>
    <xf numFmtId="4" fontId="2" fillId="0" borderId="0" xfId="0" applyNumberFormat="1" applyFont="1" applyAlignment="1">
      <alignment horizontal="center"/>
    </xf>
    <xf numFmtId="4" fontId="43" fillId="0" borderId="0" xfId="0" applyNumberFormat="1" applyFont="1" applyAlignment="1">
      <alignment horizontal="center"/>
    </xf>
    <xf numFmtId="4" fontId="44" fillId="0" borderId="10" xfId="0" applyNumberFormat="1" applyFont="1" applyBorder="1" applyAlignment="1">
      <alignment horizontal="center"/>
    </xf>
    <xf numFmtId="165" fontId="2" fillId="0" borderId="20" xfId="0" applyNumberFormat="1" applyFont="1" applyBorder="1"/>
    <xf numFmtId="165" fontId="2" fillId="0" borderId="21" xfId="0" applyNumberFormat="1" applyFont="1" applyBorder="1"/>
    <xf numFmtId="4" fontId="2" fillId="0" borderId="21" xfId="0" applyNumberFormat="1" applyFont="1" applyBorder="1" applyAlignment="1">
      <alignment horizontal="center"/>
    </xf>
    <xf numFmtId="4" fontId="42" fillId="0" borderId="22" xfId="0" applyNumberFormat="1" applyFont="1" applyBorder="1" applyAlignme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/>
    <xf numFmtId="164" fontId="2" fillId="3" borderId="4" xfId="0" applyNumberFormat="1" applyFont="1" applyFill="1" applyBorder="1" applyAlignment="1">
      <alignment horizontal="right"/>
    </xf>
    <xf numFmtId="164" fontId="2" fillId="3" borderId="5" xfId="0" applyNumberFormat="1" applyFont="1" applyFill="1" applyBorder="1" applyAlignment="1">
      <alignment horizontal="right"/>
    </xf>
    <xf numFmtId="1" fontId="2" fillId="3" borderId="5" xfId="0" applyNumberFormat="1" applyFont="1" applyFill="1" applyBorder="1" applyAlignment="1">
      <alignment horizontal="right"/>
    </xf>
    <xf numFmtId="166" fontId="2" fillId="3" borderId="5" xfId="0" applyNumberFormat="1" applyFont="1" applyFill="1" applyBorder="1" applyAlignment="1">
      <alignment horizontal="right"/>
    </xf>
    <xf numFmtId="165" fontId="2" fillId="3" borderId="5" xfId="0" applyNumberFormat="1" applyFont="1" applyFill="1" applyBorder="1" applyAlignment="1">
      <alignment horizontal="right"/>
    </xf>
    <xf numFmtId="2" fontId="2" fillId="3" borderId="5" xfId="0" applyNumberFormat="1" applyFont="1" applyFill="1" applyBorder="1" applyAlignment="1">
      <alignment horizontal="right"/>
    </xf>
    <xf numFmtId="2" fontId="2" fillId="4" borderId="5" xfId="0" applyNumberFormat="1" applyFont="1" applyFill="1" applyBorder="1" applyAlignment="1">
      <alignment horizontal="right"/>
    </xf>
    <xf numFmtId="4" fontId="2" fillId="4" borderId="5" xfId="0" applyNumberFormat="1" applyFont="1" applyFill="1" applyBorder="1" applyAlignment="1">
      <alignment horizontal="right"/>
    </xf>
    <xf numFmtId="1" fontId="2" fillId="4" borderId="5" xfId="0" applyNumberFormat="1" applyFont="1" applyFill="1" applyBorder="1" applyAlignment="1">
      <alignment horizontal="right"/>
    </xf>
    <xf numFmtId="166" fontId="2" fillId="4" borderId="5" xfId="0" applyNumberFormat="1" applyFont="1" applyFill="1" applyBorder="1" applyAlignment="1">
      <alignment horizontal="right"/>
    </xf>
    <xf numFmtId="165" fontId="2" fillId="4" borderId="5" xfId="0" applyNumberFormat="1" applyFont="1" applyFill="1" applyBorder="1" applyAlignment="1">
      <alignment horizontal="right"/>
    </xf>
    <xf numFmtId="165" fontId="2" fillId="4" borderId="6" xfId="0" applyNumberFormat="1" applyFont="1" applyFill="1" applyBorder="1" applyAlignment="1">
      <alignment horizontal="right"/>
    </xf>
    <xf numFmtId="2" fontId="2" fillId="0" borderId="5" xfId="0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1" fontId="2" fillId="0" borderId="5" xfId="0" applyNumberFormat="1" applyFont="1" applyBorder="1" applyAlignment="1">
      <alignment horizontal="right"/>
    </xf>
    <xf numFmtId="166" fontId="2" fillId="0" borderId="5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0" fontId="2" fillId="3" borderId="5" xfId="0" applyFont="1" applyFill="1" applyBorder="1" applyAlignment="1"/>
    <xf numFmtId="0" fontId="45" fillId="5" borderId="23" xfId="0" applyFont="1" applyFill="1" applyBorder="1"/>
    <xf numFmtId="0" fontId="45" fillId="5" borderId="24" xfId="0" applyFont="1" applyFill="1" applyBorder="1"/>
    <xf numFmtId="2" fontId="45" fillId="5" borderId="24" xfId="0" applyNumberFormat="1" applyFont="1" applyFill="1" applyBorder="1"/>
    <xf numFmtId="0" fontId="45" fillId="5" borderId="25" xfId="0" applyFont="1" applyFill="1" applyBorder="1"/>
    <xf numFmtId="164" fontId="3" fillId="20" borderId="23" xfId="0" applyNumberFormat="1" applyFont="1" applyFill="1" applyBorder="1"/>
    <xf numFmtId="164" fontId="3" fillId="20" borderId="24" xfId="0" applyNumberFormat="1" applyFont="1" applyFill="1" applyBorder="1"/>
    <xf numFmtId="0" fontId="3" fillId="20" borderId="24" xfId="0" applyFont="1" applyFill="1" applyBorder="1"/>
    <xf numFmtId="1" fontId="3" fillId="20" borderId="24" xfId="0" applyNumberFormat="1" applyFont="1" applyFill="1" applyBorder="1"/>
    <xf numFmtId="166" fontId="3" fillId="20" borderId="24" xfId="0" applyNumberFormat="1" applyFont="1" applyFill="1" applyBorder="1"/>
    <xf numFmtId="165" fontId="3" fillId="20" borderId="24" xfId="0" applyNumberFormat="1" applyFont="1" applyFill="1" applyBorder="1"/>
    <xf numFmtId="2" fontId="3" fillId="20" borderId="24" xfId="0" applyNumberFormat="1" applyFont="1" applyFill="1" applyBorder="1" applyAlignment="1"/>
    <xf numFmtId="2" fontId="3" fillId="20" borderId="24" xfId="0" applyNumberFormat="1" applyFont="1" applyFill="1" applyBorder="1"/>
    <xf numFmtId="2" fontId="3" fillId="21" borderId="24" xfId="0" applyNumberFormat="1" applyFont="1" applyFill="1" applyBorder="1"/>
    <xf numFmtId="4" fontId="3" fillId="21" borderId="24" xfId="0" applyNumberFormat="1" applyFont="1" applyFill="1" applyBorder="1"/>
    <xf numFmtId="1" fontId="3" fillId="21" borderId="24" xfId="0" applyNumberFormat="1" applyFont="1" applyFill="1" applyBorder="1"/>
    <xf numFmtId="166" fontId="3" fillId="21" borderId="24" xfId="0" applyNumberFormat="1" applyFont="1" applyFill="1" applyBorder="1"/>
    <xf numFmtId="165" fontId="3" fillId="21" borderId="24" xfId="0" applyNumberFormat="1" applyFont="1" applyFill="1" applyBorder="1"/>
    <xf numFmtId="165" fontId="3" fillId="21" borderId="25" xfId="0" applyNumberFormat="1" applyFont="1" applyFill="1" applyBorder="1"/>
    <xf numFmtId="2" fontId="3" fillId="0" borderId="26" xfId="0" applyNumberFormat="1" applyFont="1" applyBorder="1"/>
    <xf numFmtId="4" fontId="3" fillId="0" borderId="26" xfId="0" applyNumberFormat="1" applyFont="1" applyBorder="1"/>
    <xf numFmtId="1" fontId="3" fillId="0" borderId="26" xfId="0" applyNumberFormat="1" applyFont="1" applyBorder="1"/>
    <xf numFmtId="166" fontId="3" fillId="0" borderId="26" xfId="0" applyNumberFormat="1" applyFont="1" applyBorder="1"/>
    <xf numFmtId="165" fontId="3" fillId="0" borderId="26" xfId="0" applyNumberFormat="1" applyFont="1" applyBorder="1"/>
    <xf numFmtId="165" fontId="3" fillId="0" borderId="27" xfId="0" applyNumberFormat="1" applyFont="1" applyBorder="1"/>
    <xf numFmtId="4" fontId="3" fillId="20" borderId="24" xfId="0" applyNumberFormat="1" applyFont="1" applyFill="1" applyBorder="1"/>
    <xf numFmtId="165" fontId="3" fillId="20" borderId="25" xfId="0" applyNumberFormat="1" applyFont="1" applyFill="1" applyBorder="1"/>
    <xf numFmtId="168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7" fillId="6" borderId="8" xfId="0" applyFont="1" applyFill="1" applyBorder="1" applyAlignment="1">
      <alignment horizontal="center"/>
    </xf>
    <xf numFmtId="0" fontId="8" fillId="0" borderId="8" xfId="0" applyFont="1" applyBorder="1"/>
    <xf numFmtId="0" fontId="8" fillId="0" borderId="9" xfId="0" applyFont="1" applyBorder="1"/>
    <xf numFmtId="0" fontId="7" fillId="7" borderId="8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0" fillId="0" borderId="0" xfId="0" applyFont="1" applyAlignment="1"/>
    <xf numFmtId="0" fontId="8" fillId="0" borderId="10" xfId="0" applyFont="1" applyBorder="1"/>
    <xf numFmtId="0" fontId="7" fillId="9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7" borderId="11" xfId="0" applyFont="1" applyFill="1" applyBorder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0" fontId="7" fillId="18" borderId="11" xfId="0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0" fontId="7" fillId="12" borderId="11" xfId="0" applyFont="1" applyFill="1" applyBorder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7" fillId="14" borderId="11" xfId="0" applyFont="1" applyFill="1" applyBorder="1" applyAlignment="1">
      <alignment horizontal="center"/>
    </xf>
    <xf numFmtId="0" fontId="7" fillId="15" borderId="11" xfId="0" applyFont="1" applyFill="1" applyBorder="1" applyAlignment="1">
      <alignment horizontal="center"/>
    </xf>
    <xf numFmtId="0" fontId="7" fillId="16" borderId="11" xfId="0" applyFont="1" applyFill="1" applyBorder="1" applyAlignment="1">
      <alignment horizontal="center"/>
    </xf>
    <xf numFmtId="165" fontId="41" fillId="0" borderId="18" xfId="0" applyNumberFormat="1" applyFont="1" applyBorder="1" applyAlignment="1">
      <alignment horizontal="center"/>
    </xf>
    <xf numFmtId="165" fontId="2" fillId="0" borderId="19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14SepTo20Sep-style" pivot="0" count="3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1:Y44">
  <tableColumns count="25">
    <tableColumn id="1" name="Start Date"/>
    <tableColumn id="2" name="End Date"/>
    <tableColumn id="3" name="Portfolio name"/>
    <tableColumn id="4" name="Currency"/>
    <tableColumn id="5" name="Campaign Name"/>
    <tableColumn id="6" name="Ad Group Name"/>
    <tableColumn id="7" name="Country"/>
    <tableColumn id="8" name="Targeting"/>
    <tableColumn id="9" name="Match Type"/>
    <tableColumn id="10" name="Customer Search Term"/>
    <tableColumn id="11" name="Impressions"/>
    <tableColumn id="12" name="Clicks"/>
    <tableColumn id="13" name="Click-Thru Rate (CTR)"/>
    <tableColumn id="14" name="Cost Per Click (CPC)"/>
    <tableColumn id="15" name="Spend"/>
    <tableColumn id="16" name="7 Day Total Sales"/>
    <tableColumn id="17" name="Total Advertising Cost of Sales (ACOS)"/>
    <tableColumn id="18" name="Total Return on Advertising Spend (ROAS)"/>
    <tableColumn id="19" name="7 Day Total Orders (#)"/>
    <tableColumn id="20" name="7 Day Total Units (#)"/>
    <tableColumn id="21" name="7 Day Conversion Rate"/>
    <tableColumn id="22" name="7 Day Advertised SKU Units (#)"/>
    <tableColumn id="23" name="7 Day Other SKU Units (#)"/>
    <tableColumn id="24" name="7 Day Advertised SKU Sales"/>
    <tableColumn id="25" name="7 Day Other SKU Sales"/>
  </tableColumns>
  <tableStyleInfo name="14SepTo20Se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01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 x14ac:dyDescent="0.25"/>
  <cols>
    <col min="10" max="10" width="37" customWidth="1"/>
    <col min="13" max="13" width="16.8984375" customWidth="1"/>
    <col min="14" max="14" width="15.59765625" customWidth="1"/>
    <col min="15" max="15" width="7" customWidth="1"/>
    <col min="16" max="16" width="13.59765625" customWidth="1"/>
    <col min="17" max="17" width="29.3984375" customWidth="1"/>
  </cols>
  <sheetData>
    <row r="1" spans="1:27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</row>
    <row r="2" spans="1:27" ht="14.4" x14ac:dyDescent="0.3">
      <c r="A2" s="4">
        <v>45976</v>
      </c>
      <c r="B2" s="4">
        <v>45976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30</v>
      </c>
      <c r="I2" s="5" t="s">
        <v>32</v>
      </c>
      <c r="J2" s="5" t="s">
        <v>33</v>
      </c>
      <c r="K2" s="6">
        <v>1</v>
      </c>
      <c r="L2" s="7">
        <v>1</v>
      </c>
      <c r="M2" s="8">
        <v>1</v>
      </c>
      <c r="N2" s="9" t="s">
        <v>34</v>
      </c>
      <c r="O2" s="9">
        <v>2.83</v>
      </c>
      <c r="P2" s="9">
        <v>24.94</v>
      </c>
      <c r="Q2" s="9">
        <v>11.35</v>
      </c>
      <c r="R2" s="6">
        <v>8.81</v>
      </c>
      <c r="S2" s="9">
        <v>1</v>
      </c>
      <c r="T2" s="7">
        <v>1</v>
      </c>
      <c r="U2" s="8">
        <v>1</v>
      </c>
      <c r="V2" s="6">
        <v>1</v>
      </c>
      <c r="W2" s="7">
        <v>0</v>
      </c>
      <c r="X2" s="7" t="s">
        <v>35</v>
      </c>
      <c r="Y2" s="10" t="s">
        <v>36</v>
      </c>
      <c r="Z2" s="11"/>
    </row>
    <row r="3" spans="1:27" ht="14.4" x14ac:dyDescent="0.3">
      <c r="A3" s="4">
        <v>45975</v>
      </c>
      <c r="B3" s="4">
        <v>45975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30</v>
      </c>
      <c r="I3" s="5" t="s">
        <v>32</v>
      </c>
      <c r="J3" s="5" t="s">
        <v>37</v>
      </c>
      <c r="K3" s="6">
        <v>1</v>
      </c>
      <c r="L3" s="7">
        <v>1</v>
      </c>
      <c r="M3" s="8">
        <v>1</v>
      </c>
      <c r="N3" s="9" t="s">
        <v>38</v>
      </c>
      <c r="O3" s="9">
        <v>4.4800000000000004</v>
      </c>
      <c r="P3" s="9">
        <v>24.94</v>
      </c>
      <c r="Q3" s="9">
        <v>17.96</v>
      </c>
      <c r="R3" s="6">
        <v>5.57</v>
      </c>
      <c r="S3" s="9">
        <v>1</v>
      </c>
      <c r="T3" s="7">
        <v>1</v>
      </c>
      <c r="U3" s="8">
        <v>1</v>
      </c>
      <c r="V3" s="6">
        <v>1</v>
      </c>
      <c r="W3" s="7">
        <v>0</v>
      </c>
      <c r="X3" s="7" t="s">
        <v>35</v>
      </c>
      <c r="Y3" s="10" t="s">
        <v>36</v>
      </c>
      <c r="Z3" s="11"/>
    </row>
    <row r="4" spans="1:27" ht="14.4" x14ac:dyDescent="0.3">
      <c r="A4" s="4">
        <v>45975</v>
      </c>
      <c r="B4" s="4">
        <v>45975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30</v>
      </c>
      <c r="I4" s="5" t="s">
        <v>32</v>
      </c>
      <c r="J4" s="5" t="s">
        <v>39</v>
      </c>
      <c r="K4" s="6">
        <v>2</v>
      </c>
      <c r="L4" s="7">
        <v>1</v>
      </c>
      <c r="M4" s="8">
        <v>0.5</v>
      </c>
      <c r="N4" s="9" t="s">
        <v>38</v>
      </c>
      <c r="O4" s="9">
        <v>4.4800000000000004</v>
      </c>
      <c r="P4" s="9">
        <v>24.94</v>
      </c>
      <c r="Q4" s="9">
        <v>17.96</v>
      </c>
      <c r="R4" s="6">
        <v>5.57</v>
      </c>
      <c r="S4" s="9">
        <v>1</v>
      </c>
      <c r="T4" s="7">
        <v>1</v>
      </c>
      <c r="U4" s="8">
        <v>1</v>
      </c>
      <c r="V4" s="6">
        <v>1</v>
      </c>
      <c r="W4" s="7">
        <v>0</v>
      </c>
      <c r="X4" s="7" t="s">
        <v>35</v>
      </c>
      <c r="Y4" s="10" t="s">
        <v>36</v>
      </c>
      <c r="Z4" s="11"/>
    </row>
    <row r="5" spans="1:27" ht="14.4" x14ac:dyDescent="0.3">
      <c r="A5" s="4">
        <v>45975</v>
      </c>
      <c r="B5" s="4">
        <v>45975</v>
      </c>
      <c r="C5" s="5" t="s">
        <v>40</v>
      </c>
      <c r="D5" s="5" t="s">
        <v>28</v>
      </c>
      <c r="E5" s="5" t="s">
        <v>41</v>
      </c>
      <c r="F5" s="5" t="s">
        <v>42</v>
      </c>
      <c r="G5" s="5" t="s">
        <v>31</v>
      </c>
      <c r="H5" s="5" t="s">
        <v>43</v>
      </c>
      <c r="I5" s="5" t="s">
        <v>44</v>
      </c>
      <c r="J5" s="5" t="s">
        <v>45</v>
      </c>
      <c r="K5" s="6">
        <v>1</v>
      </c>
      <c r="L5" s="7">
        <v>1</v>
      </c>
      <c r="M5" s="8">
        <v>1</v>
      </c>
      <c r="N5" s="9" t="s">
        <v>46</v>
      </c>
      <c r="O5" s="9">
        <v>3.19</v>
      </c>
      <c r="P5" s="9">
        <v>99.76</v>
      </c>
      <c r="Q5" s="9">
        <v>3.2</v>
      </c>
      <c r="R5" s="6">
        <v>31.27</v>
      </c>
      <c r="S5" s="9">
        <v>1</v>
      </c>
      <c r="T5" s="7">
        <v>4</v>
      </c>
      <c r="U5" s="8">
        <v>1</v>
      </c>
      <c r="V5" s="6">
        <v>4</v>
      </c>
      <c r="W5" s="7">
        <v>0</v>
      </c>
      <c r="X5" s="7" t="s">
        <v>47</v>
      </c>
      <c r="Y5" s="10" t="s">
        <v>36</v>
      </c>
      <c r="Z5" s="11"/>
    </row>
    <row r="6" spans="1:27" ht="14.4" x14ac:dyDescent="0.3">
      <c r="A6" s="4">
        <v>45975</v>
      </c>
      <c r="B6" s="4">
        <v>45975</v>
      </c>
      <c r="C6" s="5" t="s">
        <v>48</v>
      </c>
      <c r="D6" s="5" t="s">
        <v>28</v>
      </c>
      <c r="E6" s="5" t="s">
        <v>49</v>
      </c>
      <c r="F6" s="5" t="s">
        <v>50</v>
      </c>
      <c r="G6" s="5" t="s">
        <v>31</v>
      </c>
      <c r="H6" s="5" t="s">
        <v>51</v>
      </c>
      <c r="I6" s="5" t="s">
        <v>52</v>
      </c>
      <c r="J6" s="5" t="s">
        <v>53</v>
      </c>
      <c r="K6" s="6">
        <v>1</v>
      </c>
      <c r="L6" s="7">
        <v>1</v>
      </c>
      <c r="M6" s="8">
        <v>1</v>
      </c>
      <c r="N6" s="9" t="s">
        <v>54</v>
      </c>
      <c r="O6" s="9">
        <v>2.67</v>
      </c>
      <c r="P6" s="9">
        <v>21.9</v>
      </c>
      <c r="Q6" s="9">
        <v>12.19</v>
      </c>
      <c r="R6" s="6">
        <v>8.1999999999999993</v>
      </c>
      <c r="S6" s="9">
        <v>1</v>
      </c>
      <c r="T6" s="7">
        <v>1</v>
      </c>
      <c r="U6" s="8">
        <v>1</v>
      </c>
      <c r="V6" s="6">
        <v>1</v>
      </c>
      <c r="W6" s="7">
        <v>0</v>
      </c>
      <c r="X6" s="7" t="s">
        <v>55</v>
      </c>
      <c r="Y6" s="10" t="s">
        <v>36</v>
      </c>
      <c r="Z6" s="11"/>
    </row>
    <row r="7" spans="1:27" ht="14.4" x14ac:dyDescent="0.3">
      <c r="A7" s="4">
        <v>45975</v>
      </c>
      <c r="B7" s="4">
        <v>45975</v>
      </c>
      <c r="C7" s="5" t="s">
        <v>27</v>
      </c>
      <c r="D7" s="5" t="s">
        <v>28</v>
      </c>
      <c r="E7" s="5" t="s">
        <v>56</v>
      </c>
      <c r="F7" s="5" t="s">
        <v>57</v>
      </c>
      <c r="G7" s="5" t="s">
        <v>31</v>
      </c>
      <c r="H7" s="12" t="e">
        <f>+maca +root</f>
        <v>#NAME?</v>
      </c>
      <c r="I7" s="5" t="s">
        <v>32</v>
      </c>
      <c r="J7" s="5" t="s">
        <v>58</v>
      </c>
      <c r="K7" s="6">
        <v>1</v>
      </c>
      <c r="L7" s="7">
        <v>1</v>
      </c>
      <c r="M7" s="8">
        <v>1</v>
      </c>
      <c r="N7" s="9" t="s">
        <v>59</v>
      </c>
      <c r="O7" s="9">
        <v>4.3499999999999996</v>
      </c>
      <c r="P7" s="9">
        <v>24.94</v>
      </c>
      <c r="Q7" s="9">
        <v>17.440000000000001</v>
      </c>
      <c r="R7" s="6">
        <v>5.73</v>
      </c>
      <c r="S7" s="9">
        <v>1</v>
      </c>
      <c r="T7" s="7">
        <v>1</v>
      </c>
      <c r="U7" s="8">
        <v>1</v>
      </c>
      <c r="V7" s="6">
        <v>1</v>
      </c>
      <c r="W7" s="7">
        <v>0</v>
      </c>
      <c r="X7" s="7" t="s">
        <v>35</v>
      </c>
      <c r="Y7" s="10" t="s">
        <v>36</v>
      </c>
      <c r="Z7" s="11"/>
    </row>
    <row r="8" spans="1:27" ht="14.4" x14ac:dyDescent="0.3">
      <c r="A8" s="4">
        <v>45974</v>
      </c>
      <c r="B8" s="4">
        <v>45975</v>
      </c>
      <c r="C8" s="5" t="s">
        <v>40</v>
      </c>
      <c r="D8" s="5" t="s">
        <v>28</v>
      </c>
      <c r="E8" s="5" t="s">
        <v>41</v>
      </c>
      <c r="F8" s="5" t="s">
        <v>42</v>
      </c>
      <c r="G8" s="5" t="s">
        <v>31</v>
      </c>
      <c r="H8" s="5" t="s">
        <v>43</v>
      </c>
      <c r="I8" s="5" t="s">
        <v>44</v>
      </c>
      <c r="J8" s="5" t="s">
        <v>60</v>
      </c>
      <c r="K8" s="6">
        <v>17</v>
      </c>
      <c r="L8" s="7">
        <v>2</v>
      </c>
      <c r="M8" s="8">
        <v>0.117647</v>
      </c>
      <c r="N8" s="9" t="s">
        <v>61</v>
      </c>
      <c r="O8" s="9">
        <v>5.35</v>
      </c>
      <c r="P8" s="9">
        <v>24.94</v>
      </c>
      <c r="Q8" s="9">
        <v>21.45</v>
      </c>
      <c r="R8" s="6">
        <v>4.66</v>
      </c>
      <c r="S8" s="9">
        <v>1</v>
      </c>
      <c r="T8" s="7">
        <v>1</v>
      </c>
      <c r="U8" s="8">
        <v>0.5</v>
      </c>
      <c r="V8" s="6">
        <v>1</v>
      </c>
      <c r="W8" s="7">
        <v>0</v>
      </c>
      <c r="X8" s="7" t="s">
        <v>35</v>
      </c>
      <c r="Y8" s="10" t="s">
        <v>36</v>
      </c>
      <c r="Z8" s="11"/>
    </row>
    <row r="9" spans="1:27" ht="14.4" x14ac:dyDescent="0.3">
      <c r="A9" s="4">
        <v>45974</v>
      </c>
      <c r="B9" s="4">
        <v>45974</v>
      </c>
      <c r="C9" s="5" t="s">
        <v>48</v>
      </c>
      <c r="D9" s="5" t="s">
        <v>28</v>
      </c>
      <c r="E9" s="5" t="s">
        <v>62</v>
      </c>
      <c r="F9" s="5" t="s">
        <v>63</v>
      </c>
      <c r="G9" s="5" t="s">
        <v>31</v>
      </c>
      <c r="H9" s="5" t="s">
        <v>64</v>
      </c>
      <c r="I9" s="5" t="s">
        <v>65</v>
      </c>
      <c r="J9" s="5" t="s">
        <v>64</v>
      </c>
      <c r="K9" s="6">
        <v>1</v>
      </c>
      <c r="L9" s="7">
        <v>1</v>
      </c>
      <c r="M9" s="8">
        <v>1</v>
      </c>
      <c r="N9" s="9" t="s">
        <v>66</v>
      </c>
      <c r="O9" s="9">
        <v>2.97</v>
      </c>
      <c r="P9" s="9">
        <v>43.8</v>
      </c>
      <c r="Q9" s="9">
        <v>6.78</v>
      </c>
      <c r="R9" s="6">
        <v>14.75</v>
      </c>
      <c r="S9" s="9">
        <v>1</v>
      </c>
      <c r="T9" s="7">
        <v>2</v>
      </c>
      <c r="U9" s="8">
        <v>1</v>
      </c>
      <c r="V9" s="6">
        <v>2</v>
      </c>
      <c r="W9" s="7">
        <v>0</v>
      </c>
      <c r="X9" s="7" t="s">
        <v>67</v>
      </c>
      <c r="Y9" s="10" t="s">
        <v>36</v>
      </c>
      <c r="Z9" s="11"/>
    </row>
    <row r="10" spans="1:27" ht="14.4" x14ac:dyDescent="0.3">
      <c r="A10" s="4">
        <v>45973</v>
      </c>
      <c r="B10" s="4">
        <v>45973</v>
      </c>
      <c r="C10" s="5" t="s">
        <v>48</v>
      </c>
      <c r="D10" s="5" t="s">
        <v>28</v>
      </c>
      <c r="E10" s="5" t="s">
        <v>62</v>
      </c>
      <c r="F10" s="5" t="s">
        <v>63</v>
      </c>
      <c r="G10" s="5" t="s">
        <v>31</v>
      </c>
      <c r="H10" s="5" t="s">
        <v>68</v>
      </c>
      <c r="I10" s="5" t="s">
        <v>65</v>
      </c>
      <c r="J10" s="5" t="s">
        <v>69</v>
      </c>
      <c r="K10" s="6">
        <v>16</v>
      </c>
      <c r="L10" s="7">
        <v>2</v>
      </c>
      <c r="M10" s="8">
        <v>0.125</v>
      </c>
      <c r="N10" s="9" t="s">
        <v>70</v>
      </c>
      <c r="O10" s="9">
        <v>8.77</v>
      </c>
      <c r="P10" s="9">
        <v>21.9</v>
      </c>
      <c r="Q10" s="9">
        <v>40.049999999999997</v>
      </c>
      <c r="R10" s="6">
        <v>2.5</v>
      </c>
      <c r="S10" s="9">
        <v>1</v>
      </c>
      <c r="T10" s="7">
        <v>1</v>
      </c>
      <c r="U10" s="8">
        <v>0.5</v>
      </c>
      <c r="V10" s="6">
        <v>1</v>
      </c>
      <c r="W10" s="7">
        <v>0</v>
      </c>
      <c r="X10" s="7" t="s">
        <v>55</v>
      </c>
      <c r="Y10" s="10" t="s">
        <v>36</v>
      </c>
      <c r="Z10" s="11"/>
    </row>
    <row r="11" spans="1:27" ht="14.4" x14ac:dyDescent="0.3">
      <c r="A11" s="4">
        <v>45973</v>
      </c>
      <c r="B11" s="4">
        <v>45974</v>
      </c>
      <c r="C11" s="5" t="s">
        <v>27</v>
      </c>
      <c r="D11" s="5" t="s">
        <v>28</v>
      </c>
      <c r="E11" s="5" t="s">
        <v>71</v>
      </c>
      <c r="F11" s="5" t="s">
        <v>72</v>
      </c>
      <c r="G11" s="5" t="s">
        <v>31</v>
      </c>
      <c r="H11" s="5" t="s">
        <v>73</v>
      </c>
      <c r="I11" s="5" t="s">
        <v>52</v>
      </c>
      <c r="J11" s="5" t="s">
        <v>74</v>
      </c>
      <c r="K11" s="6">
        <v>17</v>
      </c>
      <c r="L11" s="7">
        <v>3</v>
      </c>
      <c r="M11" s="8">
        <v>0.17647099999999999</v>
      </c>
      <c r="N11" s="9" t="s">
        <v>75</v>
      </c>
      <c r="O11" s="9">
        <v>10.81</v>
      </c>
      <c r="P11" s="9">
        <v>24.94</v>
      </c>
      <c r="Q11" s="9">
        <v>43.34</v>
      </c>
      <c r="R11" s="6">
        <v>2.31</v>
      </c>
      <c r="S11" s="9">
        <v>1</v>
      </c>
      <c r="T11" s="7">
        <v>1</v>
      </c>
      <c r="U11" s="8">
        <v>0.33333299999999999</v>
      </c>
      <c r="V11" s="6">
        <v>1</v>
      </c>
      <c r="W11" s="7">
        <v>0</v>
      </c>
      <c r="X11" s="7" t="s">
        <v>35</v>
      </c>
      <c r="Y11" s="10" t="s">
        <v>36</v>
      </c>
      <c r="Z11" s="11"/>
    </row>
    <row r="12" spans="1:27" ht="14.4" x14ac:dyDescent="0.3">
      <c r="A12" s="4">
        <v>45973</v>
      </c>
      <c r="B12" s="4">
        <v>45974</v>
      </c>
      <c r="C12" s="5" t="s">
        <v>27</v>
      </c>
      <c r="D12" s="5" t="s">
        <v>28</v>
      </c>
      <c r="E12" s="5" t="s">
        <v>56</v>
      </c>
      <c r="F12" s="5" t="s">
        <v>57</v>
      </c>
      <c r="G12" s="5" t="s">
        <v>31</v>
      </c>
      <c r="H12" s="12" t="e">
        <f>+maca +root</f>
        <v>#NAME?</v>
      </c>
      <c r="I12" s="5" t="s">
        <v>32</v>
      </c>
      <c r="J12" s="5" t="s">
        <v>76</v>
      </c>
      <c r="K12" s="6">
        <v>172</v>
      </c>
      <c r="L12" s="7">
        <v>2</v>
      </c>
      <c r="M12" s="8">
        <v>1.1627999999999999E-2</v>
      </c>
      <c r="N12" s="9" t="s">
        <v>77</v>
      </c>
      <c r="O12" s="9">
        <v>7.64</v>
      </c>
      <c r="P12" s="9">
        <v>49.88</v>
      </c>
      <c r="Q12" s="9">
        <v>15.32</v>
      </c>
      <c r="R12" s="6">
        <v>6.53</v>
      </c>
      <c r="S12" s="9">
        <v>2</v>
      </c>
      <c r="T12" s="7">
        <v>2</v>
      </c>
      <c r="U12" s="8">
        <v>1</v>
      </c>
      <c r="V12" s="6">
        <v>2</v>
      </c>
      <c r="W12" s="7">
        <v>0</v>
      </c>
      <c r="X12" s="7" t="s">
        <v>78</v>
      </c>
      <c r="Y12" s="10" t="s">
        <v>36</v>
      </c>
      <c r="Z12" s="11"/>
    </row>
    <row r="13" spans="1:27" ht="14.4" x14ac:dyDescent="0.3">
      <c r="A13" s="4">
        <v>45972</v>
      </c>
      <c r="B13" s="4">
        <v>45972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30</v>
      </c>
      <c r="I13" s="5" t="s">
        <v>32</v>
      </c>
      <c r="J13" s="5" t="s">
        <v>79</v>
      </c>
      <c r="K13" s="6">
        <v>154</v>
      </c>
      <c r="L13" s="7">
        <v>2</v>
      </c>
      <c r="M13" s="8">
        <v>1.2987E-2</v>
      </c>
      <c r="N13" s="9" t="s">
        <v>80</v>
      </c>
      <c r="O13" s="9">
        <v>2.92</v>
      </c>
      <c r="P13" s="9">
        <v>24.94</v>
      </c>
      <c r="Q13" s="9">
        <v>11.71</v>
      </c>
      <c r="R13" s="6">
        <v>8.5399999999999991</v>
      </c>
      <c r="S13" s="9">
        <v>1</v>
      </c>
      <c r="T13" s="7">
        <v>1</v>
      </c>
      <c r="U13" s="8">
        <v>0.5</v>
      </c>
      <c r="V13" s="6">
        <v>1</v>
      </c>
      <c r="W13" s="7">
        <v>0</v>
      </c>
      <c r="X13" s="7" t="s">
        <v>35</v>
      </c>
      <c r="Y13" s="10" t="s">
        <v>36</v>
      </c>
      <c r="Z13" s="11"/>
    </row>
    <row r="14" spans="1:27" ht="14.4" x14ac:dyDescent="0.3">
      <c r="A14" s="4">
        <v>45972</v>
      </c>
      <c r="B14" s="4">
        <v>45972</v>
      </c>
      <c r="C14" s="5" t="s">
        <v>27</v>
      </c>
      <c r="D14" s="5" t="s">
        <v>28</v>
      </c>
      <c r="E14" s="5" t="s">
        <v>56</v>
      </c>
      <c r="F14" s="5" t="s">
        <v>57</v>
      </c>
      <c r="G14" s="5" t="s">
        <v>31</v>
      </c>
      <c r="H14" s="12" t="e">
        <f t="shared" ref="H14:H15" si="0">+maca +root</f>
        <v>#NAME?</v>
      </c>
      <c r="I14" s="5" t="s">
        <v>32</v>
      </c>
      <c r="J14" s="5" t="s">
        <v>81</v>
      </c>
      <c r="K14" s="6">
        <v>6</v>
      </c>
      <c r="L14" s="7">
        <v>1</v>
      </c>
      <c r="M14" s="8">
        <v>0.16666700000000001</v>
      </c>
      <c r="N14" s="9" t="s">
        <v>82</v>
      </c>
      <c r="O14" s="9">
        <v>2.0699999999999998</v>
      </c>
      <c r="P14" s="9">
        <v>24.94</v>
      </c>
      <c r="Q14" s="9">
        <v>8.3000000000000007</v>
      </c>
      <c r="R14" s="6">
        <v>12.05</v>
      </c>
      <c r="S14" s="9">
        <v>1</v>
      </c>
      <c r="T14" s="7">
        <v>1</v>
      </c>
      <c r="U14" s="8">
        <v>1</v>
      </c>
      <c r="V14" s="6">
        <v>1</v>
      </c>
      <c r="W14" s="7">
        <v>0</v>
      </c>
      <c r="X14" s="7" t="s">
        <v>35</v>
      </c>
      <c r="Y14" s="10" t="s">
        <v>36</v>
      </c>
      <c r="Z14" s="11"/>
    </row>
    <row r="15" spans="1:27" ht="14.4" x14ac:dyDescent="0.3">
      <c r="A15" s="4">
        <v>45972</v>
      </c>
      <c r="B15" s="4">
        <v>45972</v>
      </c>
      <c r="C15" s="5" t="s">
        <v>27</v>
      </c>
      <c r="D15" s="5" t="s">
        <v>28</v>
      </c>
      <c r="E15" s="5" t="s">
        <v>56</v>
      </c>
      <c r="F15" s="5" t="s">
        <v>57</v>
      </c>
      <c r="G15" s="5" t="s">
        <v>31</v>
      </c>
      <c r="H15" s="12" t="e">
        <f t="shared" si="0"/>
        <v>#NAME?</v>
      </c>
      <c r="I15" s="5" t="s">
        <v>32</v>
      </c>
      <c r="J15" s="5" t="s">
        <v>83</v>
      </c>
      <c r="K15" s="6">
        <v>2</v>
      </c>
      <c r="L15" s="7">
        <v>1</v>
      </c>
      <c r="M15" s="8">
        <v>0.5</v>
      </c>
      <c r="N15" s="9" t="s">
        <v>84</v>
      </c>
      <c r="O15" s="9">
        <v>4.26</v>
      </c>
      <c r="P15" s="9">
        <v>24.94</v>
      </c>
      <c r="Q15" s="9">
        <v>17.079999999999998</v>
      </c>
      <c r="R15" s="6">
        <v>5.85</v>
      </c>
      <c r="S15" s="9">
        <v>1</v>
      </c>
      <c r="T15" s="7">
        <v>1</v>
      </c>
      <c r="U15" s="8">
        <v>1</v>
      </c>
      <c r="V15" s="6">
        <v>1</v>
      </c>
      <c r="W15" s="7">
        <v>0</v>
      </c>
      <c r="X15" s="7" t="s">
        <v>35</v>
      </c>
      <c r="Y15" s="10" t="s">
        <v>36</v>
      </c>
      <c r="Z15" s="11"/>
    </row>
    <row r="16" spans="1:27" ht="14.4" x14ac:dyDescent="0.3">
      <c r="A16" s="4">
        <v>45972</v>
      </c>
      <c r="B16" s="4">
        <v>45972</v>
      </c>
      <c r="C16" s="5" t="s">
        <v>85</v>
      </c>
      <c r="D16" s="5" t="s">
        <v>28</v>
      </c>
      <c r="E16" s="5" t="s">
        <v>86</v>
      </c>
      <c r="F16" s="5" t="s">
        <v>87</v>
      </c>
      <c r="G16" s="5" t="s">
        <v>31</v>
      </c>
      <c r="H16" s="5" t="s">
        <v>88</v>
      </c>
      <c r="I16" s="5" t="s">
        <v>44</v>
      </c>
      <c r="J16" s="5" t="s">
        <v>89</v>
      </c>
      <c r="K16" s="6">
        <v>8</v>
      </c>
      <c r="L16" s="7">
        <v>2</v>
      </c>
      <c r="M16" s="8">
        <v>0.25</v>
      </c>
      <c r="N16" s="9" t="s">
        <v>90</v>
      </c>
      <c r="O16" s="9">
        <v>6.81</v>
      </c>
      <c r="P16" s="9">
        <v>21.9</v>
      </c>
      <c r="Q16" s="9">
        <v>31.1</v>
      </c>
      <c r="R16" s="6">
        <v>3.22</v>
      </c>
      <c r="S16" s="9">
        <v>1</v>
      </c>
      <c r="T16" s="7">
        <v>1</v>
      </c>
      <c r="U16" s="8">
        <v>0.5</v>
      </c>
      <c r="V16" s="6">
        <v>1</v>
      </c>
      <c r="W16" s="7">
        <v>0</v>
      </c>
      <c r="X16" s="7" t="s">
        <v>55</v>
      </c>
      <c r="Y16" s="10" t="s">
        <v>36</v>
      </c>
      <c r="Z16" s="11"/>
    </row>
    <row r="17" spans="1:26" ht="14.4" x14ac:dyDescent="0.3">
      <c r="A17" s="4">
        <v>45972</v>
      </c>
      <c r="B17" s="4">
        <v>45976</v>
      </c>
      <c r="C17" s="5" t="s">
        <v>85</v>
      </c>
      <c r="D17" s="5" t="s">
        <v>28</v>
      </c>
      <c r="E17" s="5" t="s">
        <v>86</v>
      </c>
      <c r="F17" s="5" t="s">
        <v>87</v>
      </c>
      <c r="G17" s="5" t="s">
        <v>31</v>
      </c>
      <c r="H17" s="5" t="s">
        <v>87</v>
      </c>
      <c r="I17" s="5" t="s">
        <v>44</v>
      </c>
      <c r="J17" s="5" t="s">
        <v>87</v>
      </c>
      <c r="K17" s="6">
        <v>37</v>
      </c>
      <c r="L17" s="7">
        <v>4</v>
      </c>
      <c r="M17" s="8">
        <v>0.108108</v>
      </c>
      <c r="N17" s="9" t="s">
        <v>91</v>
      </c>
      <c r="O17" s="9">
        <v>18.14</v>
      </c>
      <c r="P17" s="9">
        <v>21.9</v>
      </c>
      <c r="Q17" s="9">
        <v>82.83</v>
      </c>
      <c r="R17" s="6">
        <v>1.21</v>
      </c>
      <c r="S17" s="9">
        <v>1</v>
      </c>
      <c r="T17" s="7">
        <v>1</v>
      </c>
      <c r="U17" s="8">
        <v>0.25</v>
      </c>
      <c r="V17" s="6">
        <v>1</v>
      </c>
      <c r="W17" s="7">
        <v>0</v>
      </c>
      <c r="X17" s="7" t="s">
        <v>55</v>
      </c>
      <c r="Y17" s="10" t="s">
        <v>36</v>
      </c>
      <c r="Z17" s="11"/>
    </row>
    <row r="18" spans="1:26" ht="14.4" x14ac:dyDescent="0.3">
      <c r="A18" s="4">
        <v>45972</v>
      </c>
      <c r="B18" s="4">
        <v>45976</v>
      </c>
      <c r="C18" s="5" t="s">
        <v>48</v>
      </c>
      <c r="D18" s="5" t="s">
        <v>28</v>
      </c>
      <c r="E18" s="5" t="s">
        <v>62</v>
      </c>
      <c r="F18" s="5" t="s">
        <v>63</v>
      </c>
      <c r="G18" s="5" t="s">
        <v>31</v>
      </c>
      <c r="H18" s="5" t="s">
        <v>88</v>
      </c>
      <c r="I18" s="5" t="s">
        <v>65</v>
      </c>
      <c r="J18" s="5" t="s">
        <v>88</v>
      </c>
      <c r="K18" s="6">
        <v>12</v>
      </c>
      <c r="L18" s="7">
        <v>2</v>
      </c>
      <c r="M18" s="8">
        <v>0.16666700000000001</v>
      </c>
      <c r="N18" s="9" t="s">
        <v>92</v>
      </c>
      <c r="O18" s="9">
        <v>6.07</v>
      </c>
      <c r="P18" s="9">
        <v>21.9</v>
      </c>
      <c r="Q18" s="9">
        <v>27.72</v>
      </c>
      <c r="R18" s="6">
        <v>3.61</v>
      </c>
      <c r="S18" s="9">
        <v>1</v>
      </c>
      <c r="T18" s="7">
        <v>1</v>
      </c>
      <c r="U18" s="8">
        <v>0.5</v>
      </c>
      <c r="V18" s="6">
        <v>1</v>
      </c>
      <c r="W18" s="7">
        <v>0</v>
      </c>
      <c r="X18" s="7" t="s">
        <v>55</v>
      </c>
      <c r="Y18" s="10" t="s">
        <v>36</v>
      </c>
      <c r="Z18" s="11"/>
    </row>
    <row r="19" spans="1:26" ht="14.4" x14ac:dyDescent="0.3">
      <c r="A19" s="4">
        <v>45971</v>
      </c>
      <c r="B19" s="4">
        <v>45976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30</v>
      </c>
      <c r="I19" s="5" t="s">
        <v>32</v>
      </c>
      <c r="J19" s="5" t="s">
        <v>30</v>
      </c>
      <c r="K19" s="6">
        <v>319</v>
      </c>
      <c r="L19" s="7">
        <v>5</v>
      </c>
      <c r="M19" s="8">
        <v>1.5674E-2</v>
      </c>
      <c r="N19" s="9" t="s">
        <v>61</v>
      </c>
      <c r="O19" s="9">
        <v>13.4</v>
      </c>
      <c r="P19" s="9">
        <v>74.819999999999993</v>
      </c>
      <c r="Q19" s="9">
        <v>17.91</v>
      </c>
      <c r="R19" s="6">
        <v>5.58</v>
      </c>
      <c r="S19" s="9">
        <v>3</v>
      </c>
      <c r="T19" s="7">
        <v>3</v>
      </c>
      <c r="U19" s="8">
        <v>0.6</v>
      </c>
      <c r="V19" s="6">
        <v>3</v>
      </c>
      <c r="W19" s="7">
        <v>0</v>
      </c>
      <c r="X19" s="7" t="s">
        <v>93</v>
      </c>
      <c r="Y19" s="10" t="s">
        <v>36</v>
      </c>
      <c r="Z19" s="11"/>
    </row>
    <row r="20" spans="1:26" ht="14.4" x14ac:dyDescent="0.3">
      <c r="A20" s="4">
        <v>45971</v>
      </c>
      <c r="B20" s="4">
        <v>45971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30</v>
      </c>
      <c r="I20" s="5" t="s">
        <v>32</v>
      </c>
      <c r="J20" s="5" t="s">
        <v>94</v>
      </c>
      <c r="K20" s="6">
        <v>3</v>
      </c>
      <c r="L20" s="7">
        <v>1</v>
      </c>
      <c r="M20" s="8">
        <v>0.33333299999999999</v>
      </c>
      <c r="N20" s="9" t="s">
        <v>38</v>
      </c>
      <c r="O20" s="9">
        <v>4.4800000000000004</v>
      </c>
      <c r="P20" s="9">
        <v>24.94</v>
      </c>
      <c r="Q20" s="9">
        <v>17.96</v>
      </c>
      <c r="R20" s="6">
        <v>5.57</v>
      </c>
      <c r="S20" s="9">
        <v>1</v>
      </c>
      <c r="T20" s="7">
        <v>1</v>
      </c>
      <c r="U20" s="8">
        <v>1</v>
      </c>
      <c r="V20" s="6">
        <v>1</v>
      </c>
      <c r="W20" s="7">
        <v>0</v>
      </c>
      <c r="X20" s="7" t="s">
        <v>35</v>
      </c>
      <c r="Y20" s="10" t="s">
        <v>36</v>
      </c>
      <c r="Z20" s="11"/>
    </row>
    <row r="21" spans="1:26" ht="14.4" x14ac:dyDescent="0.3">
      <c r="A21" s="4">
        <v>45971</v>
      </c>
      <c r="B21" s="4">
        <v>45971</v>
      </c>
      <c r="C21" s="5" t="s">
        <v>27</v>
      </c>
      <c r="D21" s="5" t="s">
        <v>28</v>
      </c>
      <c r="E21" s="5" t="s">
        <v>56</v>
      </c>
      <c r="F21" s="5" t="s">
        <v>57</v>
      </c>
      <c r="G21" s="5" t="s">
        <v>31</v>
      </c>
      <c r="H21" s="12" t="e">
        <f t="shared" ref="H21:H22" si="1">+maca +root</f>
        <v>#NAME?</v>
      </c>
      <c r="I21" s="5" t="s">
        <v>32</v>
      </c>
      <c r="J21" s="5" t="s">
        <v>95</v>
      </c>
      <c r="K21" s="6">
        <v>1</v>
      </c>
      <c r="L21" s="7">
        <v>1</v>
      </c>
      <c r="M21" s="8">
        <v>1</v>
      </c>
      <c r="N21" s="9" t="s">
        <v>59</v>
      </c>
      <c r="O21" s="9">
        <v>4.3499999999999996</v>
      </c>
      <c r="P21" s="9">
        <v>24.94</v>
      </c>
      <c r="Q21" s="9">
        <v>17.440000000000001</v>
      </c>
      <c r="R21" s="6">
        <v>5.73</v>
      </c>
      <c r="S21" s="9">
        <v>1</v>
      </c>
      <c r="T21" s="7">
        <v>1</v>
      </c>
      <c r="U21" s="8">
        <v>1</v>
      </c>
      <c r="V21" s="6">
        <v>1</v>
      </c>
      <c r="W21" s="7">
        <v>0</v>
      </c>
      <c r="X21" s="7" t="s">
        <v>35</v>
      </c>
      <c r="Y21" s="10" t="s">
        <v>36</v>
      </c>
      <c r="Z21" s="11"/>
    </row>
    <row r="22" spans="1:26" ht="14.4" x14ac:dyDescent="0.3">
      <c r="A22" s="4">
        <v>45971</v>
      </c>
      <c r="B22" s="4">
        <v>45974</v>
      </c>
      <c r="C22" s="5" t="s">
        <v>27</v>
      </c>
      <c r="D22" s="5" t="s">
        <v>28</v>
      </c>
      <c r="E22" s="5" t="s">
        <v>56</v>
      </c>
      <c r="F22" s="5" t="s">
        <v>57</v>
      </c>
      <c r="G22" s="5" t="s">
        <v>31</v>
      </c>
      <c r="H22" s="12" t="e">
        <f t="shared" si="1"/>
        <v>#NAME?</v>
      </c>
      <c r="I22" s="5" t="s">
        <v>32</v>
      </c>
      <c r="J22" s="5" t="s">
        <v>96</v>
      </c>
      <c r="K22" s="6">
        <v>37</v>
      </c>
      <c r="L22" s="7">
        <v>2</v>
      </c>
      <c r="M22" s="8">
        <v>5.4053999999999998E-2</v>
      </c>
      <c r="N22" s="9" t="s">
        <v>92</v>
      </c>
      <c r="O22" s="9">
        <v>6.08</v>
      </c>
      <c r="P22" s="9">
        <v>24.94</v>
      </c>
      <c r="Q22" s="9">
        <v>24.38</v>
      </c>
      <c r="R22" s="6">
        <v>4.0999999999999996</v>
      </c>
      <c r="S22" s="9">
        <v>1</v>
      </c>
      <c r="T22" s="7">
        <v>1</v>
      </c>
      <c r="U22" s="8">
        <v>0.5</v>
      </c>
      <c r="V22" s="6">
        <v>1</v>
      </c>
      <c r="W22" s="7">
        <v>0</v>
      </c>
      <c r="X22" s="7" t="s">
        <v>35</v>
      </c>
      <c r="Y22" s="10" t="s">
        <v>36</v>
      </c>
      <c r="Z22" s="11"/>
    </row>
    <row r="23" spans="1:26" ht="14.4" x14ac:dyDescent="0.3">
      <c r="A23" s="4">
        <v>45971</v>
      </c>
      <c r="B23" s="4">
        <v>45972</v>
      </c>
      <c r="C23" s="5" t="s">
        <v>27</v>
      </c>
      <c r="D23" s="5" t="s">
        <v>28</v>
      </c>
      <c r="E23" s="5" t="s">
        <v>71</v>
      </c>
      <c r="F23" s="5" t="s">
        <v>72</v>
      </c>
      <c r="G23" s="5" t="s">
        <v>31</v>
      </c>
      <c r="H23" s="5" t="s">
        <v>73</v>
      </c>
      <c r="I23" s="5" t="s">
        <v>52</v>
      </c>
      <c r="J23" s="5" t="s">
        <v>97</v>
      </c>
      <c r="K23" s="6">
        <v>16</v>
      </c>
      <c r="L23" s="7">
        <v>2</v>
      </c>
      <c r="M23" s="8">
        <v>0.125</v>
      </c>
      <c r="N23" s="9" t="s">
        <v>46</v>
      </c>
      <c r="O23" s="9">
        <v>6.38</v>
      </c>
      <c r="P23" s="9">
        <v>24.94</v>
      </c>
      <c r="Q23" s="9">
        <v>25.58</v>
      </c>
      <c r="R23" s="6">
        <v>3.91</v>
      </c>
      <c r="S23" s="9">
        <v>1</v>
      </c>
      <c r="T23" s="7">
        <v>1</v>
      </c>
      <c r="U23" s="8">
        <v>0.5</v>
      </c>
      <c r="V23" s="6">
        <v>1</v>
      </c>
      <c r="W23" s="7">
        <v>0</v>
      </c>
      <c r="X23" s="7" t="s">
        <v>35</v>
      </c>
      <c r="Y23" s="10" t="s">
        <v>36</v>
      </c>
      <c r="Z23" s="11"/>
    </row>
    <row r="24" spans="1:26" ht="14.4" x14ac:dyDescent="0.3">
      <c r="A24" s="4">
        <v>45971</v>
      </c>
      <c r="B24" s="4">
        <v>45975</v>
      </c>
      <c r="C24" s="5" t="s">
        <v>27</v>
      </c>
      <c r="D24" s="5" t="s">
        <v>28</v>
      </c>
      <c r="E24" s="5" t="s">
        <v>71</v>
      </c>
      <c r="F24" s="5" t="s">
        <v>72</v>
      </c>
      <c r="G24" s="5" t="s">
        <v>31</v>
      </c>
      <c r="H24" s="5" t="s">
        <v>51</v>
      </c>
      <c r="I24" s="5" t="s">
        <v>52</v>
      </c>
      <c r="J24" s="5" t="s">
        <v>98</v>
      </c>
      <c r="K24" s="6">
        <v>104</v>
      </c>
      <c r="L24" s="7">
        <v>3</v>
      </c>
      <c r="M24" s="8">
        <v>2.8846E-2</v>
      </c>
      <c r="N24" s="9" t="s">
        <v>99</v>
      </c>
      <c r="O24" s="9">
        <v>7.14</v>
      </c>
      <c r="P24" s="9">
        <v>49.88</v>
      </c>
      <c r="Q24" s="9">
        <v>14.31</v>
      </c>
      <c r="R24" s="6">
        <v>6.99</v>
      </c>
      <c r="S24" s="9">
        <v>2</v>
      </c>
      <c r="T24" s="7">
        <v>2</v>
      </c>
      <c r="U24" s="8">
        <v>0.66666700000000001</v>
      </c>
      <c r="V24" s="6">
        <v>2</v>
      </c>
      <c r="W24" s="7">
        <v>0</v>
      </c>
      <c r="X24" s="7" t="s">
        <v>78</v>
      </c>
      <c r="Y24" s="10" t="s">
        <v>36</v>
      </c>
      <c r="Z24" s="11"/>
    </row>
    <row r="25" spans="1:26" ht="14.4" x14ac:dyDescent="0.3">
      <c r="A25" s="4">
        <v>45971</v>
      </c>
      <c r="B25" s="4">
        <v>45973</v>
      </c>
      <c r="C25" s="5" t="s">
        <v>27</v>
      </c>
      <c r="D25" s="5" t="s">
        <v>28</v>
      </c>
      <c r="E25" s="5" t="s">
        <v>71</v>
      </c>
      <c r="F25" s="5" t="s">
        <v>72</v>
      </c>
      <c r="G25" s="5" t="s">
        <v>31</v>
      </c>
      <c r="H25" s="5" t="s">
        <v>73</v>
      </c>
      <c r="I25" s="5" t="s">
        <v>52</v>
      </c>
      <c r="J25" s="5" t="s">
        <v>76</v>
      </c>
      <c r="K25" s="6">
        <v>188</v>
      </c>
      <c r="L25" s="7">
        <v>3</v>
      </c>
      <c r="M25" s="8">
        <v>1.5956999999999999E-2</v>
      </c>
      <c r="N25" s="9" t="s">
        <v>100</v>
      </c>
      <c r="O25" s="9">
        <v>10.9</v>
      </c>
      <c r="P25" s="9">
        <v>24.94</v>
      </c>
      <c r="Q25" s="9">
        <v>43.7</v>
      </c>
      <c r="R25" s="6">
        <v>2.29</v>
      </c>
      <c r="S25" s="9">
        <v>1</v>
      </c>
      <c r="T25" s="7">
        <v>1</v>
      </c>
      <c r="U25" s="8">
        <v>0.33333299999999999</v>
      </c>
      <c r="V25" s="6">
        <v>1</v>
      </c>
      <c r="W25" s="7">
        <v>0</v>
      </c>
      <c r="X25" s="7" t="s">
        <v>35</v>
      </c>
      <c r="Y25" s="10" t="s">
        <v>36</v>
      </c>
      <c r="Z25" s="11"/>
    </row>
    <row r="26" spans="1:26" ht="14.4" x14ac:dyDescent="0.3">
      <c r="A26" s="4">
        <v>45971</v>
      </c>
      <c r="B26" s="4">
        <v>45972</v>
      </c>
      <c r="C26" s="5" t="s">
        <v>27</v>
      </c>
      <c r="D26" s="5" t="s">
        <v>28</v>
      </c>
      <c r="E26" s="5" t="s">
        <v>71</v>
      </c>
      <c r="F26" s="5" t="s">
        <v>72</v>
      </c>
      <c r="G26" s="5" t="s">
        <v>31</v>
      </c>
      <c r="H26" s="5" t="s">
        <v>73</v>
      </c>
      <c r="I26" s="5" t="s">
        <v>52</v>
      </c>
      <c r="J26" s="5" t="s">
        <v>101</v>
      </c>
      <c r="K26" s="6">
        <v>1354</v>
      </c>
      <c r="L26" s="7">
        <v>3</v>
      </c>
      <c r="M26" s="8">
        <v>2.2160000000000001E-3</v>
      </c>
      <c r="N26" s="9" t="s">
        <v>102</v>
      </c>
      <c r="O26" s="9">
        <v>8.18</v>
      </c>
      <c r="P26" s="9">
        <v>74.819999999999993</v>
      </c>
      <c r="Q26" s="9">
        <v>10.93</v>
      </c>
      <c r="R26" s="6">
        <v>9.15</v>
      </c>
      <c r="S26" s="9">
        <v>2</v>
      </c>
      <c r="T26" s="7">
        <v>3</v>
      </c>
      <c r="U26" s="8">
        <v>0.66666700000000001</v>
      </c>
      <c r="V26" s="6">
        <v>3</v>
      </c>
      <c r="W26" s="7">
        <v>0</v>
      </c>
      <c r="X26" s="7" t="s">
        <v>93</v>
      </c>
      <c r="Y26" s="10" t="s">
        <v>36</v>
      </c>
      <c r="Z26" s="11"/>
    </row>
    <row r="27" spans="1:26" ht="14.4" x14ac:dyDescent="0.3">
      <c r="A27" s="4">
        <v>45971</v>
      </c>
      <c r="B27" s="4">
        <v>45971</v>
      </c>
      <c r="C27" s="5" t="s">
        <v>27</v>
      </c>
      <c r="D27" s="5" t="s">
        <v>28</v>
      </c>
      <c r="E27" s="5" t="s">
        <v>71</v>
      </c>
      <c r="F27" s="5" t="s">
        <v>72</v>
      </c>
      <c r="G27" s="5" t="s">
        <v>31</v>
      </c>
      <c r="H27" s="5" t="s">
        <v>51</v>
      </c>
      <c r="I27" s="5" t="s">
        <v>52</v>
      </c>
      <c r="J27" s="5" t="s">
        <v>103</v>
      </c>
      <c r="K27" s="6">
        <v>1</v>
      </c>
      <c r="L27" s="7">
        <v>1</v>
      </c>
      <c r="M27" s="8">
        <v>1</v>
      </c>
      <c r="N27" s="9" t="s">
        <v>104</v>
      </c>
      <c r="O27" s="9">
        <v>3.72</v>
      </c>
      <c r="P27" s="9">
        <v>24.94</v>
      </c>
      <c r="Q27" s="9">
        <v>14.92</v>
      </c>
      <c r="R27" s="6">
        <v>6.7</v>
      </c>
      <c r="S27" s="9">
        <v>1</v>
      </c>
      <c r="T27" s="7">
        <v>1</v>
      </c>
      <c r="U27" s="8">
        <v>1</v>
      </c>
      <c r="V27" s="6">
        <v>1</v>
      </c>
      <c r="W27" s="7">
        <v>0</v>
      </c>
      <c r="X27" s="7" t="s">
        <v>35</v>
      </c>
      <c r="Y27" s="10" t="s">
        <v>36</v>
      </c>
      <c r="Z27" s="11"/>
    </row>
    <row r="28" spans="1:26" ht="14.4" x14ac:dyDescent="0.3">
      <c r="A28" s="4">
        <v>45970</v>
      </c>
      <c r="B28" s="4">
        <v>45976</v>
      </c>
      <c r="C28" s="5" t="s">
        <v>105</v>
      </c>
      <c r="D28" s="5" t="s">
        <v>28</v>
      </c>
      <c r="E28" s="5" t="s">
        <v>106</v>
      </c>
      <c r="F28" s="5" t="s">
        <v>30</v>
      </c>
      <c r="G28" s="5" t="s">
        <v>31</v>
      </c>
      <c r="H28" s="5" t="s">
        <v>30</v>
      </c>
      <c r="I28" s="5" t="s">
        <v>65</v>
      </c>
      <c r="J28" s="5" t="s">
        <v>30</v>
      </c>
      <c r="K28" s="6">
        <v>3631</v>
      </c>
      <c r="L28" s="7">
        <v>12</v>
      </c>
      <c r="M28" s="8">
        <v>3.3050000000000002E-3</v>
      </c>
      <c r="N28" s="9" t="s">
        <v>107</v>
      </c>
      <c r="O28" s="9">
        <v>34.880000000000003</v>
      </c>
      <c r="P28" s="9">
        <v>74.819999999999993</v>
      </c>
      <c r="Q28" s="9">
        <v>46.62</v>
      </c>
      <c r="R28" s="6">
        <v>2.15</v>
      </c>
      <c r="S28" s="9">
        <v>3</v>
      </c>
      <c r="T28" s="7">
        <v>3</v>
      </c>
      <c r="U28" s="8">
        <v>0.25</v>
      </c>
      <c r="V28" s="6">
        <v>3</v>
      </c>
      <c r="W28" s="7">
        <v>0</v>
      </c>
      <c r="X28" s="7" t="s">
        <v>93</v>
      </c>
      <c r="Y28" s="10" t="s">
        <v>36</v>
      </c>
      <c r="Z28" s="11"/>
    </row>
    <row r="29" spans="1:26" ht="14.4" x14ac:dyDescent="0.3">
      <c r="A29" s="4">
        <v>45970</v>
      </c>
      <c r="B29" s="4">
        <v>45970</v>
      </c>
      <c r="C29" s="5" t="s">
        <v>85</v>
      </c>
      <c r="D29" s="5" t="s">
        <v>28</v>
      </c>
      <c r="E29" s="5" t="s">
        <v>108</v>
      </c>
      <c r="F29" s="5" t="s">
        <v>109</v>
      </c>
      <c r="G29" s="5" t="s">
        <v>31</v>
      </c>
      <c r="H29" s="5" t="s">
        <v>110</v>
      </c>
      <c r="I29" s="5" t="s">
        <v>44</v>
      </c>
      <c r="J29" s="5" t="s">
        <v>111</v>
      </c>
      <c r="K29" s="6">
        <v>2</v>
      </c>
      <c r="L29" s="7">
        <v>1</v>
      </c>
      <c r="M29" s="8">
        <v>0.5</v>
      </c>
      <c r="N29" s="9" t="s">
        <v>112</v>
      </c>
      <c r="O29" s="9">
        <v>2.57</v>
      </c>
      <c r="P29" s="9">
        <v>21.9</v>
      </c>
      <c r="Q29" s="9">
        <v>11.74</v>
      </c>
      <c r="R29" s="6">
        <v>8.52</v>
      </c>
      <c r="S29" s="9">
        <v>1</v>
      </c>
      <c r="T29" s="7">
        <v>1</v>
      </c>
      <c r="U29" s="8">
        <v>1</v>
      </c>
      <c r="V29" s="6">
        <v>1</v>
      </c>
      <c r="W29" s="7">
        <v>0</v>
      </c>
      <c r="X29" s="7" t="s">
        <v>55</v>
      </c>
      <c r="Y29" s="10" t="s">
        <v>36</v>
      </c>
      <c r="Z29" s="11"/>
    </row>
    <row r="30" spans="1:26" ht="14.4" x14ac:dyDescent="0.3">
      <c r="A30" s="4">
        <v>45970</v>
      </c>
      <c r="B30" s="4">
        <v>45975</v>
      </c>
      <c r="C30" s="5" t="s">
        <v>40</v>
      </c>
      <c r="D30" s="5" t="s">
        <v>28</v>
      </c>
      <c r="E30" s="5" t="s">
        <v>41</v>
      </c>
      <c r="F30" s="5" t="s">
        <v>42</v>
      </c>
      <c r="G30" s="5" t="s">
        <v>31</v>
      </c>
      <c r="H30" s="5" t="s">
        <v>43</v>
      </c>
      <c r="I30" s="5" t="s">
        <v>44</v>
      </c>
      <c r="J30" s="5" t="s">
        <v>113</v>
      </c>
      <c r="K30" s="6">
        <v>15</v>
      </c>
      <c r="L30" s="7">
        <v>4</v>
      </c>
      <c r="M30" s="8">
        <v>0.26666699999999999</v>
      </c>
      <c r="N30" s="9" t="s">
        <v>114</v>
      </c>
      <c r="O30" s="9">
        <v>13.31</v>
      </c>
      <c r="P30" s="9">
        <v>24.94</v>
      </c>
      <c r="Q30" s="9">
        <v>53.37</v>
      </c>
      <c r="R30" s="6">
        <v>1.87</v>
      </c>
      <c r="S30" s="9">
        <v>1</v>
      </c>
      <c r="T30" s="7">
        <v>1</v>
      </c>
      <c r="U30" s="8">
        <v>0.25</v>
      </c>
      <c r="V30" s="6">
        <v>1</v>
      </c>
      <c r="W30" s="7">
        <v>0</v>
      </c>
      <c r="X30" s="7" t="s">
        <v>35</v>
      </c>
      <c r="Y30" s="10" t="s">
        <v>36</v>
      </c>
      <c r="Z30" s="11"/>
    </row>
    <row r="31" spans="1:26" ht="14.4" x14ac:dyDescent="0.3">
      <c r="A31" s="4">
        <v>45970</v>
      </c>
      <c r="B31" s="4">
        <v>45970</v>
      </c>
      <c r="C31" s="5" t="s">
        <v>27</v>
      </c>
      <c r="D31" s="5" t="s">
        <v>28</v>
      </c>
      <c r="E31" s="5" t="s">
        <v>71</v>
      </c>
      <c r="F31" s="5" t="s">
        <v>72</v>
      </c>
      <c r="G31" s="5" t="s">
        <v>31</v>
      </c>
      <c r="H31" s="5" t="s">
        <v>51</v>
      </c>
      <c r="I31" s="5" t="s">
        <v>52</v>
      </c>
      <c r="J31" s="5" t="s">
        <v>115</v>
      </c>
      <c r="K31" s="6">
        <v>3</v>
      </c>
      <c r="L31" s="7">
        <v>1</v>
      </c>
      <c r="M31" s="8">
        <v>0.33333299999999999</v>
      </c>
      <c r="N31" s="9" t="s">
        <v>116</v>
      </c>
      <c r="O31" s="9">
        <v>3.79</v>
      </c>
      <c r="P31" s="9">
        <v>24.94</v>
      </c>
      <c r="Q31" s="9">
        <v>15.2</v>
      </c>
      <c r="R31" s="6">
        <v>6.58</v>
      </c>
      <c r="S31" s="9">
        <v>1</v>
      </c>
      <c r="T31" s="7">
        <v>1</v>
      </c>
      <c r="U31" s="8">
        <v>1</v>
      </c>
      <c r="V31" s="6">
        <v>1</v>
      </c>
      <c r="W31" s="7">
        <v>0</v>
      </c>
      <c r="X31" s="7" t="s">
        <v>35</v>
      </c>
      <c r="Y31" s="10" t="s">
        <v>36</v>
      </c>
      <c r="Z31" s="11"/>
    </row>
    <row r="32" spans="1:26" ht="14.4" x14ac:dyDescent="0.3">
      <c r="A32" s="4">
        <v>45970</v>
      </c>
      <c r="B32" s="4">
        <v>45976</v>
      </c>
      <c r="C32" s="5" t="s">
        <v>105</v>
      </c>
      <c r="D32" s="5" t="s">
        <v>28</v>
      </c>
      <c r="E32" s="5" t="s">
        <v>117</v>
      </c>
      <c r="F32" s="5" t="s">
        <v>118</v>
      </c>
      <c r="G32" s="5" t="s">
        <v>31</v>
      </c>
      <c r="H32" s="5" t="s">
        <v>119</v>
      </c>
      <c r="I32" s="5" t="s">
        <v>65</v>
      </c>
      <c r="J32" s="5" t="s">
        <v>119</v>
      </c>
      <c r="K32" s="6">
        <v>1193</v>
      </c>
      <c r="L32" s="7">
        <v>46</v>
      </c>
      <c r="M32" s="8">
        <v>3.8558000000000002E-2</v>
      </c>
      <c r="N32" s="9" t="s">
        <v>120</v>
      </c>
      <c r="O32" s="9">
        <v>142.49</v>
      </c>
      <c r="P32" s="9">
        <v>174.58</v>
      </c>
      <c r="Q32" s="9">
        <v>81.62</v>
      </c>
      <c r="R32" s="6">
        <v>1.23</v>
      </c>
      <c r="S32" s="9">
        <v>6</v>
      </c>
      <c r="T32" s="7">
        <v>7</v>
      </c>
      <c r="U32" s="8">
        <v>0.130435</v>
      </c>
      <c r="V32" s="6">
        <v>7</v>
      </c>
      <c r="W32" s="7">
        <v>0</v>
      </c>
      <c r="X32" s="7" t="s">
        <v>121</v>
      </c>
      <c r="Y32" s="10" t="s">
        <v>36</v>
      </c>
      <c r="Z32" s="11"/>
    </row>
    <row r="33" spans="1:26" ht="14.4" x14ac:dyDescent="0.3">
      <c r="A33" s="4">
        <v>45970</v>
      </c>
      <c r="B33" s="4">
        <v>45974</v>
      </c>
      <c r="C33" s="5" t="s">
        <v>27</v>
      </c>
      <c r="D33" s="5" t="s">
        <v>28</v>
      </c>
      <c r="E33" s="5" t="s">
        <v>71</v>
      </c>
      <c r="F33" s="5" t="s">
        <v>72</v>
      </c>
      <c r="G33" s="5" t="s">
        <v>31</v>
      </c>
      <c r="H33" s="5" t="s">
        <v>73</v>
      </c>
      <c r="I33" s="5" t="s">
        <v>52</v>
      </c>
      <c r="J33" s="5" t="s">
        <v>43</v>
      </c>
      <c r="K33" s="6">
        <v>89</v>
      </c>
      <c r="L33" s="7">
        <v>5</v>
      </c>
      <c r="M33" s="8">
        <v>5.6180000000000001E-2</v>
      </c>
      <c r="N33" s="9" t="s">
        <v>122</v>
      </c>
      <c r="O33" s="9">
        <v>18.25</v>
      </c>
      <c r="P33" s="9">
        <v>24.94</v>
      </c>
      <c r="Q33" s="9">
        <v>73.180000000000007</v>
      </c>
      <c r="R33" s="6">
        <v>1.37</v>
      </c>
      <c r="S33" s="9">
        <v>1</v>
      </c>
      <c r="T33" s="7">
        <v>1</v>
      </c>
      <c r="U33" s="8">
        <v>0.2</v>
      </c>
      <c r="V33" s="6">
        <v>1</v>
      </c>
      <c r="W33" s="7">
        <v>0</v>
      </c>
      <c r="X33" s="7" t="s">
        <v>35</v>
      </c>
      <c r="Y33" s="10" t="s">
        <v>36</v>
      </c>
      <c r="Z33" s="11"/>
    </row>
    <row r="34" spans="1:26" ht="14.4" x14ac:dyDescent="0.3">
      <c r="A34" s="4">
        <v>45970</v>
      </c>
      <c r="B34" s="4">
        <v>45972</v>
      </c>
      <c r="C34" s="5" t="s">
        <v>27</v>
      </c>
      <c r="D34" s="5" t="s">
        <v>28</v>
      </c>
      <c r="E34" s="5" t="s">
        <v>71</v>
      </c>
      <c r="F34" s="5" t="s">
        <v>72</v>
      </c>
      <c r="G34" s="5" t="s">
        <v>31</v>
      </c>
      <c r="H34" s="5" t="s">
        <v>51</v>
      </c>
      <c r="I34" s="5" t="s">
        <v>52</v>
      </c>
      <c r="J34" s="5" t="s">
        <v>123</v>
      </c>
      <c r="K34" s="6">
        <v>2</v>
      </c>
      <c r="L34" s="7">
        <v>2</v>
      </c>
      <c r="M34" s="8">
        <v>1</v>
      </c>
      <c r="N34" s="9" t="s">
        <v>124</v>
      </c>
      <c r="O34" s="9">
        <v>5.26</v>
      </c>
      <c r="P34" s="9">
        <v>24.94</v>
      </c>
      <c r="Q34" s="9">
        <v>21.09</v>
      </c>
      <c r="R34" s="6">
        <v>4.74</v>
      </c>
      <c r="S34" s="9">
        <v>1</v>
      </c>
      <c r="T34" s="7">
        <v>1</v>
      </c>
      <c r="U34" s="8">
        <v>0.5</v>
      </c>
      <c r="V34" s="6">
        <v>1</v>
      </c>
      <c r="W34" s="7">
        <v>0</v>
      </c>
      <c r="X34" s="7" t="s">
        <v>35</v>
      </c>
      <c r="Y34" s="10" t="s">
        <v>36</v>
      </c>
      <c r="Z34" s="11"/>
    </row>
    <row r="35" spans="1:26" ht="14.4" x14ac:dyDescent="0.3">
      <c r="A35" s="4">
        <v>45970</v>
      </c>
      <c r="B35" s="4">
        <v>45975</v>
      </c>
      <c r="C35" s="5" t="s">
        <v>27</v>
      </c>
      <c r="D35" s="5" t="s">
        <v>28</v>
      </c>
      <c r="E35" s="5" t="s">
        <v>56</v>
      </c>
      <c r="F35" s="5" t="s">
        <v>57</v>
      </c>
      <c r="G35" s="5" t="s">
        <v>31</v>
      </c>
      <c r="H35" s="12" t="e">
        <f t="shared" ref="H35:H36" si="2">+maca +root</f>
        <v>#NAME?</v>
      </c>
      <c r="I35" s="5" t="s">
        <v>32</v>
      </c>
      <c r="J35" s="5" t="s">
        <v>125</v>
      </c>
      <c r="K35" s="6">
        <v>23</v>
      </c>
      <c r="L35" s="7">
        <v>3</v>
      </c>
      <c r="M35" s="8">
        <v>0.130435</v>
      </c>
      <c r="N35" s="9" t="s">
        <v>126</v>
      </c>
      <c r="O35" s="9">
        <v>9.81</v>
      </c>
      <c r="P35" s="9">
        <v>24.94</v>
      </c>
      <c r="Q35" s="9">
        <v>39.33</v>
      </c>
      <c r="R35" s="6">
        <v>2.54</v>
      </c>
      <c r="S35" s="9">
        <v>1</v>
      </c>
      <c r="T35" s="7">
        <v>1</v>
      </c>
      <c r="U35" s="8">
        <v>0.33333299999999999</v>
      </c>
      <c r="V35" s="6">
        <v>1</v>
      </c>
      <c r="W35" s="7">
        <v>0</v>
      </c>
      <c r="X35" s="7" t="s">
        <v>35</v>
      </c>
      <c r="Y35" s="10" t="s">
        <v>36</v>
      </c>
      <c r="Z35" s="11"/>
    </row>
    <row r="36" spans="1:26" ht="14.4" x14ac:dyDescent="0.3">
      <c r="A36" s="4">
        <v>45970</v>
      </c>
      <c r="B36" s="4">
        <v>45970</v>
      </c>
      <c r="C36" s="5" t="s">
        <v>27</v>
      </c>
      <c r="D36" s="5" t="s">
        <v>28</v>
      </c>
      <c r="E36" s="5" t="s">
        <v>56</v>
      </c>
      <c r="F36" s="5" t="s">
        <v>57</v>
      </c>
      <c r="G36" s="5" t="s">
        <v>31</v>
      </c>
      <c r="H36" s="12" t="e">
        <f t="shared" si="2"/>
        <v>#NAME?</v>
      </c>
      <c r="I36" s="5" t="s">
        <v>32</v>
      </c>
      <c r="J36" s="5" t="s">
        <v>127</v>
      </c>
      <c r="K36" s="6">
        <v>5</v>
      </c>
      <c r="L36" s="7">
        <v>2</v>
      </c>
      <c r="M36" s="8">
        <v>0.4</v>
      </c>
      <c r="N36" s="9" t="s">
        <v>128</v>
      </c>
      <c r="O36" s="9">
        <v>7.96</v>
      </c>
      <c r="P36" s="9">
        <v>24.94</v>
      </c>
      <c r="Q36" s="9">
        <v>31.92</v>
      </c>
      <c r="R36" s="6">
        <v>3.13</v>
      </c>
      <c r="S36" s="9">
        <v>1</v>
      </c>
      <c r="T36" s="7">
        <v>1</v>
      </c>
      <c r="U36" s="8">
        <v>0.5</v>
      </c>
      <c r="V36" s="6">
        <v>1</v>
      </c>
      <c r="W36" s="7">
        <v>0</v>
      </c>
      <c r="X36" s="7" t="s">
        <v>35</v>
      </c>
      <c r="Y36" s="10" t="s">
        <v>36</v>
      </c>
      <c r="Z36" s="11"/>
    </row>
    <row r="37" spans="1:26" ht="14.4" x14ac:dyDescent="0.3">
      <c r="A37" s="4">
        <v>45970</v>
      </c>
      <c r="B37" s="4">
        <v>45974</v>
      </c>
      <c r="C37" s="5" t="s">
        <v>48</v>
      </c>
      <c r="D37" s="5" t="s">
        <v>28</v>
      </c>
      <c r="E37" s="5" t="s">
        <v>62</v>
      </c>
      <c r="F37" s="5" t="s">
        <v>63</v>
      </c>
      <c r="G37" s="5" t="s">
        <v>31</v>
      </c>
      <c r="H37" s="5" t="s">
        <v>88</v>
      </c>
      <c r="I37" s="5" t="s">
        <v>65</v>
      </c>
      <c r="J37" s="5" t="s">
        <v>89</v>
      </c>
      <c r="K37" s="6">
        <v>44</v>
      </c>
      <c r="L37" s="7">
        <v>5</v>
      </c>
      <c r="M37" s="8">
        <v>0.113636</v>
      </c>
      <c r="N37" s="9" t="s">
        <v>129</v>
      </c>
      <c r="O37" s="9">
        <v>24.85</v>
      </c>
      <c r="P37" s="9">
        <v>21.9</v>
      </c>
      <c r="Q37" s="9">
        <v>113.47</v>
      </c>
      <c r="R37" s="6">
        <v>0.88</v>
      </c>
      <c r="S37" s="9">
        <v>1</v>
      </c>
      <c r="T37" s="7">
        <v>1</v>
      </c>
      <c r="U37" s="8">
        <v>0.2</v>
      </c>
      <c r="V37" s="6">
        <v>1</v>
      </c>
      <c r="W37" s="7">
        <v>0</v>
      </c>
      <c r="X37" s="7" t="s">
        <v>55</v>
      </c>
      <c r="Y37" s="10" t="s">
        <v>36</v>
      </c>
      <c r="Z37" s="11"/>
    </row>
    <row r="38" spans="1:26" ht="14.4" x14ac:dyDescent="0.3">
      <c r="A38" s="4">
        <v>45969</v>
      </c>
      <c r="B38" s="4">
        <v>45969</v>
      </c>
      <c r="C38" s="5" t="s">
        <v>48</v>
      </c>
      <c r="D38" s="5" t="s">
        <v>28</v>
      </c>
      <c r="E38" s="5" t="s">
        <v>49</v>
      </c>
      <c r="F38" s="5" t="s">
        <v>50</v>
      </c>
      <c r="G38" s="5" t="s">
        <v>31</v>
      </c>
      <c r="H38" s="5" t="s">
        <v>51</v>
      </c>
      <c r="I38" s="5" t="s">
        <v>52</v>
      </c>
      <c r="J38" s="5" t="s">
        <v>130</v>
      </c>
      <c r="K38" s="7">
        <v>1</v>
      </c>
      <c r="L38" s="7">
        <v>1</v>
      </c>
      <c r="M38" s="8">
        <v>1</v>
      </c>
      <c r="N38" s="10" t="s">
        <v>131</v>
      </c>
      <c r="O38" s="9">
        <v>3</v>
      </c>
      <c r="P38" s="9">
        <v>21.9</v>
      </c>
      <c r="Q38" s="9">
        <v>13.7</v>
      </c>
      <c r="R38" s="9">
        <v>7.3</v>
      </c>
      <c r="S38" s="7">
        <v>1</v>
      </c>
      <c r="T38" s="7">
        <v>1</v>
      </c>
      <c r="U38" s="8">
        <v>1</v>
      </c>
      <c r="V38" s="7">
        <v>1</v>
      </c>
      <c r="W38" s="7">
        <v>0</v>
      </c>
      <c r="X38" s="10" t="s">
        <v>55</v>
      </c>
      <c r="Y38" s="10" t="s">
        <v>36</v>
      </c>
      <c r="Z38" s="11"/>
    </row>
    <row r="39" spans="1:26" ht="14.4" x14ac:dyDescent="0.3">
      <c r="A39" s="4">
        <v>45969</v>
      </c>
      <c r="B39" s="4">
        <v>45969</v>
      </c>
      <c r="C39" s="5" t="s">
        <v>27</v>
      </c>
      <c r="D39" s="5" t="s">
        <v>28</v>
      </c>
      <c r="E39" s="5" t="s">
        <v>71</v>
      </c>
      <c r="F39" s="5" t="s">
        <v>72</v>
      </c>
      <c r="G39" s="5" t="s">
        <v>31</v>
      </c>
      <c r="H39" s="5" t="s">
        <v>51</v>
      </c>
      <c r="I39" s="5" t="s">
        <v>52</v>
      </c>
      <c r="J39" s="5" t="s">
        <v>119</v>
      </c>
      <c r="K39" s="7">
        <v>0</v>
      </c>
      <c r="L39" s="7">
        <v>0</v>
      </c>
      <c r="M39" s="13"/>
      <c r="N39" s="14"/>
      <c r="O39" s="9">
        <v>0</v>
      </c>
      <c r="P39" s="9">
        <v>24.94</v>
      </c>
      <c r="Q39" s="9">
        <v>0</v>
      </c>
      <c r="R39" s="15"/>
      <c r="S39" s="7">
        <v>1</v>
      </c>
      <c r="T39" s="7">
        <v>1</v>
      </c>
      <c r="U39" s="13"/>
      <c r="V39" s="7">
        <v>1</v>
      </c>
      <c r="W39" s="7">
        <v>0</v>
      </c>
      <c r="X39" s="10" t="s">
        <v>35</v>
      </c>
      <c r="Y39" s="10" t="s">
        <v>36</v>
      </c>
      <c r="Z39" s="11"/>
    </row>
    <row r="40" spans="1:26" ht="14.4" x14ac:dyDescent="0.3">
      <c r="A40" s="4">
        <v>45969</v>
      </c>
      <c r="B40" s="4">
        <v>45969</v>
      </c>
      <c r="C40" s="5" t="s">
        <v>27</v>
      </c>
      <c r="D40" s="5" t="s">
        <v>28</v>
      </c>
      <c r="E40" s="5" t="s">
        <v>56</v>
      </c>
      <c r="F40" s="5" t="s">
        <v>57</v>
      </c>
      <c r="G40" s="5" t="s">
        <v>31</v>
      </c>
      <c r="H40" s="12" t="e">
        <f>+maca +root</f>
        <v>#NAME?</v>
      </c>
      <c r="I40" s="5" t="s">
        <v>32</v>
      </c>
      <c r="J40" s="5" t="s">
        <v>132</v>
      </c>
      <c r="K40" s="7">
        <v>2</v>
      </c>
      <c r="L40" s="7">
        <v>1</v>
      </c>
      <c r="M40" s="16">
        <v>0.5</v>
      </c>
      <c r="N40" s="10" t="s">
        <v>102</v>
      </c>
      <c r="O40" s="9">
        <v>2.73</v>
      </c>
      <c r="P40" s="9">
        <v>24.94</v>
      </c>
      <c r="Q40" s="9">
        <v>10.95</v>
      </c>
      <c r="R40" s="9">
        <v>9.14</v>
      </c>
      <c r="S40" s="7">
        <v>1</v>
      </c>
      <c r="T40" s="7">
        <v>1</v>
      </c>
      <c r="U40" s="8">
        <v>1</v>
      </c>
      <c r="V40" s="7">
        <v>1</v>
      </c>
      <c r="W40" s="7">
        <v>0</v>
      </c>
      <c r="X40" s="10" t="s">
        <v>35</v>
      </c>
      <c r="Y40" s="10" t="s">
        <v>36</v>
      </c>
      <c r="Z40" s="11"/>
    </row>
    <row r="41" spans="1:26" ht="14.4" x14ac:dyDescent="0.3">
      <c r="A41" s="4">
        <v>45968</v>
      </c>
      <c r="B41" s="4">
        <v>45968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30</v>
      </c>
      <c r="I41" s="5" t="s">
        <v>32</v>
      </c>
      <c r="J41" s="5" t="s">
        <v>133</v>
      </c>
      <c r="K41" s="7">
        <v>2</v>
      </c>
      <c r="L41" s="7">
        <v>1</v>
      </c>
      <c r="M41" s="16">
        <v>0.5</v>
      </c>
      <c r="N41" s="10" t="s">
        <v>90</v>
      </c>
      <c r="O41" s="9">
        <v>3.41</v>
      </c>
      <c r="P41" s="9">
        <v>24.94</v>
      </c>
      <c r="Q41" s="9">
        <v>13.67</v>
      </c>
      <c r="R41" s="9">
        <v>7.31</v>
      </c>
      <c r="S41" s="7">
        <v>1</v>
      </c>
      <c r="T41" s="7">
        <v>1</v>
      </c>
      <c r="U41" s="8">
        <v>1</v>
      </c>
      <c r="V41" s="7">
        <v>1</v>
      </c>
      <c r="W41" s="7">
        <v>0</v>
      </c>
      <c r="X41" s="10" t="s">
        <v>35</v>
      </c>
      <c r="Y41" s="10" t="s">
        <v>36</v>
      </c>
      <c r="Z41" s="11"/>
    </row>
    <row r="42" spans="1:26" ht="14.4" x14ac:dyDescent="0.3">
      <c r="A42" s="4">
        <v>45968</v>
      </c>
      <c r="B42" s="4">
        <v>45968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30</v>
      </c>
      <c r="I42" s="5" t="s">
        <v>32</v>
      </c>
      <c r="J42" s="5" t="s">
        <v>134</v>
      </c>
      <c r="K42" s="7">
        <v>1</v>
      </c>
      <c r="L42" s="7">
        <v>1</v>
      </c>
      <c r="M42" s="8">
        <v>1</v>
      </c>
      <c r="N42" s="10" t="s">
        <v>135</v>
      </c>
      <c r="O42" s="9">
        <v>2.59</v>
      </c>
      <c r="P42" s="9">
        <v>24.94</v>
      </c>
      <c r="Q42" s="9">
        <v>10.38</v>
      </c>
      <c r="R42" s="9">
        <v>9.6300000000000008</v>
      </c>
      <c r="S42" s="7">
        <v>1</v>
      </c>
      <c r="T42" s="7">
        <v>1</v>
      </c>
      <c r="U42" s="8">
        <v>1</v>
      </c>
      <c r="V42" s="7">
        <v>1</v>
      </c>
      <c r="W42" s="7">
        <v>0</v>
      </c>
      <c r="X42" s="10" t="s">
        <v>35</v>
      </c>
      <c r="Y42" s="10" t="s">
        <v>36</v>
      </c>
      <c r="Z42" s="11"/>
    </row>
    <row r="43" spans="1:26" ht="14.4" x14ac:dyDescent="0.3">
      <c r="A43" s="4">
        <v>45968</v>
      </c>
      <c r="B43" s="4">
        <v>45968</v>
      </c>
      <c r="C43" s="5" t="s">
        <v>27</v>
      </c>
      <c r="D43" s="5" t="s">
        <v>28</v>
      </c>
      <c r="E43" s="5" t="s">
        <v>56</v>
      </c>
      <c r="F43" s="5" t="s">
        <v>57</v>
      </c>
      <c r="G43" s="5" t="s">
        <v>31</v>
      </c>
      <c r="H43" s="12" t="e">
        <f t="shared" ref="H43:H44" si="3">+maca +root</f>
        <v>#NAME?</v>
      </c>
      <c r="I43" s="5" t="s">
        <v>32</v>
      </c>
      <c r="J43" s="5" t="s">
        <v>136</v>
      </c>
      <c r="K43" s="7">
        <v>2</v>
      </c>
      <c r="L43" s="7">
        <v>1</v>
      </c>
      <c r="M43" s="16">
        <v>0.5</v>
      </c>
      <c r="N43" s="10" t="s">
        <v>59</v>
      </c>
      <c r="O43" s="9">
        <v>4.3499999999999996</v>
      </c>
      <c r="P43" s="9">
        <v>49.88</v>
      </c>
      <c r="Q43" s="9">
        <v>8.7200000000000006</v>
      </c>
      <c r="R43" s="9">
        <v>11.47</v>
      </c>
      <c r="S43" s="7">
        <v>1</v>
      </c>
      <c r="T43" s="7">
        <v>2</v>
      </c>
      <c r="U43" s="8">
        <v>1</v>
      </c>
      <c r="V43" s="7">
        <v>2</v>
      </c>
      <c r="W43" s="7">
        <v>0</v>
      </c>
      <c r="X43" s="10" t="s">
        <v>78</v>
      </c>
      <c r="Y43" s="10" t="s">
        <v>36</v>
      </c>
      <c r="Z43" s="11"/>
    </row>
    <row r="44" spans="1:26" ht="14.4" x14ac:dyDescent="0.3">
      <c r="A44" s="4">
        <v>45967</v>
      </c>
      <c r="B44" s="4">
        <v>45967</v>
      </c>
      <c r="C44" s="5" t="s">
        <v>27</v>
      </c>
      <c r="D44" s="5" t="s">
        <v>28</v>
      </c>
      <c r="E44" s="5" t="s">
        <v>56</v>
      </c>
      <c r="F44" s="5" t="s">
        <v>57</v>
      </c>
      <c r="G44" s="5" t="s">
        <v>31</v>
      </c>
      <c r="H44" s="12" t="e">
        <f t="shared" si="3"/>
        <v>#NAME?</v>
      </c>
      <c r="I44" s="5" t="s">
        <v>32</v>
      </c>
      <c r="J44" s="5" t="s">
        <v>137</v>
      </c>
      <c r="K44" s="7">
        <v>3</v>
      </c>
      <c r="L44" s="7">
        <v>1</v>
      </c>
      <c r="M44" s="16">
        <v>0.33333299999999999</v>
      </c>
      <c r="N44" s="10" t="s">
        <v>59</v>
      </c>
      <c r="O44" s="9">
        <v>4.3499999999999996</v>
      </c>
      <c r="P44" s="9">
        <v>24.94</v>
      </c>
      <c r="Q44" s="9">
        <v>17.440000000000001</v>
      </c>
      <c r="R44" s="9">
        <v>5.73</v>
      </c>
      <c r="S44" s="7">
        <v>1</v>
      </c>
      <c r="T44" s="7">
        <v>1</v>
      </c>
      <c r="U44" s="8">
        <v>1</v>
      </c>
      <c r="V44" s="7">
        <v>1</v>
      </c>
      <c r="W44" s="7">
        <v>0</v>
      </c>
      <c r="X44" s="10" t="s">
        <v>35</v>
      </c>
      <c r="Y44" s="10" t="s">
        <v>36</v>
      </c>
      <c r="Z44" s="11"/>
    </row>
    <row r="45" spans="1:26" ht="14.4" x14ac:dyDescent="0.3">
      <c r="A45" s="4">
        <v>45967</v>
      </c>
      <c r="B45" s="4">
        <v>45967</v>
      </c>
      <c r="C45" s="5" t="s">
        <v>40</v>
      </c>
      <c r="D45" s="5" t="s">
        <v>28</v>
      </c>
      <c r="E45" s="5" t="s">
        <v>41</v>
      </c>
      <c r="F45" s="5" t="s">
        <v>42</v>
      </c>
      <c r="G45" s="5" t="s">
        <v>31</v>
      </c>
      <c r="H45" s="5" t="s">
        <v>43</v>
      </c>
      <c r="I45" s="5" t="s">
        <v>44</v>
      </c>
      <c r="J45" s="5" t="s">
        <v>138</v>
      </c>
      <c r="K45" s="7">
        <v>1</v>
      </c>
      <c r="L45" s="7">
        <v>1</v>
      </c>
      <c r="M45" s="8">
        <v>1</v>
      </c>
      <c r="N45" s="10" t="s">
        <v>139</v>
      </c>
      <c r="O45" s="9">
        <v>2.08</v>
      </c>
      <c r="P45" s="9">
        <v>24.94</v>
      </c>
      <c r="Q45" s="9">
        <v>8.34</v>
      </c>
      <c r="R45" s="9">
        <v>11.99</v>
      </c>
      <c r="S45" s="7">
        <v>1</v>
      </c>
      <c r="T45" s="7">
        <v>1</v>
      </c>
      <c r="U45" s="8">
        <v>1</v>
      </c>
      <c r="V45" s="7">
        <v>1</v>
      </c>
      <c r="W45" s="7">
        <v>0</v>
      </c>
      <c r="X45" s="10" t="s">
        <v>35</v>
      </c>
      <c r="Y45" s="10" t="s">
        <v>36</v>
      </c>
      <c r="Z45" s="11"/>
    </row>
    <row r="46" spans="1:26" ht="14.4" x14ac:dyDescent="0.3">
      <c r="A46" s="4">
        <v>45967</v>
      </c>
      <c r="B46" s="4">
        <v>45967</v>
      </c>
      <c r="C46" s="5" t="s">
        <v>27</v>
      </c>
      <c r="D46" s="5" t="s">
        <v>28</v>
      </c>
      <c r="E46" s="5" t="s">
        <v>71</v>
      </c>
      <c r="F46" s="5" t="s">
        <v>72</v>
      </c>
      <c r="G46" s="5" t="s">
        <v>31</v>
      </c>
      <c r="H46" s="5" t="s">
        <v>73</v>
      </c>
      <c r="I46" s="5" t="s">
        <v>52</v>
      </c>
      <c r="J46" s="5" t="s">
        <v>140</v>
      </c>
      <c r="K46" s="7">
        <v>13</v>
      </c>
      <c r="L46" s="7">
        <v>1</v>
      </c>
      <c r="M46" s="16">
        <v>7.6923000000000005E-2</v>
      </c>
      <c r="N46" s="10" t="s">
        <v>141</v>
      </c>
      <c r="O46" s="9">
        <v>4.68</v>
      </c>
      <c r="P46" s="9">
        <v>24.94</v>
      </c>
      <c r="Q46" s="9">
        <v>18.77</v>
      </c>
      <c r="R46" s="9">
        <v>5.33</v>
      </c>
      <c r="S46" s="7">
        <v>1</v>
      </c>
      <c r="T46" s="7">
        <v>1</v>
      </c>
      <c r="U46" s="8">
        <v>1</v>
      </c>
      <c r="V46" s="7">
        <v>1</v>
      </c>
      <c r="W46" s="7">
        <v>0</v>
      </c>
      <c r="X46" s="10" t="s">
        <v>35</v>
      </c>
      <c r="Y46" s="10" t="s">
        <v>36</v>
      </c>
      <c r="Z46" s="11"/>
    </row>
    <row r="47" spans="1:26" ht="14.4" x14ac:dyDescent="0.3">
      <c r="A47" s="4">
        <v>45967</v>
      </c>
      <c r="B47" s="4">
        <v>45967</v>
      </c>
      <c r="C47" s="5" t="s">
        <v>27</v>
      </c>
      <c r="D47" s="5" t="s">
        <v>28</v>
      </c>
      <c r="E47" s="5" t="s">
        <v>56</v>
      </c>
      <c r="F47" s="5" t="s">
        <v>57</v>
      </c>
      <c r="G47" s="5" t="s">
        <v>31</v>
      </c>
      <c r="H47" s="12" t="e">
        <f>+maca +root</f>
        <v>#NAME?</v>
      </c>
      <c r="I47" s="5" t="s">
        <v>32</v>
      </c>
      <c r="J47" s="5" t="s">
        <v>142</v>
      </c>
      <c r="K47" s="7">
        <v>3</v>
      </c>
      <c r="L47" s="7">
        <v>1</v>
      </c>
      <c r="M47" s="16">
        <v>0.33333299999999999</v>
      </c>
      <c r="N47" s="10" t="s">
        <v>82</v>
      </c>
      <c r="O47" s="9">
        <v>2.0699999999999998</v>
      </c>
      <c r="P47" s="9">
        <v>24.94</v>
      </c>
      <c r="Q47" s="9">
        <v>8.3000000000000007</v>
      </c>
      <c r="R47" s="9">
        <v>12.05</v>
      </c>
      <c r="S47" s="7">
        <v>1</v>
      </c>
      <c r="T47" s="7">
        <v>1</v>
      </c>
      <c r="U47" s="8">
        <v>1</v>
      </c>
      <c r="V47" s="7">
        <v>1</v>
      </c>
      <c r="W47" s="7">
        <v>0</v>
      </c>
      <c r="X47" s="10" t="s">
        <v>35</v>
      </c>
      <c r="Y47" s="10" t="s">
        <v>36</v>
      </c>
      <c r="Z47" s="11"/>
    </row>
    <row r="48" spans="1:26" ht="14.4" x14ac:dyDescent="0.3">
      <c r="A48" s="4">
        <v>45966</v>
      </c>
      <c r="B48" s="4">
        <v>45966</v>
      </c>
      <c r="C48" s="5" t="s">
        <v>143</v>
      </c>
      <c r="D48" s="5" t="s">
        <v>28</v>
      </c>
      <c r="E48" s="5" t="s">
        <v>144</v>
      </c>
      <c r="F48" s="5" t="s">
        <v>32</v>
      </c>
      <c r="G48" s="5" t="s">
        <v>31</v>
      </c>
      <c r="H48" s="5" t="s">
        <v>30</v>
      </c>
      <c r="I48" s="5" t="s">
        <v>44</v>
      </c>
      <c r="J48" s="5" t="s">
        <v>145</v>
      </c>
      <c r="K48" s="7">
        <v>108</v>
      </c>
      <c r="L48" s="7">
        <v>1</v>
      </c>
      <c r="M48" s="16">
        <v>9.2589999999999999E-3</v>
      </c>
      <c r="N48" s="10" t="s">
        <v>146</v>
      </c>
      <c r="O48" s="9">
        <v>0.63</v>
      </c>
      <c r="P48" s="9">
        <v>24.94</v>
      </c>
      <c r="Q48" s="9">
        <v>2.5299999999999998</v>
      </c>
      <c r="R48" s="9">
        <v>39.590000000000003</v>
      </c>
      <c r="S48" s="7">
        <v>1</v>
      </c>
      <c r="T48" s="7">
        <v>1</v>
      </c>
      <c r="U48" s="8">
        <v>1</v>
      </c>
      <c r="V48" s="7">
        <v>1</v>
      </c>
      <c r="W48" s="7">
        <v>0</v>
      </c>
      <c r="X48" s="10" t="s">
        <v>35</v>
      </c>
      <c r="Y48" s="10" t="s">
        <v>36</v>
      </c>
      <c r="Z48" s="11"/>
    </row>
    <row r="49" spans="1:26" ht="14.4" x14ac:dyDescent="0.3">
      <c r="A49" s="4">
        <v>45966</v>
      </c>
      <c r="B49" s="4">
        <v>45966</v>
      </c>
      <c r="C49" s="5" t="s">
        <v>27</v>
      </c>
      <c r="D49" s="5" t="s">
        <v>28</v>
      </c>
      <c r="E49" s="5" t="s">
        <v>56</v>
      </c>
      <c r="F49" s="5" t="s">
        <v>57</v>
      </c>
      <c r="G49" s="5" t="s">
        <v>31</v>
      </c>
      <c r="H49" s="12" t="e">
        <f>+maca +root</f>
        <v>#NAME?</v>
      </c>
      <c r="I49" s="5" t="s">
        <v>32</v>
      </c>
      <c r="J49" s="5" t="s">
        <v>147</v>
      </c>
      <c r="K49" s="7">
        <v>2</v>
      </c>
      <c r="L49" s="7">
        <v>1</v>
      </c>
      <c r="M49" s="16">
        <v>0.5</v>
      </c>
      <c r="N49" s="10" t="s">
        <v>148</v>
      </c>
      <c r="O49" s="9">
        <v>3.44</v>
      </c>
      <c r="P49" s="9">
        <v>24.94</v>
      </c>
      <c r="Q49" s="9">
        <v>13.79</v>
      </c>
      <c r="R49" s="9">
        <v>7.25</v>
      </c>
      <c r="S49" s="7">
        <v>1</v>
      </c>
      <c r="T49" s="7">
        <v>1</v>
      </c>
      <c r="U49" s="8">
        <v>1</v>
      </c>
      <c r="V49" s="7">
        <v>1</v>
      </c>
      <c r="W49" s="7">
        <v>0</v>
      </c>
      <c r="X49" s="10" t="s">
        <v>35</v>
      </c>
      <c r="Y49" s="10" t="s">
        <v>36</v>
      </c>
      <c r="Z49" s="11"/>
    </row>
    <row r="50" spans="1:26" ht="14.4" x14ac:dyDescent="0.3">
      <c r="A50" s="4">
        <v>45966</v>
      </c>
      <c r="B50" s="4">
        <v>45966</v>
      </c>
      <c r="C50" s="5" t="s">
        <v>27</v>
      </c>
      <c r="D50" s="5" t="s">
        <v>28</v>
      </c>
      <c r="E50" s="5" t="s">
        <v>71</v>
      </c>
      <c r="F50" s="5" t="s">
        <v>72</v>
      </c>
      <c r="G50" s="5" t="s">
        <v>31</v>
      </c>
      <c r="H50" s="5" t="s">
        <v>73</v>
      </c>
      <c r="I50" s="5" t="s">
        <v>52</v>
      </c>
      <c r="J50" s="5" t="s">
        <v>43</v>
      </c>
      <c r="K50" s="7">
        <v>9</v>
      </c>
      <c r="L50" s="7">
        <v>1</v>
      </c>
      <c r="M50" s="16">
        <v>0.111111</v>
      </c>
      <c r="N50" s="10" t="s">
        <v>149</v>
      </c>
      <c r="O50" s="9">
        <v>3.06</v>
      </c>
      <c r="P50" s="9">
        <v>24.94</v>
      </c>
      <c r="Q50" s="9">
        <v>12.27</v>
      </c>
      <c r="R50" s="9">
        <v>8.15</v>
      </c>
      <c r="S50" s="7">
        <v>1</v>
      </c>
      <c r="T50" s="7">
        <v>1</v>
      </c>
      <c r="U50" s="8">
        <v>1</v>
      </c>
      <c r="V50" s="7">
        <v>1</v>
      </c>
      <c r="W50" s="7">
        <v>0</v>
      </c>
      <c r="X50" s="10" t="s">
        <v>35</v>
      </c>
      <c r="Y50" s="10" t="s">
        <v>36</v>
      </c>
      <c r="Z50" s="11"/>
    </row>
    <row r="51" spans="1:26" ht="14.4" x14ac:dyDescent="0.3">
      <c r="A51" s="4">
        <v>45966</v>
      </c>
      <c r="B51" s="4">
        <v>45969</v>
      </c>
      <c r="C51" s="5" t="s">
        <v>27</v>
      </c>
      <c r="D51" s="5" t="s">
        <v>28</v>
      </c>
      <c r="E51" s="5" t="s">
        <v>71</v>
      </c>
      <c r="F51" s="5" t="s">
        <v>72</v>
      </c>
      <c r="G51" s="5" t="s">
        <v>31</v>
      </c>
      <c r="H51" s="5" t="s">
        <v>73</v>
      </c>
      <c r="I51" s="5" t="s">
        <v>52</v>
      </c>
      <c r="J51" s="5" t="s">
        <v>101</v>
      </c>
      <c r="K51" s="7">
        <v>350</v>
      </c>
      <c r="L51" s="7">
        <v>6</v>
      </c>
      <c r="M51" s="16">
        <v>1.7142999999999999E-2</v>
      </c>
      <c r="N51" s="10" t="s">
        <v>150</v>
      </c>
      <c r="O51" s="9">
        <v>23.36</v>
      </c>
      <c r="P51" s="9">
        <v>49.88</v>
      </c>
      <c r="Q51" s="9">
        <v>46.83</v>
      </c>
      <c r="R51" s="9">
        <v>2.14</v>
      </c>
      <c r="S51" s="7">
        <v>2</v>
      </c>
      <c r="T51" s="7">
        <v>2</v>
      </c>
      <c r="U51" s="16">
        <v>0.33333299999999999</v>
      </c>
      <c r="V51" s="7">
        <v>2</v>
      </c>
      <c r="W51" s="7">
        <v>0</v>
      </c>
      <c r="X51" s="10" t="s">
        <v>78</v>
      </c>
      <c r="Y51" s="10" t="s">
        <v>36</v>
      </c>
      <c r="Z51" s="11"/>
    </row>
    <row r="52" spans="1:26" ht="14.4" x14ac:dyDescent="0.3">
      <c r="A52" s="4">
        <v>45966</v>
      </c>
      <c r="B52" s="4">
        <v>45966</v>
      </c>
      <c r="C52" s="5" t="s">
        <v>85</v>
      </c>
      <c r="D52" s="5" t="s">
        <v>28</v>
      </c>
      <c r="E52" s="5" t="s">
        <v>108</v>
      </c>
      <c r="F52" s="5" t="s">
        <v>109</v>
      </c>
      <c r="G52" s="5" t="s">
        <v>31</v>
      </c>
      <c r="H52" s="5" t="s">
        <v>110</v>
      </c>
      <c r="I52" s="5" t="s">
        <v>44</v>
      </c>
      <c r="J52" s="5" t="s">
        <v>151</v>
      </c>
      <c r="K52" s="7">
        <v>2</v>
      </c>
      <c r="L52" s="7">
        <v>1</v>
      </c>
      <c r="M52" s="16">
        <v>0.5</v>
      </c>
      <c r="N52" s="10" t="s">
        <v>152</v>
      </c>
      <c r="O52" s="9">
        <v>3.09</v>
      </c>
      <c r="P52" s="9">
        <v>24.94</v>
      </c>
      <c r="Q52" s="9">
        <v>12.39</v>
      </c>
      <c r="R52" s="9">
        <v>8.07</v>
      </c>
      <c r="S52" s="7">
        <v>1</v>
      </c>
      <c r="T52" s="7">
        <v>1</v>
      </c>
      <c r="U52" s="8">
        <v>1</v>
      </c>
      <c r="V52" s="7">
        <v>1</v>
      </c>
      <c r="W52" s="7">
        <v>0</v>
      </c>
      <c r="X52" s="10" t="s">
        <v>35</v>
      </c>
      <c r="Y52" s="10" t="s">
        <v>36</v>
      </c>
      <c r="Z52" s="11"/>
    </row>
    <row r="53" spans="1:26" ht="14.4" x14ac:dyDescent="0.3">
      <c r="A53" s="4">
        <v>45966</v>
      </c>
      <c r="B53" s="4">
        <v>45968</v>
      </c>
      <c r="C53" s="5" t="s">
        <v>48</v>
      </c>
      <c r="D53" s="5" t="s">
        <v>28</v>
      </c>
      <c r="E53" s="5" t="s">
        <v>49</v>
      </c>
      <c r="F53" s="5" t="s">
        <v>50</v>
      </c>
      <c r="G53" s="5" t="s">
        <v>31</v>
      </c>
      <c r="H53" s="5" t="s">
        <v>51</v>
      </c>
      <c r="I53" s="5" t="s">
        <v>52</v>
      </c>
      <c r="J53" s="5" t="s">
        <v>153</v>
      </c>
      <c r="K53" s="7">
        <v>36</v>
      </c>
      <c r="L53" s="7">
        <v>3</v>
      </c>
      <c r="M53" s="16">
        <v>8.3333000000000004E-2</v>
      </c>
      <c r="N53" s="10" t="s">
        <v>154</v>
      </c>
      <c r="O53" s="9">
        <v>6.74</v>
      </c>
      <c r="P53" s="9">
        <v>43.8</v>
      </c>
      <c r="Q53" s="9">
        <v>15.39</v>
      </c>
      <c r="R53" s="9">
        <v>6.5</v>
      </c>
      <c r="S53" s="7">
        <v>2</v>
      </c>
      <c r="T53" s="7">
        <v>2</v>
      </c>
      <c r="U53" s="16">
        <v>0.66666700000000001</v>
      </c>
      <c r="V53" s="7">
        <v>2</v>
      </c>
      <c r="W53" s="7">
        <v>0</v>
      </c>
      <c r="X53" s="10" t="s">
        <v>67</v>
      </c>
      <c r="Y53" s="10" t="s">
        <v>36</v>
      </c>
      <c r="Z53" s="11"/>
    </row>
    <row r="54" spans="1:26" ht="14.4" x14ac:dyDescent="0.3">
      <c r="A54" s="4">
        <v>45965</v>
      </c>
      <c r="B54" s="4">
        <v>45965</v>
      </c>
      <c r="C54" s="5" t="s">
        <v>27</v>
      </c>
      <c r="D54" s="5" t="s">
        <v>28</v>
      </c>
      <c r="E54" s="5" t="s">
        <v>71</v>
      </c>
      <c r="F54" s="5" t="s">
        <v>72</v>
      </c>
      <c r="G54" s="5" t="s">
        <v>31</v>
      </c>
      <c r="H54" s="5" t="s">
        <v>51</v>
      </c>
      <c r="I54" s="5" t="s">
        <v>52</v>
      </c>
      <c r="J54" s="5" t="s">
        <v>145</v>
      </c>
      <c r="K54" s="7">
        <v>13</v>
      </c>
      <c r="L54" s="7">
        <v>1</v>
      </c>
      <c r="M54" s="16">
        <v>7.6923000000000005E-2</v>
      </c>
      <c r="N54" s="10" t="s">
        <v>124</v>
      </c>
      <c r="O54" s="9">
        <v>2.63</v>
      </c>
      <c r="P54" s="9">
        <v>24.94</v>
      </c>
      <c r="Q54" s="9">
        <v>10.55</v>
      </c>
      <c r="R54" s="9">
        <v>9.48</v>
      </c>
      <c r="S54" s="7">
        <v>1</v>
      </c>
      <c r="T54" s="7">
        <v>1</v>
      </c>
      <c r="U54" s="8">
        <v>1</v>
      </c>
      <c r="V54" s="7">
        <v>1</v>
      </c>
      <c r="W54" s="7">
        <v>0</v>
      </c>
      <c r="X54" s="10" t="s">
        <v>35</v>
      </c>
      <c r="Y54" s="10" t="s">
        <v>36</v>
      </c>
      <c r="Z54" s="11"/>
    </row>
    <row r="55" spans="1:26" ht="14.4" x14ac:dyDescent="0.3">
      <c r="A55" s="4">
        <v>45965</v>
      </c>
      <c r="B55" s="4">
        <v>45965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30</v>
      </c>
      <c r="I55" s="5" t="s">
        <v>32</v>
      </c>
      <c r="J55" s="5" t="s">
        <v>155</v>
      </c>
      <c r="K55" s="7">
        <v>6</v>
      </c>
      <c r="L55" s="7">
        <v>1</v>
      </c>
      <c r="M55" s="16">
        <v>0.16666700000000001</v>
      </c>
      <c r="N55" s="10" t="s">
        <v>34</v>
      </c>
      <c r="O55" s="9">
        <v>2.83</v>
      </c>
      <c r="P55" s="9">
        <v>24.94</v>
      </c>
      <c r="Q55" s="9">
        <v>11.35</v>
      </c>
      <c r="R55" s="9">
        <v>8.81</v>
      </c>
      <c r="S55" s="7">
        <v>1</v>
      </c>
      <c r="T55" s="7">
        <v>1</v>
      </c>
      <c r="U55" s="8">
        <v>1</v>
      </c>
      <c r="V55" s="7">
        <v>1</v>
      </c>
      <c r="W55" s="7">
        <v>0</v>
      </c>
      <c r="X55" s="10" t="s">
        <v>35</v>
      </c>
      <c r="Y55" s="10" t="s">
        <v>36</v>
      </c>
      <c r="Z55" s="11"/>
    </row>
    <row r="56" spans="1:26" ht="14.4" x14ac:dyDescent="0.3">
      <c r="A56" s="4">
        <v>45965</v>
      </c>
      <c r="B56" s="4">
        <v>45965</v>
      </c>
      <c r="C56" s="5" t="s">
        <v>27</v>
      </c>
      <c r="D56" s="5" t="s">
        <v>28</v>
      </c>
      <c r="E56" s="5" t="s">
        <v>71</v>
      </c>
      <c r="F56" s="5" t="s">
        <v>72</v>
      </c>
      <c r="G56" s="5" t="s">
        <v>31</v>
      </c>
      <c r="H56" s="5" t="s">
        <v>51</v>
      </c>
      <c r="I56" s="5" t="s">
        <v>52</v>
      </c>
      <c r="J56" s="5" t="s">
        <v>156</v>
      </c>
      <c r="K56" s="7">
        <v>1</v>
      </c>
      <c r="L56" s="7">
        <v>1</v>
      </c>
      <c r="M56" s="8">
        <v>1</v>
      </c>
      <c r="N56" s="10" t="s">
        <v>157</v>
      </c>
      <c r="O56" s="9">
        <v>2.62</v>
      </c>
      <c r="P56" s="9">
        <v>24.94</v>
      </c>
      <c r="Q56" s="9">
        <v>10.51</v>
      </c>
      <c r="R56" s="9">
        <v>9.52</v>
      </c>
      <c r="S56" s="7">
        <v>1</v>
      </c>
      <c r="T56" s="7">
        <v>1</v>
      </c>
      <c r="U56" s="8">
        <v>1</v>
      </c>
      <c r="V56" s="7">
        <v>1</v>
      </c>
      <c r="W56" s="7">
        <v>0</v>
      </c>
      <c r="X56" s="10" t="s">
        <v>35</v>
      </c>
      <c r="Y56" s="10" t="s">
        <v>36</v>
      </c>
      <c r="Z56" s="11"/>
    </row>
    <row r="57" spans="1:26" ht="14.4" x14ac:dyDescent="0.3">
      <c r="A57" s="4">
        <v>45965</v>
      </c>
      <c r="B57" s="4">
        <v>45965</v>
      </c>
      <c r="C57" s="5" t="s">
        <v>48</v>
      </c>
      <c r="D57" s="5" t="s">
        <v>28</v>
      </c>
      <c r="E57" s="5" t="s">
        <v>49</v>
      </c>
      <c r="F57" s="5" t="s">
        <v>50</v>
      </c>
      <c r="G57" s="5" t="s">
        <v>31</v>
      </c>
      <c r="H57" s="5" t="s">
        <v>51</v>
      </c>
      <c r="I57" s="5" t="s">
        <v>52</v>
      </c>
      <c r="J57" s="5" t="s">
        <v>158</v>
      </c>
      <c r="K57" s="7">
        <v>1</v>
      </c>
      <c r="L57" s="7">
        <v>1</v>
      </c>
      <c r="M57" s="8">
        <v>1</v>
      </c>
      <c r="N57" s="10" t="s">
        <v>131</v>
      </c>
      <c r="O57" s="9">
        <v>3</v>
      </c>
      <c r="P57" s="9">
        <v>21.9</v>
      </c>
      <c r="Q57" s="9">
        <v>13.7</v>
      </c>
      <c r="R57" s="9">
        <v>7.3</v>
      </c>
      <c r="S57" s="7">
        <v>1</v>
      </c>
      <c r="T57" s="7">
        <v>1</v>
      </c>
      <c r="U57" s="8">
        <v>1</v>
      </c>
      <c r="V57" s="7">
        <v>1</v>
      </c>
      <c r="W57" s="7">
        <v>0</v>
      </c>
      <c r="X57" s="10" t="s">
        <v>55</v>
      </c>
      <c r="Y57" s="10" t="s">
        <v>36</v>
      </c>
      <c r="Z57" s="11"/>
    </row>
    <row r="58" spans="1:26" ht="14.4" x14ac:dyDescent="0.3">
      <c r="A58" s="4">
        <v>45964</v>
      </c>
      <c r="B58" s="4">
        <v>45968</v>
      </c>
      <c r="C58" s="5" t="s">
        <v>27</v>
      </c>
      <c r="D58" s="5" t="s">
        <v>28</v>
      </c>
      <c r="E58" s="5" t="s">
        <v>56</v>
      </c>
      <c r="F58" s="5" t="s">
        <v>57</v>
      </c>
      <c r="G58" s="5" t="s">
        <v>31</v>
      </c>
      <c r="H58" s="12" t="e">
        <f>+maca +root</f>
        <v>#NAME?</v>
      </c>
      <c r="I58" s="5" t="s">
        <v>32</v>
      </c>
      <c r="J58" s="5" t="s">
        <v>159</v>
      </c>
      <c r="K58" s="7">
        <v>54</v>
      </c>
      <c r="L58" s="7">
        <v>3</v>
      </c>
      <c r="M58" s="16">
        <v>5.5556000000000001E-2</v>
      </c>
      <c r="N58" s="10" t="s">
        <v>160</v>
      </c>
      <c r="O58" s="9">
        <v>11.07</v>
      </c>
      <c r="P58" s="9">
        <v>24.94</v>
      </c>
      <c r="Q58" s="9">
        <v>44.39</v>
      </c>
      <c r="R58" s="9">
        <v>2.25</v>
      </c>
      <c r="S58" s="7">
        <v>1</v>
      </c>
      <c r="T58" s="7">
        <v>1</v>
      </c>
      <c r="U58" s="16">
        <v>0.33333299999999999</v>
      </c>
      <c r="V58" s="7">
        <v>1</v>
      </c>
      <c r="W58" s="7">
        <v>0</v>
      </c>
      <c r="X58" s="10" t="s">
        <v>35</v>
      </c>
      <c r="Y58" s="10" t="s">
        <v>36</v>
      </c>
      <c r="Z58" s="11"/>
    </row>
    <row r="59" spans="1:26" ht="14.4" x14ac:dyDescent="0.3">
      <c r="A59" s="4">
        <v>45964</v>
      </c>
      <c r="B59" s="4">
        <v>45968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30</v>
      </c>
      <c r="I59" s="5" t="s">
        <v>32</v>
      </c>
      <c r="J59" s="5" t="s">
        <v>161</v>
      </c>
      <c r="K59" s="7">
        <v>8</v>
      </c>
      <c r="L59" s="7">
        <v>2</v>
      </c>
      <c r="M59" s="16">
        <v>0.25</v>
      </c>
      <c r="N59" s="10" t="s">
        <v>160</v>
      </c>
      <c r="O59" s="9">
        <v>7.38</v>
      </c>
      <c r="P59" s="9">
        <v>24.94</v>
      </c>
      <c r="Q59" s="9">
        <v>29.59</v>
      </c>
      <c r="R59" s="9">
        <v>3.38</v>
      </c>
      <c r="S59" s="7">
        <v>1</v>
      </c>
      <c r="T59" s="7">
        <v>1</v>
      </c>
      <c r="U59" s="16">
        <v>0.5</v>
      </c>
      <c r="V59" s="7">
        <v>1</v>
      </c>
      <c r="W59" s="7">
        <v>0</v>
      </c>
      <c r="X59" s="10" t="s">
        <v>35</v>
      </c>
      <c r="Y59" s="10" t="s">
        <v>36</v>
      </c>
      <c r="Z59" s="11"/>
    </row>
    <row r="60" spans="1:26" ht="14.4" x14ac:dyDescent="0.3">
      <c r="A60" s="4">
        <v>45964</v>
      </c>
      <c r="B60" s="4">
        <v>45969</v>
      </c>
      <c r="C60" s="5" t="s">
        <v>27</v>
      </c>
      <c r="D60" s="5" t="s">
        <v>28</v>
      </c>
      <c r="E60" s="5" t="s">
        <v>71</v>
      </c>
      <c r="F60" s="5" t="s">
        <v>72</v>
      </c>
      <c r="G60" s="5" t="s">
        <v>31</v>
      </c>
      <c r="H60" s="5" t="s">
        <v>73</v>
      </c>
      <c r="I60" s="5" t="s">
        <v>52</v>
      </c>
      <c r="J60" s="5" t="s">
        <v>162</v>
      </c>
      <c r="K60" s="7">
        <v>58</v>
      </c>
      <c r="L60" s="7">
        <v>3</v>
      </c>
      <c r="M60" s="16">
        <v>5.1723999999999999E-2</v>
      </c>
      <c r="N60" s="10" t="s">
        <v>163</v>
      </c>
      <c r="O60" s="9">
        <v>11.44</v>
      </c>
      <c r="P60" s="9">
        <v>49.88</v>
      </c>
      <c r="Q60" s="9">
        <v>22.94</v>
      </c>
      <c r="R60" s="9">
        <v>4.3600000000000003</v>
      </c>
      <c r="S60" s="7">
        <v>2</v>
      </c>
      <c r="T60" s="7">
        <v>2</v>
      </c>
      <c r="U60" s="16">
        <v>0.66666700000000001</v>
      </c>
      <c r="V60" s="7">
        <v>2</v>
      </c>
      <c r="W60" s="7">
        <v>0</v>
      </c>
      <c r="X60" s="10" t="s">
        <v>78</v>
      </c>
      <c r="Y60" s="10" t="s">
        <v>36</v>
      </c>
      <c r="Z60" s="11"/>
    </row>
    <row r="61" spans="1:26" ht="14.4" x14ac:dyDescent="0.3">
      <c r="A61" s="4">
        <v>45964</v>
      </c>
      <c r="B61" s="4">
        <v>45964</v>
      </c>
      <c r="C61" s="5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30</v>
      </c>
      <c r="I61" s="5" t="s">
        <v>32</v>
      </c>
      <c r="J61" s="5" t="s">
        <v>164</v>
      </c>
      <c r="K61" s="7">
        <v>4</v>
      </c>
      <c r="L61" s="7">
        <v>1</v>
      </c>
      <c r="M61" s="16">
        <v>0.25</v>
      </c>
      <c r="N61" s="10" t="s">
        <v>165</v>
      </c>
      <c r="O61" s="9">
        <v>3.86</v>
      </c>
      <c r="P61" s="9">
        <v>24.94</v>
      </c>
      <c r="Q61" s="9">
        <v>15.48</v>
      </c>
      <c r="R61" s="9">
        <v>6.46</v>
      </c>
      <c r="S61" s="7">
        <v>1</v>
      </c>
      <c r="T61" s="7">
        <v>1</v>
      </c>
      <c r="U61" s="8">
        <v>1</v>
      </c>
      <c r="V61" s="7">
        <v>1</v>
      </c>
      <c r="W61" s="7">
        <v>0</v>
      </c>
      <c r="X61" s="10" t="s">
        <v>35</v>
      </c>
      <c r="Y61" s="10" t="s">
        <v>36</v>
      </c>
      <c r="Z61" s="11"/>
    </row>
    <row r="62" spans="1:26" ht="14.4" x14ac:dyDescent="0.3">
      <c r="A62" s="4">
        <v>45964</v>
      </c>
      <c r="B62" s="4">
        <v>45964</v>
      </c>
      <c r="C62" s="5" t="s">
        <v>48</v>
      </c>
      <c r="D62" s="5" t="s">
        <v>28</v>
      </c>
      <c r="E62" s="5" t="s">
        <v>49</v>
      </c>
      <c r="F62" s="5" t="s">
        <v>50</v>
      </c>
      <c r="G62" s="5" t="s">
        <v>31</v>
      </c>
      <c r="H62" s="5" t="s">
        <v>51</v>
      </c>
      <c r="I62" s="5" t="s">
        <v>52</v>
      </c>
      <c r="J62" s="5" t="s">
        <v>166</v>
      </c>
      <c r="K62" s="7">
        <v>1</v>
      </c>
      <c r="L62" s="7">
        <v>1</v>
      </c>
      <c r="M62" s="8">
        <v>1</v>
      </c>
      <c r="N62" s="10" t="s">
        <v>131</v>
      </c>
      <c r="O62" s="9">
        <v>3</v>
      </c>
      <c r="P62" s="9">
        <v>21.9</v>
      </c>
      <c r="Q62" s="9">
        <v>13.7</v>
      </c>
      <c r="R62" s="9">
        <v>7.3</v>
      </c>
      <c r="S62" s="7">
        <v>1</v>
      </c>
      <c r="T62" s="7">
        <v>1</v>
      </c>
      <c r="U62" s="8">
        <v>1</v>
      </c>
      <c r="V62" s="7">
        <v>1</v>
      </c>
      <c r="W62" s="7">
        <v>0</v>
      </c>
      <c r="X62" s="10" t="s">
        <v>55</v>
      </c>
      <c r="Y62" s="10" t="s">
        <v>36</v>
      </c>
      <c r="Z62" s="11"/>
    </row>
    <row r="63" spans="1:26" ht="14.4" x14ac:dyDescent="0.3">
      <c r="A63" s="4">
        <v>45964</v>
      </c>
      <c r="B63" s="4">
        <v>45968</v>
      </c>
      <c r="C63" s="5" t="s">
        <v>48</v>
      </c>
      <c r="D63" s="5" t="s">
        <v>28</v>
      </c>
      <c r="E63" s="5" t="s">
        <v>62</v>
      </c>
      <c r="F63" s="5" t="s">
        <v>63</v>
      </c>
      <c r="G63" s="5" t="s">
        <v>31</v>
      </c>
      <c r="H63" s="5" t="s">
        <v>88</v>
      </c>
      <c r="I63" s="5" t="s">
        <v>65</v>
      </c>
      <c r="J63" s="5" t="s">
        <v>89</v>
      </c>
      <c r="K63" s="7">
        <v>11</v>
      </c>
      <c r="L63" s="7">
        <v>2</v>
      </c>
      <c r="M63" s="16">
        <v>0.18181800000000001</v>
      </c>
      <c r="N63" s="10" t="s">
        <v>167</v>
      </c>
      <c r="O63" s="9">
        <v>10.36</v>
      </c>
      <c r="P63" s="9">
        <v>21.9</v>
      </c>
      <c r="Q63" s="9">
        <v>47.31</v>
      </c>
      <c r="R63" s="9">
        <v>2.11</v>
      </c>
      <c r="S63" s="7">
        <v>1</v>
      </c>
      <c r="T63" s="7">
        <v>1</v>
      </c>
      <c r="U63" s="16">
        <v>0.5</v>
      </c>
      <c r="V63" s="7">
        <v>1</v>
      </c>
      <c r="W63" s="7">
        <v>0</v>
      </c>
      <c r="X63" s="10" t="s">
        <v>55</v>
      </c>
      <c r="Y63" s="10" t="s">
        <v>36</v>
      </c>
      <c r="Z63" s="11"/>
    </row>
    <row r="64" spans="1:26" ht="14.4" x14ac:dyDescent="0.3">
      <c r="A64" s="4">
        <v>45964</v>
      </c>
      <c r="B64" s="4">
        <v>45964</v>
      </c>
      <c r="C64" s="5" t="s">
        <v>48</v>
      </c>
      <c r="D64" s="5" t="s">
        <v>28</v>
      </c>
      <c r="E64" s="5" t="s">
        <v>62</v>
      </c>
      <c r="F64" s="5" t="s">
        <v>63</v>
      </c>
      <c r="G64" s="5" t="s">
        <v>31</v>
      </c>
      <c r="H64" s="5" t="s">
        <v>168</v>
      </c>
      <c r="I64" s="5" t="s">
        <v>65</v>
      </c>
      <c r="J64" s="5" t="s">
        <v>169</v>
      </c>
      <c r="K64" s="7">
        <v>6</v>
      </c>
      <c r="L64" s="7">
        <v>1</v>
      </c>
      <c r="M64" s="16">
        <v>0.16666700000000001</v>
      </c>
      <c r="N64" s="10" t="s">
        <v>170</v>
      </c>
      <c r="O64" s="9">
        <v>4.28</v>
      </c>
      <c r="P64" s="9">
        <v>21.9</v>
      </c>
      <c r="Q64" s="9">
        <v>19.54</v>
      </c>
      <c r="R64" s="9">
        <v>5.12</v>
      </c>
      <c r="S64" s="7">
        <v>1</v>
      </c>
      <c r="T64" s="7">
        <v>1</v>
      </c>
      <c r="U64" s="8">
        <v>1</v>
      </c>
      <c r="V64" s="7">
        <v>1</v>
      </c>
      <c r="W64" s="7">
        <v>0</v>
      </c>
      <c r="X64" s="10" t="s">
        <v>55</v>
      </c>
      <c r="Y64" s="10" t="s">
        <v>36</v>
      </c>
      <c r="Z64" s="11"/>
    </row>
    <row r="65" spans="1:26" ht="14.4" x14ac:dyDescent="0.3">
      <c r="A65" s="4">
        <v>45964</v>
      </c>
      <c r="B65" s="4">
        <v>45969</v>
      </c>
      <c r="C65" s="5" t="s">
        <v>48</v>
      </c>
      <c r="D65" s="5" t="s">
        <v>28</v>
      </c>
      <c r="E65" s="5" t="s">
        <v>62</v>
      </c>
      <c r="F65" s="5" t="s">
        <v>63</v>
      </c>
      <c r="G65" s="5" t="s">
        <v>31</v>
      </c>
      <c r="H65" s="5" t="s">
        <v>168</v>
      </c>
      <c r="I65" s="5" t="s">
        <v>65</v>
      </c>
      <c r="J65" s="5" t="s">
        <v>171</v>
      </c>
      <c r="K65" s="7">
        <v>12</v>
      </c>
      <c r="L65" s="7">
        <v>3</v>
      </c>
      <c r="M65" s="16">
        <v>0.25</v>
      </c>
      <c r="N65" s="10" t="s">
        <v>172</v>
      </c>
      <c r="O65" s="9">
        <v>10.78</v>
      </c>
      <c r="P65" s="9">
        <v>21.9</v>
      </c>
      <c r="Q65" s="9">
        <v>49.22</v>
      </c>
      <c r="R65" s="9">
        <v>2.0299999999999998</v>
      </c>
      <c r="S65" s="7">
        <v>1</v>
      </c>
      <c r="T65" s="7">
        <v>1</v>
      </c>
      <c r="U65" s="16">
        <v>0.33333299999999999</v>
      </c>
      <c r="V65" s="7">
        <v>1</v>
      </c>
      <c r="W65" s="7">
        <v>0</v>
      </c>
      <c r="X65" s="10" t="s">
        <v>55</v>
      </c>
      <c r="Y65" s="10" t="s">
        <v>36</v>
      </c>
      <c r="Z65" s="11"/>
    </row>
    <row r="66" spans="1:26" ht="14.4" x14ac:dyDescent="0.3">
      <c r="A66" s="4">
        <v>45964</v>
      </c>
      <c r="B66" s="4">
        <v>45964</v>
      </c>
      <c r="C66" s="5" t="s">
        <v>143</v>
      </c>
      <c r="D66" s="5" t="s">
        <v>28</v>
      </c>
      <c r="E66" s="5" t="s">
        <v>144</v>
      </c>
      <c r="F66" s="5" t="s">
        <v>32</v>
      </c>
      <c r="G66" s="5" t="s">
        <v>31</v>
      </c>
      <c r="H66" s="5" t="s">
        <v>173</v>
      </c>
      <c r="I66" s="5" t="s">
        <v>32</v>
      </c>
      <c r="J66" s="5" t="s">
        <v>174</v>
      </c>
      <c r="K66" s="7">
        <v>2</v>
      </c>
      <c r="L66" s="7">
        <v>1</v>
      </c>
      <c r="M66" s="16">
        <v>0.5</v>
      </c>
      <c r="N66" s="10" t="s">
        <v>175</v>
      </c>
      <c r="O66" s="9">
        <v>0.76</v>
      </c>
      <c r="P66" s="9">
        <v>24.94</v>
      </c>
      <c r="Q66" s="9">
        <v>3.05</v>
      </c>
      <c r="R66" s="9">
        <v>32.82</v>
      </c>
      <c r="S66" s="7">
        <v>1</v>
      </c>
      <c r="T66" s="7">
        <v>1</v>
      </c>
      <c r="U66" s="8">
        <v>1</v>
      </c>
      <c r="V66" s="7">
        <v>1</v>
      </c>
      <c r="W66" s="7">
        <v>0</v>
      </c>
      <c r="X66" s="10" t="s">
        <v>35</v>
      </c>
      <c r="Y66" s="10" t="s">
        <v>36</v>
      </c>
      <c r="Z66" s="11"/>
    </row>
    <row r="67" spans="1:26" ht="14.4" x14ac:dyDescent="0.3">
      <c r="A67" s="4">
        <v>45963</v>
      </c>
      <c r="B67" s="4">
        <v>45963</v>
      </c>
      <c r="C67" s="5" t="s">
        <v>48</v>
      </c>
      <c r="D67" s="5" t="s">
        <v>28</v>
      </c>
      <c r="E67" s="5" t="s">
        <v>49</v>
      </c>
      <c r="F67" s="5" t="s">
        <v>50</v>
      </c>
      <c r="G67" s="5" t="s">
        <v>31</v>
      </c>
      <c r="H67" s="5" t="s">
        <v>51</v>
      </c>
      <c r="I67" s="5" t="s">
        <v>52</v>
      </c>
      <c r="J67" s="5" t="s">
        <v>176</v>
      </c>
      <c r="K67" s="7">
        <v>6</v>
      </c>
      <c r="L67" s="7">
        <v>1</v>
      </c>
      <c r="M67" s="16">
        <v>0.16666700000000001</v>
      </c>
      <c r="N67" s="10" t="s">
        <v>107</v>
      </c>
      <c r="O67" s="9">
        <v>2.91</v>
      </c>
      <c r="P67" s="9">
        <v>21.9</v>
      </c>
      <c r="Q67" s="9">
        <v>13.29</v>
      </c>
      <c r="R67" s="9">
        <v>7.53</v>
      </c>
      <c r="S67" s="7">
        <v>1</v>
      </c>
      <c r="T67" s="7">
        <v>1</v>
      </c>
      <c r="U67" s="8">
        <v>1</v>
      </c>
      <c r="V67" s="7">
        <v>1</v>
      </c>
      <c r="W67" s="7">
        <v>0</v>
      </c>
      <c r="X67" s="10" t="s">
        <v>55</v>
      </c>
      <c r="Y67" s="10" t="s">
        <v>36</v>
      </c>
      <c r="Z67" s="11"/>
    </row>
    <row r="68" spans="1:26" ht="14.4" x14ac:dyDescent="0.3">
      <c r="A68" s="4">
        <v>45963</v>
      </c>
      <c r="B68" s="4">
        <v>45969</v>
      </c>
      <c r="C68" s="5" t="s">
        <v>105</v>
      </c>
      <c r="D68" s="5" t="s">
        <v>28</v>
      </c>
      <c r="E68" s="5" t="s">
        <v>106</v>
      </c>
      <c r="F68" s="5" t="s">
        <v>30</v>
      </c>
      <c r="G68" s="5" t="s">
        <v>31</v>
      </c>
      <c r="H68" s="5" t="s">
        <v>30</v>
      </c>
      <c r="I68" s="5" t="s">
        <v>65</v>
      </c>
      <c r="J68" s="5" t="s">
        <v>30</v>
      </c>
      <c r="K68" s="7">
        <v>2756</v>
      </c>
      <c r="L68" s="7">
        <v>10</v>
      </c>
      <c r="M68" s="16">
        <v>3.6280000000000001E-3</v>
      </c>
      <c r="N68" s="10" t="s">
        <v>177</v>
      </c>
      <c r="O68" s="9">
        <v>21.94</v>
      </c>
      <c r="P68" s="9">
        <v>24.94</v>
      </c>
      <c r="Q68" s="9">
        <v>87.97</v>
      </c>
      <c r="R68" s="9">
        <v>1.1399999999999999</v>
      </c>
      <c r="S68" s="7">
        <v>1</v>
      </c>
      <c r="T68" s="7">
        <v>1</v>
      </c>
      <c r="U68" s="16">
        <v>0.1</v>
      </c>
      <c r="V68" s="7">
        <v>1</v>
      </c>
      <c r="W68" s="7">
        <v>0</v>
      </c>
      <c r="X68" s="10" t="s">
        <v>35</v>
      </c>
      <c r="Y68" s="10" t="s">
        <v>36</v>
      </c>
      <c r="Z68" s="11"/>
    </row>
    <row r="69" spans="1:26" ht="14.4" x14ac:dyDescent="0.3">
      <c r="A69" s="4">
        <v>45963</v>
      </c>
      <c r="B69" s="4">
        <v>45963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30</v>
      </c>
      <c r="I69" s="5" t="s">
        <v>32</v>
      </c>
      <c r="J69" s="5" t="s">
        <v>162</v>
      </c>
      <c r="K69" s="7">
        <v>13</v>
      </c>
      <c r="L69" s="7">
        <v>1</v>
      </c>
      <c r="M69" s="16">
        <v>7.6923000000000005E-2</v>
      </c>
      <c r="N69" s="10" t="s">
        <v>34</v>
      </c>
      <c r="O69" s="9">
        <v>2.83</v>
      </c>
      <c r="P69" s="9">
        <v>24.94</v>
      </c>
      <c r="Q69" s="9">
        <v>11.35</v>
      </c>
      <c r="R69" s="9">
        <v>8.81</v>
      </c>
      <c r="S69" s="7">
        <v>1</v>
      </c>
      <c r="T69" s="7">
        <v>1</v>
      </c>
      <c r="U69" s="8">
        <v>1</v>
      </c>
      <c r="V69" s="7">
        <v>1</v>
      </c>
      <c r="W69" s="7">
        <v>0</v>
      </c>
      <c r="X69" s="10" t="s">
        <v>35</v>
      </c>
      <c r="Y69" s="10" t="s">
        <v>36</v>
      </c>
      <c r="Z69" s="11"/>
    </row>
    <row r="70" spans="1:26" ht="14.4" x14ac:dyDescent="0.3">
      <c r="A70" s="4">
        <v>45963</v>
      </c>
      <c r="B70" s="4">
        <v>45964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30</v>
      </c>
      <c r="I70" s="5" t="s">
        <v>32</v>
      </c>
      <c r="J70" s="5" t="s">
        <v>178</v>
      </c>
      <c r="K70" s="7">
        <v>25</v>
      </c>
      <c r="L70" s="7">
        <v>2</v>
      </c>
      <c r="M70" s="16">
        <v>0.08</v>
      </c>
      <c r="N70" s="10" t="s">
        <v>179</v>
      </c>
      <c r="O70" s="9">
        <v>8.68</v>
      </c>
      <c r="P70" s="9">
        <v>24.94</v>
      </c>
      <c r="Q70" s="9">
        <v>34.799999999999997</v>
      </c>
      <c r="R70" s="9">
        <v>2.87</v>
      </c>
      <c r="S70" s="7">
        <v>1</v>
      </c>
      <c r="T70" s="7">
        <v>1</v>
      </c>
      <c r="U70" s="16">
        <v>0.5</v>
      </c>
      <c r="V70" s="7">
        <v>1</v>
      </c>
      <c r="W70" s="7">
        <v>0</v>
      </c>
      <c r="X70" s="10" t="s">
        <v>35</v>
      </c>
      <c r="Y70" s="10" t="s">
        <v>36</v>
      </c>
      <c r="Z70" s="11"/>
    </row>
    <row r="71" spans="1:26" ht="14.4" x14ac:dyDescent="0.3">
      <c r="A71" s="4">
        <v>45963</v>
      </c>
      <c r="B71" s="4">
        <v>45963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30</v>
      </c>
      <c r="I71" s="5" t="s">
        <v>32</v>
      </c>
      <c r="J71" s="5" t="s">
        <v>180</v>
      </c>
      <c r="K71" s="7">
        <v>1</v>
      </c>
      <c r="L71" s="7">
        <v>1</v>
      </c>
      <c r="M71" s="8">
        <v>1</v>
      </c>
      <c r="N71" s="10" t="s">
        <v>179</v>
      </c>
      <c r="O71" s="9">
        <v>4.34</v>
      </c>
      <c r="P71" s="9">
        <v>24.94</v>
      </c>
      <c r="Q71" s="9">
        <v>17.399999999999999</v>
      </c>
      <c r="R71" s="9">
        <v>5.75</v>
      </c>
      <c r="S71" s="7">
        <v>1</v>
      </c>
      <c r="T71" s="7">
        <v>1</v>
      </c>
      <c r="U71" s="8">
        <v>1</v>
      </c>
      <c r="V71" s="7">
        <v>1</v>
      </c>
      <c r="W71" s="7">
        <v>0</v>
      </c>
      <c r="X71" s="10" t="s">
        <v>35</v>
      </c>
      <c r="Y71" s="10" t="s">
        <v>36</v>
      </c>
      <c r="Z71" s="11"/>
    </row>
    <row r="72" spans="1:26" ht="14.4" x14ac:dyDescent="0.3">
      <c r="A72" s="4">
        <v>45963</v>
      </c>
      <c r="B72" s="4">
        <v>45965</v>
      </c>
      <c r="C72" s="5" t="s">
        <v>85</v>
      </c>
      <c r="D72" s="5" t="s">
        <v>28</v>
      </c>
      <c r="E72" s="5" t="s">
        <v>108</v>
      </c>
      <c r="F72" s="5" t="s">
        <v>109</v>
      </c>
      <c r="G72" s="5" t="s">
        <v>31</v>
      </c>
      <c r="H72" s="5" t="s">
        <v>110</v>
      </c>
      <c r="I72" s="5" t="s">
        <v>44</v>
      </c>
      <c r="J72" s="5" t="s">
        <v>111</v>
      </c>
      <c r="K72" s="7">
        <v>4</v>
      </c>
      <c r="L72" s="7">
        <v>2</v>
      </c>
      <c r="M72" s="16">
        <v>0.5</v>
      </c>
      <c r="N72" s="10" t="s">
        <v>181</v>
      </c>
      <c r="O72" s="9">
        <v>4.99</v>
      </c>
      <c r="P72" s="9">
        <v>43.8</v>
      </c>
      <c r="Q72" s="9">
        <v>11.39</v>
      </c>
      <c r="R72" s="9">
        <v>8.7799999999999994</v>
      </c>
      <c r="S72" s="7">
        <v>2</v>
      </c>
      <c r="T72" s="7">
        <v>2</v>
      </c>
      <c r="U72" s="8">
        <v>1</v>
      </c>
      <c r="V72" s="7">
        <v>2</v>
      </c>
      <c r="W72" s="7">
        <v>0</v>
      </c>
      <c r="X72" s="10" t="s">
        <v>67</v>
      </c>
      <c r="Y72" s="10" t="s">
        <v>36</v>
      </c>
      <c r="Z72" s="11"/>
    </row>
    <row r="73" spans="1:26" ht="14.4" x14ac:dyDescent="0.3">
      <c r="A73" s="4">
        <v>45963</v>
      </c>
      <c r="B73" s="4">
        <v>45968</v>
      </c>
      <c r="C73" s="5" t="s">
        <v>143</v>
      </c>
      <c r="D73" s="5" t="s">
        <v>28</v>
      </c>
      <c r="E73" s="5" t="s">
        <v>144</v>
      </c>
      <c r="F73" s="5" t="s">
        <v>32</v>
      </c>
      <c r="G73" s="5" t="s">
        <v>31</v>
      </c>
      <c r="H73" s="5" t="s">
        <v>173</v>
      </c>
      <c r="I73" s="5" t="s">
        <v>65</v>
      </c>
      <c r="J73" s="5" t="s">
        <v>173</v>
      </c>
      <c r="K73" s="7">
        <v>185</v>
      </c>
      <c r="L73" s="7">
        <v>3</v>
      </c>
      <c r="M73" s="16">
        <v>1.6216000000000001E-2</v>
      </c>
      <c r="N73" s="10" t="s">
        <v>182</v>
      </c>
      <c r="O73" s="9">
        <v>2.48</v>
      </c>
      <c r="P73" s="9">
        <v>49.88</v>
      </c>
      <c r="Q73" s="9">
        <v>4.97</v>
      </c>
      <c r="R73" s="9">
        <v>20.11</v>
      </c>
      <c r="S73" s="7">
        <v>2</v>
      </c>
      <c r="T73" s="7">
        <v>2</v>
      </c>
      <c r="U73" s="16">
        <v>0.66666700000000001</v>
      </c>
      <c r="V73" s="7">
        <v>2</v>
      </c>
      <c r="W73" s="7">
        <v>0</v>
      </c>
      <c r="X73" s="10" t="s">
        <v>78</v>
      </c>
      <c r="Y73" s="10" t="s">
        <v>36</v>
      </c>
      <c r="Z73" s="11"/>
    </row>
    <row r="74" spans="1:26" ht="14.4" x14ac:dyDescent="0.3">
      <c r="A74" s="4">
        <v>45963</v>
      </c>
      <c r="B74" s="4">
        <v>45969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30</v>
      </c>
      <c r="I74" s="5" t="s">
        <v>32</v>
      </c>
      <c r="J74" s="5" t="s">
        <v>183</v>
      </c>
      <c r="K74" s="7">
        <v>37</v>
      </c>
      <c r="L74" s="7">
        <v>6</v>
      </c>
      <c r="M74" s="16">
        <v>0.162162</v>
      </c>
      <c r="N74" s="10" t="s">
        <v>165</v>
      </c>
      <c r="O74" s="9">
        <v>23.16</v>
      </c>
      <c r="P74" s="9">
        <v>49.88</v>
      </c>
      <c r="Q74" s="9">
        <v>46.43</v>
      </c>
      <c r="R74" s="9">
        <v>2.15</v>
      </c>
      <c r="S74" s="7">
        <v>2</v>
      </c>
      <c r="T74" s="7">
        <v>2</v>
      </c>
      <c r="U74" s="16">
        <v>0.33333299999999999</v>
      </c>
      <c r="V74" s="7">
        <v>2</v>
      </c>
      <c r="W74" s="7">
        <v>0</v>
      </c>
      <c r="X74" s="10" t="s">
        <v>78</v>
      </c>
      <c r="Y74" s="10" t="s">
        <v>36</v>
      </c>
      <c r="Z74" s="11"/>
    </row>
    <row r="75" spans="1:26" ht="14.4" x14ac:dyDescent="0.3">
      <c r="A75" s="4">
        <v>45963</v>
      </c>
      <c r="B75" s="4">
        <v>45969</v>
      </c>
      <c r="C75" s="5" t="s">
        <v>105</v>
      </c>
      <c r="D75" s="5" t="s">
        <v>28</v>
      </c>
      <c r="E75" s="5" t="s">
        <v>117</v>
      </c>
      <c r="F75" s="5" t="s">
        <v>118</v>
      </c>
      <c r="G75" s="5" t="s">
        <v>31</v>
      </c>
      <c r="H75" s="5" t="s">
        <v>119</v>
      </c>
      <c r="I75" s="5" t="s">
        <v>65</v>
      </c>
      <c r="J75" s="5" t="s">
        <v>119</v>
      </c>
      <c r="K75" s="7">
        <v>1957</v>
      </c>
      <c r="L75" s="7">
        <v>52</v>
      </c>
      <c r="M75" s="16">
        <v>2.6571000000000001E-2</v>
      </c>
      <c r="N75" s="10" t="s">
        <v>184</v>
      </c>
      <c r="O75" s="9">
        <v>156.44999999999999</v>
      </c>
      <c r="P75" s="9">
        <v>249.4</v>
      </c>
      <c r="Q75" s="9">
        <v>62.73</v>
      </c>
      <c r="R75" s="9">
        <v>1.59</v>
      </c>
      <c r="S75" s="7">
        <v>10</v>
      </c>
      <c r="T75" s="7">
        <v>10</v>
      </c>
      <c r="U75" s="16">
        <v>0.19230800000000001</v>
      </c>
      <c r="V75" s="7">
        <v>10</v>
      </c>
      <c r="W75" s="7">
        <v>0</v>
      </c>
      <c r="X75" s="10" t="s">
        <v>185</v>
      </c>
      <c r="Y75" s="10" t="s">
        <v>36</v>
      </c>
      <c r="Z75" s="11"/>
    </row>
    <row r="76" spans="1:26" ht="14.4" x14ac:dyDescent="0.3">
      <c r="A76" s="4">
        <v>45963</v>
      </c>
      <c r="B76" s="4">
        <v>45964</v>
      </c>
      <c r="C76" s="5" t="s">
        <v>27</v>
      </c>
      <c r="D76" s="5" t="s">
        <v>28</v>
      </c>
      <c r="E76" s="5" t="s">
        <v>56</v>
      </c>
      <c r="F76" s="5" t="s">
        <v>57</v>
      </c>
      <c r="G76" s="5" t="s">
        <v>31</v>
      </c>
      <c r="H76" s="12" t="e">
        <f>+maca +root</f>
        <v>#NAME?</v>
      </c>
      <c r="I76" s="5" t="s">
        <v>32</v>
      </c>
      <c r="J76" s="5" t="s">
        <v>119</v>
      </c>
      <c r="K76" s="7">
        <v>0</v>
      </c>
      <c r="L76" s="7">
        <v>0</v>
      </c>
      <c r="M76" s="13"/>
      <c r="N76" s="14"/>
      <c r="O76" s="9">
        <v>0</v>
      </c>
      <c r="P76" s="9">
        <v>49.88</v>
      </c>
      <c r="Q76" s="9">
        <v>0</v>
      </c>
      <c r="R76" s="15"/>
      <c r="S76" s="7">
        <v>2</v>
      </c>
      <c r="T76" s="7">
        <v>2</v>
      </c>
      <c r="U76" s="13"/>
      <c r="V76" s="7">
        <v>2</v>
      </c>
      <c r="W76" s="7">
        <v>0</v>
      </c>
      <c r="X76" s="10" t="s">
        <v>78</v>
      </c>
      <c r="Y76" s="10" t="s">
        <v>36</v>
      </c>
      <c r="Z76" s="11"/>
    </row>
    <row r="77" spans="1:26" ht="14.4" x14ac:dyDescent="0.3">
      <c r="A77" s="4">
        <v>45963</v>
      </c>
      <c r="B77" s="4">
        <v>45969</v>
      </c>
      <c r="C77" s="5" t="s">
        <v>40</v>
      </c>
      <c r="D77" s="5" t="s">
        <v>28</v>
      </c>
      <c r="E77" s="5" t="s">
        <v>41</v>
      </c>
      <c r="F77" s="5" t="s">
        <v>42</v>
      </c>
      <c r="G77" s="5" t="s">
        <v>31</v>
      </c>
      <c r="H77" s="5" t="s">
        <v>43</v>
      </c>
      <c r="I77" s="5" t="s">
        <v>44</v>
      </c>
      <c r="J77" s="5" t="s">
        <v>60</v>
      </c>
      <c r="K77" s="7">
        <v>66</v>
      </c>
      <c r="L77" s="7">
        <v>5</v>
      </c>
      <c r="M77" s="16">
        <v>7.5758000000000006E-2</v>
      </c>
      <c r="N77" s="10" t="s">
        <v>186</v>
      </c>
      <c r="O77" s="9">
        <v>14.93</v>
      </c>
      <c r="P77" s="9">
        <v>24.94</v>
      </c>
      <c r="Q77" s="9">
        <v>59.86</v>
      </c>
      <c r="R77" s="9">
        <v>1.67</v>
      </c>
      <c r="S77" s="7">
        <v>1</v>
      </c>
      <c r="T77" s="7">
        <v>1</v>
      </c>
      <c r="U77" s="16">
        <v>0.2</v>
      </c>
      <c r="V77" s="7">
        <v>1</v>
      </c>
      <c r="W77" s="7">
        <v>0</v>
      </c>
      <c r="X77" s="10" t="s">
        <v>35</v>
      </c>
      <c r="Y77" s="10" t="s">
        <v>36</v>
      </c>
      <c r="Z77" s="11"/>
    </row>
    <row r="78" spans="1:26" ht="14.4" x14ac:dyDescent="0.3">
      <c r="A78" s="4">
        <v>45963</v>
      </c>
      <c r="B78" s="4">
        <v>45969</v>
      </c>
      <c r="C78" s="5" t="s">
        <v>40</v>
      </c>
      <c r="D78" s="5" t="s">
        <v>28</v>
      </c>
      <c r="E78" s="5" t="s">
        <v>41</v>
      </c>
      <c r="F78" s="5" t="s">
        <v>42</v>
      </c>
      <c r="G78" s="5" t="s">
        <v>31</v>
      </c>
      <c r="H78" s="5" t="s">
        <v>43</v>
      </c>
      <c r="I78" s="5" t="s">
        <v>44</v>
      </c>
      <c r="J78" s="5" t="s">
        <v>43</v>
      </c>
      <c r="K78" s="7">
        <v>120</v>
      </c>
      <c r="L78" s="7">
        <v>10</v>
      </c>
      <c r="M78" s="16">
        <v>8.3333000000000004E-2</v>
      </c>
      <c r="N78" s="10" t="s">
        <v>187</v>
      </c>
      <c r="O78" s="9">
        <v>31.14</v>
      </c>
      <c r="P78" s="9">
        <v>49.88</v>
      </c>
      <c r="Q78" s="9">
        <v>62.43</v>
      </c>
      <c r="R78" s="9">
        <v>1.6</v>
      </c>
      <c r="S78" s="7">
        <v>2</v>
      </c>
      <c r="T78" s="7">
        <v>2</v>
      </c>
      <c r="U78" s="16">
        <v>0.2</v>
      </c>
      <c r="V78" s="7">
        <v>2</v>
      </c>
      <c r="W78" s="7">
        <v>0</v>
      </c>
      <c r="X78" s="10" t="s">
        <v>78</v>
      </c>
      <c r="Y78" s="10" t="s">
        <v>36</v>
      </c>
      <c r="Z78" s="11"/>
    </row>
    <row r="79" spans="1:26" ht="14.4" x14ac:dyDescent="0.3">
      <c r="A79" s="4">
        <v>45963</v>
      </c>
      <c r="B79" s="4">
        <v>45963</v>
      </c>
      <c r="C79" s="5" t="s">
        <v>48</v>
      </c>
      <c r="D79" s="5" t="s">
        <v>28</v>
      </c>
      <c r="E79" s="5" t="s">
        <v>49</v>
      </c>
      <c r="F79" s="5" t="s">
        <v>50</v>
      </c>
      <c r="G79" s="5" t="s">
        <v>31</v>
      </c>
      <c r="H79" s="5" t="s">
        <v>51</v>
      </c>
      <c r="I79" s="5" t="s">
        <v>52</v>
      </c>
      <c r="J79" s="5" t="s">
        <v>188</v>
      </c>
      <c r="K79" s="7">
        <v>1</v>
      </c>
      <c r="L79" s="7">
        <v>1</v>
      </c>
      <c r="M79" s="8">
        <v>1</v>
      </c>
      <c r="N79" s="10" t="s">
        <v>131</v>
      </c>
      <c r="O79" s="9">
        <v>3</v>
      </c>
      <c r="P79" s="9">
        <v>21.9</v>
      </c>
      <c r="Q79" s="9">
        <v>13.7</v>
      </c>
      <c r="R79" s="9">
        <v>7.3</v>
      </c>
      <c r="S79" s="7">
        <v>1</v>
      </c>
      <c r="T79" s="7">
        <v>1</v>
      </c>
      <c r="U79" s="8">
        <v>1</v>
      </c>
      <c r="V79" s="7">
        <v>1</v>
      </c>
      <c r="W79" s="7">
        <v>0</v>
      </c>
      <c r="X79" s="10" t="s">
        <v>55</v>
      </c>
      <c r="Y79" s="10" t="s">
        <v>36</v>
      </c>
      <c r="Z79" s="11"/>
    </row>
    <row r="80" spans="1:26" ht="14.4" x14ac:dyDescent="0.3">
      <c r="A80" s="4">
        <v>45962</v>
      </c>
      <c r="B80" s="4">
        <v>45962</v>
      </c>
      <c r="C80" s="17" t="s">
        <v>27</v>
      </c>
      <c r="D80" s="17" t="s">
        <v>28</v>
      </c>
      <c r="E80" s="17" t="s">
        <v>71</v>
      </c>
      <c r="F80" s="17" t="s">
        <v>72</v>
      </c>
      <c r="G80" s="17" t="s">
        <v>31</v>
      </c>
      <c r="H80" s="17" t="s">
        <v>73</v>
      </c>
      <c r="I80" s="17" t="s">
        <v>52</v>
      </c>
      <c r="J80" s="17" t="s">
        <v>189</v>
      </c>
      <c r="K80" s="7">
        <v>4</v>
      </c>
      <c r="L80" s="7">
        <v>1</v>
      </c>
      <c r="M80" s="16">
        <v>0.25</v>
      </c>
      <c r="N80" s="10" t="s">
        <v>190</v>
      </c>
      <c r="O80" s="9">
        <v>4.7</v>
      </c>
      <c r="P80" s="9">
        <v>24.94</v>
      </c>
      <c r="Q80" s="6">
        <v>18.850000000000001</v>
      </c>
      <c r="R80" s="9">
        <v>5.31</v>
      </c>
      <c r="S80" s="7">
        <v>1</v>
      </c>
      <c r="T80" s="7">
        <v>1</v>
      </c>
      <c r="U80" s="16">
        <v>1</v>
      </c>
      <c r="V80" s="7">
        <v>1</v>
      </c>
      <c r="W80" s="7">
        <v>0</v>
      </c>
      <c r="X80" s="10" t="s">
        <v>35</v>
      </c>
      <c r="Y80" s="10" t="s">
        <v>36</v>
      </c>
      <c r="Z80" s="11"/>
    </row>
    <row r="81" spans="1:26" ht="14.4" x14ac:dyDescent="0.3">
      <c r="A81" s="4">
        <v>45961</v>
      </c>
      <c r="B81" s="4">
        <v>45961</v>
      </c>
      <c r="C81" s="17" t="s">
        <v>27</v>
      </c>
      <c r="D81" s="17" t="s">
        <v>28</v>
      </c>
      <c r="E81" s="17" t="s">
        <v>56</v>
      </c>
      <c r="F81" s="17" t="s">
        <v>57</v>
      </c>
      <c r="G81" s="17" t="s">
        <v>31</v>
      </c>
      <c r="H81" s="18" t="e">
        <f>+maca +root</f>
        <v>#NAME?</v>
      </c>
      <c r="I81" s="17" t="s">
        <v>32</v>
      </c>
      <c r="J81" s="17" t="s">
        <v>191</v>
      </c>
      <c r="K81" s="7">
        <v>2</v>
      </c>
      <c r="L81" s="7">
        <v>1</v>
      </c>
      <c r="M81" s="16">
        <v>0.5</v>
      </c>
      <c r="N81" s="10" t="s">
        <v>192</v>
      </c>
      <c r="O81" s="9">
        <v>3.29</v>
      </c>
      <c r="P81" s="9">
        <v>24.94</v>
      </c>
      <c r="Q81" s="6">
        <v>13.19</v>
      </c>
      <c r="R81" s="9">
        <v>7.58</v>
      </c>
      <c r="S81" s="7">
        <v>1</v>
      </c>
      <c r="T81" s="7">
        <v>1</v>
      </c>
      <c r="U81" s="16">
        <v>1</v>
      </c>
      <c r="V81" s="7">
        <v>1</v>
      </c>
      <c r="W81" s="7">
        <v>0</v>
      </c>
      <c r="X81" s="10" t="s">
        <v>35</v>
      </c>
      <c r="Y81" s="10" t="s">
        <v>36</v>
      </c>
      <c r="Z81" s="11"/>
    </row>
    <row r="82" spans="1:26" ht="14.4" x14ac:dyDescent="0.3">
      <c r="A82" s="4">
        <v>45961</v>
      </c>
      <c r="B82" s="4">
        <v>45961</v>
      </c>
      <c r="C82" s="17" t="s">
        <v>27</v>
      </c>
      <c r="D82" s="17" t="s">
        <v>28</v>
      </c>
      <c r="E82" s="17" t="s">
        <v>71</v>
      </c>
      <c r="F82" s="17" t="s">
        <v>72</v>
      </c>
      <c r="G82" s="17" t="s">
        <v>31</v>
      </c>
      <c r="H82" s="17" t="s">
        <v>73</v>
      </c>
      <c r="I82" s="17" t="s">
        <v>52</v>
      </c>
      <c r="J82" s="17" t="s">
        <v>193</v>
      </c>
      <c r="K82" s="7">
        <v>1</v>
      </c>
      <c r="L82" s="7">
        <v>1</v>
      </c>
      <c r="M82" s="16">
        <v>1</v>
      </c>
      <c r="N82" s="10" t="s">
        <v>194</v>
      </c>
      <c r="O82" s="9">
        <v>2.74</v>
      </c>
      <c r="P82" s="9">
        <v>24.94</v>
      </c>
      <c r="Q82" s="6">
        <v>10.99</v>
      </c>
      <c r="R82" s="9">
        <v>9.1</v>
      </c>
      <c r="S82" s="7">
        <v>1</v>
      </c>
      <c r="T82" s="7">
        <v>1</v>
      </c>
      <c r="U82" s="16">
        <v>1</v>
      </c>
      <c r="V82" s="7">
        <v>1</v>
      </c>
      <c r="W82" s="7">
        <v>0</v>
      </c>
      <c r="X82" s="10" t="s">
        <v>35</v>
      </c>
      <c r="Y82" s="10" t="s">
        <v>36</v>
      </c>
      <c r="Z82" s="11"/>
    </row>
    <row r="83" spans="1:26" ht="14.4" x14ac:dyDescent="0.3">
      <c r="A83" s="4">
        <v>45961</v>
      </c>
      <c r="B83" s="4">
        <v>45961</v>
      </c>
      <c r="C83" s="17" t="s">
        <v>27</v>
      </c>
      <c r="D83" s="17" t="s">
        <v>28</v>
      </c>
      <c r="E83" s="17" t="s">
        <v>29</v>
      </c>
      <c r="F83" s="17" t="s">
        <v>30</v>
      </c>
      <c r="G83" s="17" t="s">
        <v>31</v>
      </c>
      <c r="H83" s="17" t="s">
        <v>30</v>
      </c>
      <c r="I83" s="17" t="s">
        <v>32</v>
      </c>
      <c r="J83" s="17" t="s">
        <v>195</v>
      </c>
      <c r="K83" s="7">
        <v>2</v>
      </c>
      <c r="L83" s="7">
        <v>1</v>
      </c>
      <c r="M83" s="16">
        <v>0.5</v>
      </c>
      <c r="N83" s="10" t="s">
        <v>34</v>
      </c>
      <c r="O83" s="9">
        <v>2.83</v>
      </c>
      <c r="P83" s="9">
        <v>24.94</v>
      </c>
      <c r="Q83" s="6">
        <v>11.35</v>
      </c>
      <c r="R83" s="9">
        <v>8.81</v>
      </c>
      <c r="S83" s="7">
        <v>1</v>
      </c>
      <c r="T83" s="7">
        <v>1</v>
      </c>
      <c r="U83" s="16">
        <v>1</v>
      </c>
      <c r="V83" s="7">
        <v>1</v>
      </c>
      <c r="W83" s="7">
        <v>0</v>
      </c>
      <c r="X83" s="10" t="s">
        <v>35</v>
      </c>
      <c r="Y83" s="10" t="s">
        <v>36</v>
      </c>
      <c r="Z83" s="11"/>
    </row>
    <row r="84" spans="1:26" ht="14.4" x14ac:dyDescent="0.3">
      <c r="A84" s="4">
        <v>45960</v>
      </c>
      <c r="B84" s="4">
        <v>45960</v>
      </c>
      <c r="C84" s="17" t="s">
        <v>143</v>
      </c>
      <c r="D84" s="17" t="s">
        <v>28</v>
      </c>
      <c r="E84" s="17" t="s">
        <v>144</v>
      </c>
      <c r="F84" s="17" t="s">
        <v>32</v>
      </c>
      <c r="G84" s="17" t="s">
        <v>31</v>
      </c>
      <c r="H84" s="17" t="s">
        <v>30</v>
      </c>
      <c r="I84" s="17" t="s">
        <v>44</v>
      </c>
      <c r="J84" s="17" t="s">
        <v>161</v>
      </c>
      <c r="K84" s="7">
        <v>1</v>
      </c>
      <c r="L84" s="7">
        <v>1</v>
      </c>
      <c r="M84" s="16">
        <v>1</v>
      </c>
      <c r="N84" s="10" t="s">
        <v>196</v>
      </c>
      <c r="O84" s="9">
        <v>1.36</v>
      </c>
      <c r="P84" s="9">
        <v>24.94</v>
      </c>
      <c r="Q84" s="6">
        <v>5.45</v>
      </c>
      <c r="R84" s="9">
        <v>18.34</v>
      </c>
      <c r="S84" s="7">
        <v>1</v>
      </c>
      <c r="T84" s="7">
        <v>1</v>
      </c>
      <c r="U84" s="16">
        <v>1</v>
      </c>
      <c r="V84" s="7">
        <v>1</v>
      </c>
      <c r="W84" s="7">
        <v>0</v>
      </c>
      <c r="X84" s="10" t="s">
        <v>35</v>
      </c>
      <c r="Y84" s="10" t="s">
        <v>36</v>
      </c>
      <c r="Z84" s="11"/>
    </row>
    <row r="85" spans="1:26" ht="14.4" x14ac:dyDescent="0.3">
      <c r="A85" s="4">
        <v>45960</v>
      </c>
      <c r="B85" s="4">
        <v>45960</v>
      </c>
      <c r="C85" s="17" t="s">
        <v>27</v>
      </c>
      <c r="D85" s="17" t="s">
        <v>28</v>
      </c>
      <c r="E85" s="17" t="s">
        <v>56</v>
      </c>
      <c r="F85" s="17" t="s">
        <v>57</v>
      </c>
      <c r="G85" s="17" t="s">
        <v>31</v>
      </c>
      <c r="H85" s="18" t="e">
        <f>+maca +root</f>
        <v>#NAME?</v>
      </c>
      <c r="I85" s="17" t="s">
        <v>32</v>
      </c>
      <c r="J85" s="17" t="s">
        <v>197</v>
      </c>
      <c r="K85" s="7">
        <v>4</v>
      </c>
      <c r="L85" s="7">
        <v>2</v>
      </c>
      <c r="M85" s="16">
        <v>0.5</v>
      </c>
      <c r="N85" s="10" t="s">
        <v>75</v>
      </c>
      <c r="O85" s="9">
        <v>7.2</v>
      </c>
      <c r="P85" s="9">
        <v>24.94</v>
      </c>
      <c r="Q85" s="6">
        <v>28.87</v>
      </c>
      <c r="R85" s="9">
        <v>3.46</v>
      </c>
      <c r="S85" s="7">
        <v>1</v>
      </c>
      <c r="T85" s="7">
        <v>1</v>
      </c>
      <c r="U85" s="16">
        <v>0.5</v>
      </c>
      <c r="V85" s="7">
        <v>1</v>
      </c>
      <c r="W85" s="7">
        <v>0</v>
      </c>
      <c r="X85" s="10" t="s">
        <v>35</v>
      </c>
      <c r="Y85" s="10" t="s">
        <v>36</v>
      </c>
      <c r="Z85" s="11"/>
    </row>
    <row r="86" spans="1:26" ht="14.4" x14ac:dyDescent="0.3">
      <c r="A86" s="4">
        <v>45959</v>
      </c>
      <c r="B86" s="4">
        <v>45961</v>
      </c>
      <c r="C86" s="17" t="s">
        <v>27</v>
      </c>
      <c r="D86" s="17" t="s">
        <v>28</v>
      </c>
      <c r="E86" s="17" t="s">
        <v>71</v>
      </c>
      <c r="F86" s="17" t="s">
        <v>72</v>
      </c>
      <c r="G86" s="17" t="s">
        <v>31</v>
      </c>
      <c r="H86" s="17" t="s">
        <v>73</v>
      </c>
      <c r="I86" s="17" t="s">
        <v>52</v>
      </c>
      <c r="J86" s="17" t="s">
        <v>74</v>
      </c>
      <c r="K86" s="7">
        <v>10</v>
      </c>
      <c r="L86" s="7">
        <v>2</v>
      </c>
      <c r="M86" s="16">
        <v>0.2</v>
      </c>
      <c r="N86" s="10" t="s">
        <v>198</v>
      </c>
      <c r="O86" s="9">
        <v>7.31</v>
      </c>
      <c r="P86" s="9">
        <v>24.94</v>
      </c>
      <c r="Q86" s="6">
        <v>29.31</v>
      </c>
      <c r="R86" s="9">
        <v>3.41</v>
      </c>
      <c r="S86" s="7">
        <v>1</v>
      </c>
      <c r="T86" s="7">
        <v>1</v>
      </c>
      <c r="U86" s="16">
        <v>0.5</v>
      </c>
      <c r="V86" s="7">
        <v>1</v>
      </c>
      <c r="W86" s="7">
        <v>0</v>
      </c>
      <c r="X86" s="10" t="s">
        <v>35</v>
      </c>
      <c r="Y86" s="10" t="s">
        <v>36</v>
      </c>
      <c r="Z86" s="11"/>
    </row>
    <row r="87" spans="1:26" ht="14.4" x14ac:dyDescent="0.3">
      <c r="A87" s="4">
        <v>45959</v>
      </c>
      <c r="B87" s="4">
        <v>45959</v>
      </c>
      <c r="C87" s="17" t="s">
        <v>27</v>
      </c>
      <c r="D87" s="17" t="s">
        <v>28</v>
      </c>
      <c r="E87" s="17" t="s">
        <v>29</v>
      </c>
      <c r="F87" s="17" t="s">
        <v>30</v>
      </c>
      <c r="G87" s="17" t="s">
        <v>31</v>
      </c>
      <c r="H87" s="17" t="s">
        <v>30</v>
      </c>
      <c r="I87" s="17" t="s">
        <v>32</v>
      </c>
      <c r="J87" s="17" t="s">
        <v>199</v>
      </c>
      <c r="K87" s="7">
        <v>5</v>
      </c>
      <c r="L87" s="7">
        <v>1</v>
      </c>
      <c r="M87" s="16">
        <v>0.2</v>
      </c>
      <c r="N87" s="10" t="s">
        <v>179</v>
      </c>
      <c r="O87" s="9">
        <v>4.34</v>
      </c>
      <c r="P87" s="9">
        <v>24.94</v>
      </c>
      <c r="Q87" s="6">
        <v>17.399999999999999</v>
      </c>
      <c r="R87" s="9">
        <v>5.75</v>
      </c>
      <c r="S87" s="7">
        <v>1</v>
      </c>
      <c r="T87" s="7">
        <v>1</v>
      </c>
      <c r="U87" s="16">
        <v>1</v>
      </c>
      <c r="V87" s="7">
        <v>1</v>
      </c>
      <c r="W87" s="7">
        <v>0</v>
      </c>
      <c r="X87" s="10" t="s">
        <v>35</v>
      </c>
      <c r="Y87" s="10" t="s">
        <v>36</v>
      </c>
      <c r="Z87" s="11"/>
    </row>
    <row r="88" spans="1:26" ht="14.4" x14ac:dyDescent="0.3">
      <c r="A88" s="4">
        <v>45959</v>
      </c>
      <c r="B88" s="4">
        <v>45959</v>
      </c>
      <c r="C88" s="17" t="s">
        <v>27</v>
      </c>
      <c r="D88" s="17" t="s">
        <v>28</v>
      </c>
      <c r="E88" s="17" t="s">
        <v>71</v>
      </c>
      <c r="F88" s="17" t="s">
        <v>72</v>
      </c>
      <c r="G88" s="17" t="s">
        <v>31</v>
      </c>
      <c r="H88" s="17" t="s">
        <v>51</v>
      </c>
      <c r="I88" s="17" t="s">
        <v>52</v>
      </c>
      <c r="J88" s="17" t="s">
        <v>200</v>
      </c>
      <c r="K88" s="7">
        <v>1</v>
      </c>
      <c r="L88" s="7">
        <v>1</v>
      </c>
      <c r="M88" s="16">
        <v>1</v>
      </c>
      <c r="N88" s="10" t="s">
        <v>201</v>
      </c>
      <c r="O88" s="9">
        <v>3.67</v>
      </c>
      <c r="P88" s="9">
        <v>24.94</v>
      </c>
      <c r="Q88" s="6">
        <v>14.72</v>
      </c>
      <c r="R88" s="9">
        <v>6.8</v>
      </c>
      <c r="S88" s="7">
        <v>1</v>
      </c>
      <c r="T88" s="7">
        <v>1</v>
      </c>
      <c r="U88" s="16">
        <v>1</v>
      </c>
      <c r="V88" s="7">
        <v>1</v>
      </c>
      <c r="W88" s="7">
        <v>0</v>
      </c>
      <c r="X88" s="10" t="s">
        <v>35</v>
      </c>
      <c r="Y88" s="10" t="s">
        <v>36</v>
      </c>
      <c r="Z88" s="11"/>
    </row>
    <row r="89" spans="1:26" ht="14.4" x14ac:dyDescent="0.3">
      <c r="A89" s="4">
        <v>45959</v>
      </c>
      <c r="B89" s="4">
        <v>45959</v>
      </c>
      <c r="C89" s="17" t="s">
        <v>27</v>
      </c>
      <c r="D89" s="17" t="s">
        <v>28</v>
      </c>
      <c r="E89" s="17" t="s">
        <v>71</v>
      </c>
      <c r="F89" s="17" t="s">
        <v>72</v>
      </c>
      <c r="G89" s="17" t="s">
        <v>31</v>
      </c>
      <c r="H89" s="17" t="s">
        <v>51</v>
      </c>
      <c r="I89" s="17" t="s">
        <v>52</v>
      </c>
      <c r="J89" s="17" t="s">
        <v>202</v>
      </c>
      <c r="K89" s="7">
        <v>1</v>
      </c>
      <c r="L89" s="7">
        <v>1</v>
      </c>
      <c r="M89" s="16">
        <v>1</v>
      </c>
      <c r="N89" s="10" t="s">
        <v>201</v>
      </c>
      <c r="O89" s="9">
        <v>3.67</v>
      </c>
      <c r="P89" s="9">
        <v>24.94</v>
      </c>
      <c r="Q89" s="6">
        <v>14.72</v>
      </c>
      <c r="R89" s="9">
        <v>6.8</v>
      </c>
      <c r="S89" s="7">
        <v>1</v>
      </c>
      <c r="T89" s="7">
        <v>1</v>
      </c>
      <c r="U89" s="16">
        <v>1</v>
      </c>
      <c r="V89" s="7">
        <v>1</v>
      </c>
      <c r="W89" s="7">
        <v>0</v>
      </c>
      <c r="X89" s="10" t="s">
        <v>35</v>
      </c>
      <c r="Y89" s="10" t="s">
        <v>36</v>
      </c>
      <c r="Z89" s="11"/>
    </row>
    <row r="90" spans="1:26" ht="14.4" x14ac:dyDescent="0.3">
      <c r="A90" s="4">
        <v>45959</v>
      </c>
      <c r="B90" s="4">
        <v>45959</v>
      </c>
      <c r="C90" s="17" t="s">
        <v>27</v>
      </c>
      <c r="D90" s="17" t="s">
        <v>28</v>
      </c>
      <c r="E90" s="17" t="s">
        <v>71</v>
      </c>
      <c r="F90" s="17" t="s">
        <v>72</v>
      </c>
      <c r="G90" s="17" t="s">
        <v>31</v>
      </c>
      <c r="H90" s="17" t="s">
        <v>51</v>
      </c>
      <c r="I90" s="17" t="s">
        <v>52</v>
      </c>
      <c r="J90" s="17" t="s">
        <v>203</v>
      </c>
      <c r="K90" s="7">
        <v>25</v>
      </c>
      <c r="L90" s="7">
        <v>2</v>
      </c>
      <c r="M90" s="16">
        <v>0.08</v>
      </c>
      <c r="N90" s="10" t="s">
        <v>204</v>
      </c>
      <c r="O90" s="9">
        <v>6.28</v>
      </c>
      <c r="P90" s="9">
        <v>24.94</v>
      </c>
      <c r="Q90" s="6">
        <v>25.18</v>
      </c>
      <c r="R90" s="9">
        <v>3.97</v>
      </c>
      <c r="S90" s="7">
        <v>1</v>
      </c>
      <c r="T90" s="7">
        <v>1</v>
      </c>
      <c r="U90" s="16">
        <v>0.5</v>
      </c>
      <c r="V90" s="7">
        <v>1</v>
      </c>
      <c r="W90" s="7">
        <v>0</v>
      </c>
      <c r="X90" s="10" t="s">
        <v>35</v>
      </c>
      <c r="Y90" s="10" t="s">
        <v>36</v>
      </c>
      <c r="Z90" s="11"/>
    </row>
    <row r="91" spans="1:26" ht="14.4" x14ac:dyDescent="0.3">
      <c r="A91" s="4">
        <v>45959</v>
      </c>
      <c r="B91" s="4">
        <v>45959</v>
      </c>
      <c r="C91" s="17" t="s">
        <v>27</v>
      </c>
      <c r="D91" s="17" t="s">
        <v>28</v>
      </c>
      <c r="E91" s="17" t="s">
        <v>71</v>
      </c>
      <c r="F91" s="17" t="s">
        <v>72</v>
      </c>
      <c r="G91" s="17" t="s">
        <v>31</v>
      </c>
      <c r="H91" s="17" t="s">
        <v>51</v>
      </c>
      <c r="I91" s="17" t="s">
        <v>52</v>
      </c>
      <c r="J91" s="17" t="s">
        <v>205</v>
      </c>
      <c r="K91" s="7">
        <v>1</v>
      </c>
      <c r="L91" s="7">
        <v>1</v>
      </c>
      <c r="M91" s="16">
        <v>1</v>
      </c>
      <c r="N91" s="10" t="s">
        <v>206</v>
      </c>
      <c r="O91" s="9">
        <v>2.72</v>
      </c>
      <c r="P91" s="9">
        <v>24.94</v>
      </c>
      <c r="Q91" s="6">
        <v>10.91</v>
      </c>
      <c r="R91" s="9">
        <v>9.17</v>
      </c>
      <c r="S91" s="7">
        <v>1</v>
      </c>
      <c r="T91" s="7">
        <v>1</v>
      </c>
      <c r="U91" s="16">
        <v>1</v>
      </c>
      <c r="V91" s="7">
        <v>1</v>
      </c>
      <c r="W91" s="7">
        <v>0</v>
      </c>
      <c r="X91" s="10" t="s">
        <v>35</v>
      </c>
      <c r="Y91" s="10" t="s">
        <v>36</v>
      </c>
      <c r="Z91" s="11"/>
    </row>
    <row r="92" spans="1:26" ht="14.4" x14ac:dyDescent="0.3">
      <c r="A92" s="4">
        <v>45959</v>
      </c>
      <c r="B92" s="4">
        <v>45962</v>
      </c>
      <c r="C92" s="17" t="s">
        <v>27</v>
      </c>
      <c r="D92" s="17" t="s">
        <v>28</v>
      </c>
      <c r="E92" s="17" t="s">
        <v>71</v>
      </c>
      <c r="F92" s="17" t="s">
        <v>72</v>
      </c>
      <c r="G92" s="17" t="s">
        <v>31</v>
      </c>
      <c r="H92" s="17" t="s">
        <v>73</v>
      </c>
      <c r="I92" s="17" t="s">
        <v>52</v>
      </c>
      <c r="J92" s="17" t="s">
        <v>43</v>
      </c>
      <c r="K92" s="7">
        <v>86</v>
      </c>
      <c r="L92" s="7">
        <v>6</v>
      </c>
      <c r="M92" s="16">
        <v>6.9766999999999996E-2</v>
      </c>
      <c r="N92" s="10" t="s">
        <v>198</v>
      </c>
      <c r="O92" s="9">
        <v>21.94</v>
      </c>
      <c r="P92" s="9">
        <v>74.819999999999993</v>
      </c>
      <c r="Q92" s="6">
        <v>29.32</v>
      </c>
      <c r="R92" s="9">
        <v>3.41</v>
      </c>
      <c r="S92" s="7">
        <v>3</v>
      </c>
      <c r="T92" s="7">
        <v>3</v>
      </c>
      <c r="U92" s="16">
        <v>0.5</v>
      </c>
      <c r="V92" s="7">
        <v>3</v>
      </c>
      <c r="W92" s="7">
        <v>0</v>
      </c>
      <c r="X92" s="10" t="s">
        <v>93</v>
      </c>
      <c r="Y92" s="10" t="s">
        <v>36</v>
      </c>
      <c r="Z92" s="11"/>
    </row>
    <row r="93" spans="1:26" ht="14.4" x14ac:dyDescent="0.3">
      <c r="A93" s="4">
        <v>45959</v>
      </c>
      <c r="B93" s="4">
        <v>45960</v>
      </c>
      <c r="C93" s="17" t="s">
        <v>85</v>
      </c>
      <c r="D93" s="17" t="s">
        <v>28</v>
      </c>
      <c r="E93" s="17" t="s">
        <v>86</v>
      </c>
      <c r="F93" s="17" t="s">
        <v>87</v>
      </c>
      <c r="G93" s="17" t="s">
        <v>31</v>
      </c>
      <c r="H93" s="17" t="s">
        <v>88</v>
      </c>
      <c r="I93" s="17" t="s">
        <v>44</v>
      </c>
      <c r="J93" s="17" t="s">
        <v>89</v>
      </c>
      <c r="K93" s="7">
        <v>14</v>
      </c>
      <c r="L93" s="7">
        <v>2</v>
      </c>
      <c r="M93" s="16">
        <v>0.14285700000000001</v>
      </c>
      <c r="N93" s="10" t="s">
        <v>59</v>
      </c>
      <c r="O93" s="9">
        <v>8.69</v>
      </c>
      <c r="P93" s="9">
        <v>43.8</v>
      </c>
      <c r="Q93" s="6">
        <v>19.84</v>
      </c>
      <c r="R93" s="9">
        <v>5.04</v>
      </c>
      <c r="S93" s="7">
        <v>2</v>
      </c>
      <c r="T93" s="7">
        <v>2</v>
      </c>
      <c r="U93" s="16">
        <v>1</v>
      </c>
      <c r="V93" s="7">
        <v>2</v>
      </c>
      <c r="W93" s="7">
        <v>0</v>
      </c>
      <c r="X93" s="10" t="s">
        <v>67</v>
      </c>
      <c r="Y93" s="10" t="s">
        <v>36</v>
      </c>
      <c r="Z93" s="11"/>
    </row>
    <row r="94" spans="1:26" ht="14.4" x14ac:dyDescent="0.3">
      <c r="A94" s="4">
        <v>45959</v>
      </c>
      <c r="B94" s="4">
        <v>45959</v>
      </c>
      <c r="C94" s="17" t="s">
        <v>85</v>
      </c>
      <c r="D94" s="17" t="s">
        <v>28</v>
      </c>
      <c r="E94" s="17" t="s">
        <v>86</v>
      </c>
      <c r="F94" s="17" t="s">
        <v>87</v>
      </c>
      <c r="G94" s="17" t="s">
        <v>31</v>
      </c>
      <c r="H94" s="17" t="s">
        <v>87</v>
      </c>
      <c r="I94" s="17" t="s">
        <v>44</v>
      </c>
      <c r="J94" s="17" t="s">
        <v>207</v>
      </c>
      <c r="K94" s="7">
        <v>1</v>
      </c>
      <c r="L94" s="7">
        <v>1</v>
      </c>
      <c r="M94" s="16">
        <v>1</v>
      </c>
      <c r="N94" s="10" t="s">
        <v>208</v>
      </c>
      <c r="O94" s="9">
        <v>4.53</v>
      </c>
      <c r="P94" s="9">
        <v>21.9</v>
      </c>
      <c r="Q94" s="6">
        <v>20.68</v>
      </c>
      <c r="R94" s="9">
        <v>4.83</v>
      </c>
      <c r="S94" s="7">
        <v>1</v>
      </c>
      <c r="T94" s="7">
        <v>1</v>
      </c>
      <c r="U94" s="16">
        <v>1</v>
      </c>
      <c r="V94" s="7">
        <v>1</v>
      </c>
      <c r="W94" s="7">
        <v>0</v>
      </c>
      <c r="X94" s="10" t="s">
        <v>55</v>
      </c>
      <c r="Y94" s="10" t="s">
        <v>36</v>
      </c>
      <c r="Z94" s="11"/>
    </row>
    <row r="95" spans="1:26" ht="14.4" x14ac:dyDescent="0.3">
      <c r="A95" s="4">
        <v>45959</v>
      </c>
      <c r="B95" s="4">
        <v>45959</v>
      </c>
      <c r="C95" s="17" t="s">
        <v>27</v>
      </c>
      <c r="D95" s="17" t="s">
        <v>28</v>
      </c>
      <c r="E95" s="17" t="s">
        <v>71</v>
      </c>
      <c r="F95" s="17" t="s">
        <v>72</v>
      </c>
      <c r="G95" s="17" t="s">
        <v>31</v>
      </c>
      <c r="H95" s="17" t="s">
        <v>51</v>
      </c>
      <c r="I95" s="17" t="s">
        <v>52</v>
      </c>
      <c r="J95" s="17" t="s">
        <v>209</v>
      </c>
      <c r="K95" s="7">
        <v>2</v>
      </c>
      <c r="L95" s="7">
        <v>2</v>
      </c>
      <c r="M95" s="16">
        <v>1</v>
      </c>
      <c r="N95" s="10" t="s">
        <v>210</v>
      </c>
      <c r="O95" s="9">
        <v>6.3</v>
      </c>
      <c r="P95" s="9">
        <v>49.88</v>
      </c>
      <c r="Q95" s="6">
        <v>12.63</v>
      </c>
      <c r="R95" s="9">
        <v>7.92</v>
      </c>
      <c r="S95" s="7">
        <v>2</v>
      </c>
      <c r="T95" s="7">
        <v>2</v>
      </c>
      <c r="U95" s="16">
        <v>1</v>
      </c>
      <c r="V95" s="7">
        <v>2</v>
      </c>
      <c r="W95" s="7">
        <v>0</v>
      </c>
      <c r="X95" s="10" t="s">
        <v>78</v>
      </c>
      <c r="Y95" s="10" t="s">
        <v>36</v>
      </c>
      <c r="Z95" s="11"/>
    </row>
    <row r="96" spans="1:26" ht="14.4" x14ac:dyDescent="0.3">
      <c r="A96" s="4">
        <v>45958</v>
      </c>
      <c r="B96" s="4">
        <v>45958</v>
      </c>
      <c r="C96" s="17" t="s">
        <v>27</v>
      </c>
      <c r="D96" s="17" t="s">
        <v>28</v>
      </c>
      <c r="E96" s="17" t="s">
        <v>29</v>
      </c>
      <c r="F96" s="17" t="s">
        <v>30</v>
      </c>
      <c r="G96" s="17" t="s">
        <v>31</v>
      </c>
      <c r="H96" s="17" t="s">
        <v>30</v>
      </c>
      <c r="I96" s="17" t="s">
        <v>32</v>
      </c>
      <c r="J96" s="17" t="s">
        <v>211</v>
      </c>
      <c r="K96" s="7">
        <v>1</v>
      </c>
      <c r="L96" s="7">
        <v>1</v>
      </c>
      <c r="M96" s="16">
        <v>1</v>
      </c>
      <c r="N96" s="10" t="s">
        <v>212</v>
      </c>
      <c r="O96" s="9">
        <v>2.0299999999999998</v>
      </c>
      <c r="P96" s="9">
        <v>49.88</v>
      </c>
      <c r="Q96" s="6">
        <v>4.07</v>
      </c>
      <c r="R96" s="9">
        <v>24.57</v>
      </c>
      <c r="S96" s="7">
        <v>2</v>
      </c>
      <c r="T96" s="7">
        <v>2</v>
      </c>
      <c r="U96" s="16">
        <v>2</v>
      </c>
      <c r="V96" s="7">
        <v>2</v>
      </c>
      <c r="W96" s="7">
        <v>0</v>
      </c>
      <c r="X96" s="10" t="s">
        <v>78</v>
      </c>
      <c r="Y96" s="10" t="s">
        <v>36</v>
      </c>
      <c r="Z96" s="11"/>
    </row>
    <row r="97" spans="1:26" ht="14.4" x14ac:dyDescent="0.3">
      <c r="A97" s="4">
        <v>45958</v>
      </c>
      <c r="B97" s="4">
        <v>45958</v>
      </c>
      <c r="C97" s="17" t="s">
        <v>27</v>
      </c>
      <c r="D97" s="17" t="s">
        <v>28</v>
      </c>
      <c r="E97" s="17" t="s">
        <v>29</v>
      </c>
      <c r="F97" s="17" t="s">
        <v>30</v>
      </c>
      <c r="G97" s="17" t="s">
        <v>31</v>
      </c>
      <c r="H97" s="17" t="s">
        <v>30</v>
      </c>
      <c r="I97" s="17" t="s">
        <v>32</v>
      </c>
      <c r="J97" s="17" t="s">
        <v>213</v>
      </c>
      <c r="K97" s="7">
        <v>1</v>
      </c>
      <c r="L97" s="7">
        <v>1</v>
      </c>
      <c r="M97" s="16">
        <v>1</v>
      </c>
      <c r="N97" s="10" t="s">
        <v>179</v>
      </c>
      <c r="O97" s="9">
        <v>4.34</v>
      </c>
      <c r="P97" s="9">
        <v>24.94</v>
      </c>
      <c r="Q97" s="6">
        <v>17.399999999999999</v>
      </c>
      <c r="R97" s="9">
        <v>5.75</v>
      </c>
      <c r="S97" s="7">
        <v>1</v>
      </c>
      <c r="T97" s="7">
        <v>1</v>
      </c>
      <c r="U97" s="16">
        <v>1</v>
      </c>
      <c r="V97" s="7">
        <v>1</v>
      </c>
      <c r="W97" s="7">
        <v>0</v>
      </c>
      <c r="X97" s="10" t="s">
        <v>35</v>
      </c>
      <c r="Y97" s="10" t="s">
        <v>36</v>
      </c>
      <c r="Z97" s="11"/>
    </row>
    <row r="98" spans="1:26" ht="14.4" x14ac:dyDescent="0.3">
      <c r="A98" s="4">
        <v>45958</v>
      </c>
      <c r="B98" s="4">
        <v>45958</v>
      </c>
      <c r="C98" s="17" t="s">
        <v>27</v>
      </c>
      <c r="D98" s="17" t="s">
        <v>28</v>
      </c>
      <c r="E98" s="17" t="s">
        <v>56</v>
      </c>
      <c r="F98" s="17" t="s">
        <v>57</v>
      </c>
      <c r="G98" s="17" t="s">
        <v>31</v>
      </c>
      <c r="H98" s="18" t="e">
        <f>+maca +root</f>
        <v>#NAME?</v>
      </c>
      <c r="I98" s="17" t="s">
        <v>32</v>
      </c>
      <c r="J98" s="17" t="s">
        <v>214</v>
      </c>
      <c r="K98" s="7">
        <v>1</v>
      </c>
      <c r="L98" s="7">
        <v>1</v>
      </c>
      <c r="M98" s="16">
        <v>1</v>
      </c>
      <c r="N98" s="10" t="s">
        <v>215</v>
      </c>
      <c r="O98" s="9">
        <v>4.18</v>
      </c>
      <c r="P98" s="9">
        <v>24.94</v>
      </c>
      <c r="Q98" s="6">
        <v>16.760000000000002</v>
      </c>
      <c r="R98" s="9">
        <v>5.97</v>
      </c>
      <c r="S98" s="7">
        <v>1</v>
      </c>
      <c r="T98" s="7">
        <v>1</v>
      </c>
      <c r="U98" s="16">
        <v>1</v>
      </c>
      <c r="V98" s="7">
        <v>1</v>
      </c>
      <c r="W98" s="7">
        <v>0</v>
      </c>
      <c r="X98" s="10" t="s">
        <v>35</v>
      </c>
      <c r="Y98" s="10" t="s">
        <v>36</v>
      </c>
      <c r="Z98" s="11"/>
    </row>
    <row r="99" spans="1:26" ht="14.4" x14ac:dyDescent="0.3">
      <c r="A99" s="4">
        <v>45958</v>
      </c>
      <c r="B99" s="4">
        <v>45958</v>
      </c>
      <c r="C99" s="17" t="s">
        <v>143</v>
      </c>
      <c r="D99" s="17" t="s">
        <v>28</v>
      </c>
      <c r="E99" s="17" t="s">
        <v>144</v>
      </c>
      <c r="F99" s="17" t="s">
        <v>32</v>
      </c>
      <c r="G99" s="17" t="s">
        <v>31</v>
      </c>
      <c r="H99" s="17" t="s">
        <v>30</v>
      </c>
      <c r="I99" s="17" t="s">
        <v>44</v>
      </c>
      <c r="J99" s="17" t="s">
        <v>216</v>
      </c>
      <c r="K99" s="7">
        <v>10</v>
      </c>
      <c r="L99" s="7">
        <v>1</v>
      </c>
      <c r="M99" s="16">
        <v>0.1</v>
      </c>
      <c r="N99" s="10" t="s">
        <v>217</v>
      </c>
      <c r="O99" s="9">
        <v>1.82</v>
      </c>
      <c r="P99" s="9">
        <v>24.94</v>
      </c>
      <c r="Q99" s="6">
        <v>7.3</v>
      </c>
      <c r="R99" s="9">
        <v>13.7</v>
      </c>
      <c r="S99" s="7">
        <v>1</v>
      </c>
      <c r="T99" s="7">
        <v>1</v>
      </c>
      <c r="U99" s="16">
        <v>1</v>
      </c>
      <c r="V99" s="7">
        <v>1</v>
      </c>
      <c r="W99" s="7">
        <v>0</v>
      </c>
      <c r="X99" s="10" t="s">
        <v>35</v>
      </c>
      <c r="Y99" s="10" t="s">
        <v>36</v>
      </c>
      <c r="Z99" s="11"/>
    </row>
    <row r="100" spans="1:26" ht="14.4" x14ac:dyDescent="0.3">
      <c r="A100" s="4">
        <v>45958</v>
      </c>
      <c r="B100" s="4">
        <v>45958</v>
      </c>
      <c r="C100" s="17" t="s">
        <v>40</v>
      </c>
      <c r="D100" s="17" t="s">
        <v>28</v>
      </c>
      <c r="E100" s="17" t="s">
        <v>41</v>
      </c>
      <c r="F100" s="17" t="s">
        <v>42</v>
      </c>
      <c r="G100" s="17" t="s">
        <v>31</v>
      </c>
      <c r="H100" s="17" t="s">
        <v>43</v>
      </c>
      <c r="I100" s="17" t="s">
        <v>44</v>
      </c>
      <c r="J100" s="17" t="s">
        <v>218</v>
      </c>
      <c r="K100" s="7">
        <v>5</v>
      </c>
      <c r="L100" s="7">
        <v>1</v>
      </c>
      <c r="M100" s="16">
        <v>0.2</v>
      </c>
      <c r="N100" s="10" t="s">
        <v>219</v>
      </c>
      <c r="O100" s="9">
        <v>2.92</v>
      </c>
      <c r="P100" s="9">
        <v>24.94</v>
      </c>
      <c r="Q100" s="6">
        <v>11.71</v>
      </c>
      <c r="R100" s="9">
        <v>8.5399999999999991</v>
      </c>
      <c r="S100" s="7">
        <v>1</v>
      </c>
      <c r="T100" s="7">
        <v>1</v>
      </c>
      <c r="U100" s="16">
        <v>1</v>
      </c>
      <c r="V100" s="7">
        <v>1</v>
      </c>
      <c r="W100" s="7">
        <v>0</v>
      </c>
      <c r="X100" s="10" t="s">
        <v>35</v>
      </c>
      <c r="Y100" s="10" t="s">
        <v>36</v>
      </c>
      <c r="Z100" s="11"/>
    </row>
    <row r="101" spans="1:26" ht="14.4" x14ac:dyDescent="0.3">
      <c r="A101" s="4">
        <v>45958</v>
      </c>
      <c r="B101" s="4">
        <v>45962</v>
      </c>
      <c r="C101" s="17" t="s">
        <v>27</v>
      </c>
      <c r="D101" s="17" t="s">
        <v>28</v>
      </c>
      <c r="E101" s="17" t="s">
        <v>71</v>
      </c>
      <c r="F101" s="17" t="s">
        <v>72</v>
      </c>
      <c r="G101" s="17" t="s">
        <v>31</v>
      </c>
      <c r="H101" s="17" t="s">
        <v>73</v>
      </c>
      <c r="I101" s="17" t="s">
        <v>52</v>
      </c>
      <c r="J101" s="17" t="s">
        <v>76</v>
      </c>
      <c r="K101" s="7">
        <v>506</v>
      </c>
      <c r="L101" s="7">
        <v>7</v>
      </c>
      <c r="M101" s="16">
        <v>1.3834000000000001E-2</v>
      </c>
      <c r="N101" s="10" t="s">
        <v>220</v>
      </c>
      <c r="O101" s="9">
        <v>29.4</v>
      </c>
      <c r="P101" s="9">
        <v>99.76</v>
      </c>
      <c r="Q101" s="6">
        <v>29.47</v>
      </c>
      <c r="R101" s="9">
        <v>3.39</v>
      </c>
      <c r="S101" s="7">
        <v>3</v>
      </c>
      <c r="T101" s="7">
        <v>4</v>
      </c>
      <c r="U101" s="16">
        <v>0.42857099999999998</v>
      </c>
      <c r="V101" s="7">
        <v>4</v>
      </c>
      <c r="W101" s="7">
        <v>0</v>
      </c>
      <c r="X101" s="10" t="s">
        <v>47</v>
      </c>
      <c r="Y101" s="10" t="s">
        <v>36</v>
      </c>
      <c r="Z101" s="11"/>
    </row>
    <row r="102" spans="1:26" ht="14.4" x14ac:dyDescent="0.3">
      <c r="A102" s="4">
        <v>45958</v>
      </c>
      <c r="B102" s="4">
        <v>45958</v>
      </c>
      <c r="C102" s="17" t="s">
        <v>48</v>
      </c>
      <c r="D102" s="17" t="s">
        <v>28</v>
      </c>
      <c r="E102" s="17" t="s">
        <v>49</v>
      </c>
      <c r="F102" s="17" t="s">
        <v>50</v>
      </c>
      <c r="G102" s="17" t="s">
        <v>31</v>
      </c>
      <c r="H102" s="17" t="s">
        <v>51</v>
      </c>
      <c r="I102" s="17" t="s">
        <v>52</v>
      </c>
      <c r="J102" s="17" t="s">
        <v>221</v>
      </c>
      <c r="K102" s="7">
        <v>1</v>
      </c>
      <c r="L102" s="7">
        <v>1</v>
      </c>
      <c r="M102" s="16">
        <v>1</v>
      </c>
      <c r="N102" s="10" t="s">
        <v>222</v>
      </c>
      <c r="O102" s="9">
        <v>2.54</v>
      </c>
      <c r="P102" s="9">
        <v>43.8</v>
      </c>
      <c r="Q102" s="6">
        <v>5.8</v>
      </c>
      <c r="R102" s="9">
        <v>17.239999999999998</v>
      </c>
      <c r="S102" s="7">
        <v>1</v>
      </c>
      <c r="T102" s="7">
        <v>2</v>
      </c>
      <c r="U102" s="16">
        <v>1</v>
      </c>
      <c r="V102" s="7">
        <v>2</v>
      </c>
      <c r="W102" s="7">
        <v>0</v>
      </c>
      <c r="X102" s="10" t="s">
        <v>67</v>
      </c>
      <c r="Y102" s="10" t="s">
        <v>36</v>
      </c>
      <c r="Z102" s="11"/>
    </row>
    <row r="103" spans="1:26" ht="14.4" x14ac:dyDescent="0.3">
      <c r="A103" s="4">
        <v>45958</v>
      </c>
      <c r="B103" s="4">
        <v>45958</v>
      </c>
      <c r="C103" s="17" t="s">
        <v>48</v>
      </c>
      <c r="D103" s="17" t="s">
        <v>28</v>
      </c>
      <c r="E103" s="17" t="s">
        <v>49</v>
      </c>
      <c r="F103" s="17" t="s">
        <v>50</v>
      </c>
      <c r="G103" s="17" t="s">
        <v>31</v>
      </c>
      <c r="H103" s="17" t="s">
        <v>51</v>
      </c>
      <c r="I103" s="17" t="s">
        <v>52</v>
      </c>
      <c r="J103" s="17" t="s">
        <v>223</v>
      </c>
      <c r="K103" s="7">
        <v>7</v>
      </c>
      <c r="L103" s="7">
        <v>1</v>
      </c>
      <c r="M103" s="16">
        <v>0.14285700000000001</v>
      </c>
      <c r="N103" s="10" t="s">
        <v>224</v>
      </c>
      <c r="O103" s="9">
        <v>2.87</v>
      </c>
      <c r="P103" s="9">
        <v>21.9</v>
      </c>
      <c r="Q103" s="6">
        <v>13.11</v>
      </c>
      <c r="R103" s="9">
        <v>7.63</v>
      </c>
      <c r="S103" s="7">
        <v>1</v>
      </c>
      <c r="T103" s="7">
        <v>1</v>
      </c>
      <c r="U103" s="16">
        <v>1</v>
      </c>
      <c r="V103" s="7">
        <v>1</v>
      </c>
      <c r="W103" s="7">
        <v>0</v>
      </c>
      <c r="X103" s="10" t="s">
        <v>55</v>
      </c>
      <c r="Y103" s="10" t="s">
        <v>36</v>
      </c>
      <c r="Z103" s="11"/>
    </row>
    <row r="104" spans="1:26" ht="14.4" x14ac:dyDescent="0.3">
      <c r="A104" s="4">
        <v>45957</v>
      </c>
      <c r="B104" s="4">
        <v>45957</v>
      </c>
      <c r="C104" s="17" t="s">
        <v>48</v>
      </c>
      <c r="D104" s="17" t="s">
        <v>28</v>
      </c>
      <c r="E104" s="17" t="s">
        <v>225</v>
      </c>
      <c r="F104" s="17" t="s">
        <v>226</v>
      </c>
      <c r="G104" s="17" t="s">
        <v>31</v>
      </c>
      <c r="H104" s="17" t="s">
        <v>88</v>
      </c>
      <c r="I104" s="17" t="s">
        <v>32</v>
      </c>
      <c r="J104" s="17" t="s">
        <v>227</v>
      </c>
      <c r="K104" s="7">
        <v>2</v>
      </c>
      <c r="L104" s="7">
        <v>1</v>
      </c>
      <c r="M104" s="16">
        <v>0.5</v>
      </c>
      <c r="N104" s="10" t="s">
        <v>228</v>
      </c>
      <c r="O104" s="9">
        <v>1.45</v>
      </c>
      <c r="P104" s="9">
        <v>21.9</v>
      </c>
      <c r="Q104" s="6">
        <v>6.62</v>
      </c>
      <c r="R104" s="9">
        <v>15.1</v>
      </c>
      <c r="S104" s="7">
        <v>1</v>
      </c>
      <c r="T104" s="7">
        <v>1</v>
      </c>
      <c r="U104" s="16">
        <v>1</v>
      </c>
      <c r="V104" s="7">
        <v>1</v>
      </c>
      <c r="W104" s="7">
        <v>0</v>
      </c>
      <c r="X104" s="10" t="s">
        <v>55</v>
      </c>
      <c r="Y104" s="10" t="s">
        <v>36</v>
      </c>
      <c r="Z104" s="11"/>
    </row>
    <row r="105" spans="1:26" ht="14.4" x14ac:dyDescent="0.3">
      <c r="A105" s="4">
        <v>45957</v>
      </c>
      <c r="B105" s="4">
        <v>45957</v>
      </c>
      <c r="C105" s="17" t="s">
        <v>48</v>
      </c>
      <c r="D105" s="17" t="s">
        <v>28</v>
      </c>
      <c r="E105" s="17" t="s">
        <v>49</v>
      </c>
      <c r="F105" s="17" t="s">
        <v>50</v>
      </c>
      <c r="G105" s="17" t="s">
        <v>31</v>
      </c>
      <c r="H105" s="17" t="s">
        <v>51</v>
      </c>
      <c r="I105" s="17" t="s">
        <v>52</v>
      </c>
      <c r="J105" s="17" t="s">
        <v>229</v>
      </c>
      <c r="K105" s="7">
        <v>12</v>
      </c>
      <c r="L105" s="7">
        <v>1</v>
      </c>
      <c r="M105" s="16">
        <v>8.3333000000000004E-2</v>
      </c>
      <c r="N105" s="10" t="s">
        <v>131</v>
      </c>
      <c r="O105" s="9">
        <v>3</v>
      </c>
      <c r="P105" s="9">
        <v>21.9</v>
      </c>
      <c r="Q105" s="6">
        <v>13.7</v>
      </c>
      <c r="R105" s="9">
        <v>7.3</v>
      </c>
      <c r="S105" s="7">
        <v>1</v>
      </c>
      <c r="T105" s="7">
        <v>1</v>
      </c>
      <c r="U105" s="16">
        <v>1</v>
      </c>
      <c r="V105" s="7">
        <v>1</v>
      </c>
      <c r="W105" s="7">
        <v>0</v>
      </c>
      <c r="X105" s="10" t="s">
        <v>55</v>
      </c>
      <c r="Y105" s="10" t="s">
        <v>36</v>
      </c>
      <c r="Z105" s="11"/>
    </row>
    <row r="106" spans="1:26" ht="14.4" x14ac:dyDescent="0.3">
      <c r="A106" s="4">
        <v>45957</v>
      </c>
      <c r="B106" s="4">
        <v>45962</v>
      </c>
      <c r="C106" s="17" t="s">
        <v>40</v>
      </c>
      <c r="D106" s="17" t="s">
        <v>28</v>
      </c>
      <c r="E106" s="17" t="s">
        <v>41</v>
      </c>
      <c r="F106" s="17" t="s">
        <v>42</v>
      </c>
      <c r="G106" s="17" t="s">
        <v>31</v>
      </c>
      <c r="H106" s="17" t="s">
        <v>43</v>
      </c>
      <c r="I106" s="17" t="s">
        <v>44</v>
      </c>
      <c r="J106" s="17" t="s">
        <v>43</v>
      </c>
      <c r="K106" s="7">
        <v>115</v>
      </c>
      <c r="L106" s="7">
        <v>15</v>
      </c>
      <c r="M106" s="16">
        <v>0.130435</v>
      </c>
      <c r="N106" s="10" t="s">
        <v>230</v>
      </c>
      <c r="O106" s="9">
        <v>50.5</v>
      </c>
      <c r="P106" s="9">
        <v>49.88</v>
      </c>
      <c r="Q106" s="6">
        <v>101.24</v>
      </c>
      <c r="R106" s="9">
        <v>0.99</v>
      </c>
      <c r="S106" s="7">
        <v>2</v>
      </c>
      <c r="T106" s="7">
        <v>2</v>
      </c>
      <c r="U106" s="16">
        <v>0.13333300000000001</v>
      </c>
      <c r="V106" s="7">
        <v>2</v>
      </c>
      <c r="W106" s="7">
        <v>0</v>
      </c>
      <c r="X106" s="10" t="s">
        <v>78</v>
      </c>
      <c r="Y106" s="10" t="s">
        <v>36</v>
      </c>
      <c r="Z106" s="11"/>
    </row>
    <row r="107" spans="1:26" ht="14.4" x14ac:dyDescent="0.3">
      <c r="A107" s="4">
        <v>45957</v>
      </c>
      <c r="B107" s="4">
        <v>45957</v>
      </c>
      <c r="C107" s="17" t="s">
        <v>27</v>
      </c>
      <c r="D107" s="17" t="s">
        <v>28</v>
      </c>
      <c r="E107" s="17" t="s">
        <v>56</v>
      </c>
      <c r="F107" s="17" t="s">
        <v>57</v>
      </c>
      <c r="G107" s="17" t="s">
        <v>31</v>
      </c>
      <c r="H107" s="18" t="e">
        <f>+maca +root</f>
        <v>#NAME?</v>
      </c>
      <c r="I107" s="17" t="s">
        <v>32</v>
      </c>
      <c r="J107" s="17" t="s">
        <v>231</v>
      </c>
      <c r="K107" s="7">
        <v>3</v>
      </c>
      <c r="L107" s="7">
        <v>1</v>
      </c>
      <c r="M107" s="16">
        <v>0.33333299999999999</v>
      </c>
      <c r="N107" s="10" t="s">
        <v>232</v>
      </c>
      <c r="O107" s="9">
        <v>4</v>
      </c>
      <c r="P107" s="9">
        <v>24.94</v>
      </c>
      <c r="Q107" s="6">
        <v>16.04</v>
      </c>
      <c r="R107" s="9">
        <v>6.24</v>
      </c>
      <c r="S107" s="7">
        <v>1</v>
      </c>
      <c r="T107" s="7">
        <v>1</v>
      </c>
      <c r="U107" s="16">
        <v>1</v>
      </c>
      <c r="V107" s="7">
        <v>1</v>
      </c>
      <c r="W107" s="7">
        <v>0</v>
      </c>
      <c r="X107" s="10" t="s">
        <v>35</v>
      </c>
      <c r="Y107" s="10" t="s">
        <v>36</v>
      </c>
      <c r="Z107" s="11"/>
    </row>
    <row r="108" spans="1:26" ht="14.4" x14ac:dyDescent="0.3">
      <c r="A108" s="4">
        <v>45957</v>
      </c>
      <c r="B108" s="4">
        <v>45957</v>
      </c>
      <c r="C108" s="17" t="s">
        <v>48</v>
      </c>
      <c r="D108" s="17" t="s">
        <v>28</v>
      </c>
      <c r="E108" s="17" t="s">
        <v>233</v>
      </c>
      <c r="F108" s="17" t="s">
        <v>234</v>
      </c>
      <c r="G108" s="17" t="s">
        <v>31</v>
      </c>
      <c r="H108" s="17" t="s">
        <v>153</v>
      </c>
      <c r="I108" s="17" t="s">
        <v>32</v>
      </c>
      <c r="J108" s="17" t="s">
        <v>235</v>
      </c>
      <c r="K108" s="7">
        <v>54</v>
      </c>
      <c r="L108" s="7">
        <v>1</v>
      </c>
      <c r="M108" s="16">
        <v>1.8519000000000001E-2</v>
      </c>
      <c r="N108" s="10" t="s">
        <v>236</v>
      </c>
      <c r="O108" s="9">
        <v>2</v>
      </c>
      <c r="P108" s="9">
        <v>21.9</v>
      </c>
      <c r="Q108" s="6">
        <v>9.1300000000000008</v>
      </c>
      <c r="R108" s="9">
        <v>10.95</v>
      </c>
      <c r="S108" s="7">
        <v>1</v>
      </c>
      <c r="T108" s="7">
        <v>1</v>
      </c>
      <c r="U108" s="16">
        <v>1</v>
      </c>
      <c r="V108" s="7">
        <v>1</v>
      </c>
      <c r="W108" s="7">
        <v>0</v>
      </c>
      <c r="X108" s="10" t="s">
        <v>55</v>
      </c>
      <c r="Y108" s="10" t="s">
        <v>36</v>
      </c>
      <c r="Z108" s="11"/>
    </row>
    <row r="109" spans="1:26" ht="14.4" x14ac:dyDescent="0.3">
      <c r="A109" s="4">
        <v>45957</v>
      </c>
      <c r="B109" s="4">
        <v>45961</v>
      </c>
      <c r="C109" s="17" t="s">
        <v>85</v>
      </c>
      <c r="D109" s="17" t="s">
        <v>28</v>
      </c>
      <c r="E109" s="17" t="s">
        <v>86</v>
      </c>
      <c r="F109" s="17" t="s">
        <v>87</v>
      </c>
      <c r="G109" s="17" t="s">
        <v>31</v>
      </c>
      <c r="H109" s="17" t="s">
        <v>87</v>
      </c>
      <c r="I109" s="17" t="s">
        <v>44</v>
      </c>
      <c r="J109" s="17" t="s">
        <v>87</v>
      </c>
      <c r="K109" s="7">
        <v>62</v>
      </c>
      <c r="L109" s="7">
        <v>5</v>
      </c>
      <c r="M109" s="16">
        <v>8.0644999999999994E-2</v>
      </c>
      <c r="N109" s="10" t="s">
        <v>237</v>
      </c>
      <c r="O109" s="9">
        <v>22.12</v>
      </c>
      <c r="P109" s="9">
        <v>21.9</v>
      </c>
      <c r="Q109" s="6">
        <v>101</v>
      </c>
      <c r="R109" s="9">
        <v>0.99</v>
      </c>
      <c r="S109" s="7">
        <v>1</v>
      </c>
      <c r="T109" s="7">
        <v>1</v>
      </c>
      <c r="U109" s="16">
        <v>0.2</v>
      </c>
      <c r="V109" s="7">
        <v>1</v>
      </c>
      <c r="W109" s="7">
        <v>0</v>
      </c>
      <c r="X109" s="10" t="s">
        <v>55</v>
      </c>
      <c r="Y109" s="10" t="s">
        <v>36</v>
      </c>
      <c r="Z109" s="11"/>
    </row>
    <row r="110" spans="1:26" ht="14.4" x14ac:dyDescent="0.3">
      <c r="A110" s="4">
        <v>45957</v>
      </c>
      <c r="B110" s="4">
        <v>45959</v>
      </c>
      <c r="C110" s="17" t="s">
        <v>48</v>
      </c>
      <c r="D110" s="17" t="s">
        <v>28</v>
      </c>
      <c r="E110" s="17" t="s">
        <v>62</v>
      </c>
      <c r="F110" s="17" t="s">
        <v>63</v>
      </c>
      <c r="G110" s="17" t="s">
        <v>31</v>
      </c>
      <c r="H110" s="17" t="s">
        <v>88</v>
      </c>
      <c r="I110" s="17" t="s">
        <v>65</v>
      </c>
      <c r="J110" s="17" t="s">
        <v>88</v>
      </c>
      <c r="K110" s="7">
        <v>48</v>
      </c>
      <c r="L110" s="7">
        <v>7</v>
      </c>
      <c r="M110" s="16">
        <v>0.14583299999999999</v>
      </c>
      <c r="N110" s="10" t="s">
        <v>238</v>
      </c>
      <c r="O110" s="9">
        <v>26.3</v>
      </c>
      <c r="P110" s="9">
        <v>21.9</v>
      </c>
      <c r="Q110" s="6">
        <v>120.09</v>
      </c>
      <c r="R110" s="9">
        <v>0.83</v>
      </c>
      <c r="S110" s="7">
        <v>1</v>
      </c>
      <c r="T110" s="7">
        <v>1</v>
      </c>
      <c r="U110" s="16">
        <v>0.14285700000000001</v>
      </c>
      <c r="V110" s="7">
        <v>1</v>
      </c>
      <c r="W110" s="7">
        <v>0</v>
      </c>
      <c r="X110" s="10" t="s">
        <v>55</v>
      </c>
      <c r="Y110" s="10" t="s">
        <v>36</v>
      </c>
      <c r="Z110" s="11"/>
    </row>
    <row r="111" spans="1:26" ht="14.4" x14ac:dyDescent="0.3">
      <c r="A111" s="4">
        <v>45956</v>
      </c>
      <c r="B111" s="4">
        <v>45956</v>
      </c>
      <c r="C111" s="17" t="s">
        <v>48</v>
      </c>
      <c r="D111" s="17" t="s">
        <v>28</v>
      </c>
      <c r="E111" s="17" t="s">
        <v>49</v>
      </c>
      <c r="F111" s="17" t="s">
        <v>50</v>
      </c>
      <c r="G111" s="17" t="s">
        <v>31</v>
      </c>
      <c r="H111" s="17" t="s">
        <v>51</v>
      </c>
      <c r="I111" s="17" t="s">
        <v>52</v>
      </c>
      <c r="J111" s="17" t="s">
        <v>239</v>
      </c>
      <c r="K111" s="7">
        <v>1</v>
      </c>
      <c r="L111" s="7">
        <v>1</v>
      </c>
      <c r="M111" s="16">
        <v>1</v>
      </c>
      <c r="N111" s="10" t="s">
        <v>236</v>
      </c>
      <c r="O111" s="9">
        <v>2</v>
      </c>
      <c r="P111" s="9">
        <v>21.9</v>
      </c>
      <c r="Q111" s="6">
        <v>9.1300000000000008</v>
      </c>
      <c r="R111" s="9">
        <v>10.95</v>
      </c>
      <c r="S111" s="7">
        <v>1</v>
      </c>
      <c r="T111" s="7">
        <v>1</v>
      </c>
      <c r="U111" s="16">
        <v>1</v>
      </c>
      <c r="V111" s="7">
        <v>1</v>
      </c>
      <c r="W111" s="7">
        <v>0</v>
      </c>
      <c r="X111" s="10" t="s">
        <v>55</v>
      </c>
      <c r="Y111" s="10" t="s">
        <v>36</v>
      </c>
      <c r="Z111" s="11"/>
    </row>
    <row r="112" spans="1:26" ht="14.4" x14ac:dyDescent="0.3">
      <c r="A112" s="4">
        <v>45956</v>
      </c>
      <c r="B112" s="4">
        <v>45962</v>
      </c>
      <c r="C112" s="17" t="s">
        <v>105</v>
      </c>
      <c r="D112" s="17" t="s">
        <v>28</v>
      </c>
      <c r="E112" s="17" t="s">
        <v>106</v>
      </c>
      <c r="F112" s="17" t="s">
        <v>30</v>
      </c>
      <c r="G112" s="17" t="s">
        <v>31</v>
      </c>
      <c r="H112" s="17" t="s">
        <v>30</v>
      </c>
      <c r="I112" s="17" t="s">
        <v>65</v>
      </c>
      <c r="J112" s="17" t="s">
        <v>30</v>
      </c>
      <c r="K112" s="7">
        <v>4109</v>
      </c>
      <c r="L112" s="7">
        <v>21</v>
      </c>
      <c r="M112" s="16">
        <v>5.1110000000000001E-3</v>
      </c>
      <c r="N112" s="10" t="s">
        <v>240</v>
      </c>
      <c r="O112" s="9">
        <v>56.92</v>
      </c>
      <c r="P112" s="9">
        <v>24.94</v>
      </c>
      <c r="Q112" s="6">
        <v>228.23</v>
      </c>
      <c r="R112" s="9">
        <v>0.44</v>
      </c>
      <c r="S112" s="7">
        <v>1</v>
      </c>
      <c r="T112" s="7">
        <v>1</v>
      </c>
      <c r="U112" s="16">
        <v>4.7619000000000002E-2</v>
      </c>
      <c r="V112" s="7">
        <v>1</v>
      </c>
      <c r="W112" s="7">
        <v>0</v>
      </c>
      <c r="X112" s="10" t="s">
        <v>35</v>
      </c>
      <c r="Y112" s="10" t="s">
        <v>36</v>
      </c>
      <c r="Z112" s="11"/>
    </row>
    <row r="113" spans="1:26" ht="14.4" x14ac:dyDescent="0.3">
      <c r="A113" s="4">
        <v>45956</v>
      </c>
      <c r="B113" s="4">
        <v>45960</v>
      </c>
      <c r="C113" s="17" t="s">
        <v>143</v>
      </c>
      <c r="D113" s="17" t="s">
        <v>28</v>
      </c>
      <c r="E113" s="17" t="s">
        <v>144</v>
      </c>
      <c r="F113" s="17" t="s">
        <v>32</v>
      </c>
      <c r="G113" s="17" t="s">
        <v>31</v>
      </c>
      <c r="H113" s="17" t="s">
        <v>173</v>
      </c>
      <c r="I113" s="17" t="s">
        <v>65</v>
      </c>
      <c r="J113" s="17" t="s">
        <v>173</v>
      </c>
      <c r="K113" s="7">
        <v>232</v>
      </c>
      <c r="L113" s="7">
        <v>4</v>
      </c>
      <c r="M113" s="16">
        <v>1.7240999999999999E-2</v>
      </c>
      <c r="N113" s="10" t="s">
        <v>241</v>
      </c>
      <c r="O113" s="9">
        <v>3.08</v>
      </c>
      <c r="P113" s="9">
        <v>49.88</v>
      </c>
      <c r="Q113" s="6">
        <v>6.17</v>
      </c>
      <c r="R113" s="9">
        <v>16.190000000000001</v>
      </c>
      <c r="S113" s="7">
        <v>2</v>
      </c>
      <c r="T113" s="7">
        <v>2</v>
      </c>
      <c r="U113" s="16">
        <v>0.5</v>
      </c>
      <c r="V113" s="7">
        <v>2</v>
      </c>
      <c r="W113" s="7">
        <v>0</v>
      </c>
      <c r="X113" s="10" t="s">
        <v>78</v>
      </c>
      <c r="Y113" s="10" t="s">
        <v>36</v>
      </c>
      <c r="Z113" s="11"/>
    </row>
    <row r="114" spans="1:26" ht="14.4" x14ac:dyDescent="0.3">
      <c r="A114" s="4">
        <v>45956</v>
      </c>
      <c r="B114" s="4">
        <v>45962</v>
      </c>
      <c r="C114" s="17" t="s">
        <v>27</v>
      </c>
      <c r="D114" s="17" t="s">
        <v>28</v>
      </c>
      <c r="E114" s="17" t="s">
        <v>71</v>
      </c>
      <c r="F114" s="17" t="s">
        <v>72</v>
      </c>
      <c r="G114" s="17" t="s">
        <v>31</v>
      </c>
      <c r="H114" s="17" t="s">
        <v>73</v>
      </c>
      <c r="I114" s="17" t="s">
        <v>52</v>
      </c>
      <c r="J114" s="17" t="s">
        <v>97</v>
      </c>
      <c r="K114" s="7">
        <v>55</v>
      </c>
      <c r="L114" s="7">
        <v>3</v>
      </c>
      <c r="M114" s="16">
        <v>5.4545000000000003E-2</v>
      </c>
      <c r="N114" s="10" t="s">
        <v>242</v>
      </c>
      <c r="O114" s="9">
        <v>11.19</v>
      </c>
      <c r="P114" s="9">
        <v>49.88</v>
      </c>
      <c r="Q114" s="6">
        <v>22.43</v>
      </c>
      <c r="R114" s="9">
        <v>4.46</v>
      </c>
      <c r="S114" s="7">
        <v>1</v>
      </c>
      <c r="T114" s="7">
        <v>2</v>
      </c>
      <c r="U114" s="16">
        <v>0.33333299999999999</v>
      </c>
      <c r="V114" s="7">
        <v>2</v>
      </c>
      <c r="W114" s="7">
        <v>0</v>
      </c>
      <c r="X114" s="10" t="s">
        <v>78</v>
      </c>
      <c r="Y114" s="10" t="s">
        <v>36</v>
      </c>
      <c r="Z114" s="11"/>
    </row>
    <row r="115" spans="1:26" ht="14.4" x14ac:dyDescent="0.3">
      <c r="A115" s="4">
        <v>45956</v>
      </c>
      <c r="B115" s="4">
        <v>45962</v>
      </c>
      <c r="C115" s="17" t="s">
        <v>105</v>
      </c>
      <c r="D115" s="17" t="s">
        <v>28</v>
      </c>
      <c r="E115" s="17" t="s">
        <v>117</v>
      </c>
      <c r="F115" s="17" t="s">
        <v>118</v>
      </c>
      <c r="G115" s="17" t="s">
        <v>31</v>
      </c>
      <c r="H115" s="17" t="s">
        <v>119</v>
      </c>
      <c r="I115" s="17" t="s">
        <v>65</v>
      </c>
      <c r="J115" s="17" t="s">
        <v>119</v>
      </c>
      <c r="K115" s="7">
        <v>1760</v>
      </c>
      <c r="L115" s="7">
        <v>55</v>
      </c>
      <c r="M115" s="16">
        <v>3.125E-2</v>
      </c>
      <c r="N115" s="10" t="s">
        <v>149</v>
      </c>
      <c r="O115" s="9">
        <v>168.27</v>
      </c>
      <c r="P115" s="9">
        <v>249.4</v>
      </c>
      <c r="Q115" s="6">
        <v>67.47</v>
      </c>
      <c r="R115" s="9">
        <v>1.48</v>
      </c>
      <c r="S115" s="7">
        <v>10</v>
      </c>
      <c r="T115" s="7">
        <v>10</v>
      </c>
      <c r="U115" s="16">
        <v>0.18181800000000001</v>
      </c>
      <c r="V115" s="7">
        <v>10</v>
      </c>
      <c r="W115" s="7">
        <v>0</v>
      </c>
      <c r="X115" s="10" t="s">
        <v>185</v>
      </c>
      <c r="Y115" s="10" t="s">
        <v>36</v>
      </c>
      <c r="Z115" s="11"/>
    </row>
    <row r="116" spans="1:26" ht="14.4" x14ac:dyDescent="0.3">
      <c r="A116" s="4">
        <v>45956</v>
      </c>
      <c r="B116" s="4">
        <v>45962</v>
      </c>
      <c r="C116" s="17" t="s">
        <v>27</v>
      </c>
      <c r="D116" s="17" t="s">
        <v>28</v>
      </c>
      <c r="E116" s="17" t="s">
        <v>56</v>
      </c>
      <c r="F116" s="17" t="s">
        <v>57</v>
      </c>
      <c r="G116" s="17" t="s">
        <v>31</v>
      </c>
      <c r="H116" s="18" t="e">
        <f>+maca +root</f>
        <v>#NAME?</v>
      </c>
      <c r="I116" s="17" t="s">
        <v>32</v>
      </c>
      <c r="J116" s="17" t="s">
        <v>119</v>
      </c>
      <c r="K116" s="7">
        <v>965</v>
      </c>
      <c r="L116" s="7">
        <v>12</v>
      </c>
      <c r="M116" s="16">
        <v>1.2435E-2</v>
      </c>
      <c r="N116" s="10" t="s">
        <v>230</v>
      </c>
      <c r="O116" s="9">
        <v>40.4</v>
      </c>
      <c r="P116" s="9">
        <v>249.4</v>
      </c>
      <c r="Q116" s="6">
        <v>16.2</v>
      </c>
      <c r="R116" s="9">
        <v>6.17</v>
      </c>
      <c r="S116" s="7">
        <v>9</v>
      </c>
      <c r="T116" s="7">
        <v>10</v>
      </c>
      <c r="U116" s="16">
        <v>0.75</v>
      </c>
      <c r="V116" s="7">
        <v>10</v>
      </c>
      <c r="W116" s="7">
        <v>0</v>
      </c>
      <c r="X116" s="10" t="s">
        <v>185</v>
      </c>
      <c r="Y116" s="10" t="s">
        <v>36</v>
      </c>
      <c r="Z116" s="11"/>
    </row>
    <row r="117" spans="1:26" ht="14.4" x14ac:dyDescent="0.3">
      <c r="A117" s="4">
        <v>45956</v>
      </c>
      <c r="B117" s="4">
        <v>45962</v>
      </c>
      <c r="C117" s="17" t="s">
        <v>27</v>
      </c>
      <c r="D117" s="17" t="s">
        <v>28</v>
      </c>
      <c r="E117" s="17" t="s">
        <v>71</v>
      </c>
      <c r="F117" s="17" t="s">
        <v>72</v>
      </c>
      <c r="G117" s="17" t="s">
        <v>31</v>
      </c>
      <c r="H117" s="17" t="s">
        <v>73</v>
      </c>
      <c r="I117" s="17" t="s">
        <v>52</v>
      </c>
      <c r="J117" s="17" t="s">
        <v>60</v>
      </c>
      <c r="K117" s="7">
        <v>20</v>
      </c>
      <c r="L117" s="7">
        <v>3</v>
      </c>
      <c r="M117" s="16">
        <v>0.15</v>
      </c>
      <c r="N117" s="10" t="s">
        <v>243</v>
      </c>
      <c r="O117" s="9">
        <v>12.13</v>
      </c>
      <c r="P117" s="9">
        <v>49.88</v>
      </c>
      <c r="Q117" s="6">
        <v>24.32</v>
      </c>
      <c r="R117" s="9">
        <v>4.1100000000000003</v>
      </c>
      <c r="S117" s="7">
        <v>2</v>
      </c>
      <c r="T117" s="7">
        <v>2</v>
      </c>
      <c r="U117" s="16">
        <v>0.66666700000000001</v>
      </c>
      <c r="V117" s="7">
        <v>2</v>
      </c>
      <c r="W117" s="7">
        <v>0</v>
      </c>
      <c r="X117" s="10" t="s">
        <v>78</v>
      </c>
      <c r="Y117" s="10" t="s">
        <v>36</v>
      </c>
      <c r="Z117" s="11"/>
    </row>
    <row r="118" spans="1:26" ht="14.4" x14ac:dyDescent="0.3">
      <c r="A118" s="4">
        <v>45956</v>
      </c>
      <c r="B118" s="4">
        <v>45961</v>
      </c>
      <c r="C118" s="17" t="s">
        <v>40</v>
      </c>
      <c r="D118" s="17" t="s">
        <v>28</v>
      </c>
      <c r="E118" s="17" t="s">
        <v>41</v>
      </c>
      <c r="F118" s="17" t="s">
        <v>42</v>
      </c>
      <c r="G118" s="17" t="s">
        <v>31</v>
      </c>
      <c r="H118" s="17" t="s">
        <v>43</v>
      </c>
      <c r="I118" s="17" t="s">
        <v>44</v>
      </c>
      <c r="J118" s="17" t="s">
        <v>60</v>
      </c>
      <c r="K118" s="7">
        <v>38</v>
      </c>
      <c r="L118" s="7">
        <v>3</v>
      </c>
      <c r="M118" s="16">
        <v>7.8947000000000003E-2</v>
      </c>
      <c r="N118" s="10" t="s">
        <v>244</v>
      </c>
      <c r="O118" s="9">
        <v>9.68</v>
      </c>
      <c r="P118" s="9">
        <v>24.94</v>
      </c>
      <c r="Q118" s="6">
        <v>38.81</v>
      </c>
      <c r="R118" s="9">
        <v>2.58</v>
      </c>
      <c r="S118" s="7">
        <v>1</v>
      </c>
      <c r="T118" s="7">
        <v>1</v>
      </c>
      <c r="U118" s="16">
        <v>0.33333299999999999</v>
      </c>
      <c r="V118" s="7">
        <v>1</v>
      </c>
      <c r="W118" s="7">
        <v>0</v>
      </c>
      <c r="X118" s="10" t="s">
        <v>35</v>
      </c>
      <c r="Y118" s="10" t="s">
        <v>36</v>
      </c>
      <c r="Z118" s="11"/>
    </row>
    <row r="119" spans="1:26" ht="14.4" x14ac:dyDescent="0.3">
      <c r="A119" s="4">
        <v>45956</v>
      </c>
      <c r="B119" s="4">
        <v>45960</v>
      </c>
      <c r="C119" s="17" t="s">
        <v>27</v>
      </c>
      <c r="D119" s="17" t="s">
        <v>28</v>
      </c>
      <c r="E119" s="17" t="s">
        <v>71</v>
      </c>
      <c r="F119" s="17" t="s">
        <v>72</v>
      </c>
      <c r="G119" s="17" t="s">
        <v>31</v>
      </c>
      <c r="H119" s="17" t="s">
        <v>73</v>
      </c>
      <c r="I119" s="17" t="s">
        <v>52</v>
      </c>
      <c r="J119" s="17" t="s">
        <v>101</v>
      </c>
      <c r="K119" s="7">
        <v>1809</v>
      </c>
      <c r="L119" s="7">
        <v>6</v>
      </c>
      <c r="M119" s="16">
        <v>3.3170000000000001E-3</v>
      </c>
      <c r="N119" s="10" t="s">
        <v>245</v>
      </c>
      <c r="O119" s="9">
        <v>16.2</v>
      </c>
      <c r="P119" s="9">
        <v>24.94</v>
      </c>
      <c r="Q119" s="6">
        <v>64.959999999999994</v>
      </c>
      <c r="R119" s="9">
        <v>1.54</v>
      </c>
      <c r="S119" s="7">
        <v>1</v>
      </c>
      <c r="T119" s="7">
        <v>1</v>
      </c>
      <c r="U119" s="16">
        <v>0.16666700000000001</v>
      </c>
      <c r="V119" s="7">
        <v>1</v>
      </c>
      <c r="W119" s="7">
        <v>0</v>
      </c>
      <c r="X119" s="10" t="s">
        <v>35</v>
      </c>
      <c r="Y119" s="10" t="s">
        <v>36</v>
      </c>
      <c r="Z119" s="11"/>
    </row>
    <row r="120" spans="1:26" ht="14.4" x14ac:dyDescent="0.3">
      <c r="A120" s="4">
        <v>45956</v>
      </c>
      <c r="B120" s="4">
        <v>45962</v>
      </c>
      <c r="C120" s="17" t="s">
        <v>48</v>
      </c>
      <c r="D120" s="17" t="s">
        <v>28</v>
      </c>
      <c r="E120" s="17" t="s">
        <v>62</v>
      </c>
      <c r="F120" s="17" t="s">
        <v>63</v>
      </c>
      <c r="G120" s="17" t="s">
        <v>31</v>
      </c>
      <c r="H120" s="17" t="s">
        <v>88</v>
      </c>
      <c r="I120" s="17" t="s">
        <v>65</v>
      </c>
      <c r="J120" s="17" t="s">
        <v>89</v>
      </c>
      <c r="K120" s="7">
        <v>78</v>
      </c>
      <c r="L120" s="7">
        <v>5</v>
      </c>
      <c r="M120" s="16">
        <v>6.4102999999999993E-2</v>
      </c>
      <c r="N120" s="10" t="s">
        <v>75</v>
      </c>
      <c r="O120" s="9">
        <v>17.98</v>
      </c>
      <c r="P120" s="9">
        <v>21.9</v>
      </c>
      <c r="Q120" s="6">
        <v>82.1</v>
      </c>
      <c r="R120" s="9">
        <v>1.22</v>
      </c>
      <c r="S120" s="7">
        <v>1</v>
      </c>
      <c r="T120" s="7">
        <v>1</v>
      </c>
      <c r="U120" s="16">
        <v>0.2</v>
      </c>
      <c r="V120" s="7">
        <v>1</v>
      </c>
      <c r="W120" s="7">
        <v>0</v>
      </c>
      <c r="X120" s="10" t="s">
        <v>55</v>
      </c>
      <c r="Y120" s="10" t="s">
        <v>36</v>
      </c>
      <c r="Z120" s="11"/>
    </row>
    <row r="121" spans="1:26" ht="14.4" x14ac:dyDescent="0.3">
      <c r="A121" s="4">
        <v>45956</v>
      </c>
      <c r="B121" s="4">
        <v>45956</v>
      </c>
      <c r="C121" s="17" t="s">
        <v>48</v>
      </c>
      <c r="D121" s="17" t="s">
        <v>28</v>
      </c>
      <c r="E121" s="17" t="s">
        <v>49</v>
      </c>
      <c r="F121" s="17" t="s">
        <v>50</v>
      </c>
      <c r="G121" s="17" t="s">
        <v>31</v>
      </c>
      <c r="H121" s="17" t="s">
        <v>51</v>
      </c>
      <c r="I121" s="17" t="s">
        <v>52</v>
      </c>
      <c r="J121" s="17" t="s">
        <v>246</v>
      </c>
      <c r="K121" s="7">
        <v>1</v>
      </c>
      <c r="L121" s="7">
        <v>1</v>
      </c>
      <c r="M121" s="16">
        <v>1</v>
      </c>
      <c r="N121" s="10" t="s">
        <v>131</v>
      </c>
      <c r="O121" s="9">
        <v>3</v>
      </c>
      <c r="P121" s="9">
        <v>21.9</v>
      </c>
      <c r="Q121" s="6">
        <v>13.7</v>
      </c>
      <c r="R121" s="9">
        <v>7.3</v>
      </c>
      <c r="S121" s="7">
        <v>1</v>
      </c>
      <c r="T121" s="7">
        <v>1</v>
      </c>
      <c r="U121" s="16">
        <v>1</v>
      </c>
      <c r="V121" s="7">
        <v>1</v>
      </c>
      <c r="W121" s="7">
        <v>0</v>
      </c>
      <c r="X121" s="10" t="s">
        <v>55</v>
      </c>
      <c r="Y121" s="10" t="s">
        <v>36</v>
      </c>
      <c r="Z121" s="11"/>
    </row>
    <row r="122" spans="1:26" ht="14.4" x14ac:dyDescent="0.3">
      <c r="A122" s="4">
        <v>45955</v>
      </c>
      <c r="B122" s="4">
        <v>45955</v>
      </c>
      <c r="C122" s="5" t="s">
        <v>27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s">
        <v>30</v>
      </c>
      <c r="I122" s="5" t="s">
        <v>32</v>
      </c>
      <c r="J122" s="5" t="s">
        <v>247</v>
      </c>
      <c r="K122" s="6">
        <v>1</v>
      </c>
      <c r="L122" s="7">
        <v>1</v>
      </c>
      <c r="M122" s="8">
        <v>1</v>
      </c>
      <c r="N122" s="6" t="s">
        <v>248</v>
      </c>
      <c r="O122" s="9">
        <v>3.03</v>
      </c>
      <c r="P122" s="9">
        <v>24.94</v>
      </c>
      <c r="Q122" s="9">
        <v>12.15</v>
      </c>
      <c r="R122" s="6">
        <v>8.23</v>
      </c>
      <c r="S122" s="9">
        <v>1</v>
      </c>
      <c r="T122" s="7">
        <v>1</v>
      </c>
      <c r="U122" s="8">
        <v>1</v>
      </c>
      <c r="V122" s="6">
        <v>1</v>
      </c>
      <c r="W122" s="7">
        <v>0</v>
      </c>
      <c r="X122" s="7" t="s">
        <v>35</v>
      </c>
      <c r="Y122" s="10" t="s">
        <v>36</v>
      </c>
      <c r="Z122" s="11"/>
    </row>
    <row r="123" spans="1:26" ht="14.4" x14ac:dyDescent="0.3">
      <c r="A123" s="4">
        <v>45955</v>
      </c>
      <c r="B123" s="4">
        <v>45955</v>
      </c>
      <c r="C123" s="5" t="s">
        <v>27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s">
        <v>30</v>
      </c>
      <c r="I123" s="5" t="s">
        <v>32</v>
      </c>
      <c r="J123" s="5" t="s">
        <v>162</v>
      </c>
      <c r="K123" s="6">
        <v>48</v>
      </c>
      <c r="L123" s="7">
        <v>1</v>
      </c>
      <c r="M123" s="8">
        <v>2.0833000000000001E-2</v>
      </c>
      <c r="N123" s="6" t="s">
        <v>34</v>
      </c>
      <c r="O123" s="9">
        <v>2.83</v>
      </c>
      <c r="P123" s="9">
        <v>24.94</v>
      </c>
      <c r="Q123" s="9">
        <v>11.35</v>
      </c>
      <c r="R123" s="6">
        <v>8.81</v>
      </c>
      <c r="S123" s="9">
        <v>1</v>
      </c>
      <c r="T123" s="7">
        <v>1</v>
      </c>
      <c r="U123" s="8">
        <v>1</v>
      </c>
      <c r="V123" s="6">
        <v>1</v>
      </c>
      <c r="W123" s="7">
        <v>0</v>
      </c>
      <c r="X123" s="7" t="s">
        <v>35</v>
      </c>
      <c r="Y123" s="10" t="s">
        <v>36</v>
      </c>
      <c r="Z123" s="11"/>
    </row>
    <row r="124" spans="1:26" ht="14.4" x14ac:dyDescent="0.3">
      <c r="A124" s="4">
        <v>45954</v>
      </c>
      <c r="B124" s="4">
        <v>45954</v>
      </c>
      <c r="C124" s="5" t="s">
        <v>27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s">
        <v>30</v>
      </c>
      <c r="I124" s="5" t="s">
        <v>32</v>
      </c>
      <c r="J124" s="5" t="s">
        <v>249</v>
      </c>
      <c r="K124" s="6">
        <v>5</v>
      </c>
      <c r="L124" s="7">
        <v>1</v>
      </c>
      <c r="M124" s="8">
        <v>0.2</v>
      </c>
      <c r="N124" s="6" t="s">
        <v>34</v>
      </c>
      <c r="O124" s="9">
        <v>2.83</v>
      </c>
      <c r="P124" s="9">
        <v>24.94</v>
      </c>
      <c r="Q124" s="9">
        <v>11.35</v>
      </c>
      <c r="R124" s="6">
        <v>8.81</v>
      </c>
      <c r="S124" s="9">
        <v>1</v>
      </c>
      <c r="T124" s="7">
        <v>1</v>
      </c>
      <c r="U124" s="8">
        <v>1</v>
      </c>
      <c r="V124" s="6">
        <v>1</v>
      </c>
      <c r="W124" s="7">
        <v>0</v>
      </c>
      <c r="X124" s="7" t="s">
        <v>35</v>
      </c>
      <c r="Y124" s="10" t="s">
        <v>36</v>
      </c>
      <c r="Z124" s="11"/>
    </row>
    <row r="125" spans="1:26" ht="14.4" x14ac:dyDescent="0.3">
      <c r="A125" s="4">
        <v>45954</v>
      </c>
      <c r="B125" s="4">
        <v>45954</v>
      </c>
      <c r="C125" s="5" t="s">
        <v>27</v>
      </c>
      <c r="D125" s="5" t="s">
        <v>28</v>
      </c>
      <c r="E125" s="5" t="s">
        <v>71</v>
      </c>
      <c r="F125" s="5" t="s">
        <v>72</v>
      </c>
      <c r="G125" s="5" t="s">
        <v>31</v>
      </c>
      <c r="H125" s="5" t="s">
        <v>51</v>
      </c>
      <c r="I125" s="5" t="s">
        <v>52</v>
      </c>
      <c r="J125" s="5" t="s">
        <v>250</v>
      </c>
      <c r="K125" s="6">
        <v>1</v>
      </c>
      <c r="L125" s="7">
        <v>1</v>
      </c>
      <c r="M125" s="8">
        <v>1</v>
      </c>
      <c r="N125" s="6" t="s">
        <v>251</v>
      </c>
      <c r="O125" s="9">
        <v>3.17</v>
      </c>
      <c r="P125" s="9">
        <v>24.94</v>
      </c>
      <c r="Q125" s="9">
        <v>12.71</v>
      </c>
      <c r="R125" s="6">
        <v>7.87</v>
      </c>
      <c r="S125" s="9">
        <v>1</v>
      </c>
      <c r="T125" s="7">
        <v>1</v>
      </c>
      <c r="U125" s="8">
        <v>1</v>
      </c>
      <c r="V125" s="6">
        <v>1</v>
      </c>
      <c r="W125" s="7">
        <v>0</v>
      </c>
      <c r="X125" s="7" t="s">
        <v>35</v>
      </c>
      <c r="Y125" s="10" t="s">
        <v>36</v>
      </c>
      <c r="Z125" s="11"/>
    </row>
    <row r="126" spans="1:26" ht="14.4" x14ac:dyDescent="0.3">
      <c r="A126" s="4">
        <v>45953</v>
      </c>
      <c r="B126" s="4">
        <v>45953</v>
      </c>
      <c r="C126" s="5" t="s">
        <v>27</v>
      </c>
      <c r="D126" s="5" t="s">
        <v>28</v>
      </c>
      <c r="E126" s="5" t="s">
        <v>71</v>
      </c>
      <c r="F126" s="5" t="s">
        <v>72</v>
      </c>
      <c r="G126" s="5" t="s">
        <v>31</v>
      </c>
      <c r="H126" s="5" t="s">
        <v>51</v>
      </c>
      <c r="I126" s="5" t="s">
        <v>52</v>
      </c>
      <c r="J126" s="5" t="s">
        <v>252</v>
      </c>
      <c r="K126" s="6">
        <v>1</v>
      </c>
      <c r="L126" s="7">
        <v>1</v>
      </c>
      <c r="M126" s="8">
        <v>1</v>
      </c>
      <c r="N126" s="6" t="s">
        <v>152</v>
      </c>
      <c r="O126" s="9">
        <v>3.09</v>
      </c>
      <c r="P126" s="9">
        <v>24.94</v>
      </c>
      <c r="Q126" s="9">
        <v>12.39</v>
      </c>
      <c r="R126" s="6">
        <v>8.07</v>
      </c>
      <c r="S126" s="9">
        <v>1</v>
      </c>
      <c r="T126" s="7">
        <v>1</v>
      </c>
      <c r="U126" s="8">
        <v>1</v>
      </c>
      <c r="V126" s="6">
        <v>1</v>
      </c>
      <c r="W126" s="7">
        <v>0</v>
      </c>
      <c r="X126" s="7" t="s">
        <v>35</v>
      </c>
      <c r="Y126" s="10" t="s">
        <v>36</v>
      </c>
      <c r="Z126" s="11"/>
    </row>
    <row r="127" spans="1:26" ht="14.4" x14ac:dyDescent="0.3">
      <c r="A127" s="4">
        <v>45952</v>
      </c>
      <c r="B127" s="4">
        <v>45952</v>
      </c>
      <c r="C127" s="5" t="s">
        <v>27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s">
        <v>30</v>
      </c>
      <c r="I127" s="5" t="s">
        <v>32</v>
      </c>
      <c r="J127" s="5" t="s">
        <v>253</v>
      </c>
      <c r="K127" s="6">
        <v>1</v>
      </c>
      <c r="L127" s="7">
        <v>1</v>
      </c>
      <c r="M127" s="8">
        <v>1</v>
      </c>
      <c r="N127" s="6" t="s">
        <v>194</v>
      </c>
      <c r="O127" s="9">
        <v>2.74</v>
      </c>
      <c r="P127" s="9">
        <v>24.94</v>
      </c>
      <c r="Q127" s="9">
        <v>10.99</v>
      </c>
      <c r="R127" s="6">
        <v>9.1</v>
      </c>
      <c r="S127" s="9">
        <v>1</v>
      </c>
      <c r="T127" s="7">
        <v>1</v>
      </c>
      <c r="U127" s="8">
        <v>1</v>
      </c>
      <c r="V127" s="6">
        <v>1</v>
      </c>
      <c r="W127" s="7">
        <v>0</v>
      </c>
      <c r="X127" s="7" t="s">
        <v>35</v>
      </c>
      <c r="Y127" s="10" t="s">
        <v>36</v>
      </c>
      <c r="Z127" s="11"/>
    </row>
    <row r="128" spans="1:26" ht="14.4" x14ac:dyDescent="0.3">
      <c r="A128" s="4">
        <v>45952</v>
      </c>
      <c r="B128" s="4">
        <v>45952</v>
      </c>
      <c r="C128" s="5" t="s">
        <v>27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s">
        <v>30</v>
      </c>
      <c r="I128" s="5" t="s">
        <v>32</v>
      </c>
      <c r="J128" s="5" t="s">
        <v>254</v>
      </c>
      <c r="K128" s="6">
        <v>1</v>
      </c>
      <c r="L128" s="7">
        <v>1</v>
      </c>
      <c r="M128" s="8">
        <v>1</v>
      </c>
      <c r="N128" s="6" t="s">
        <v>34</v>
      </c>
      <c r="O128" s="9">
        <v>2.83</v>
      </c>
      <c r="P128" s="9">
        <v>24.94</v>
      </c>
      <c r="Q128" s="9">
        <v>11.35</v>
      </c>
      <c r="R128" s="6">
        <v>8.81</v>
      </c>
      <c r="S128" s="9">
        <v>1</v>
      </c>
      <c r="T128" s="7">
        <v>1</v>
      </c>
      <c r="U128" s="8">
        <v>1</v>
      </c>
      <c r="V128" s="6">
        <v>1</v>
      </c>
      <c r="W128" s="7">
        <v>0</v>
      </c>
      <c r="X128" s="7" t="s">
        <v>35</v>
      </c>
      <c r="Y128" s="10" t="s">
        <v>36</v>
      </c>
      <c r="Z128" s="11"/>
    </row>
    <row r="129" spans="1:26" ht="14.4" x14ac:dyDescent="0.3">
      <c r="A129" s="4">
        <v>45952</v>
      </c>
      <c r="B129" s="4">
        <v>45952</v>
      </c>
      <c r="C129" s="5" t="s">
        <v>27</v>
      </c>
      <c r="D129" s="5" t="s">
        <v>28</v>
      </c>
      <c r="E129" s="5" t="s">
        <v>71</v>
      </c>
      <c r="F129" s="5" t="s">
        <v>72</v>
      </c>
      <c r="G129" s="5" t="s">
        <v>31</v>
      </c>
      <c r="H129" s="5" t="s">
        <v>51</v>
      </c>
      <c r="I129" s="5" t="s">
        <v>52</v>
      </c>
      <c r="J129" s="5" t="s">
        <v>98</v>
      </c>
      <c r="K129" s="6">
        <v>4</v>
      </c>
      <c r="L129" s="7">
        <v>1</v>
      </c>
      <c r="M129" s="8">
        <v>0.25</v>
      </c>
      <c r="N129" s="6" t="s">
        <v>124</v>
      </c>
      <c r="O129" s="9">
        <v>2.63</v>
      </c>
      <c r="P129" s="9">
        <v>24.94</v>
      </c>
      <c r="Q129" s="9">
        <v>10.55</v>
      </c>
      <c r="R129" s="6">
        <v>9.48</v>
      </c>
      <c r="S129" s="9">
        <v>1</v>
      </c>
      <c r="T129" s="7">
        <v>1</v>
      </c>
      <c r="U129" s="8">
        <v>1</v>
      </c>
      <c r="V129" s="6">
        <v>1</v>
      </c>
      <c r="W129" s="7">
        <v>0</v>
      </c>
      <c r="X129" s="7" t="s">
        <v>35</v>
      </c>
      <c r="Y129" s="10" t="s">
        <v>36</v>
      </c>
      <c r="Z129" s="11"/>
    </row>
    <row r="130" spans="1:26" ht="14.4" x14ac:dyDescent="0.3">
      <c r="A130" s="4">
        <v>45952</v>
      </c>
      <c r="B130" s="4">
        <v>45953</v>
      </c>
      <c r="C130" s="5" t="s">
        <v>48</v>
      </c>
      <c r="D130" s="5" t="s">
        <v>28</v>
      </c>
      <c r="E130" s="5" t="s">
        <v>49</v>
      </c>
      <c r="F130" s="5" t="s">
        <v>50</v>
      </c>
      <c r="G130" s="5" t="s">
        <v>31</v>
      </c>
      <c r="H130" s="5" t="s">
        <v>51</v>
      </c>
      <c r="I130" s="5" t="s">
        <v>52</v>
      </c>
      <c r="J130" s="5" t="s">
        <v>255</v>
      </c>
      <c r="K130" s="6">
        <v>15</v>
      </c>
      <c r="L130" s="7">
        <v>2</v>
      </c>
      <c r="M130" s="8">
        <v>0.13333300000000001</v>
      </c>
      <c r="N130" s="6" t="s">
        <v>131</v>
      </c>
      <c r="O130" s="9">
        <v>6</v>
      </c>
      <c r="P130" s="9">
        <v>21.9</v>
      </c>
      <c r="Q130" s="9">
        <v>27.4</v>
      </c>
      <c r="R130" s="6">
        <v>3.65</v>
      </c>
      <c r="S130" s="9">
        <v>1</v>
      </c>
      <c r="T130" s="7">
        <v>1</v>
      </c>
      <c r="U130" s="8">
        <v>0.5</v>
      </c>
      <c r="V130" s="6">
        <v>1</v>
      </c>
      <c r="W130" s="7">
        <v>0</v>
      </c>
      <c r="X130" s="7" t="s">
        <v>55</v>
      </c>
      <c r="Y130" s="10" t="s">
        <v>36</v>
      </c>
      <c r="Z130" s="11"/>
    </row>
    <row r="131" spans="1:26" ht="14.4" x14ac:dyDescent="0.3">
      <c r="A131" s="4">
        <v>45951</v>
      </c>
      <c r="B131" s="4">
        <v>45951</v>
      </c>
      <c r="C131" s="5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30</v>
      </c>
      <c r="I131" s="5" t="s">
        <v>32</v>
      </c>
      <c r="J131" s="5" t="s">
        <v>256</v>
      </c>
      <c r="K131" s="6">
        <v>2</v>
      </c>
      <c r="L131" s="7">
        <v>1</v>
      </c>
      <c r="M131" s="8">
        <v>0.5</v>
      </c>
      <c r="N131" s="6" t="s">
        <v>257</v>
      </c>
      <c r="O131" s="9">
        <v>4.07</v>
      </c>
      <c r="P131" s="9">
        <v>24.94</v>
      </c>
      <c r="Q131" s="9">
        <v>16.32</v>
      </c>
      <c r="R131" s="6">
        <v>6.13</v>
      </c>
      <c r="S131" s="9">
        <v>1</v>
      </c>
      <c r="T131" s="7">
        <v>1</v>
      </c>
      <c r="U131" s="8">
        <v>1</v>
      </c>
      <c r="V131" s="6">
        <v>1</v>
      </c>
      <c r="W131" s="7">
        <v>0</v>
      </c>
      <c r="X131" s="7" t="s">
        <v>35</v>
      </c>
      <c r="Y131" s="10" t="s">
        <v>36</v>
      </c>
      <c r="Z131" s="11"/>
    </row>
    <row r="132" spans="1:26" ht="14.4" x14ac:dyDescent="0.3">
      <c r="A132" s="4">
        <v>45951</v>
      </c>
      <c r="B132" s="4">
        <v>45951</v>
      </c>
      <c r="C132" s="5" t="s">
        <v>143</v>
      </c>
      <c r="D132" s="5" t="s">
        <v>28</v>
      </c>
      <c r="E132" s="5" t="s">
        <v>144</v>
      </c>
      <c r="F132" s="5" t="s">
        <v>32</v>
      </c>
      <c r="G132" s="5" t="s">
        <v>31</v>
      </c>
      <c r="H132" s="5" t="s">
        <v>30</v>
      </c>
      <c r="I132" s="5" t="s">
        <v>44</v>
      </c>
      <c r="J132" s="5" t="s">
        <v>30</v>
      </c>
      <c r="K132" s="6">
        <v>141</v>
      </c>
      <c r="L132" s="7">
        <v>1</v>
      </c>
      <c r="M132" s="8">
        <v>7.0920000000000002E-3</v>
      </c>
      <c r="N132" s="6" t="s">
        <v>258</v>
      </c>
      <c r="O132" s="9">
        <v>0.86</v>
      </c>
      <c r="P132" s="9">
        <v>24.94</v>
      </c>
      <c r="Q132" s="9">
        <v>3.45</v>
      </c>
      <c r="R132" s="6">
        <v>29</v>
      </c>
      <c r="S132" s="9">
        <v>1</v>
      </c>
      <c r="T132" s="7">
        <v>1</v>
      </c>
      <c r="U132" s="8">
        <v>1</v>
      </c>
      <c r="V132" s="6">
        <v>1</v>
      </c>
      <c r="W132" s="7">
        <v>0</v>
      </c>
      <c r="X132" s="7" t="s">
        <v>35</v>
      </c>
      <c r="Y132" s="10" t="s">
        <v>36</v>
      </c>
      <c r="Z132" s="11"/>
    </row>
    <row r="133" spans="1:26" ht="14.4" x14ac:dyDescent="0.3">
      <c r="A133" s="4">
        <v>45951</v>
      </c>
      <c r="B133" s="4">
        <v>45955</v>
      </c>
      <c r="C133" s="5" t="s">
        <v>48</v>
      </c>
      <c r="D133" s="5" t="s">
        <v>28</v>
      </c>
      <c r="E133" s="5" t="s">
        <v>62</v>
      </c>
      <c r="F133" s="5" t="s">
        <v>63</v>
      </c>
      <c r="G133" s="5" t="s">
        <v>31</v>
      </c>
      <c r="H133" s="5" t="s">
        <v>68</v>
      </c>
      <c r="I133" s="5" t="s">
        <v>65</v>
      </c>
      <c r="J133" s="5" t="s">
        <v>68</v>
      </c>
      <c r="K133" s="6">
        <v>158</v>
      </c>
      <c r="L133" s="7">
        <v>8</v>
      </c>
      <c r="M133" s="8">
        <v>5.0632999999999997E-2</v>
      </c>
      <c r="N133" s="6" t="s">
        <v>259</v>
      </c>
      <c r="O133" s="9">
        <v>32.68</v>
      </c>
      <c r="P133" s="9">
        <v>65.7</v>
      </c>
      <c r="Q133" s="9">
        <v>49.74</v>
      </c>
      <c r="R133" s="6">
        <v>2.0099999999999998</v>
      </c>
      <c r="S133" s="9">
        <v>1</v>
      </c>
      <c r="T133" s="7">
        <v>3</v>
      </c>
      <c r="U133" s="8">
        <v>0.125</v>
      </c>
      <c r="V133" s="6">
        <v>3</v>
      </c>
      <c r="W133" s="7">
        <v>0</v>
      </c>
      <c r="X133" s="7" t="s">
        <v>260</v>
      </c>
      <c r="Y133" s="10" t="s">
        <v>36</v>
      </c>
      <c r="Z133" s="11"/>
    </row>
    <row r="134" spans="1:26" ht="14.4" x14ac:dyDescent="0.3">
      <c r="A134" s="4">
        <v>45951</v>
      </c>
      <c r="B134" s="4">
        <v>45951</v>
      </c>
      <c r="C134" s="5" t="s">
        <v>143</v>
      </c>
      <c r="D134" s="5" t="s">
        <v>28</v>
      </c>
      <c r="E134" s="5" t="s">
        <v>144</v>
      </c>
      <c r="F134" s="5" t="s">
        <v>32</v>
      </c>
      <c r="G134" s="5" t="s">
        <v>31</v>
      </c>
      <c r="H134" s="5" t="s">
        <v>30</v>
      </c>
      <c r="I134" s="5" t="s">
        <v>44</v>
      </c>
      <c r="J134" s="5" t="s">
        <v>145</v>
      </c>
      <c r="K134" s="6">
        <v>4</v>
      </c>
      <c r="L134" s="7">
        <v>1</v>
      </c>
      <c r="M134" s="8">
        <v>0.25</v>
      </c>
      <c r="N134" s="6" t="s">
        <v>217</v>
      </c>
      <c r="O134" s="9">
        <v>1.82</v>
      </c>
      <c r="P134" s="9">
        <v>24.94</v>
      </c>
      <c r="Q134" s="9">
        <v>7.3</v>
      </c>
      <c r="R134" s="6">
        <v>13.7</v>
      </c>
      <c r="S134" s="9">
        <v>1</v>
      </c>
      <c r="T134" s="7">
        <v>1</v>
      </c>
      <c r="U134" s="8">
        <v>1</v>
      </c>
      <c r="V134" s="6">
        <v>1</v>
      </c>
      <c r="W134" s="7">
        <v>0</v>
      </c>
      <c r="X134" s="7" t="s">
        <v>35</v>
      </c>
      <c r="Y134" s="10" t="s">
        <v>36</v>
      </c>
      <c r="Z134" s="11"/>
    </row>
    <row r="135" spans="1:26" ht="14.4" x14ac:dyDescent="0.3">
      <c r="A135" s="4">
        <v>45951</v>
      </c>
      <c r="B135" s="4">
        <v>45951</v>
      </c>
      <c r="C135" s="5" t="s">
        <v>27</v>
      </c>
      <c r="D135" s="5" t="s">
        <v>28</v>
      </c>
      <c r="E135" s="5" t="s">
        <v>71</v>
      </c>
      <c r="F135" s="5" t="s">
        <v>72</v>
      </c>
      <c r="G135" s="5" t="s">
        <v>31</v>
      </c>
      <c r="H135" s="5" t="s">
        <v>51</v>
      </c>
      <c r="I135" s="5" t="s">
        <v>52</v>
      </c>
      <c r="J135" s="5" t="s">
        <v>261</v>
      </c>
      <c r="K135" s="6">
        <v>1</v>
      </c>
      <c r="L135" s="7">
        <v>1</v>
      </c>
      <c r="M135" s="8">
        <v>1</v>
      </c>
      <c r="N135" s="6" t="s">
        <v>262</v>
      </c>
      <c r="O135" s="9">
        <v>3.24</v>
      </c>
      <c r="P135" s="9">
        <v>24.94</v>
      </c>
      <c r="Q135" s="9">
        <v>12.99</v>
      </c>
      <c r="R135" s="6">
        <v>7.7</v>
      </c>
      <c r="S135" s="9">
        <v>1</v>
      </c>
      <c r="T135" s="7">
        <v>1</v>
      </c>
      <c r="U135" s="8">
        <v>1</v>
      </c>
      <c r="V135" s="6">
        <v>1</v>
      </c>
      <c r="W135" s="7">
        <v>0</v>
      </c>
      <c r="X135" s="7" t="s">
        <v>35</v>
      </c>
      <c r="Y135" s="10" t="s">
        <v>36</v>
      </c>
      <c r="Z135" s="11"/>
    </row>
    <row r="136" spans="1:26" ht="14.4" x14ac:dyDescent="0.3">
      <c r="A136" s="4">
        <v>45951</v>
      </c>
      <c r="B136" s="4">
        <v>45951</v>
      </c>
      <c r="C136" s="5" t="s">
        <v>143</v>
      </c>
      <c r="D136" s="5" t="s">
        <v>28</v>
      </c>
      <c r="E136" s="5" t="s">
        <v>144</v>
      </c>
      <c r="F136" s="5" t="s">
        <v>32</v>
      </c>
      <c r="G136" s="5" t="s">
        <v>31</v>
      </c>
      <c r="H136" s="5" t="s">
        <v>119</v>
      </c>
      <c r="I136" s="5" t="s">
        <v>44</v>
      </c>
      <c r="J136" s="5" t="s">
        <v>119</v>
      </c>
      <c r="K136" s="6">
        <v>3</v>
      </c>
      <c r="L136" s="7">
        <v>1</v>
      </c>
      <c r="M136" s="8">
        <v>0.33333299999999999</v>
      </c>
      <c r="N136" s="6" t="s">
        <v>263</v>
      </c>
      <c r="O136" s="9">
        <v>1.02</v>
      </c>
      <c r="P136" s="9">
        <v>24.94</v>
      </c>
      <c r="Q136" s="9">
        <v>4.09</v>
      </c>
      <c r="R136" s="6">
        <v>24.45</v>
      </c>
      <c r="S136" s="9">
        <v>1</v>
      </c>
      <c r="T136" s="7">
        <v>1</v>
      </c>
      <c r="U136" s="8">
        <v>1</v>
      </c>
      <c r="V136" s="6">
        <v>1</v>
      </c>
      <c r="W136" s="7">
        <v>0</v>
      </c>
      <c r="X136" s="7" t="s">
        <v>35</v>
      </c>
      <c r="Y136" s="10" t="s">
        <v>36</v>
      </c>
      <c r="Z136" s="11"/>
    </row>
    <row r="137" spans="1:26" ht="14.4" x14ac:dyDescent="0.3">
      <c r="A137" s="4">
        <v>45951</v>
      </c>
      <c r="B137" s="4">
        <v>45951</v>
      </c>
      <c r="C137" s="5" t="s">
        <v>40</v>
      </c>
      <c r="D137" s="5" t="s">
        <v>28</v>
      </c>
      <c r="E137" s="5" t="s">
        <v>41</v>
      </c>
      <c r="F137" s="5" t="s">
        <v>42</v>
      </c>
      <c r="G137" s="5" t="s">
        <v>31</v>
      </c>
      <c r="H137" s="5" t="s">
        <v>43</v>
      </c>
      <c r="I137" s="5" t="s">
        <v>44</v>
      </c>
      <c r="J137" s="5" t="s">
        <v>264</v>
      </c>
      <c r="K137" s="6">
        <v>1</v>
      </c>
      <c r="L137" s="7">
        <v>1</v>
      </c>
      <c r="M137" s="8">
        <v>1</v>
      </c>
      <c r="N137" s="6" t="s">
        <v>139</v>
      </c>
      <c r="O137" s="9">
        <v>2.08</v>
      </c>
      <c r="P137" s="9">
        <v>24.94</v>
      </c>
      <c r="Q137" s="9">
        <v>8.34</v>
      </c>
      <c r="R137" s="6">
        <v>11.99</v>
      </c>
      <c r="S137" s="9">
        <v>1</v>
      </c>
      <c r="T137" s="7">
        <v>1</v>
      </c>
      <c r="U137" s="8">
        <v>1</v>
      </c>
      <c r="V137" s="6">
        <v>1</v>
      </c>
      <c r="W137" s="7">
        <v>0</v>
      </c>
      <c r="X137" s="7" t="s">
        <v>35</v>
      </c>
      <c r="Y137" s="10" t="s">
        <v>36</v>
      </c>
      <c r="Z137" s="11"/>
    </row>
    <row r="138" spans="1:26" ht="14.4" x14ac:dyDescent="0.3">
      <c r="A138" s="4">
        <v>45951</v>
      </c>
      <c r="B138" s="4">
        <v>45951</v>
      </c>
      <c r="C138" s="5" t="s">
        <v>27</v>
      </c>
      <c r="D138" s="5" t="s">
        <v>28</v>
      </c>
      <c r="E138" s="5" t="s">
        <v>71</v>
      </c>
      <c r="F138" s="5" t="s">
        <v>72</v>
      </c>
      <c r="G138" s="5" t="s">
        <v>31</v>
      </c>
      <c r="H138" s="5" t="s">
        <v>51</v>
      </c>
      <c r="I138" s="5" t="s">
        <v>52</v>
      </c>
      <c r="J138" s="5" t="s">
        <v>265</v>
      </c>
      <c r="K138" s="6">
        <v>1</v>
      </c>
      <c r="L138" s="7">
        <v>1</v>
      </c>
      <c r="M138" s="8">
        <v>1</v>
      </c>
      <c r="N138" s="6" t="s">
        <v>201</v>
      </c>
      <c r="O138" s="9">
        <v>3.67</v>
      </c>
      <c r="P138" s="9">
        <v>24.94</v>
      </c>
      <c r="Q138" s="9">
        <v>14.72</v>
      </c>
      <c r="R138" s="6">
        <v>6.8</v>
      </c>
      <c r="S138" s="9">
        <v>1</v>
      </c>
      <c r="T138" s="7">
        <v>1</v>
      </c>
      <c r="U138" s="8">
        <v>1</v>
      </c>
      <c r="V138" s="6">
        <v>1</v>
      </c>
      <c r="W138" s="7">
        <v>0</v>
      </c>
      <c r="X138" s="7" t="s">
        <v>35</v>
      </c>
      <c r="Y138" s="10" t="s">
        <v>36</v>
      </c>
      <c r="Z138" s="11"/>
    </row>
    <row r="139" spans="1:26" ht="14.4" x14ac:dyDescent="0.3">
      <c r="A139" s="4">
        <v>45951</v>
      </c>
      <c r="B139" s="4">
        <v>45951</v>
      </c>
      <c r="C139" s="5" t="s">
        <v>27</v>
      </c>
      <c r="D139" s="5" t="s">
        <v>28</v>
      </c>
      <c r="E139" s="5" t="s">
        <v>71</v>
      </c>
      <c r="F139" s="5" t="s">
        <v>72</v>
      </c>
      <c r="G139" s="5" t="s">
        <v>31</v>
      </c>
      <c r="H139" s="5" t="s">
        <v>51</v>
      </c>
      <c r="I139" s="5" t="s">
        <v>52</v>
      </c>
      <c r="J139" s="5" t="s">
        <v>266</v>
      </c>
      <c r="K139" s="6">
        <v>1</v>
      </c>
      <c r="L139" s="7">
        <v>1</v>
      </c>
      <c r="M139" s="8">
        <v>1</v>
      </c>
      <c r="N139" s="6" t="s">
        <v>201</v>
      </c>
      <c r="O139" s="9">
        <v>3.67</v>
      </c>
      <c r="P139" s="9">
        <v>24.94</v>
      </c>
      <c r="Q139" s="9">
        <v>14.72</v>
      </c>
      <c r="R139" s="6">
        <v>6.8</v>
      </c>
      <c r="S139" s="9">
        <v>1</v>
      </c>
      <c r="T139" s="7">
        <v>1</v>
      </c>
      <c r="U139" s="8">
        <v>1</v>
      </c>
      <c r="V139" s="6">
        <v>1</v>
      </c>
      <c r="W139" s="7">
        <v>0</v>
      </c>
      <c r="X139" s="7" t="s">
        <v>35</v>
      </c>
      <c r="Y139" s="10" t="s">
        <v>36</v>
      </c>
      <c r="Z139" s="11"/>
    </row>
    <row r="140" spans="1:26" ht="14.4" x14ac:dyDescent="0.3">
      <c r="A140" s="4">
        <v>45950</v>
      </c>
      <c r="B140" s="4">
        <v>45950</v>
      </c>
      <c r="C140" s="5" t="s">
        <v>27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s">
        <v>30</v>
      </c>
      <c r="I140" s="5" t="s">
        <v>32</v>
      </c>
      <c r="J140" s="5" t="s">
        <v>267</v>
      </c>
      <c r="K140" s="6">
        <v>3</v>
      </c>
      <c r="L140" s="7">
        <v>1</v>
      </c>
      <c r="M140" s="8">
        <v>0.33333299999999999</v>
      </c>
      <c r="N140" s="6" t="s">
        <v>179</v>
      </c>
      <c r="O140" s="9">
        <v>4.34</v>
      </c>
      <c r="P140" s="9">
        <v>24.94</v>
      </c>
      <c r="Q140" s="9">
        <v>17.399999999999999</v>
      </c>
      <c r="R140" s="6">
        <v>5.75</v>
      </c>
      <c r="S140" s="9">
        <v>1</v>
      </c>
      <c r="T140" s="7">
        <v>1</v>
      </c>
      <c r="U140" s="8">
        <v>1</v>
      </c>
      <c r="V140" s="6">
        <v>1</v>
      </c>
      <c r="W140" s="7">
        <v>0</v>
      </c>
      <c r="X140" s="7" t="s">
        <v>35</v>
      </c>
      <c r="Y140" s="10" t="s">
        <v>36</v>
      </c>
      <c r="Z140" s="11"/>
    </row>
    <row r="141" spans="1:26" ht="15.75" customHeight="1" x14ac:dyDescent="0.3">
      <c r="A141" s="4">
        <v>45950</v>
      </c>
      <c r="B141" s="4">
        <v>45950</v>
      </c>
      <c r="C141" s="5" t="s">
        <v>27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s">
        <v>30</v>
      </c>
      <c r="I141" s="5" t="s">
        <v>32</v>
      </c>
      <c r="J141" s="5" t="s">
        <v>268</v>
      </c>
      <c r="K141" s="6">
        <v>1</v>
      </c>
      <c r="L141" s="7">
        <v>1</v>
      </c>
      <c r="M141" s="8">
        <v>1</v>
      </c>
      <c r="N141" s="6" t="s">
        <v>34</v>
      </c>
      <c r="O141" s="9">
        <v>2.83</v>
      </c>
      <c r="P141" s="9">
        <v>24.94</v>
      </c>
      <c r="Q141" s="9">
        <v>11.35</v>
      </c>
      <c r="R141" s="6">
        <v>8.81</v>
      </c>
      <c r="S141" s="9">
        <v>1</v>
      </c>
      <c r="T141" s="7">
        <v>1</v>
      </c>
      <c r="U141" s="8">
        <v>1</v>
      </c>
      <c r="V141" s="6">
        <v>1</v>
      </c>
      <c r="W141" s="7">
        <v>0</v>
      </c>
      <c r="X141" s="7" t="s">
        <v>35</v>
      </c>
      <c r="Y141" s="10" t="s">
        <v>36</v>
      </c>
      <c r="Z141" s="11"/>
    </row>
    <row r="142" spans="1:26" ht="15.75" customHeight="1" x14ac:dyDescent="0.3">
      <c r="A142" s="4">
        <v>45950</v>
      </c>
      <c r="B142" s="4">
        <v>45955</v>
      </c>
      <c r="C142" s="5" t="s">
        <v>40</v>
      </c>
      <c r="D142" s="5" t="s">
        <v>28</v>
      </c>
      <c r="E142" s="5" t="s">
        <v>41</v>
      </c>
      <c r="F142" s="5" t="s">
        <v>42</v>
      </c>
      <c r="G142" s="5" t="s">
        <v>31</v>
      </c>
      <c r="H142" s="5" t="s">
        <v>43</v>
      </c>
      <c r="I142" s="5" t="s">
        <v>44</v>
      </c>
      <c r="J142" s="5" t="s">
        <v>43</v>
      </c>
      <c r="K142" s="6">
        <v>193</v>
      </c>
      <c r="L142" s="7">
        <v>13</v>
      </c>
      <c r="M142" s="8">
        <v>6.7358000000000001E-2</v>
      </c>
      <c r="N142" s="6" t="s">
        <v>269</v>
      </c>
      <c r="O142" s="9">
        <v>40.01</v>
      </c>
      <c r="P142" s="9">
        <v>74.819999999999993</v>
      </c>
      <c r="Q142" s="9">
        <v>53.48</v>
      </c>
      <c r="R142" s="6">
        <v>1.87</v>
      </c>
      <c r="S142" s="9">
        <v>3</v>
      </c>
      <c r="T142" s="7">
        <v>3</v>
      </c>
      <c r="U142" s="8">
        <v>0.230769</v>
      </c>
      <c r="V142" s="6">
        <v>3</v>
      </c>
      <c r="W142" s="7">
        <v>0</v>
      </c>
      <c r="X142" s="7" t="s">
        <v>93</v>
      </c>
      <c r="Y142" s="10" t="s">
        <v>36</v>
      </c>
      <c r="Z142" s="11"/>
    </row>
    <row r="143" spans="1:26" ht="15.75" customHeight="1" x14ac:dyDescent="0.3">
      <c r="A143" s="4">
        <v>45950</v>
      </c>
      <c r="B143" s="4">
        <v>45950</v>
      </c>
      <c r="C143" s="5" t="s">
        <v>27</v>
      </c>
      <c r="D143" s="5" t="s">
        <v>28</v>
      </c>
      <c r="E143" s="5" t="s">
        <v>71</v>
      </c>
      <c r="F143" s="5" t="s">
        <v>72</v>
      </c>
      <c r="G143" s="5" t="s">
        <v>31</v>
      </c>
      <c r="H143" s="5" t="s">
        <v>51</v>
      </c>
      <c r="I143" s="5" t="s">
        <v>52</v>
      </c>
      <c r="J143" s="5" t="s">
        <v>270</v>
      </c>
      <c r="K143" s="6">
        <v>1</v>
      </c>
      <c r="L143" s="7">
        <v>1</v>
      </c>
      <c r="M143" s="8">
        <v>1</v>
      </c>
      <c r="N143" s="6" t="s">
        <v>124</v>
      </c>
      <c r="O143" s="9">
        <v>2.63</v>
      </c>
      <c r="P143" s="9">
        <v>24.94</v>
      </c>
      <c r="Q143" s="9">
        <v>10.55</v>
      </c>
      <c r="R143" s="6">
        <v>9.48</v>
      </c>
      <c r="S143" s="9">
        <v>1</v>
      </c>
      <c r="T143" s="7">
        <v>1</v>
      </c>
      <c r="U143" s="8">
        <v>1</v>
      </c>
      <c r="V143" s="6">
        <v>1</v>
      </c>
      <c r="W143" s="7">
        <v>0</v>
      </c>
      <c r="X143" s="7" t="s">
        <v>35</v>
      </c>
      <c r="Y143" s="10" t="s">
        <v>36</v>
      </c>
      <c r="Z143" s="11"/>
    </row>
    <row r="144" spans="1:26" ht="15.75" customHeight="1" x14ac:dyDescent="0.3">
      <c r="A144" s="4">
        <v>45949</v>
      </c>
      <c r="B144" s="4">
        <v>45955</v>
      </c>
      <c r="C144" s="5" t="s">
        <v>105</v>
      </c>
      <c r="D144" s="5" t="s">
        <v>28</v>
      </c>
      <c r="E144" s="5" t="s">
        <v>106</v>
      </c>
      <c r="F144" s="5" t="s">
        <v>30</v>
      </c>
      <c r="G144" s="5" t="s">
        <v>31</v>
      </c>
      <c r="H144" s="5" t="s">
        <v>30</v>
      </c>
      <c r="I144" s="5" t="s">
        <v>65</v>
      </c>
      <c r="J144" s="5" t="s">
        <v>30</v>
      </c>
      <c r="K144" s="6">
        <v>7331</v>
      </c>
      <c r="L144" s="7">
        <v>26</v>
      </c>
      <c r="M144" s="8">
        <v>3.5469999999999998E-3</v>
      </c>
      <c r="N144" s="6" t="s">
        <v>271</v>
      </c>
      <c r="O144" s="9">
        <v>74.25</v>
      </c>
      <c r="P144" s="9">
        <v>149.63999999999999</v>
      </c>
      <c r="Q144" s="9">
        <v>49.62</v>
      </c>
      <c r="R144" s="6">
        <v>2.02</v>
      </c>
      <c r="S144" s="9">
        <v>5</v>
      </c>
      <c r="T144" s="7">
        <v>6</v>
      </c>
      <c r="U144" s="8">
        <v>0.19230800000000001</v>
      </c>
      <c r="V144" s="6">
        <v>6</v>
      </c>
      <c r="W144" s="7">
        <v>0</v>
      </c>
      <c r="X144" s="7" t="s">
        <v>272</v>
      </c>
      <c r="Y144" s="10" t="s">
        <v>36</v>
      </c>
      <c r="Z144" s="11"/>
    </row>
    <row r="145" spans="1:26" ht="15.75" customHeight="1" x14ac:dyDescent="0.3">
      <c r="A145" s="4">
        <v>45949</v>
      </c>
      <c r="B145" s="4">
        <v>45955</v>
      </c>
      <c r="C145" s="5" t="s">
        <v>48</v>
      </c>
      <c r="D145" s="5" t="s">
        <v>28</v>
      </c>
      <c r="E145" s="5" t="s">
        <v>225</v>
      </c>
      <c r="F145" s="5" t="s">
        <v>226</v>
      </c>
      <c r="G145" s="5" t="s">
        <v>31</v>
      </c>
      <c r="H145" s="5" t="s">
        <v>68</v>
      </c>
      <c r="I145" s="5" t="s">
        <v>32</v>
      </c>
      <c r="J145" s="5" t="s">
        <v>273</v>
      </c>
      <c r="K145" s="6">
        <v>6</v>
      </c>
      <c r="L145" s="7">
        <v>2</v>
      </c>
      <c r="M145" s="8">
        <v>0.33333299999999999</v>
      </c>
      <c r="N145" s="6" t="s">
        <v>274</v>
      </c>
      <c r="O145" s="9">
        <v>4.53</v>
      </c>
      <c r="P145" s="9">
        <v>21.9</v>
      </c>
      <c r="Q145" s="9">
        <v>20.68</v>
      </c>
      <c r="R145" s="6">
        <v>4.83</v>
      </c>
      <c r="S145" s="9">
        <v>1</v>
      </c>
      <c r="T145" s="7">
        <v>1</v>
      </c>
      <c r="U145" s="8">
        <v>0.5</v>
      </c>
      <c r="V145" s="6">
        <v>1</v>
      </c>
      <c r="W145" s="7">
        <v>0</v>
      </c>
      <c r="X145" s="7" t="s">
        <v>55</v>
      </c>
      <c r="Y145" s="10" t="s">
        <v>36</v>
      </c>
      <c r="Z145" s="11"/>
    </row>
    <row r="146" spans="1:26" ht="15.75" customHeight="1" x14ac:dyDescent="0.3">
      <c r="A146" s="4">
        <v>45949</v>
      </c>
      <c r="B146" s="4">
        <v>45955</v>
      </c>
      <c r="C146" s="5" t="s">
        <v>27</v>
      </c>
      <c r="D146" s="5" t="s">
        <v>28</v>
      </c>
      <c r="E146" s="5" t="s">
        <v>56</v>
      </c>
      <c r="F146" s="5" t="s">
        <v>57</v>
      </c>
      <c r="G146" s="5" t="s">
        <v>31</v>
      </c>
      <c r="H146" s="12" t="e">
        <f>+maca +root</f>
        <v>#NAME?</v>
      </c>
      <c r="I146" s="5" t="s">
        <v>32</v>
      </c>
      <c r="J146" s="5" t="s">
        <v>119</v>
      </c>
      <c r="K146" s="6">
        <v>4519</v>
      </c>
      <c r="L146" s="7">
        <v>52</v>
      </c>
      <c r="M146" s="8">
        <v>1.1507E-2</v>
      </c>
      <c r="N146" s="6" t="s">
        <v>201</v>
      </c>
      <c r="O146" s="9">
        <v>190.65</v>
      </c>
      <c r="P146" s="9">
        <v>174.58</v>
      </c>
      <c r="Q146" s="9">
        <v>109.2</v>
      </c>
      <c r="R146" s="6">
        <v>0.92</v>
      </c>
      <c r="S146" s="9">
        <v>7</v>
      </c>
      <c r="T146" s="7">
        <v>7</v>
      </c>
      <c r="U146" s="8">
        <v>0.13461500000000001</v>
      </c>
      <c r="V146" s="6">
        <v>7</v>
      </c>
      <c r="W146" s="7">
        <v>0</v>
      </c>
      <c r="X146" s="7" t="s">
        <v>121</v>
      </c>
      <c r="Y146" s="10" t="s">
        <v>36</v>
      </c>
      <c r="Z146" s="11"/>
    </row>
    <row r="147" spans="1:26" ht="15.75" customHeight="1" x14ac:dyDescent="0.3">
      <c r="A147" s="4">
        <v>45949</v>
      </c>
      <c r="B147" s="4">
        <v>45949</v>
      </c>
      <c r="C147" s="5" t="s">
        <v>27</v>
      </c>
      <c r="D147" s="5" t="s">
        <v>28</v>
      </c>
      <c r="E147" s="5" t="s">
        <v>71</v>
      </c>
      <c r="F147" s="5" t="s">
        <v>72</v>
      </c>
      <c r="G147" s="5" t="s">
        <v>31</v>
      </c>
      <c r="H147" s="5" t="s">
        <v>51</v>
      </c>
      <c r="I147" s="5" t="s">
        <v>52</v>
      </c>
      <c r="J147" s="5" t="s">
        <v>275</v>
      </c>
      <c r="K147" s="6">
        <v>1</v>
      </c>
      <c r="L147" s="7">
        <v>1</v>
      </c>
      <c r="M147" s="8">
        <v>1</v>
      </c>
      <c r="N147" s="6" t="s">
        <v>124</v>
      </c>
      <c r="O147" s="9">
        <v>2.63</v>
      </c>
      <c r="P147" s="9">
        <v>24.94</v>
      </c>
      <c r="Q147" s="9">
        <v>10.55</v>
      </c>
      <c r="R147" s="6">
        <v>9.48</v>
      </c>
      <c r="S147" s="9">
        <v>1</v>
      </c>
      <c r="T147" s="7">
        <v>1</v>
      </c>
      <c r="U147" s="8">
        <v>1</v>
      </c>
      <c r="V147" s="6">
        <v>1</v>
      </c>
      <c r="W147" s="7">
        <v>0</v>
      </c>
      <c r="X147" s="7" t="s">
        <v>35</v>
      </c>
      <c r="Y147" s="10" t="s">
        <v>36</v>
      </c>
      <c r="Z147" s="11"/>
    </row>
    <row r="148" spans="1:26" ht="15.75" customHeight="1" x14ac:dyDescent="0.3">
      <c r="A148" s="4">
        <v>45949</v>
      </c>
      <c r="B148" s="4">
        <v>45955</v>
      </c>
      <c r="C148" s="5" t="s">
        <v>27</v>
      </c>
      <c r="D148" s="5" t="s">
        <v>28</v>
      </c>
      <c r="E148" s="5" t="s">
        <v>71</v>
      </c>
      <c r="F148" s="5" t="s">
        <v>72</v>
      </c>
      <c r="G148" s="5" t="s">
        <v>31</v>
      </c>
      <c r="H148" s="5" t="s">
        <v>73</v>
      </c>
      <c r="I148" s="5" t="s">
        <v>52</v>
      </c>
      <c r="J148" s="5" t="s">
        <v>101</v>
      </c>
      <c r="K148" s="6">
        <v>975</v>
      </c>
      <c r="L148" s="7">
        <v>8</v>
      </c>
      <c r="M148" s="8">
        <v>8.2050000000000005E-3</v>
      </c>
      <c r="N148" s="6" t="s">
        <v>276</v>
      </c>
      <c r="O148" s="9">
        <v>27.67</v>
      </c>
      <c r="P148" s="9">
        <v>49.88</v>
      </c>
      <c r="Q148" s="9">
        <v>55.47</v>
      </c>
      <c r="R148" s="6">
        <v>1.8</v>
      </c>
      <c r="S148" s="9">
        <v>1</v>
      </c>
      <c r="T148" s="7">
        <v>2</v>
      </c>
      <c r="U148" s="8">
        <v>0.125</v>
      </c>
      <c r="V148" s="6">
        <v>2</v>
      </c>
      <c r="W148" s="7">
        <v>0</v>
      </c>
      <c r="X148" s="7" t="s">
        <v>78</v>
      </c>
      <c r="Y148" s="10" t="s">
        <v>36</v>
      </c>
      <c r="Z148" s="11"/>
    </row>
    <row r="149" spans="1:26" ht="15.75" customHeight="1" x14ac:dyDescent="0.3">
      <c r="A149" s="4">
        <v>45949</v>
      </c>
      <c r="B149" s="4">
        <v>45954</v>
      </c>
      <c r="C149" s="5" t="s">
        <v>48</v>
      </c>
      <c r="D149" s="5" t="s">
        <v>28</v>
      </c>
      <c r="E149" s="5" t="s">
        <v>62</v>
      </c>
      <c r="F149" s="5" t="s">
        <v>63</v>
      </c>
      <c r="G149" s="5" t="s">
        <v>31</v>
      </c>
      <c r="H149" s="5" t="s">
        <v>88</v>
      </c>
      <c r="I149" s="5" t="s">
        <v>65</v>
      </c>
      <c r="J149" s="5" t="s">
        <v>89</v>
      </c>
      <c r="K149" s="6">
        <v>116</v>
      </c>
      <c r="L149" s="7">
        <v>6</v>
      </c>
      <c r="M149" s="8">
        <v>5.1723999999999999E-2</v>
      </c>
      <c r="N149" s="6" t="s">
        <v>277</v>
      </c>
      <c r="O149" s="9">
        <v>25.46</v>
      </c>
      <c r="P149" s="9">
        <v>21.9</v>
      </c>
      <c r="Q149" s="9">
        <v>116.26</v>
      </c>
      <c r="R149" s="6">
        <v>0.86</v>
      </c>
      <c r="S149" s="9">
        <v>1</v>
      </c>
      <c r="T149" s="7">
        <v>1</v>
      </c>
      <c r="U149" s="8">
        <v>0.16666700000000001</v>
      </c>
      <c r="V149" s="6">
        <v>1</v>
      </c>
      <c r="W149" s="7">
        <v>0</v>
      </c>
      <c r="X149" s="7" t="s">
        <v>55</v>
      </c>
      <c r="Y149" s="10" t="s">
        <v>36</v>
      </c>
      <c r="Z149" s="11"/>
    </row>
    <row r="150" spans="1:26" ht="14.4" x14ac:dyDescent="0.3">
      <c r="A150" s="19">
        <v>45948</v>
      </c>
      <c r="B150" s="20">
        <v>45948</v>
      </c>
      <c r="C150" s="21" t="s">
        <v>27</v>
      </c>
      <c r="D150" s="21" t="s">
        <v>28</v>
      </c>
      <c r="E150" s="21" t="s">
        <v>29</v>
      </c>
      <c r="F150" s="21" t="s">
        <v>30</v>
      </c>
      <c r="G150" s="21" t="s">
        <v>31</v>
      </c>
      <c r="H150" s="21" t="s">
        <v>30</v>
      </c>
      <c r="I150" s="21" t="s">
        <v>32</v>
      </c>
      <c r="J150" s="21" t="s">
        <v>278</v>
      </c>
      <c r="K150" s="22">
        <v>3</v>
      </c>
      <c r="L150" s="22">
        <v>1</v>
      </c>
      <c r="M150" s="23">
        <v>0.33333299999999999</v>
      </c>
      <c r="N150" s="22" t="s">
        <v>120</v>
      </c>
      <c r="O150" s="22">
        <v>3.1</v>
      </c>
      <c r="P150" s="22">
        <v>24.94</v>
      </c>
      <c r="Q150" s="22">
        <v>12.43</v>
      </c>
      <c r="R150" s="22">
        <v>8.0500000000000007</v>
      </c>
      <c r="S150" s="22">
        <v>1</v>
      </c>
      <c r="T150" s="22">
        <v>1</v>
      </c>
      <c r="U150" s="23">
        <v>1</v>
      </c>
      <c r="V150" s="22">
        <v>1</v>
      </c>
      <c r="W150" s="22">
        <v>0</v>
      </c>
      <c r="X150" s="22" t="s">
        <v>35</v>
      </c>
      <c r="Y150" s="24" t="s">
        <v>36</v>
      </c>
      <c r="Z150" s="10"/>
    </row>
    <row r="151" spans="1:26" ht="14.4" x14ac:dyDescent="0.3">
      <c r="A151" s="19">
        <v>45948</v>
      </c>
      <c r="B151" s="20">
        <v>45948</v>
      </c>
      <c r="C151" s="21" t="s">
        <v>27</v>
      </c>
      <c r="D151" s="21" t="s">
        <v>28</v>
      </c>
      <c r="E151" s="21" t="s">
        <v>71</v>
      </c>
      <c r="F151" s="21" t="s">
        <v>72</v>
      </c>
      <c r="G151" s="21" t="s">
        <v>31</v>
      </c>
      <c r="H151" s="21" t="s">
        <v>51</v>
      </c>
      <c r="I151" s="21" t="s">
        <v>52</v>
      </c>
      <c r="J151" s="21" t="s">
        <v>279</v>
      </c>
      <c r="K151" s="22">
        <v>2</v>
      </c>
      <c r="L151" s="22">
        <v>1</v>
      </c>
      <c r="M151" s="23">
        <v>0.5</v>
      </c>
      <c r="N151" s="22" t="s">
        <v>198</v>
      </c>
      <c r="O151" s="22">
        <v>3.66</v>
      </c>
      <c r="P151" s="22">
        <v>24.94</v>
      </c>
      <c r="Q151" s="22">
        <v>14.68</v>
      </c>
      <c r="R151" s="22">
        <v>6.81</v>
      </c>
      <c r="S151" s="22">
        <v>1</v>
      </c>
      <c r="T151" s="22">
        <v>1</v>
      </c>
      <c r="U151" s="23">
        <v>1</v>
      </c>
      <c r="V151" s="22">
        <v>1</v>
      </c>
      <c r="W151" s="22">
        <v>0</v>
      </c>
      <c r="X151" s="22" t="s">
        <v>35</v>
      </c>
      <c r="Y151" s="24" t="s">
        <v>36</v>
      </c>
      <c r="Z151" s="10"/>
    </row>
    <row r="152" spans="1:26" ht="14.4" x14ac:dyDescent="0.3">
      <c r="A152" s="19">
        <v>45947</v>
      </c>
      <c r="B152" s="20">
        <v>45947</v>
      </c>
      <c r="C152" s="21" t="s">
        <v>143</v>
      </c>
      <c r="D152" s="21" t="s">
        <v>28</v>
      </c>
      <c r="E152" s="21" t="s">
        <v>144</v>
      </c>
      <c r="F152" s="21" t="s">
        <v>32</v>
      </c>
      <c r="G152" s="21" t="s">
        <v>31</v>
      </c>
      <c r="H152" s="21" t="s">
        <v>30</v>
      </c>
      <c r="I152" s="21" t="s">
        <v>44</v>
      </c>
      <c r="J152" s="21" t="s">
        <v>30</v>
      </c>
      <c r="K152" s="22">
        <v>99</v>
      </c>
      <c r="L152" s="22">
        <v>2</v>
      </c>
      <c r="M152" s="23">
        <v>2.0202000000000001E-2</v>
      </c>
      <c r="N152" s="22" t="s">
        <v>280</v>
      </c>
      <c r="O152" s="22">
        <v>0.83</v>
      </c>
      <c r="P152" s="22">
        <v>49.88</v>
      </c>
      <c r="Q152" s="22">
        <v>1.66</v>
      </c>
      <c r="R152" s="22">
        <v>60.1</v>
      </c>
      <c r="S152" s="22">
        <v>2</v>
      </c>
      <c r="T152" s="22">
        <v>2</v>
      </c>
      <c r="U152" s="23">
        <v>1</v>
      </c>
      <c r="V152" s="22">
        <v>2</v>
      </c>
      <c r="W152" s="22">
        <v>0</v>
      </c>
      <c r="X152" s="22" t="s">
        <v>78</v>
      </c>
      <c r="Y152" s="24" t="s">
        <v>36</v>
      </c>
      <c r="Z152" s="10"/>
    </row>
    <row r="153" spans="1:26" ht="14.4" x14ac:dyDescent="0.3">
      <c r="A153" s="19">
        <v>45947</v>
      </c>
      <c r="B153" s="20">
        <v>45948</v>
      </c>
      <c r="C153" s="21" t="s">
        <v>27</v>
      </c>
      <c r="D153" s="21" t="s">
        <v>28</v>
      </c>
      <c r="E153" s="21" t="s">
        <v>71</v>
      </c>
      <c r="F153" s="21" t="s">
        <v>72</v>
      </c>
      <c r="G153" s="21" t="s">
        <v>31</v>
      </c>
      <c r="H153" s="21" t="s">
        <v>51</v>
      </c>
      <c r="I153" s="21" t="s">
        <v>52</v>
      </c>
      <c r="J153" s="21" t="s">
        <v>281</v>
      </c>
      <c r="K153" s="22">
        <v>39</v>
      </c>
      <c r="L153" s="22">
        <v>3</v>
      </c>
      <c r="M153" s="23">
        <v>7.6923000000000005E-2</v>
      </c>
      <c r="N153" s="22" t="s">
        <v>282</v>
      </c>
      <c r="O153" s="22">
        <v>9.9</v>
      </c>
      <c r="P153" s="22">
        <v>24.94</v>
      </c>
      <c r="Q153" s="22">
        <v>39.700000000000003</v>
      </c>
      <c r="R153" s="22">
        <v>2.52</v>
      </c>
      <c r="S153" s="22">
        <v>1</v>
      </c>
      <c r="T153" s="22">
        <v>1</v>
      </c>
      <c r="U153" s="23">
        <v>0.33333299999999999</v>
      </c>
      <c r="V153" s="22">
        <v>1</v>
      </c>
      <c r="W153" s="22">
        <v>0</v>
      </c>
      <c r="X153" s="22" t="s">
        <v>35</v>
      </c>
      <c r="Y153" s="24" t="s">
        <v>36</v>
      </c>
      <c r="Z153" s="10"/>
    </row>
    <row r="154" spans="1:26" ht="14.4" x14ac:dyDescent="0.3">
      <c r="A154" s="19">
        <v>45946</v>
      </c>
      <c r="B154" s="20">
        <v>45946</v>
      </c>
      <c r="C154" s="21" t="s">
        <v>143</v>
      </c>
      <c r="D154" s="21" t="s">
        <v>28</v>
      </c>
      <c r="E154" s="21" t="s">
        <v>144</v>
      </c>
      <c r="F154" s="21" t="s">
        <v>32</v>
      </c>
      <c r="G154" s="21" t="s">
        <v>31</v>
      </c>
      <c r="H154" s="21" t="s">
        <v>30</v>
      </c>
      <c r="I154" s="21" t="s">
        <v>44</v>
      </c>
      <c r="J154" s="21" t="s">
        <v>159</v>
      </c>
      <c r="K154" s="22">
        <v>4</v>
      </c>
      <c r="L154" s="22">
        <v>1</v>
      </c>
      <c r="M154" s="23">
        <v>0.25</v>
      </c>
      <c r="N154" s="22" t="s">
        <v>217</v>
      </c>
      <c r="O154" s="22">
        <v>1.82</v>
      </c>
      <c r="P154" s="22">
        <v>24.94</v>
      </c>
      <c r="Q154" s="22">
        <v>7.3</v>
      </c>
      <c r="R154" s="22">
        <v>13.7</v>
      </c>
      <c r="S154" s="22">
        <v>1</v>
      </c>
      <c r="T154" s="22">
        <v>1</v>
      </c>
      <c r="U154" s="23">
        <v>1</v>
      </c>
      <c r="V154" s="22">
        <v>1</v>
      </c>
      <c r="W154" s="22">
        <v>0</v>
      </c>
      <c r="X154" s="22" t="s">
        <v>35</v>
      </c>
      <c r="Y154" s="24" t="s">
        <v>36</v>
      </c>
      <c r="Z154" s="10"/>
    </row>
    <row r="155" spans="1:26" ht="14.4" x14ac:dyDescent="0.3">
      <c r="A155" s="19">
        <v>45946</v>
      </c>
      <c r="B155" s="20">
        <v>45946</v>
      </c>
      <c r="C155" s="21" t="s">
        <v>27</v>
      </c>
      <c r="D155" s="21" t="s">
        <v>28</v>
      </c>
      <c r="E155" s="21" t="s">
        <v>71</v>
      </c>
      <c r="F155" s="21" t="s">
        <v>72</v>
      </c>
      <c r="G155" s="21" t="s">
        <v>31</v>
      </c>
      <c r="H155" s="21" t="s">
        <v>51</v>
      </c>
      <c r="I155" s="21" t="s">
        <v>52</v>
      </c>
      <c r="J155" s="21" t="s">
        <v>283</v>
      </c>
      <c r="K155" s="22">
        <v>1</v>
      </c>
      <c r="L155" s="22">
        <v>1</v>
      </c>
      <c r="M155" s="23">
        <v>1</v>
      </c>
      <c r="N155" s="22" t="s">
        <v>284</v>
      </c>
      <c r="O155" s="22">
        <v>1.88</v>
      </c>
      <c r="P155" s="22">
        <v>24.94</v>
      </c>
      <c r="Q155" s="22">
        <v>7.54</v>
      </c>
      <c r="R155" s="22">
        <v>13.27</v>
      </c>
      <c r="S155" s="22">
        <v>1</v>
      </c>
      <c r="T155" s="22">
        <v>1</v>
      </c>
      <c r="U155" s="23">
        <v>1</v>
      </c>
      <c r="V155" s="22">
        <v>1</v>
      </c>
      <c r="W155" s="22">
        <v>0</v>
      </c>
      <c r="X155" s="22" t="s">
        <v>35</v>
      </c>
      <c r="Y155" s="24" t="s">
        <v>36</v>
      </c>
      <c r="Z155" s="10"/>
    </row>
    <row r="156" spans="1:26" ht="14.4" x14ac:dyDescent="0.3">
      <c r="A156" s="19">
        <v>45946</v>
      </c>
      <c r="B156" s="20">
        <v>45946</v>
      </c>
      <c r="C156" s="21" t="s">
        <v>27</v>
      </c>
      <c r="D156" s="21" t="s">
        <v>28</v>
      </c>
      <c r="E156" s="21" t="s">
        <v>29</v>
      </c>
      <c r="F156" s="21" t="s">
        <v>30</v>
      </c>
      <c r="G156" s="21" t="s">
        <v>31</v>
      </c>
      <c r="H156" s="21" t="s">
        <v>30</v>
      </c>
      <c r="I156" s="21" t="s">
        <v>32</v>
      </c>
      <c r="J156" s="21" t="s">
        <v>285</v>
      </c>
      <c r="K156" s="22">
        <v>3</v>
      </c>
      <c r="L156" s="22">
        <v>1</v>
      </c>
      <c r="M156" s="23">
        <v>0.33333299999999999</v>
      </c>
      <c r="N156" s="22" t="s">
        <v>286</v>
      </c>
      <c r="O156" s="22">
        <v>2.5099999999999998</v>
      </c>
      <c r="P156" s="22">
        <v>24.94</v>
      </c>
      <c r="Q156" s="22">
        <v>10.06</v>
      </c>
      <c r="R156" s="22">
        <v>9.94</v>
      </c>
      <c r="S156" s="22">
        <v>1</v>
      </c>
      <c r="T156" s="22">
        <v>1</v>
      </c>
      <c r="U156" s="23">
        <v>1</v>
      </c>
      <c r="V156" s="22">
        <v>1</v>
      </c>
      <c r="W156" s="22">
        <v>0</v>
      </c>
      <c r="X156" s="22" t="s">
        <v>35</v>
      </c>
      <c r="Y156" s="24" t="s">
        <v>36</v>
      </c>
      <c r="Z156" s="10"/>
    </row>
    <row r="157" spans="1:26" ht="14.4" x14ac:dyDescent="0.3">
      <c r="A157" s="19">
        <v>45946</v>
      </c>
      <c r="B157" s="20">
        <v>45948</v>
      </c>
      <c r="C157" s="21" t="s">
        <v>27</v>
      </c>
      <c r="D157" s="21" t="s">
        <v>28</v>
      </c>
      <c r="E157" s="21" t="s">
        <v>29</v>
      </c>
      <c r="F157" s="21" t="s">
        <v>30</v>
      </c>
      <c r="G157" s="21" t="s">
        <v>31</v>
      </c>
      <c r="H157" s="21" t="s">
        <v>287</v>
      </c>
      <c r="I157" s="21" t="s">
        <v>32</v>
      </c>
      <c r="J157" s="21" t="s">
        <v>119</v>
      </c>
      <c r="K157" s="22">
        <v>35</v>
      </c>
      <c r="L157" s="22">
        <v>3</v>
      </c>
      <c r="M157" s="23">
        <v>8.5713999999999999E-2</v>
      </c>
      <c r="N157" s="22" t="s">
        <v>288</v>
      </c>
      <c r="O157" s="22">
        <v>13.13</v>
      </c>
      <c r="P157" s="22">
        <v>49.88</v>
      </c>
      <c r="Q157" s="22">
        <v>26.32</v>
      </c>
      <c r="R157" s="22">
        <v>3.8</v>
      </c>
      <c r="S157" s="22">
        <v>2</v>
      </c>
      <c r="T157" s="22">
        <v>2</v>
      </c>
      <c r="U157" s="23">
        <v>0.66666700000000001</v>
      </c>
      <c r="V157" s="22">
        <v>2</v>
      </c>
      <c r="W157" s="22">
        <v>0</v>
      </c>
      <c r="X157" s="22" t="s">
        <v>78</v>
      </c>
      <c r="Y157" s="24" t="s">
        <v>36</v>
      </c>
      <c r="Z157" s="10"/>
    </row>
    <row r="158" spans="1:26" ht="14.4" x14ac:dyDescent="0.3">
      <c r="A158" s="19">
        <v>45946</v>
      </c>
      <c r="B158" s="20">
        <v>45946</v>
      </c>
      <c r="C158" s="21" t="s">
        <v>27</v>
      </c>
      <c r="D158" s="21" t="s">
        <v>28</v>
      </c>
      <c r="E158" s="21" t="s">
        <v>71</v>
      </c>
      <c r="F158" s="21" t="s">
        <v>72</v>
      </c>
      <c r="G158" s="21" t="s">
        <v>31</v>
      </c>
      <c r="H158" s="21" t="s">
        <v>73</v>
      </c>
      <c r="I158" s="21" t="s">
        <v>52</v>
      </c>
      <c r="J158" s="21" t="s">
        <v>289</v>
      </c>
      <c r="K158" s="22">
        <v>1</v>
      </c>
      <c r="L158" s="22">
        <v>1</v>
      </c>
      <c r="M158" s="23">
        <v>1</v>
      </c>
      <c r="N158" s="22" t="s">
        <v>190</v>
      </c>
      <c r="O158" s="22">
        <v>4.7</v>
      </c>
      <c r="P158" s="22">
        <v>24.94</v>
      </c>
      <c r="Q158" s="22">
        <v>18.850000000000001</v>
      </c>
      <c r="R158" s="22">
        <v>5.31</v>
      </c>
      <c r="S158" s="22">
        <v>1</v>
      </c>
      <c r="T158" s="22">
        <v>1</v>
      </c>
      <c r="U158" s="23">
        <v>1</v>
      </c>
      <c r="V158" s="22">
        <v>1</v>
      </c>
      <c r="W158" s="22">
        <v>0</v>
      </c>
      <c r="X158" s="22" t="s">
        <v>35</v>
      </c>
      <c r="Y158" s="24" t="s">
        <v>36</v>
      </c>
      <c r="Z158" s="10"/>
    </row>
    <row r="159" spans="1:26" ht="14.4" x14ac:dyDescent="0.3">
      <c r="A159" s="19">
        <v>45945</v>
      </c>
      <c r="B159" s="20">
        <v>45945</v>
      </c>
      <c r="C159" s="21" t="s">
        <v>27</v>
      </c>
      <c r="D159" s="21" t="s">
        <v>28</v>
      </c>
      <c r="E159" s="21" t="s">
        <v>29</v>
      </c>
      <c r="F159" s="21" t="s">
        <v>30</v>
      </c>
      <c r="G159" s="21" t="s">
        <v>31</v>
      </c>
      <c r="H159" s="21" t="s">
        <v>30</v>
      </c>
      <c r="I159" s="21" t="s">
        <v>32</v>
      </c>
      <c r="J159" s="21" t="s">
        <v>290</v>
      </c>
      <c r="K159" s="22">
        <v>1</v>
      </c>
      <c r="L159" s="22">
        <v>1</v>
      </c>
      <c r="M159" s="23">
        <v>1</v>
      </c>
      <c r="N159" s="22" t="s">
        <v>179</v>
      </c>
      <c r="O159" s="22">
        <v>4.34</v>
      </c>
      <c r="P159" s="22">
        <v>24.94</v>
      </c>
      <c r="Q159" s="22">
        <v>17.399999999999999</v>
      </c>
      <c r="R159" s="22">
        <v>5.75</v>
      </c>
      <c r="S159" s="22">
        <v>1</v>
      </c>
      <c r="T159" s="22">
        <v>1</v>
      </c>
      <c r="U159" s="23">
        <v>1</v>
      </c>
      <c r="V159" s="22">
        <v>1</v>
      </c>
      <c r="W159" s="22">
        <v>0</v>
      </c>
      <c r="X159" s="22" t="s">
        <v>35</v>
      </c>
      <c r="Y159" s="24" t="s">
        <v>36</v>
      </c>
      <c r="Z159" s="10"/>
    </row>
    <row r="160" spans="1:26" ht="14.4" x14ac:dyDescent="0.3">
      <c r="A160" s="19">
        <v>45945</v>
      </c>
      <c r="B160" s="20">
        <v>45945</v>
      </c>
      <c r="C160" s="21" t="s">
        <v>143</v>
      </c>
      <c r="D160" s="21" t="s">
        <v>28</v>
      </c>
      <c r="E160" s="21" t="s">
        <v>144</v>
      </c>
      <c r="F160" s="21" t="s">
        <v>32</v>
      </c>
      <c r="G160" s="21" t="s">
        <v>31</v>
      </c>
      <c r="H160" s="21" t="s">
        <v>119</v>
      </c>
      <c r="I160" s="21" t="s">
        <v>44</v>
      </c>
      <c r="J160" s="21" t="s">
        <v>119</v>
      </c>
      <c r="K160" s="22">
        <v>1</v>
      </c>
      <c r="L160" s="22">
        <v>1</v>
      </c>
      <c r="M160" s="23">
        <v>1</v>
      </c>
      <c r="N160" s="22" t="s">
        <v>263</v>
      </c>
      <c r="O160" s="22">
        <v>1.02</v>
      </c>
      <c r="P160" s="22">
        <v>24.94</v>
      </c>
      <c r="Q160" s="22">
        <v>4.09</v>
      </c>
      <c r="R160" s="22">
        <v>24.45</v>
      </c>
      <c r="S160" s="22">
        <v>1</v>
      </c>
      <c r="T160" s="22">
        <v>1</v>
      </c>
      <c r="U160" s="23">
        <v>1</v>
      </c>
      <c r="V160" s="22">
        <v>1</v>
      </c>
      <c r="W160" s="22">
        <v>0</v>
      </c>
      <c r="X160" s="22" t="s">
        <v>35</v>
      </c>
      <c r="Y160" s="24" t="s">
        <v>36</v>
      </c>
      <c r="Z160" s="10"/>
    </row>
    <row r="161" spans="1:26" ht="14.4" x14ac:dyDescent="0.3">
      <c r="A161" s="19">
        <v>45945</v>
      </c>
      <c r="B161" s="20">
        <v>45945</v>
      </c>
      <c r="C161" s="21" t="s">
        <v>27</v>
      </c>
      <c r="D161" s="21" t="s">
        <v>28</v>
      </c>
      <c r="E161" s="21" t="s">
        <v>71</v>
      </c>
      <c r="F161" s="21" t="s">
        <v>72</v>
      </c>
      <c r="G161" s="21" t="s">
        <v>31</v>
      </c>
      <c r="H161" s="21" t="s">
        <v>51</v>
      </c>
      <c r="I161" s="21" t="s">
        <v>52</v>
      </c>
      <c r="J161" s="21" t="s">
        <v>291</v>
      </c>
      <c r="K161" s="22">
        <v>1</v>
      </c>
      <c r="L161" s="22">
        <v>1</v>
      </c>
      <c r="M161" s="23">
        <v>1</v>
      </c>
      <c r="N161" s="22" t="s">
        <v>157</v>
      </c>
      <c r="O161" s="22">
        <v>2.62</v>
      </c>
      <c r="P161" s="22">
        <v>24.94</v>
      </c>
      <c r="Q161" s="22">
        <v>10.51</v>
      </c>
      <c r="R161" s="22">
        <v>9.52</v>
      </c>
      <c r="S161" s="22">
        <v>1</v>
      </c>
      <c r="T161" s="22">
        <v>1</v>
      </c>
      <c r="U161" s="23">
        <v>1</v>
      </c>
      <c r="V161" s="22">
        <v>1</v>
      </c>
      <c r="W161" s="22">
        <v>0</v>
      </c>
      <c r="X161" s="22" t="s">
        <v>35</v>
      </c>
      <c r="Y161" s="24" t="s">
        <v>36</v>
      </c>
      <c r="Z161" s="10"/>
    </row>
    <row r="162" spans="1:26" ht="14.4" x14ac:dyDescent="0.3">
      <c r="A162" s="19">
        <v>45945</v>
      </c>
      <c r="B162" s="20">
        <v>45945</v>
      </c>
      <c r="C162" s="21" t="s">
        <v>27</v>
      </c>
      <c r="D162" s="21" t="s">
        <v>28</v>
      </c>
      <c r="E162" s="21" t="s">
        <v>71</v>
      </c>
      <c r="F162" s="21" t="s">
        <v>72</v>
      </c>
      <c r="G162" s="21" t="s">
        <v>31</v>
      </c>
      <c r="H162" s="21" t="s">
        <v>51</v>
      </c>
      <c r="I162" s="21" t="s">
        <v>52</v>
      </c>
      <c r="J162" s="21" t="s">
        <v>292</v>
      </c>
      <c r="K162" s="22">
        <v>2</v>
      </c>
      <c r="L162" s="22">
        <v>1</v>
      </c>
      <c r="M162" s="23">
        <v>0.5</v>
      </c>
      <c r="N162" s="22" t="s">
        <v>284</v>
      </c>
      <c r="O162" s="22">
        <v>1.88</v>
      </c>
      <c r="P162" s="22">
        <v>24.94</v>
      </c>
      <c r="Q162" s="22">
        <v>7.54</v>
      </c>
      <c r="R162" s="22">
        <v>13.27</v>
      </c>
      <c r="S162" s="22">
        <v>1</v>
      </c>
      <c r="T162" s="22">
        <v>1</v>
      </c>
      <c r="U162" s="23">
        <v>1</v>
      </c>
      <c r="V162" s="22">
        <v>1</v>
      </c>
      <c r="W162" s="22">
        <v>0</v>
      </c>
      <c r="X162" s="22" t="s">
        <v>35</v>
      </c>
      <c r="Y162" s="24" t="s">
        <v>36</v>
      </c>
      <c r="Z162" s="10"/>
    </row>
    <row r="163" spans="1:26" ht="14.4" x14ac:dyDescent="0.3">
      <c r="A163" s="19">
        <v>45945</v>
      </c>
      <c r="B163" s="20">
        <v>45948</v>
      </c>
      <c r="C163" s="21" t="s">
        <v>48</v>
      </c>
      <c r="D163" s="21" t="s">
        <v>28</v>
      </c>
      <c r="E163" s="21" t="s">
        <v>62</v>
      </c>
      <c r="F163" s="21" t="s">
        <v>63</v>
      </c>
      <c r="G163" s="21" t="s">
        <v>31</v>
      </c>
      <c r="H163" s="21" t="s">
        <v>88</v>
      </c>
      <c r="I163" s="21" t="s">
        <v>65</v>
      </c>
      <c r="J163" s="21" t="s">
        <v>89</v>
      </c>
      <c r="K163" s="22">
        <v>50</v>
      </c>
      <c r="L163" s="22">
        <v>4</v>
      </c>
      <c r="M163" s="23">
        <v>0.08</v>
      </c>
      <c r="N163" s="22" t="s">
        <v>293</v>
      </c>
      <c r="O163" s="22">
        <v>14.29</v>
      </c>
      <c r="P163" s="22">
        <v>21.9</v>
      </c>
      <c r="Q163" s="22">
        <v>65.25</v>
      </c>
      <c r="R163" s="22">
        <v>1.53</v>
      </c>
      <c r="S163" s="22">
        <v>1</v>
      </c>
      <c r="T163" s="22">
        <v>1</v>
      </c>
      <c r="U163" s="23">
        <v>0.25</v>
      </c>
      <c r="V163" s="22">
        <v>1</v>
      </c>
      <c r="W163" s="22">
        <v>0</v>
      </c>
      <c r="X163" s="22" t="s">
        <v>55</v>
      </c>
      <c r="Y163" s="24" t="s">
        <v>36</v>
      </c>
      <c r="Z163" s="10"/>
    </row>
    <row r="164" spans="1:26" ht="14.4" x14ac:dyDescent="0.3">
      <c r="A164" s="19">
        <v>45944</v>
      </c>
      <c r="B164" s="20">
        <v>45948</v>
      </c>
      <c r="C164" s="21" t="s">
        <v>105</v>
      </c>
      <c r="D164" s="21" t="s">
        <v>28</v>
      </c>
      <c r="E164" s="21" t="s">
        <v>106</v>
      </c>
      <c r="F164" s="21" t="s">
        <v>30</v>
      </c>
      <c r="G164" s="21" t="s">
        <v>31</v>
      </c>
      <c r="H164" s="21" t="s">
        <v>30</v>
      </c>
      <c r="I164" s="21" t="s">
        <v>65</v>
      </c>
      <c r="J164" s="21" t="s">
        <v>30</v>
      </c>
      <c r="K164" s="22">
        <v>3202</v>
      </c>
      <c r="L164" s="22">
        <v>17</v>
      </c>
      <c r="M164" s="23">
        <v>5.3090000000000004E-3</v>
      </c>
      <c r="N164" s="22" t="s">
        <v>294</v>
      </c>
      <c r="O164" s="22">
        <v>49</v>
      </c>
      <c r="P164" s="22">
        <v>99.76</v>
      </c>
      <c r="Q164" s="22">
        <v>49.12</v>
      </c>
      <c r="R164" s="22">
        <v>2.04</v>
      </c>
      <c r="S164" s="22">
        <v>4</v>
      </c>
      <c r="T164" s="22">
        <v>4</v>
      </c>
      <c r="U164" s="23">
        <v>0.235294</v>
      </c>
      <c r="V164" s="22">
        <v>4</v>
      </c>
      <c r="W164" s="22">
        <v>0</v>
      </c>
      <c r="X164" s="22" t="s">
        <v>47</v>
      </c>
      <c r="Y164" s="24" t="s">
        <v>36</v>
      </c>
      <c r="Z164" s="10"/>
    </row>
    <row r="165" spans="1:26" ht="14.4" x14ac:dyDescent="0.3">
      <c r="A165" s="19">
        <v>45944</v>
      </c>
      <c r="B165" s="20">
        <v>45945</v>
      </c>
      <c r="C165" s="21" t="s">
        <v>48</v>
      </c>
      <c r="D165" s="21" t="s">
        <v>28</v>
      </c>
      <c r="E165" s="21" t="s">
        <v>233</v>
      </c>
      <c r="F165" s="21" t="s">
        <v>234</v>
      </c>
      <c r="G165" s="21" t="s">
        <v>31</v>
      </c>
      <c r="H165" s="21" t="s">
        <v>153</v>
      </c>
      <c r="I165" s="21" t="s">
        <v>32</v>
      </c>
      <c r="J165" s="21" t="s">
        <v>130</v>
      </c>
      <c r="K165" s="22">
        <v>6</v>
      </c>
      <c r="L165" s="22">
        <v>2</v>
      </c>
      <c r="M165" s="23">
        <v>0.33333299999999999</v>
      </c>
      <c r="N165" s="22" t="s">
        <v>295</v>
      </c>
      <c r="O165" s="22">
        <v>6.13</v>
      </c>
      <c r="P165" s="22">
        <v>21.9</v>
      </c>
      <c r="Q165" s="22">
        <v>27.99</v>
      </c>
      <c r="R165" s="22">
        <v>3.57</v>
      </c>
      <c r="S165" s="22">
        <v>1</v>
      </c>
      <c r="T165" s="22">
        <v>1</v>
      </c>
      <c r="U165" s="23">
        <v>0.5</v>
      </c>
      <c r="V165" s="22">
        <v>1</v>
      </c>
      <c r="W165" s="22">
        <v>0</v>
      </c>
      <c r="X165" s="22" t="s">
        <v>55</v>
      </c>
      <c r="Y165" s="24" t="s">
        <v>36</v>
      </c>
      <c r="Z165" s="10"/>
    </row>
    <row r="166" spans="1:26" ht="14.4" x14ac:dyDescent="0.3">
      <c r="A166" s="19">
        <v>45944</v>
      </c>
      <c r="B166" s="20">
        <v>45944</v>
      </c>
      <c r="C166" s="21" t="s">
        <v>27</v>
      </c>
      <c r="D166" s="21" t="s">
        <v>28</v>
      </c>
      <c r="E166" s="21" t="s">
        <v>71</v>
      </c>
      <c r="F166" s="21" t="s">
        <v>72</v>
      </c>
      <c r="G166" s="21" t="s">
        <v>31</v>
      </c>
      <c r="H166" s="21" t="s">
        <v>51</v>
      </c>
      <c r="I166" s="21" t="s">
        <v>52</v>
      </c>
      <c r="J166" s="21" t="s">
        <v>296</v>
      </c>
      <c r="K166" s="22">
        <v>1</v>
      </c>
      <c r="L166" s="22">
        <v>1</v>
      </c>
      <c r="M166" s="23">
        <v>1</v>
      </c>
      <c r="N166" s="22" t="s">
        <v>297</v>
      </c>
      <c r="O166" s="22">
        <v>2.1800000000000002</v>
      </c>
      <c r="P166" s="22">
        <v>24.94</v>
      </c>
      <c r="Q166" s="22">
        <v>8.74</v>
      </c>
      <c r="R166" s="22">
        <v>11.44</v>
      </c>
      <c r="S166" s="22">
        <v>1</v>
      </c>
      <c r="T166" s="22">
        <v>1</v>
      </c>
      <c r="U166" s="23">
        <v>1</v>
      </c>
      <c r="V166" s="22">
        <v>1</v>
      </c>
      <c r="W166" s="22">
        <v>0</v>
      </c>
      <c r="X166" s="22" t="s">
        <v>35</v>
      </c>
      <c r="Y166" s="24" t="s">
        <v>36</v>
      </c>
      <c r="Z166" s="10"/>
    </row>
    <row r="167" spans="1:26" ht="14.4" x14ac:dyDescent="0.3">
      <c r="A167" s="19">
        <v>45944</v>
      </c>
      <c r="B167" s="20">
        <v>45944</v>
      </c>
      <c r="C167" s="21" t="s">
        <v>27</v>
      </c>
      <c r="D167" s="21" t="s">
        <v>28</v>
      </c>
      <c r="E167" s="21" t="s">
        <v>71</v>
      </c>
      <c r="F167" s="21" t="s">
        <v>72</v>
      </c>
      <c r="G167" s="21" t="s">
        <v>31</v>
      </c>
      <c r="H167" s="21" t="s">
        <v>73</v>
      </c>
      <c r="I167" s="21" t="s">
        <v>52</v>
      </c>
      <c r="J167" s="21" t="s">
        <v>298</v>
      </c>
      <c r="K167" s="22">
        <v>3</v>
      </c>
      <c r="L167" s="22">
        <v>1</v>
      </c>
      <c r="M167" s="23">
        <v>0.33333299999999999</v>
      </c>
      <c r="N167" s="22" t="s">
        <v>152</v>
      </c>
      <c r="O167" s="22">
        <v>3.09</v>
      </c>
      <c r="P167" s="22">
        <v>24.94</v>
      </c>
      <c r="Q167" s="22">
        <v>12.39</v>
      </c>
      <c r="R167" s="22">
        <v>8.07</v>
      </c>
      <c r="S167" s="22">
        <v>1</v>
      </c>
      <c r="T167" s="22">
        <v>1</v>
      </c>
      <c r="U167" s="23">
        <v>1</v>
      </c>
      <c r="V167" s="22">
        <v>1</v>
      </c>
      <c r="W167" s="22">
        <v>0</v>
      </c>
      <c r="X167" s="22" t="s">
        <v>35</v>
      </c>
      <c r="Y167" s="24" t="s">
        <v>36</v>
      </c>
      <c r="Z167" s="10"/>
    </row>
    <row r="168" spans="1:26" ht="14.4" x14ac:dyDescent="0.3">
      <c r="A168" s="19">
        <v>45944</v>
      </c>
      <c r="B168" s="20">
        <v>45945</v>
      </c>
      <c r="C168" s="21" t="s">
        <v>48</v>
      </c>
      <c r="D168" s="21" t="s">
        <v>28</v>
      </c>
      <c r="E168" s="21" t="s">
        <v>233</v>
      </c>
      <c r="F168" s="21" t="s">
        <v>234</v>
      </c>
      <c r="G168" s="21" t="s">
        <v>31</v>
      </c>
      <c r="H168" s="21" t="s">
        <v>153</v>
      </c>
      <c r="I168" s="21" t="s">
        <v>32</v>
      </c>
      <c r="J168" s="21" t="s">
        <v>299</v>
      </c>
      <c r="K168" s="22">
        <v>48</v>
      </c>
      <c r="L168" s="22">
        <v>2</v>
      </c>
      <c r="M168" s="23">
        <v>4.1667000000000003E-2</v>
      </c>
      <c r="N168" s="22" t="s">
        <v>271</v>
      </c>
      <c r="O168" s="22">
        <v>5.72</v>
      </c>
      <c r="P168" s="22">
        <v>21.9</v>
      </c>
      <c r="Q168" s="22">
        <v>26.12</v>
      </c>
      <c r="R168" s="22">
        <v>3.83</v>
      </c>
      <c r="S168" s="22">
        <v>1</v>
      </c>
      <c r="T168" s="22">
        <v>1</v>
      </c>
      <c r="U168" s="23">
        <v>0.5</v>
      </c>
      <c r="V168" s="22">
        <v>1</v>
      </c>
      <c r="W168" s="22">
        <v>0</v>
      </c>
      <c r="X168" s="22" t="s">
        <v>55</v>
      </c>
      <c r="Y168" s="24" t="s">
        <v>36</v>
      </c>
      <c r="Z168" s="10"/>
    </row>
    <row r="169" spans="1:26" ht="14.4" x14ac:dyDescent="0.3">
      <c r="A169" s="19">
        <v>45943</v>
      </c>
      <c r="B169" s="20">
        <v>45943</v>
      </c>
      <c r="C169" s="21" t="s">
        <v>27</v>
      </c>
      <c r="D169" s="21" t="s">
        <v>28</v>
      </c>
      <c r="E169" s="21" t="s">
        <v>29</v>
      </c>
      <c r="F169" s="21" t="s">
        <v>30</v>
      </c>
      <c r="G169" s="21" t="s">
        <v>31</v>
      </c>
      <c r="H169" s="21" t="s">
        <v>30</v>
      </c>
      <c r="I169" s="21" t="s">
        <v>32</v>
      </c>
      <c r="J169" s="21" t="s">
        <v>300</v>
      </c>
      <c r="K169" s="22">
        <v>2</v>
      </c>
      <c r="L169" s="22">
        <v>1</v>
      </c>
      <c r="M169" s="23">
        <v>0.5</v>
      </c>
      <c r="N169" s="22" t="s">
        <v>301</v>
      </c>
      <c r="O169" s="22">
        <v>4.21</v>
      </c>
      <c r="P169" s="22">
        <v>24.94</v>
      </c>
      <c r="Q169" s="22">
        <v>16.88</v>
      </c>
      <c r="R169" s="22">
        <v>5.92</v>
      </c>
      <c r="S169" s="22">
        <v>1</v>
      </c>
      <c r="T169" s="22">
        <v>1</v>
      </c>
      <c r="U169" s="23">
        <v>1</v>
      </c>
      <c r="V169" s="22">
        <v>1</v>
      </c>
      <c r="W169" s="22">
        <v>0</v>
      </c>
      <c r="X169" s="22" t="s">
        <v>35</v>
      </c>
      <c r="Y169" s="24" t="s">
        <v>36</v>
      </c>
      <c r="Z169" s="10"/>
    </row>
    <row r="170" spans="1:26" ht="14.4" x14ac:dyDescent="0.3">
      <c r="A170" s="19">
        <v>45943</v>
      </c>
      <c r="B170" s="20">
        <v>45943</v>
      </c>
      <c r="C170" s="21" t="s">
        <v>27</v>
      </c>
      <c r="D170" s="21" t="s">
        <v>28</v>
      </c>
      <c r="E170" s="21" t="s">
        <v>29</v>
      </c>
      <c r="F170" s="21" t="s">
        <v>30</v>
      </c>
      <c r="G170" s="21" t="s">
        <v>31</v>
      </c>
      <c r="H170" s="21" t="s">
        <v>30</v>
      </c>
      <c r="I170" s="21" t="s">
        <v>32</v>
      </c>
      <c r="J170" s="21" t="s">
        <v>302</v>
      </c>
      <c r="K170" s="22">
        <v>2</v>
      </c>
      <c r="L170" s="22">
        <v>1</v>
      </c>
      <c r="M170" s="23">
        <v>0.5</v>
      </c>
      <c r="N170" s="22" t="s">
        <v>34</v>
      </c>
      <c r="O170" s="22">
        <v>2.83</v>
      </c>
      <c r="P170" s="22">
        <v>24.94</v>
      </c>
      <c r="Q170" s="22">
        <v>11.35</v>
      </c>
      <c r="R170" s="22">
        <v>8.81</v>
      </c>
      <c r="S170" s="22">
        <v>1</v>
      </c>
      <c r="T170" s="22">
        <v>1</v>
      </c>
      <c r="U170" s="23">
        <v>1</v>
      </c>
      <c r="V170" s="22">
        <v>1</v>
      </c>
      <c r="W170" s="22">
        <v>0</v>
      </c>
      <c r="X170" s="22" t="s">
        <v>35</v>
      </c>
      <c r="Y170" s="24" t="s">
        <v>36</v>
      </c>
      <c r="Z170" s="10"/>
    </row>
    <row r="171" spans="1:26" ht="14.4" x14ac:dyDescent="0.3">
      <c r="A171" s="19">
        <v>45943</v>
      </c>
      <c r="B171" s="20">
        <v>45943</v>
      </c>
      <c r="C171" s="21" t="s">
        <v>27</v>
      </c>
      <c r="D171" s="21" t="s">
        <v>28</v>
      </c>
      <c r="E171" s="21" t="s">
        <v>71</v>
      </c>
      <c r="F171" s="21" t="s">
        <v>72</v>
      </c>
      <c r="G171" s="21" t="s">
        <v>31</v>
      </c>
      <c r="H171" s="21" t="s">
        <v>51</v>
      </c>
      <c r="I171" s="21" t="s">
        <v>52</v>
      </c>
      <c r="J171" s="21" t="s">
        <v>303</v>
      </c>
      <c r="K171" s="22">
        <v>1</v>
      </c>
      <c r="L171" s="22">
        <v>1</v>
      </c>
      <c r="M171" s="23">
        <v>1</v>
      </c>
      <c r="N171" s="22" t="s">
        <v>157</v>
      </c>
      <c r="O171" s="22">
        <v>2.62</v>
      </c>
      <c r="P171" s="22">
        <v>49.88</v>
      </c>
      <c r="Q171" s="22">
        <v>5.25</v>
      </c>
      <c r="R171" s="22">
        <v>19.04</v>
      </c>
      <c r="S171" s="22">
        <v>1</v>
      </c>
      <c r="T171" s="22">
        <v>2</v>
      </c>
      <c r="U171" s="23">
        <v>1</v>
      </c>
      <c r="V171" s="22">
        <v>2</v>
      </c>
      <c r="W171" s="22">
        <v>0</v>
      </c>
      <c r="X171" s="22" t="s">
        <v>78</v>
      </c>
      <c r="Y171" s="24" t="s">
        <v>36</v>
      </c>
      <c r="Z171" s="10"/>
    </row>
    <row r="172" spans="1:26" ht="14.4" x14ac:dyDescent="0.3">
      <c r="A172" s="19">
        <v>45943</v>
      </c>
      <c r="B172" s="20">
        <v>45948</v>
      </c>
      <c r="C172" s="21" t="s">
        <v>85</v>
      </c>
      <c r="D172" s="21" t="s">
        <v>28</v>
      </c>
      <c r="E172" s="21" t="s">
        <v>108</v>
      </c>
      <c r="F172" s="21" t="s">
        <v>109</v>
      </c>
      <c r="G172" s="21" t="s">
        <v>31</v>
      </c>
      <c r="H172" s="21" t="s">
        <v>110</v>
      </c>
      <c r="I172" s="21" t="s">
        <v>44</v>
      </c>
      <c r="J172" s="21" t="s">
        <v>304</v>
      </c>
      <c r="K172" s="22">
        <v>7</v>
      </c>
      <c r="L172" s="22">
        <v>2</v>
      </c>
      <c r="M172" s="23">
        <v>0.28571400000000002</v>
      </c>
      <c r="N172" s="22" t="s">
        <v>305</v>
      </c>
      <c r="O172" s="22">
        <v>9.1199999999999992</v>
      </c>
      <c r="P172" s="22">
        <v>24.94</v>
      </c>
      <c r="Q172" s="22">
        <v>36.57</v>
      </c>
      <c r="R172" s="22">
        <v>2.73</v>
      </c>
      <c r="S172" s="22">
        <v>1</v>
      </c>
      <c r="T172" s="22">
        <v>1</v>
      </c>
      <c r="U172" s="23">
        <v>0.5</v>
      </c>
      <c r="V172" s="22">
        <v>1</v>
      </c>
      <c r="W172" s="22">
        <v>0</v>
      </c>
      <c r="X172" s="22" t="s">
        <v>35</v>
      </c>
      <c r="Y172" s="24" t="s">
        <v>36</v>
      </c>
      <c r="Z172" s="10"/>
    </row>
    <row r="173" spans="1:26" ht="14.4" x14ac:dyDescent="0.3">
      <c r="A173" s="19">
        <v>45943</v>
      </c>
      <c r="B173" s="20">
        <v>45945</v>
      </c>
      <c r="C173" s="21" t="s">
        <v>27</v>
      </c>
      <c r="D173" s="21" t="s">
        <v>28</v>
      </c>
      <c r="E173" s="21" t="s">
        <v>71</v>
      </c>
      <c r="F173" s="21" t="s">
        <v>72</v>
      </c>
      <c r="G173" s="21" t="s">
        <v>31</v>
      </c>
      <c r="H173" s="21" t="s">
        <v>51</v>
      </c>
      <c r="I173" s="21" t="s">
        <v>52</v>
      </c>
      <c r="J173" s="21" t="s">
        <v>306</v>
      </c>
      <c r="K173" s="22">
        <v>5</v>
      </c>
      <c r="L173" s="22">
        <v>3</v>
      </c>
      <c r="M173" s="23">
        <v>0.6</v>
      </c>
      <c r="N173" s="22" t="s">
        <v>307</v>
      </c>
      <c r="O173" s="22">
        <v>6.39</v>
      </c>
      <c r="P173" s="22">
        <v>49.88</v>
      </c>
      <c r="Q173" s="22">
        <v>12.81</v>
      </c>
      <c r="R173" s="22">
        <v>7.81</v>
      </c>
      <c r="S173" s="22">
        <v>2</v>
      </c>
      <c r="T173" s="22">
        <v>2</v>
      </c>
      <c r="U173" s="23">
        <v>0.66666700000000001</v>
      </c>
      <c r="V173" s="22">
        <v>2</v>
      </c>
      <c r="W173" s="22">
        <v>0</v>
      </c>
      <c r="X173" s="22" t="s">
        <v>78</v>
      </c>
      <c r="Y173" s="24" t="s">
        <v>36</v>
      </c>
      <c r="Z173" s="10"/>
    </row>
    <row r="174" spans="1:26" ht="14.4" x14ac:dyDescent="0.3">
      <c r="A174" s="19">
        <v>45943</v>
      </c>
      <c r="B174" s="20">
        <v>45946</v>
      </c>
      <c r="C174" s="21" t="s">
        <v>85</v>
      </c>
      <c r="D174" s="21" t="s">
        <v>28</v>
      </c>
      <c r="E174" s="21" t="s">
        <v>86</v>
      </c>
      <c r="F174" s="21" t="s">
        <v>87</v>
      </c>
      <c r="G174" s="21" t="s">
        <v>31</v>
      </c>
      <c r="H174" s="21" t="s">
        <v>87</v>
      </c>
      <c r="I174" s="21" t="s">
        <v>44</v>
      </c>
      <c r="J174" s="21" t="s">
        <v>308</v>
      </c>
      <c r="K174" s="22">
        <v>30</v>
      </c>
      <c r="L174" s="22">
        <v>4</v>
      </c>
      <c r="M174" s="23">
        <v>0.13333300000000001</v>
      </c>
      <c r="N174" s="22" t="s">
        <v>309</v>
      </c>
      <c r="O174" s="22">
        <v>14.8</v>
      </c>
      <c r="P174" s="22">
        <v>65.7</v>
      </c>
      <c r="Q174" s="22">
        <v>22.53</v>
      </c>
      <c r="R174" s="22">
        <v>4.4400000000000004</v>
      </c>
      <c r="S174" s="22">
        <v>3</v>
      </c>
      <c r="T174" s="22">
        <v>3</v>
      </c>
      <c r="U174" s="23">
        <v>0.75</v>
      </c>
      <c r="V174" s="22">
        <v>3</v>
      </c>
      <c r="W174" s="22">
        <v>0</v>
      </c>
      <c r="X174" s="22" t="s">
        <v>260</v>
      </c>
      <c r="Y174" s="24" t="s">
        <v>36</v>
      </c>
      <c r="Z174" s="10"/>
    </row>
    <row r="175" spans="1:26" ht="14.4" x14ac:dyDescent="0.3">
      <c r="A175" s="19">
        <v>45942</v>
      </c>
      <c r="B175" s="20">
        <v>45948</v>
      </c>
      <c r="C175" s="21" t="s">
        <v>27</v>
      </c>
      <c r="D175" s="21" t="s">
        <v>28</v>
      </c>
      <c r="E175" s="21" t="s">
        <v>29</v>
      </c>
      <c r="F175" s="21" t="s">
        <v>30</v>
      </c>
      <c r="G175" s="21" t="s">
        <v>31</v>
      </c>
      <c r="H175" s="21" t="s">
        <v>30</v>
      </c>
      <c r="I175" s="21" t="s">
        <v>32</v>
      </c>
      <c r="J175" s="21" t="s">
        <v>30</v>
      </c>
      <c r="K175" s="22">
        <v>629</v>
      </c>
      <c r="L175" s="22">
        <v>12</v>
      </c>
      <c r="M175" s="23">
        <v>1.9078000000000001E-2</v>
      </c>
      <c r="N175" s="22" t="s">
        <v>310</v>
      </c>
      <c r="O175" s="22">
        <v>33.18</v>
      </c>
      <c r="P175" s="22">
        <v>99.76</v>
      </c>
      <c r="Q175" s="22">
        <v>33.26</v>
      </c>
      <c r="R175" s="22">
        <v>3.01</v>
      </c>
      <c r="S175" s="22">
        <v>4</v>
      </c>
      <c r="T175" s="22">
        <v>4</v>
      </c>
      <c r="U175" s="23">
        <v>0.33333299999999999</v>
      </c>
      <c r="V175" s="22">
        <v>4</v>
      </c>
      <c r="W175" s="22">
        <v>0</v>
      </c>
      <c r="X175" s="22" t="s">
        <v>47</v>
      </c>
      <c r="Y175" s="24" t="s">
        <v>36</v>
      </c>
      <c r="Z175" s="10"/>
    </row>
    <row r="176" spans="1:26" ht="14.4" x14ac:dyDescent="0.3">
      <c r="A176" s="19">
        <v>45942</v>
      </c>
      <c r="B176" s="20">
        <v>45947</v>
      </c>
      <c r="C176" s="21" t="s">
        <v>48</v>
      </c>
      <c r="D176" s="21" t="s">
        <v>28</v>
      </c>
      <c r="E176" s="21" t="s">
        <v>62</v>
      </c>
      <c r="F176" s="21" t="s">
        <v>63</v>
      </c>
      <c r="G176" s="21" t="s">
        <v>31</v>
      </c>
      <c r="H176" s="21" t="s">
        <v>68</v>
      </c>
      <c r="I176" s="21" t="s">
        <v>65</v>
      </c>
      <c r="J176" s="21" t="s">
        <v>68</v>
      </c>
      <c r="K176" s="22">
        <v>246</v>
      </c>
      <c r="L176" s="22">
        <v>8</v>
      </c>
      <c r="M176" s="23">
        <v>3.252E-2</v>
      </c>
      <c r="N176" s="22" t="s">
        <v>311</v>
      </c>
      <c r="O176" s="22">
        <v>32.25</v>
      </c>
      <c r="P176" s="22">
        <v>65.7</v>
      </c>
      <c r="Q176" s="22">
        <v>49.09</v>
      </c>
      <c r="R176" s="22">
        <v>2.04</v>
      </c>
      <c r="S176" s="22">
        <v>3</v>
      </c>
      <c r="T176" s="22">
        <v>3</v>
      </c>
      <c r="U176" s="23">
        <v>0.375</v>
      </c>
      <c r="V176" s="22">
        <v>3</v>
      </c>
      <c r="W176" s="22">
        <v>0</v>
      </c>
      <c r="X176" s="22" t="s">
        <v>260</v>
      </c>
      <c r="Y176" s="24" t="s">
        <v>36</v>
      </c>
      <c r="Z176" s="10"/>
    </row>
    <row r="177" spans="1:26" ht="14.4" x14ac:dyDescent="0.3">
      <c r="A177" s="19">
        <v>45942</v>
      </c>
      <c r="B177" s="20">
        <v>45942</v>
      </c>
      <c r="C177" s="21" t="s">
        <v>27</v>
      </c>
      <c r="D177" s="21" t="s">
        <v>28</v>
      </c>
      <c r="E177" s="21" t="s">
        <v>29</v>
      </c>
      <c r="F177" s="21" t="s">
        <v>30</v>
      </c>
      <c r="G177" s="21" t="s">
        <v>31</v>
      </c>
      <c r="H177" s="21" t="s">
        <v>145</v>
      </c>
      <c r="I177" s="21" t="s">
        <v>32</v>
      </c>
      <c r="J177" s="21" t="s">
        <v>178</v>
      </c>
      <c r="K177" s="22">
        <v>2</v>
      </c>
      <c r="L177" s="22">
        <v>1</v>
      </c>
      <c r="M177" s="23">
        <v>0.5</v>
      </c>
      <c r="N177" s="22" t="s">
        <v>312</v>
      </c>
      <c r="O177" s="22">
        <v>3.77</v>
      </c>
      <c r="P177" s="22">
        <v>24.94</v>
      </c>
      <c r="Q177" s="22">
        <v>15.12</v>
      </c>
      <c r="R177" s="22">
        <v>6.62</v>
      </c>
      <c r="S177" s="22">
        <v>1</v>
      </c>
      <c r="T177" s="22">
        <v>1</v>
      </c>
      <c r="U177" s="23">
        <v>1</v>
      </c>
      <c r="V177" s="22">
        <v>1</v>
      </c>
      <c r="W177" s="22">
        <v>0</v>
      </c>
      <c r="X177" s="22" t="s">
        <v>35</v>
      </c>
      <c r="Y177" s="24" t="s">
        <v>36</v>
      </c>
      <c r="Z177" s="10"/>
    </row>
    <row r="178" spans="1:26" ht="14.4" x14ac:dyDescent="0.3">
      <c r="A178" s="19">
        <v>45942</v>
      </c>
      <c r="B178" s="20">
        <v>45944</v>
      </c>
      <c r="C178" s="21" t="s">
        <v>27</v>
      </c>
      <c r="D178" s="21" t="s">
        <v>28</v>
      </c>
      <c r="E178" s="21" t="s">
        <v>71</v>
      </c>
      <c r="F178" s="21" t="s">
        <v>72</v>
      </c>
      <c r="G178" s="21" t="s">
        <v>31</v>
      </c>
      <c r="H178" s="21" t="s">
        <v>73</v>
      </c>
      <c r="I178" s="21" t="s">
        <v>52</v>
      </c>
      <c r="J178" s="21" t="s">
        <v>199</v>
      </c>
      <c r="K178" s="22">
        <v>10</v>
      </c>
      <c r="L178" s="22">
        <v>2</v>
      </c>
      <c r="M178" s="23">
        <v>0.2</v>
      </c>
      <c r="N178" s="22" t="s">
        <v>313</v>
      </c>
      <c r="O178" s="22">
        <v>7.1</v>
      </c>
      <c r="P178" s="22">
        <v>24.94</v>
      </c>
      <c r="Q178" s="22">
        <v>28.47</v>
      </c>
      <c r="R178" s="22">
        <v>3.51</v>
      </c>
      <c r="S178" s="22">
        <v>1</v>
      </c>
      <c r="T178" s="22">
        <v>1</v>
      </c>
      <c r="U178" s="23">
        <v>0.5</v>
      </c>
      <c r="V178" s="22">
        <v>1</v>
      </c>
      <c r="W178" s="22">
        <v>0</v>
      </c>
      <c r="X178" s="22" t="s">
        <v>35</v>
      </c>
      <c r="Y178" s="24" t="s">
        <v>36</v>
      </c>
      <c r="Z178" s="10"/>
    </row>
    <row r="179" spans="1:26" ht="14.4" x14ac:dyDescent="0.3">
      <c r="A179" s="19">
        <v>45942</v>
      </c>
      <c r="B179" s="20">
        <v>45945</v>
      </c>
      <c r="C179" s="21" t="s">
        <v>27</v>
      </c>
      <c r="D179" s="21" t="s">
        <v>28</v>
      </c>
      <c r="E179" s="21" t="s">
        <v>29</v>
      </c>
      <c r="F179" s="21" t="s">
        <v>30</v>
      </c>
      <c r="G179" s="21" t="s">
        <v>31</v>
      </c>
      <c r="H179" s="21" t="s">
        <v>30</v>
      </c>
      <c r="I179" s="21" t="s">
        <v>32</v>
      </c>
      <c r="J179" s="21" t="s">
        <v>183</v>
      </c>
      <c r="K179" s="22">
        <v>28</v>
      </c>
      <c r="L179" s="22">
        <v>3</v>
      </c>
      <c r="M179" s="23">
        <v>0.107143</v>
      </c>
      <c r="N179" s="22" t="s">
        <v>314</v>
      </c>
      <c r="O179" s="22">
        <v>10.14</v>
      </c>
      <c r="P179" s="22">
        <v>24.94</v>
      </c>
      <c r="Q179" s="22">
        <v>40.659999999999997</v>
      </c>
      <c r="R179" s="22">
        <v>2.46</v>
      </c>
      <c r="S179" s="22">
        <v>1</v>
      </c>
      <c r="T179" s="22">
        <v>1</v>
      </c>
      <c r="U179" s="23">
        <v>0.33333299999999999</v>
      </c>
      <c r="V179" s="22">
        <v>1</v>
      </c>
      <c r="W179" s="22">
        <v>0</v>
      </c>
      <c r="X179" s="22" t="s">
        <v>35</v>
      </c>
      <c r="Y179" s="24" t="s">
        <v>36</v>
      </c>
      <c r="Z179" s="10"/>
    </row>
    <row r="180" spans="1:26" ht="14.4" x14ac:dyDescent="0.3">
      <c r="A180" s="19">
        <v>45942</v>
      </c>
      <c r="B180" s="20">
        <v>45948</v>
      </c>
      <c r="C180" s="21" t="s">
        <v>27</v>
      </c>
      <c r="D180" s="21" t="s">
        <v>28</v>
      </c>
      <c r="E180" s="21" t="s">
        <v>56</v>
      </c>
      <c r="F180" s="21" t="s">
        <v>57</v>
      </c>
      <c r="G180" s="21" t="s">
        <v>31</v>
      </c>
      <c r="H180" s="25" t="e">
        <f>+maca +root</f>
        <v>#NAME?</v>
      </c>
      <c r="I180" s="21" t="s">
        <v>32</v>
      </c>
      <c r="J180" s="21" t="s">
        <v>119</v>
      </c>
      <c r="K180" s="22">
        <v>4189</v>
      </c>
      <c r="L180" s="22">
        <v>67</v>
      </c>
      <c r="M180" s="23">
        <v>1.5994000000000001E-2</v>
      </c>
      <c r="N180" s="22" t="s">
        <v>219</v>
      </c>
      <c r="O180" s="22">
        <v>195.56</v>
      </c>
      <c r="P180" s="22">
        <v>224.46</v>
      </c>
      <c r="Q180" s="22">
        <v>87.12</v>
      </c>
      <c r="R180" s="22">
        <v>1.1499999999999999</v>
      </c>
      <c r="S180" s="22">
        <v>9</v>
      </c>
      <c r="T180" s="22">
        <v>9</v>
      </c>
      <c r="U180" s="23">
        <v>0.134328</v>
      </c>
      <c r="V180" s="22">
        <v>9</v>
      </c>
      <c r="W180" s="22">
        <v>0</v>
      </c>
      <c r="X180" s="22" t="s">
        <v>315</v>
      </c>
      <c r="Y180" s="24" t="s">
        <v>36</v>
      </c>
      <c r="Z180" s="10"/>
    </row>
    <row r="181" spans="1:26" ht="14.4" x14ac:dyDescent="0.3">
      <c r="A181" s="19">
        <v>45942</v>
      </c>
      <c r="B181" s="20">
        <v>45948</v>
      </c>
      <c r="C181" s="21" t="s">
        <v>40</v>
      </c>
      <c r="D181" s="21" t="s">
        <v>28</v>
      </c>
      <c r="E181" s="21" t="s">
        <v>41</v>
      </c>
      <c r="F181" s="21" t="s">
        <v>42</v>
      </c>
      <c r="G181" s="21" t="s">
        <v>31</v>
      </c>
      <c r="H181" s="21" t="s">
        <v>43</v>
      </c>
      <c r="I181" s="21" t="s">
        <v>44</v>
      </c>
      <c r="J181" s="21" t="s">
        <v>43</v>
      </c>
      <c r="K181" s="22">
        <v>344</v>
      </c>
      <c r="L181" s="22">
        <v>15</v>
      </c>
      <c r="M181" s="23">
        <v>4.3604999999999998E-2</v>
      </c>
      <c r="N181" s="22" t="s">
        <v>316</v>
      </c>
      <c r="O181" s="22">
        <v>42.66</v>
      </c>
      <c r="P181" s="22">
        <v>99.76</v>
      </c>
      <c r="Q181" s="22">
        <v>42.76</v>
      </c>
      <c r="R181" s="22">
        <v>2.34</v>
      </c>
      <c r="S181" s="22">
        <v>4</v>
      </c>
      <c r="T181" s="22">
        <v>4</v>
      </c>
      <c r="U181" s="23">
        <v>0.26666699999999999</v>
      </c>
      <c r="V181" s="22">
        <v>4</v>
      </c>
      <c r="W181" s="22">
        <v>0</v>
      </c>
      <c r="X181" s="22" t="s">
        <v>47</v>
      </c>
      <c r="Y181" s="24" t="s">
        <v>36</v>
      </c>
      <c r="Z181" s="10"/>
    </row>
    <row r="182" spans="1:26" ht="14.4" x14ac:dyDescent="0.3">
      <c r="A182" s="19">
        <v>45942</v>
      </c>
      <c r="B182" s="20">
        <v>45945</v>
      </c>
      <c r="C182" s="21" t="s">
        <v>27</v>
      </c>
      <c r="D182" s="21" t="s">
        <v>28</v>
      </c>
      <c r="E182" s="21" t="s">
        <v>71</v>
      </c>
      <c r="F182" s="21" t="s">
        <v>72</v>
      </c>
      <c r="G182" s="21" t="s">
        <v>31</v>
      </c>
      <c r="H182" s="21" t="s">
        <v>73</v>
      </c>
      <c r="I182" s="21" t="s">
        <v>52</v>
      </c>
      <c r="J182" s="21" t="s">
        <v>76</v>
      </c>
      <c r="K182" s="22">
        <v>242</v>
      </c>
      <c r="L182" s="22">
        <v>4</v>
      </c>
      <c r="M182" s="23">
        <v>1.6528999999999999E-2</v>
      </c>
      <c r="N182" s="22" t="s">
        <v>317</v>
      </c>
      <c r="O182" s="22">
        <v>16.079999999999998</v>
      </c>
      <c r="P182" s="22">
        <v>24.94</v>
      </c>
      <c r="Q182" s="22">
        <v>64.47</v>
      </c>
      <c r="R182" s="22">
        <v>1.55</v>
      </c>
      <c r="S182" s="22">
        <v>1</v>
      </c>
      <c r="T182" s="22">
        <v>1</v>
      </c>
      <c r="U182" s="23">
        <v>0.25</v>
      </c>
      <c r="V182" s="22">
        <v>1</v>
      </c>
      <c r="W182" s="22">
        <v>0</v>
      </c>
      <c r="X182" s="22" t="s">
        <v>35</v>
      </c>
      <c r="Y182" s="24" t="s">
        <v>36</v>
      </c>
      <c r="Z182" s="10"/>
    </row>
    <row r="183" spans="1:26" ht="14.4" x14ac:dyDescent="0.3">
      <c r="A183" s="19">
        <v>45942</v>
      </c>
      <c r="B183" s="20">
        <v>45942</v>
      </c>
      <c r="C183" s="21" t="s">
        <v>48</v>
      </c>
      <c r="D183" s="21" t="s">
        <v>28</v>
      </c>
      <c r="E183" s="21" t="s">
        <v>233</v>
      </c>
      <c r="F183" s="21" t="s">
        <v>234</v>
      </c>
      <c r="G183" s="21" t="s">
        <v>31</v>
      </c>
      <c r="H183" s="21" t="s">
        <v>153</v>
      </c>
      <c r="I183" s="21" t="s">
        <v>32</v>
      </c>
      <c r="J183" s="21" t="s">
        <v>318</v>
      </c>
      <c r="K183" s="22">
        <v>1</v>
      </c>
      <c r="L183" s="22">
        <v>1</v>
      </c>
      <c r="M183" s="23">
        <v>1</v>
      </c>
      <c r="N183" s="22" t="s">
        <v>319</v>
      </c>
      <c r="O183" s="22">
        <v>3.51</v>
      </c>
      <c r="P183" s="22">
        <v>21.9</v>
      </c>
      <c r="Q183" s="22">
        <v>16.03</v>
      </c>
      <c r="R183" s="22">
        <v>6.24</v>
      </c>
      <c r="S183" s="22">
        <v>1</v>
      </c>
      <c r="T183" s="22">
        <v>1</v>
      </c>
      <c r="U183" s="23">
        <v>1</v>
      </c>
      <c r="V183" s="22">
        <v>1</v>
      </c>
      <c r="W183" s="22">
        <v>0</v>
      </c>
      <c r="X183" s="22" t="s">
        <v>55</v>
      </c>
      <c r="Y183" s="24" t="s">
        <v>36</v>
      </c>
      <c r="Z183" s="10"/>
    </row>
    <row r="184" spans="1:26" ht="14.4" x14ac:dyDescent="0.3">
      <c r="A184" s="26">
        <v>45941</v>
      </c>
      <c r="B184" s="26">
        <v>45941</v>
      </c>
      <c r="C184" s="27" t="s">
        <v>27</v>
      </c>
      <c r="D184" s="27" t="s">
        <v>28</v>
      </c>
      <c r="E184" s="27" t="s">
        <v>71</v>
      </c>
      <c r="F184" s="27" t="s">
        <v>72</v>
      </c>
      <c r="G184" s="27" t="s">
        <v>31</v>
      </c>
      <c r="H184" s="27" t="s">
        <v>73</v>
      </c>
      <c r="I184" s="27" t="s">
        <v>52</v>
      </c>
      <c r="J184" s="27" t="s">
        <v>320</v>
      </c>
      <c r="K184" s="28">
        <v>2</v>
      </c>
      <c r="L184" s="28">
        <v>1</v>
      </c>
      <c r="M184" s="29">
        <v>0.5</v>
      </c>
      <c r="N184" s="30" t="s">
        <v>321</v>
      </c>
      <c r="O184" s="31">
        <v>2.4</v>
      </c>
      <c r="P184" s="31">
        <v>24.94</v>
      </c>
      <c r="Q184" s="32">
        <v>9.6199999999999992</v>
      </c>
      <c r="R184" s="32">
        <v>10.39</v>
      </c>
      <c r="S184" s="28">
        <v>1</v>
      </c>
      <c r="T184" s="28">
        <v>1</v>
      </c>
      <c r="U184" s="29">
        <v>1</v>
      </c>
      <c r="V184" s="28">
        <v>1</v>
      </c>
      <c r="W184" s="28">
        <v>0</v>
      </c>
      <c r="X184" s="30" t="s">
        <v>35</v>
      </c>
      <c r="Y184" s="30" t="s">
        <v>36</v>
      </c>
      <c r="Z184" s="10"/>
    </row>
    <row r="185" spans="1:26" ht="14.4" x14ac:dyDescent="0.3">
      <c r="A185" s="26">
        <v>45941</v>
      </c>
      <c r="B185" s="26">
        <v>45941</v>
      </c>
      <c r="C185" s="27" t="s">
        <v>27</v>
      </c>
      <c r="D185" s="27" t="s">
        <v>28</v>
      </c>
      <c r="E185" s="27" t="s">
        <v>71</v>
      </c>
      <c r="F185" s="27" t="s">
        <v>72</v>
      </c>
      <c r="G185" s="27" t="s">
        <v>31</v>
      </c>
      <c r="H185" s="27" t="s">
        <v>51</v>
      </c>
      <c r="I185" s="27" t="s">
        <v>52</v>
      </c>
      <c r="J185" s="27" t="s">
        <v>322</v>
      </c>
      <c r="K185" s="28">
        <v>1</v>
      </c>
      <c r="L185" s="28">
        <v>1</v>
      </c>
      <c r="M185" s="29">
        <v>1</v>
      </c>
      <c r="N185" s="30" t="s">
        <v>124</v>
      </c>
      <c r="O185" s="31">
        <v>2.63</v>
      </c>
      <c r="P185" s="31">
        <v>24.94</v>
      </c>
      <c r="Q185" s="32">
        <v>10.55</v>
      </c>
      <c r="R185" s="32">
        <v>9.48</v>
      </c>
      <c r="S185" s="28">
        <v>1</v>
      </c>
      <c r="T185" s="28">
        <v>1</v>
      </c>
      <c r="U185" s="29">
        <v>1</v>
      </c>
      <c r="V185" s="28">
        <v>1</v>
      </c>
      <c r="W185" s="28">
        <v>0</v>
      </c>
      <c r="X185" s="30" t="s">
        <v>35</v>
      </c>
      <c r="Y185" s="30" t="s">
        <v>36</v>
      </c>
      <c r="Z185" s="10"/>
    </row>
    <row r="186" spans="1:26" ht="14.4" x14ac:dyDescent="0.3">
      <c r="A186" s="26">
        <v>45940</v>
      </c>
      <c r="B186" s="26">
        <v>45940</v>
      </c>
      <c r="C186" s="27" t="s">
        <v>27</v>
      </c>
      <c r="D186" s="27" t="s">
        <v>28</v>
      </c>
      <c r="E186" s="27" t="s">
        <v>56</v>
      </c>
      <c r="F186" s="27" t="s">
        <v>57</v>
      </c>
      <c r="G186" s="27" t="s">
        <v>31</v>
      </c>
      <c r="H186" s="33" t="e">
        <f>+maca +root</f>
        <v>#NAME?</v>
      </c>
      <c r="I186" s="27" t="s">
        <v>32</v>
      </c>
      <c r="J186" s="27" t="s">
        <v>323</v>
      </c>
      <c r="K186" s="28">
        <v>1</v>
      </c>
      <c r="L186" s="28">
        <v>1</v>
      </c>
      <c r="M186" s="29">
        <v>1</v>
      </c>
      <c r="N186" s="30" t="s">
        <v>324</v>
      </c>
      <c r="O186" s="31">
        <v>4.75</v>
      </c>
      <c r="P186" s="31">
        <v>24.94</v>
      </c>
      <c r="Q186" s="32">
        <v>19.05</v>
      </c>
      <c r="R186" s="32">
        <v>5.25</v>
      </c>
      <c r="S186" s="28">
        <v>1</v>
      </c>
      <c r="T186" s="28">
        <v>1</v>
      </c>
      <c r="U186" s="29">
        <v>1</v>
      </c>
      <c r="V186" s="28">
        <v>1</v>
      </c>
      <c r="W186" s="28">
        <v>0</v>
      </c>
      <c r="X186" s="30" t="s">
        <v>35</v>
      </c>
      <c r="Y186" s="30" t="s">
        <v>36</v>
      </c>
      <c r="Z186" s="10"/>
    </row>
    <row r="187" spans="1:26" ht="14.4" x14ac:dyDescent="0.3">
      <c r="A187" s="26">
        <v>45940</v>
      </c>
      <c r="B187" s="26">
        <v>45940</v>
      </c>
      <c r="C187" s="27" t="s">
        <v>27</v>
      </c>
      <c r="D187" s="27" t="s">
        <v>28</v>
      </c>
      <c r="E187" s="27" t="s">
        <v>71</v>
      </c>
      <c r="F187" s="27" t="s">
        <v>72</v>
      </c>
      <c r="G187" s="27" t="s">
        <v>31</v>
      </c>
      <c r="H187" s="27" t="s">
        <v>73</v>
      </c>
      <c r="I187" s="27" t="s">
        <v>52</v>
      </c>
      <c r="J187" s="27" t="s">
        <v>325</v>
      </c>
      <c r="K187" s="28">
        <v>3</v>
      </c>
      <c r="L187" s="28">
        <v>1</v>
      </c>
      <c r="M187" s="29">
        <v>0.33333299999999999</v>
      </c>
      <c r="N187" s="30" t="s">
        <v>326</v>
      </c>
      <c r="O187" s="31">
        <v>3.26</v>
      </c>
      <c r="P187" s="31">
        <v>24.94</v>
      </c>
      <c r="Q187" s="32">
        <v>13.07</v>
      </c>
      <c r="R187" s="32">
        <v>7.65</v>
      </c>
      <c r="S187" s="28">
        <v>1</v>
      </c>
      <c r="T187" s="28">
        <v>1</v>
      </c>
      <c r="U187" s="29">
        <v>1</v>
      </c>
      <c r="V187" s="28">
        <v>1</v>
      </c>
      <c r="W187" s="28">
        <v>0</v>
      </c>
      <c r="X187" s="30" t="s">
        <v>35</v>
      </c>
      <c r="Y187" s="30" t="s">
        <v>36</v>
      </c>
      <c r="Z187" s="10"/>
    </row>
    <row r="188" spans="1:26" ht="14.4" x14ac:dyDescent="0.3">
      <c r="A188" s="26">
        <v>45940</v>
      </c>
      <c r="B188" s="26">
        <v>45940</v>
      </c>
      <c r="C188" s="27" t="s">
        <v>27</v>
      </c>
      <c r="D188" s="27" t="s">
        <v>28</v>
      </c>
      <c r="E188" s="27" t="s">
        <v>29</v>
      </c>
      <c r="F188" s="27" t="s">
        <v>30</v>
      </c>
      <c r="G188" s="27" t="s">
        <v>31</v>
      </c>
      <c r="H188" s="27" t="s">
        <v>30</v>
      </c>
      <c r="I188" s="27" t="s">
        <v>32</v>
      </c>
      <c r="J188" s="27" t="s">
        <v>183</v>
      </c>
      <c r="K188" s="28">
        <v>4</v>
      </c>
      <c r="L188" s="28">
        <v>1</v>
      </c>
      <c r="M188" s="29">
        <v>0.25</v>
      </c>
      <c r="N188" s="30" t="s">
        <v>120</v>
      </c>
      <c r="O188" s="31">
        <v>3.1</v>
      </c>
      <c r="P188" s="31">
        <v>24.94</v>
      </c>
      <c r="Q188" s="32">
        <v>12.43</v>
      </c>
      <c r="R188" s="32">
        <v>8.0500000000000007</v>
      </c>
      <c r="S188" s="28">
        <v>1</v>
      </c>
      <c r="T188" s="28">
        <v>1</v>
      </c>
      <c r="U188" s="29">
        <v>1</v>
      </c>
      <c r="V188" s="28">
        <v>1</v>
      </c>
      <c r="W188" s="28">
        <v>0</v>
      </c>
      <c r="X188" s="30" t="s">
        <v>35</v>
      </c>
      <c r="Y188" s="30" t="s">
        <v>36</v>
      </c>
      <c r="Z188" s="10"/>
    </row>
    <row r="189" spans="1:26" ht="14.4" x14ac:dyDescent="0.3">
      <c r="A189" s="26">
        <v>45940</v>
      </c>
      <c r="B189" s="26">
        <v>45940</v>
      </c>
      <c r="C189" s="27" t="s">
        <v>27</v>
      </c>
      <c r="D189" s="27" t="s">
        <v>28</v>
      </c>
      <c r="E189" s="27" t="s">
        <v>71</v>
      </c>
      <c r="F189" s="27" t="s">
        <v>72</v>
      </c>
      <c r="G189" s="27" t="s">
        <v>31</v>
      </c>
      <c r="H189" s="27" t="s">
        <v>51</v>
      </c>
      <c r="I189" s="27" t="s">
        <v>52</v>
      </c>
      <c r="J189" s="27" t="s">
        <v>327</v>
      </c>
      <c r="K189" s="28">
        <v>2</v>
      </c>
      <c r="L189" s="28">
        <v>1</v>
      </c>
      <c r="M189" s="29">
        <v>0.5</v>
      </c>
      <c r="N189" s="30" t="s">
        <v>284</v>
      </c>
      <c r="O189" s="31">
        <v>1.88</v>
      </c>
      <c r="P189" s="31">
        <v>24.94</v>
      </c>
      <c r="Q189" s="32">
        <v>7.54</v>
      </c>
      <c r="R189" s="32">
        <v>13.27</v>
      </c>
      <c r="S189" s="28">
        <v>1</v>
      </c>
      <c r="T189" s="28">
        <v>1</v>
      </c>
      <c r="U189" s="29">
        <v>1</v>
      </c>
      <c r="V189" s="28">
        <v>1</v>
      </c>
      <c r="W189" s="28">
        <v>0</v>
      </c>
      <c r="X189" s="30" t="s">
        <v>35</v>
      </c>
      <c r="Y189" s="30" t="s">
        <v>36</v>
      </c>
      <c r="Z189" s="10"/>
    </row>
    <row r="190" spans="1:26" ht="14.4" x14ac:dyDescent="0.3">
      <c r="A190" s="34">
        <v>45939</v>
      </c>
      <c r="B190" s="34">
        <v>45939</v>
      </c>
      <c r="C190" s="27" t="s">
        <v>27</v>
      </c>
      <c r="D190" s="27" t="s">
        <v>28</v>
      </c>
      <c r="E190" s="27" t="s">
        <v>29</v>
      </c>
      <c r="F190" s="27" t="s">
        <v>30</v>
      </c>
      <c r="G190" s="27" t="s">
        <v>31</v>
      </c>
      <c r="H190" s="27" t="s">
        <v>30</v>
      </c>
      <c r="I190" s="27" t="s">
        <v>32</v>
      </c>
      <c r="J190" s="27" t="s">
        <v>328</v>
      </c>
      <c r="K190" s="28">
        <v>9</v>
      </c>
      <c r="L190" s="28">
        <v>1</v>
      </c>
      <c r="M190" s="29">
        <v>0.111111</v>
      </c>
      <c r="N190" s="30" t="s">
        <v>329</v>
      </c>
      <c r="O190" s="31">
        <v>2.02</v>
      </c>
      <c r="P190" s="31">
        <v>24.94</v>
      </c>
      <c r="Q190" s="32">
        <v>8.1</v>
      </c>
      <c r="R190" s="32">
        <v>12.35</v>
      </c>
      <c r="S190" s="28">
        <v>1</v>
      </c>
      <c r="T190" s="28">
        <v>1</v>
      </c>
      <c r="U190" s="29">
        <v>1</v>
      </c>
      <c r="V190" s="28">
        <v>1</v>
      </c>
      <c r="W190" s="28">
        <v>0</v>
      </c>
      <c r="X190" s="30" t="s">
        <v>35</v>
      </c>
      <c r="Y190" s="30" t="s">
        <v>36</v>
      </c>
      <c r="Z190" s="10"/>
    </row>
    <row r="191" spans="1:26" ht="14.4" x14ac:dyDescent="0.3">
      <c r="A191" s="34">
        <v>45939</v>
      </c>
      <c r="B191" s="34">
        <v>45939</v>
      </c>
      <c r="C191" s="27" t="s">
        <v>27</v>
      </c>
      <c r="D191" s="27" t="s">
        <v>28</v>
      </c>
      <c r="E191" s="27" t="s">
        <v>71</v>
      </c>
      <c r="F191" s="27" t="s">
        <v>72</v>
      </c>
      <c r="G191" s="27" t="s">
        <v>31</v>
      </c>
      <c r="H191" s="27" t="s">
        <v>73</v>
      </c>
      <c r="I191" s="27" t="s">
        <v>52</v>
      </c>
      <c r="J191" s="27" t="s">
        <v>330</v>
      </c>
      <c r="K191" s="28">
        <v>5</v>
      </c>
      <c r="L191" s="28">
        <v>1</v>
      </c>
      <c r="M191" s="29">
        <v>0.2</v>
      </c>
      <c r="N191" s="30" t="s">
        <v>331</v>
      </c>
      <c r="O191" s="31">
        <v>1.89</v>
      </c>
      <c r="P191" s="31">
        <v>24.94</v>
      </c>
      <c r="Q191" s="32">
        <v>7.58</v>
      </c>
      <c r="R191" s="32">
        <v>13.2</v>
      </c>
      <c r="S191" s="28">
        <v>1</v>
      </c>
      <c r="T191" s="28">
        <v>1</v>
      </c>
      <c r="U191" s="29">
        <v>1</v>
      </c>
      <c r="V191" s="28">
        <v>1</v>
      </c>
      <c r="W191" s="28">
        <v>0</v>
      </c>
      <c r="X191" s="30" t="s">
        <v>35</v>
      </c>
      <c r="Y191" s="30" t="s">
        <v>36</v>
      </c>
      <c r="Z191" s="10"/>
    </row>
    <row r="192" spans="1:26" ht="14.4" x14ac:dyDescent="0.3">
      <c r="A192" s="34">
        <v>45939</v>
      </c>
      <c r="B192" s="34">
        <v>45939</v>
      </c>
      <c r="C192" s="27" t="s">
        <v>27</v>
      </c>
      <c r="D192" s="27" t="s">
        <v>28</v>
      </c>
      <c r="E192" s="27" t="s">
        <v>71</v>
      </c>
      <c r="F192" s="27" t="s">
        <v>72</v>
      </c>
      <c r="G192" s="27" t="s">
        <v>31</v>
      </c>
      <c r="H192" s="27" t="s">
        <v>51</v>
      </c>
      <c r="I192" s="27" t="s">
        <v>52</v>
      </c>
      <c r="J192" s="27" t="s">
        <v>332</v>
      </c>
      <c r="K192" s="28">
        <v>1</v>
      </c>
      <c r="L192" s="28">
        <v>1</v>
      </c>
      <c r="M192" s="29">
        <v>1</v>
      </c>
      <c r="N192" s="30" t="s">
        <v>333</v>
      </c>
      <c r="O192" s="31">
        <v>2.33</v>
      </c>
      <c r="P192" s="31">
        <v>24.94</v>
      </c>
      <c r="Q192" s="32">
        <v>9.34</v>
      </c>
      <c r="R192" s="32">
        <v>10.7</v>
      </c>
      <c r="S192" s="28">
        <v>1</v>
      </c>
      <c r="T192" s="28">
        <v>1</v>
      </c>
      <c r="U192" s="29">
        <v>1</v>
      </c>
      <c r="V192" s="28">
        <v>1</v>
      </c>
      <c r="W192" s="28">
        <v>0</v>
      </c>
      <c r="X192" s="30" t="s">
        <v>35</v>
      </c>
      <c r="Y192" s="30" t="s">
        <v>36</v>
      </c>
      <c r="Z192" s="10"/>
    </row>
    <row r="193" spans="1:26" ht="14.4" x14ac:dyDescent="0.3">
      <c r="A193" s="34">
        <v>45939</v>
      </c>
      <c r="B193" s="34">
        <v>45939</v>
      </c>
      <c r="C193" s="27" t="s">
        <v>27</v>
      </c>
      <c r="D193" s="27" t="s">
        <v>28</v>
      </c>
      <c r="E193" s="27" t="s">
        <v>71</v>
      </c>
      <c r="F193" s="27" t="s">
        <v>72</v>
      </c>
      <c r="G193" s="27" t="s">
        <v>31</v>
      </c>
      <c r="H193" s="27" t="s">
        <v>51</v>
      </c>
      <c r="I193" s="27" t="s">
        <v>52</v>
      </c>
      <c r="J193" s="27" t="s">
        <v>334</v>
      </c>
      <c r="K193" s="28">
        <v>1</v>
      </c>
      <c r="L193" s="28">
        <v>1</v>
      </c>
      <c r="M193" s="29">
        <v>1</v>
      </c>
      <c r="N193" s="30" t="s">
        <v>80</v>
      </c>
      <c r="O193" s="31">
        <v>1.46</v>
      </c>
      <c r="P193" s="31">
        <v>24.94</v>
      </c>
      <c r="Q193" s="32">
        <v>5.85</v>
      </c>
      <c r="R193" s="32">
        <v>17.079999999999998</v>
      </c>
      <c r="S193" s="28">
        <v>1</v>
      </c>
      <c r="T193" s="28">
        <v>1</v>
      </c>
      <c r="U193" s="29">
        <v>1</v>
      </c>
      <c r="V193" s="28">
        <v>1</v>
      </c>
      <c r="W193" s="28">
        <v>0</v>
      </c>
      <c r="X193" s="30" t="s">
        <v>35</v>
      </c>
      <c r="Y193" s="30" t="s">
        <v>36</v>
      </c>
      <c r="Z193" s="10"/>
    </row>
    <row r="194" spans="1:26" ht="14.4" x14ac:dyDescent="0.3">
      <c r="A194" s="34">
        <v>45939</v>
      </c>
      <c r="B194" s="34">
        <v>45939</v>
      </c>
      <c r="C194" s="27" t="s">
        <v>27</v>
      </c>
      <c r="D194" s="27" t="s">
        <v>28</v>
      </c>
      <c r="E194" s="27" t="s">
        <v>71</v>
      </c>
      <c r="F194" s="27" t="s">
        <v>72</v>
      </c>
      <c r="G194" s="27" t="s">
        <v>31</v>
      </c>
      <c r="H194" s="27" t="s">
        <v>73</v>
      </c>
      <c r="I194" s="27" t="s">
        <v>52</v>
      </c>
      <c r="J194" s="27" t="s">
        <v>335</v>
      </c>
      <c r="K194" s="28">
        <v>4</v>
      </c>
      <c r="L194" s="28">
        <v>2</v>
      </c>
      <c r="M194" s="29">
        <v>0.5</v>
      </c>
      <c r="N194" s="30" t="s">
        <v>336</v>
      </c>
      <c r="O194" s="31">
        <v>6.7</v>
      </c>
      <c r="P194" s="31">
        <v>24.94</v>
      </c>
      <c r="Q194" s="32">
        <v>26.86</v>
      </c>
      <c r="R194" s="32">
        <v>3.72</v>
      </c>
      <c r="S194" s="28">
        <v>1</v>
      </c>
      <c r="T194" s="28">
        <v>1</v>
      </c>
      <c r="U194" s="29">
        <v>0.5</v>
      </c>
      <c r="V194" s="28">
        <v>1</v>
      </c>
      <c r="W194" s="28">
        <v>0</v>
      </c>
      <c r="X194" s="30" t="s">
        <v>35</v>
      </c>
      <c r="Y194" s="30" t="s">
        <v>36</v>
      </c>
      <c r="Z194" s="10"/>
    </row>
    <row r="195" spans="1:26" ht="14.4" x14ac:dyDescent="0.3">
      <c r="A195" s="34">
        <v>45939</v>
      </c>
      <c r="B195" s="34">
        <v>45939</v>
      </c>
      <c r="C195" s="27" t="s">
        <v>27</v>
      </c>
      <c r="D195" s="27" t="s">
        <v>28</v>
      </c>
      <c r="E195" s="27" t="s">
        <v>71</v>
      </c>
      <c r="F195" s="27" t="s">
        <v>72</v>
      </c>
      <c r="G195" s="27" t="s">
        <v>31</v>
      </c>
      <c r="H195" s="27" t="s">
        <v>51</v>
      </c>
      <c r="I195" s="27" t="s">
        <v>52</v>
      </c>
      <c r="J195" s="27" t="s">
        <v>337</v>
      </c>
      <c r="K195" s="28">
        <v>1</v>
      </c>
      <c r="L195" s="28">
        <v>1</v>
      </c>
      <c r="M195" s="29">
        <v>1</v>
      </c>
      <c r="N195" s="30" t="s">
        <v>157</v>
      </c>
      <c r="O195" s="31">
        <v>2.62</v>
      </c>
      <c r="P195" s="31">
        <v>24.94</v>
      </c>
      <c r="Q195" s="32">
        <v>10.51</v>
      </c>
      <c r="R195" s="32">
        <v>9.52</v>
      </c>
      <c r="S195" s="28">
        <v>1</v>
      </c>
      <c r="T195" s="28">
        <v>1</v>
      </c>
      <c r="U195" s="29">
        <v>1</v>
      </c>
      <c r="V195" s="28">
        <v>1</v>
      </c>
      <c r="W195" s="28">
        <v>0</v>
      </c>
      <c r="X195" s="30" t="s">
        <v>35</v>
      </c>
      <c r="Y195" s="30" t="s">
        <v>36</v>
      </c>
      <c r="Z195" s="10"/>
    </row>
    <row r="196" spans="1:26" ht="14.4" x14ac:dyDescent="0.3">
      <c r="A196" s="34">
        <v>45938</v>
      </c>
      <c r="B196" s="34">
        <v>45939</v>
      </c>
      <c r="C196" s="27" t="s">
        <v>27</v>
      </c>
      <c r="D196" s="27" t="s">
        <v>28</v>
      </c>
      <c r="E196" s="27" t="s">
        <v>71</v>
      </c>
      <c r="F196" s="27" t="s">
        <v>72</v>
      </c>
      <c r="G196" s="27" t="s">
        <v>31</v>
      </c>
      <c r="H196" s="27" t="s">
        <v>73</v>
      </c>
      <c r="I196" s="27" t="s">
        <v>52</v>
      </c>
      <c r="J196" s="27" t="s">
        <v>338</v>
      </c>
      <c r="K196" s="28">
        <v>267</v>
      </c>
      <c r="L196" s="28">
        <v>3</v>
      </c>
      <c r="M196" s="29">
        <v>1.1235999999999999E-2</v>
      </c>
      <c r="N196" s="30" t="s">
        <v>333</v>
      </c>
      <c r="O196" s="31">
        <v>6.99</v>
      </c>
      <c r="P196" s="31">
        <v>24.94</v>
      </c>
      <c r="Q196" s="32">
        <v>28.03</v>
      </c>
      <c r="R196" s="32">
        <v>3.57</v>
      </c>
      <c r="S196" s="28">
        <v>1</v>
      </c>
      <c r="T196" s="28">
        <v>1</v>
      </c>
      <c r="U196" s="29">
        <v>0.33333299999999999</v>
      </c>
      <c r="V196" s="28">
        <v>1</v>
      </c>
      <c r="W196" s="28">
        <v>0</v>
      </c>
      <c r="X196" s="30" t="s">
        <v>35</v>
      </c>
      <c r="Y196" s="30" t="s">
        <v>36</v>
      </c>
      <c r="Z196" s="10"/>
    </row>
    <row r="197" spans="1:26" ht="14.4" x14ac:dyDescent="0.3">
      <c r="A197" s="34">
        <v>45938</v>
      </c>
      <c r="B197" s="26">
        <v>45941</v>
      </c>
      <c r="C197" s="27" t="s">
        <v>143</v>
      </c>
      <c r="D197" s="27" t="s">
        <v>28</v>
      </c>
      <c r="E197" s="27" t="s">
        <v>144</v>
      </c>
      <c r="F197" s="27" t="s">
        <v>32</v>
      </c>
      <c r="G197" s="27" t="s">
        <v>31</v>
      </c>
      <c r="H197" s="27" t="s">
        <v>119</v>
      </c>
      <c r="I197" s="27" t="s">
        <v>32</v>
      </c>
      <c r="J197" s="27" t="s">
        <v>119</v>
      </c>
      <c r="K197" s="28">
        <v>35</v>
      </c>
      <c r="L197" s="28">
        <v>2</v>
      </c>
      <c r="M197" s="29">
        <v>5.7142999999999999E-2</v>
      </c>
      <c r="N197" s="30" t="s">
        <v>339</v>
      </c>
      <c r="O197" s="31">
        <v>1.78</v>
      </c>
      <c r="P197" s="31">
        <v>19.95</v>
      </c>
      <c r="Q197" s="32">
        <v>8.92</v>
      </c>
      <c r="R197" s="32">
        <v>11.21</v>
      </c>
      <c r="S197" s="28">
        <v>1</v>
      </c>
      <c r="T197" s="28">
        <v>1</v>
      </c>
      <c r="U197" s="29">
        <v>0.5</v>
      </c>
      <c r="V197" s="28">
        <v>1</v>
      </c>
      <c r="W197" s="28">
        <v>0</v>
      </c>
      <c r="X197" s="30" t="s">
        <v>340</v>
      </c>
      <c r="Y197" s="30" t="s">
        <v>36</v>
      </c>
      <c r="Z197" s="10"/>
    </row>
    <row r="198" spans="1:26" ht="14.4" x14ac:dyDescent="0.3">
      <c r="A198" s="34">
        <v>45938</v>
      </c>
      <c r="B198" s="34">
        <v>45938</v>
      </c>
      <c r="C198" s="27" t="s">
        <v>143</v>
      </c>
      <c r="D198" s="27" t="s">
        <v>28</v>
      </c>
      <c r="E198" s="27" t="s">
        <v>144</v>
      </c>
      <c r="F198" s="27" t="s">
        <v>32</v>
      </c>
      <c r="G198" s="27" t="s">
        <v>31</v>
      </c>
      <c r="H198" s="27" t="s">
        <v>30</v>
      </c>
      <c r="I198" s="27" t="s">
        <v>44</v>
      </c>
      <c r="J198" s="27" t="s">
        <v>341</v>
      </c>
      <c r="K198" s="28">
        <v>2</v>
      </c>
      <c r="L198" s="28">
        <v>1</v>
      </c>
      <c r="M198" s="29">
        <v>0.5</v>
      </c>
      <c r="N198" s="30" t="s">
        <v>196</v>
      </c>
      <c r="O198" s="31">
        <v>1.36</v>
      </c>
      <c r="P198" s="31">
        <v>19.95</v>
      </c>
      <c r="Q198" s="32">
        <v>6.82</v>
      </c>
      <c r="R198" s="32">
        <v>14.67</v>
      </c>
      <c r="S198" s="28">
        <v>1</v>
      </c>
      <c r="T198" s="28">
        <v>1</v>
      </c>
      <c r="U198" s="29">
        <v>1</v>
      </c>
      <c r="V198" s="28">
        <v>1</v>
      </c>
      <c r="W198" s="28">
        <v>0</v>
      </c>
      <c r="X198" s="30" t="s">
        <v>340</v>
      </c>
      <c r="Y198" s="30" t="s">
        <v>36</v>
      </c>
      <c r="Z198" s="10"/>
    </row>
    <row r="199" spans="1:26" ht="14.4" x14ac:dyDescent="0.3">
      <c r="A199" s="34">
        <v>45938</v>
      </c>
      <c r="B199" s="34">
        <v>45938</v>
      </c>
      <c r="C199" s="27" t="s">
        <v>48</v>
      </c>
      <c r="D199" s="27" t="s">
        <v>28</v>
      </c>
      <c r="E199" s="27" t="s">
        <v>62</v>
      </c>
      <c r="F199" s="27" t="s">
        <v>63</v>
      </c>
      <c r="G199" s="27" t="s">
        <v>31</v>
      </c>
      <c r="H199" s="27" t="s">
        <v>64</v>
      </c>
      <c r="I199" s="27" t="s">
        <v>65</v>
      </c>
      <c r="J199" s="27" t="s">
        <v>64</v>
      </c>
      <c r="K199" s="28">
        <v>1</v>
      </c>
      <c r="L199" s="28">
        <v>1</v>
      </c>
      <c r="M199" s="29">
        <v>1</v>
      </c>
      <c r="N199" s="30" t="s">
        <v>342</v>
      </c>
      <c r="O199" s="31">
        <v>3.58</v>
      </c>
      <c r="P199" s="31">
        <v>17.52</v>
      </c>
      <c r="Q199" s="32">
        <v>20.43</v>
      </c>
      <c r="R199" s="32">
        <v>4.8899999999999997</v>
      </c>
      <c r="S199" s="28">
        <v>1</v>
      </c>
      <c r="T199" s="28">
        <v>1</v>
      </c>
      <c r="U199" s="29">
        <v>1</v>
      </c>
      <c r="V199" s="28">
        <v>1</v>
      </c>
      <c r="W199" s="28">
        <v>0</v>
      </c>
      <c r="X199" s="30" t="s">
        <v>343</v>
      </c>
      <c r="Y199" s="30" t="s">
        <v>36</v>
      </c>
      <c r="Z199" s="10"/>
    </row>
    <row r="200" spans="1:26" ht="14.4" x14ac:dyDescent="0.3">
      <c r="A200" s="34">
        <v>45937</v>
      </c>
      <c r="B200" s="34">
        <v>45937</v>
      </c>
      <c r="C200" s="27" t="s">
        <v>27</v>
      </c>
      <c r="D200" s="27" t="s">
        <v>28</v>
      </c>
      <c r="E200" s="27" t="s">
        <v>71</v>
      </c>
      <c r="F200" s="27" t="s">
        <v>72</v>
      </c>
      <c r="G200" s="27" t="s">
        <v>31</v>
      </c>
      <c r="H200" s="27" t="s">
        <v>73</v>
      </c>
      <c r="I200" s="27" t="s">
        <v>52</v>
      </c>
      <c r="J200" s="27" t="s">
        <v>344</v>
      </c>
      <c r="K200" s="28">
        <v>2</v>
      </c>
      <c r="L200" s="28">
        <v>1</v>
      </c>
      <c r="M200" s="29">
        <v>0.5</v>
      </c>
      <c r="N200" s="30" t="s">
        <v>336</v>
      </c>
      <c r="O200" s="31">
        <v>3.35</v>
      </c>
      <c r="P200" s="31">
        <v>19.95</v>
      </c>
      <c r="Q200" s="32">
        <v>16.79</v>
      </c>
      <c r="R200" s="32">
        <v>5.96</v>
      </c>
      <c r="S200" s="28">
        <v>1</v>
      </c>
      <c r="T200" s="28">
        <v>1</v>
      </c>
      <c r="U200" s="29">
        <v>1</v>
      </c>
      <c r="V200" s="28">
        <v>1</v>
      </c>
      <c r="W200" s="28">
        <v>0</v>
      </c>
      <c r="X200" s="30" t="s">
        <v>340</v>
      </c>
      <c r="Y200" s="30" t="s">
        <v>36</v>
      </c>
      <c r="Z200" s="10"/>
    </row>
    <row r="201" spans="1:26" ht="14.4" x14ac:dyDescent="0.3">
      <c r="A201" s="34">
        <v>45937</v>
      </c>
      <c r="B201" s="34">
        <v>45937</v>
      </c>
      <c r="C201" s="27" t="s">
        <v>27</v>
      </c>
      <c r="D201" s="27" t="s">
        <v>28</v>
      </c>
      <c r="E201" s="27" t="s">
        <v>29</v>
      </c>
      <c r="F201" s="27" t="s">
        <v>30</v>
      </c>
      <c r="G201" s="27" t="s">
        <v>31</v>
      </c>
      <c r="H201" s="27" t="s">
        <v>30</v>
      </c>
      <c r="I201" s="27" t="s">
        <v>32</v>
      </c>
      <c r="J201" s="27" t="s">
        <v>345</v>
      </c>
      <c r="K201" s="28">
        <v>6</v>
      </c>
      <c r="L201" s="28">
        <v>1</v>
      </c>
      <c r="M201" s="29">
        <v>0.16666700000000001</v>
      </c>
      <c r="N201" s="30" t="s">
        <v>120</v>
      </c>
      <c r="O201" s="31">
        <v>3.1</v>
      </c>
      <c r="P201" s="31">
        <v>19.95</v>
      </c>
      <c r="Q201" s="32">
        <v>15.54</v>
      </c>
      <c r="R201" s="32">
        <v>6.44</v>
      </c>
      <c r="S201" s="28">
        <v>1</v>
      </c>
      <c r="T201" s="28">
        <v>1</v>
      </c>
      <c r="U201" s="29">
        <v>1</v>
      </c>
      <c r="V201" s="28">
        <v>1</v>
      </c>
      <c r="W201" s="28">
        <v>0</v>
      </c>
      <c r="X201" s="30" t="s">
        <v>340</v>
      </c>
      <c r="Y201" s="30" t="s">
        <v>36</v>
      </c>
      <c r="Z201" s="10"/>
    </row>
    <row r="202" spans="1:26" ht="14.4" x14ac:dyDescent="0.3">
      <c r="A202" s="34">
        <v>45937</v>
      </c>
      <c r="B202" s="34">
        <v>45937</v>
      </c>
      <c r="C202" s="27" t="s">
        <v>143</v>
      </c>
      <c r="D202" s="27" t="s">
        <v>28</v>
      </c>
      <c r="E202" s="27" t="s">
        <v>144</v>
      </c>
      <c r="F202" s="27" t="s">
        <v>32</v>
      </c>
      <c r="G202" s="27" t="s">
        <v>31</v>
      </c>
      <c r="H202" s="27" t="s">
        <v>30</v>
      </c>
      <c r="I202" s="27" t="s">
        <v>44</v>
      </c>
      <c r="J202" s="27" t="s">
        <v>216</v>
      </c>
      <c r="K202" s="28">
        <v>1</v>
      </c>
      <c r="L202" s="28">
        <v>1</v>
      </c>
      <c r="M202" s="29">
        <v>1</v>
      </c>
      <c r="N202" s="30" t="s">
        <v>217</v>
      </c>
      <c r="O202" s="31">
        <v>1.82</v>
      </c>
      <c r="P202" s="31">
        <v>19.95</v>
      </c>
      <c r="Q202" s="32">
        <v>9.1199999999999992</v>
      </c>
      <c r="R202" s="32">
        <v>10.96</v>
      </c>
      <c r="S202" s="28">
        <v>1</v>
      </c>
      <c r="T202" s="28">
        <v>1</v>
      </c>
      <c r="U202" s="29">
        <v>1</v>
      </c>
      <c r="V202" s="28">
        <v>1</v>
      </c>
      <c r="W202" s="28">
        <v>0</v>
      </c>
      <c r="X202" s="30" t="s">
        <v>340</v>
      </c>
      <c r="Y202" s="30" t="s">
        <v>36</v>
      </c>
      <c r="Z202" s="10"/>
    </row>
    <row r="203" spans="1:26" ht="14.4" x14ac:dyDescent="0.3">
      <c r="A203" s="34">
        <v>45937</v>
      </c>
      <c r="B203" s="34">
        <v>45937</v>
      </c>
      <c r="C203" s="27" t="s">
        <v>27</v>
      </c>
      <c r="D203" s="27" t="s">
        <v>28</v>
      </c>
      <c r="E203" s="27" t="s">
        <v>71</v>
      </c>
      <c r="F203" s="27" t="s">
        <v>72</v>
      </c>
      <c r="G203" s="27" t="s">
        <v>31</v>
      </c>
      <c r="H203" s="27" t="s">
        <v>73</v>
      </c>
      <c r="I203" s="27" t="s">
        <v>52</v>
      </c>
      <c r="J203" s="27" t="s">
        <v>346</v>
      </c>
      <c r="K203" s="28">
        <v>11</v>
      </c>
      <c r="L203" s="28">
        <v>2</v>
      </c>
      <c r="M203" s="29">
        <v>0.18181800000000001</v>
      </c>
      <c r="N203" s="30" t="s">
        <v>311</v>
      </c>
      <c r="O203" s="31">
        <v>8.0500000000000007</v>
      </c>
      <c r="P203" s="31">
        <v>19.95</v>
      </c>
      <c r="Q203" s="32">
        <v>40.35</v>
      </c>
      <c r="R203" s="32">
        <v>2.48</v>
      </c>
      <c r="S203" s="28">
        <v>1</v>
      </c>
      <c r="T203" s="28">
        <v>1</v>
      </c>
      <c r="U203" s="29">
        <v>0.5</v>
      </c>
      <c r="V203" s="28">
        <v>1</v>
      </c>
      <c r="W203" s="28">
        <v>0</v>
      </c>
      <c r="X203" s="30" t="s">
        <v>340</v>
      </c>
      <c r="Y203" s="30" t="s">
        <v>36</v>
      </c>
      <c r="Z203" s="10"/>
    </row>
    <row r="204" spans="1:26" ht="14.4" x14ac:dyDescent="0.3">
      <c r="A204" s="34">
        <v>45937</v>
      </c>
      <c r="B204" s="34">
        <v>45937</v>
      </c>
      <c r="C204" s="27" t="s">
        <v>27</v>
      </c>
      <c r="D204" s="27" t="s">
        <v>28</v>
      </c>
      <c r="E204" s="27" t="s">
        <v>56</v>
      </c>
      <c r="F204" s="27" t="s">
        <v>57</v>
      </c>
      <c r="G204" s="27" t="s">
        <v>31</v>
      </c>
      <c r="H204" s="33" t="e">
        <f>+maca +root +men</f>
        <v>#NAME?</v>
      </c>
      <c r="I204" s="27" t="s">
        <v>32</v>
      </c>
      <c r="J204" s="27" t="s">
        <v>347</v>
      </c>
      <c r="K204" s="28">
        <v>11</v>
      </c>
      <c r="L204" s="28">
        <v>1</v>
      </c>
      <c r="M204" s="29">
        <v>9.0909000000000004E-2</v>
      </c>
      <c r="N204" s="30" t="s">
        <v>167</v>
      </c>
      <c r="O204" s="31">
        <v>5.18</v>
      </c>
      <c r="P204" s="31">
        <v>19.95</v>
      </c>
      <c r="Q204" s="32">
        <v>25.96</v>
      </c>
      <c r="R204" s="32">
        <v>3.85</v>
      </c>
      <c r="S204" s="28">
        <v>1</v>
      </c>
      <c r="T204" s="28">
        <v>1</v>
      </c>
      <c r="U204" s="29">
        <v>1</v>
      </c>
      <c r="V204" s="28">
        <v>1</v>
      </c>
      <c r="W204" s="28">
        <v>0</v>
      </c>
      <c r="X204" s="30" t="s">
        <v>340</v>
      </c>
      <c r="Y204" s="30" t="s">
        <v>36</v>
      </c>
      <c r="Z204" s="10"/>
    </row>
    <row r="205" spans="1:26" ht="14.4" x14ac:dyDescent="0.3">
      <c r="A205" s="34">
        <v>45937</v>
      </c>
      <c r="B205" s="34">
        <v>45937</v>
      </c>
      <c r="C205" s="27" t="s">
        <v>27</v>
      </c>
      <c r="D205" s="27" t="s">
        <v>28</v>
      </c>
      <c r="E205" s="27" t="s">
        <v>29</v>
      </c>
      <c r="F205" s="27" t="s">
        <v>30</v>
      </c>
      <c r="G205" s="27" t="s">
        <v>31</v>
      </c>
      <c r="H205" s="27" t="s">
        <v>348</v>
      </c>
      <c r="I205" s="27" t="s">
        <v>32</v>
      </c>
      <c r="J205" s="27" t="s">
        <v>119</v>
      </c>
      <c r="K205" s="28">
        <v>83</v>
      </c>
      <c r="L205" s="28">
        <v>3</v>
      </c>
      <c r="M205" s="29">
        <v>3.6144999999999997E-2</v>
      </c>
      <c r="N205" s="30" t="s">
        <v>90</v>
      </c>
      <c r="O205" s="31">
        <v>10.23</v>
      </c>
      <c r="P205" s="31">
        <v>19.95</v>
      </c>
      <c r="Q205" s="32">
        <v>51.28</v>
      </c>
      <c r="R205" s="32">
        <v>1.95</v>
      </c>
      <c r="S205" s="28">
        <v>1</v>
      </c>
      <c r="T205" s="28">
        <v>1</v>
      </c>
      <c r="U205" s="29">
        <v>0.33333299999999999</v>
      </c>
      <c r="V205" s="28">
        <v>1</v>
      </c>
      <c r="W205" s="28">
        <v>0</v>
      </c>
      <c r="X205" s="30" t="s">
        <v>340</v>
      </c>
      <c r="Y205" s="30" t="s">
        <v>36</v>
      </c>
      <c r="Z205" s="10"/>
    </row>
    <row r="206" spans="1:26" ht="14.4" x14ac:dyDescent="0.3">
      <c r="A206" s="34">
        <v>45937</v>
      </c>
      <c r="B206" s="34">
        <v>45937</v>
      </c>
      <c r="C206" s="27" t="s">
        <v>27</v>
      </c>
      <c r="D206" s="27" t="s">
        <v>28</v>
      </c>
      <c r="E206" s="27" t="s">
        <v>56</v>
      </c>
      <c r="F206" s="27" t="s">
        <v>57</v>
      </c>
      <c r="G206" s="27" t="s">
        <v>31</v>
      </c>
      <c r="H206" s="33" t="e">
        <f>+maca +root +men</f>
        <v>#NAME?</v>
      </c>
      <c r="I206" s="27" t="s">
        <v>32</v>
      </c>
      <c r="J206" s="27" t="s">
        <v>119</v>
      </c>
      <c r="K206" s="28">
        <v>184</v>
      </c>
      <c r="L206" s="28">
        <v>4</v>
      </c>
      <c r="M206" s="29">
        <v>2.1739000000000001E-2</v>
      </c>
      <c r="N206" s="30" t="s">
        <v>187</v>
      </c>
      <c r="O206" s="31">
        <v>12.45</v>
      </c>
      <c r="P206" s="31">
        <v>39.9</v>
      </c>
      <c r="Q206" s="32">
        <v>31.2</v>
      </c>
      <c r="R206" s="32">
        <v>3.2</v>
      </c>
      <c r="S206" s="28">
        <v>2</v>
      </c>
      <c r="T206" s="28">
        <v>2</v>
      </c>
      <c r="U206" s="29">
        <v>0.5</v>
      </c>
      <c r="V206" s="28">
        <v>2</v>
      </c>
      <c r="W206" s="28">
        <v>0</v>
      </c>
      <c r="X206" s="30" t="s">
        <v>349</v>
      </c>
      <c r="Y206" s="30" t="s">
        <v>36</v>
      </c>
      <c r="Z206" s="10"/>
    </row>
    <row r="207" spans="1:26" ht="14.4" x14ac:dyDescent="0.3">
      <c r="A207" s="34">
        <v>45937</v>
      </c>
      <c r="B207" s="26">
        <v>45940</v>
      </c>
      <c r="C207" s="27" t="s">
        <v>27</v>
      </c>
      <c r="D207" s="27" t="s">
        <v>28</v>
      </c>
      <c r="E207" s="27" t="s">
        <v>71</v>
      </c>
      <c r="F207" s="27" t="s">
        <v>72</v>
      </c>
      <c r="G207" s="27" t="s">
        <v>31</v>
      </c>
      <c r="H207" s="27" t="s">
        <v>73</v>
      </c>
      <c r="I207" s="27" t="s">
        <v>52</v>
      </c>
      <c r="J207" s="27" t="s">
        <v>101</v>
      </c>
      <c r="K207" s="28">
        <v>1775</v>
      </c>
      <c r="L207" s="28">
        <v>8</v>
      </c>
      <c r="M207" s="29">
        <v>4.5069999999999997E-3</v>
      </c>
      <c r="N207" s="30" t="s">
        <v>350</v>
      </c>
      <c r="O207" s="31">
        <v>22.56</v>
      </c>
      <c r="P207" s="31">
        <v>19.95</v>
      </c>
      <c r="Q207" s="32">
        <v>113.08</v>
      </c>
      <c r="R207" s="32">
        <v>0.88</v>
      </c>
      <c r="S207" s="28">
        <v>1</v>
      </c>
      <c r="T207" s="28">
        <v>1</v>
      </c>
      <c r="U207" s="29">
        <v>0.125</v>
      </c>
      <c r="V207" s="28">
        <v>1</v>
      </c>
      <c r="W207" s="28">
        <v>0</v>
      </c>
      <c r="X207" s="30" t="s">
        <v>340</v>
      </c>
      <c r="Y207" s="30" t="s">
        <v>36</v>
      </c>
      <c r="Z207" s="10"/>
    </row>
    <row r="208" spans="1:26" ht="14.4" x14ac:dyDescent="0.3">
      <c r="A208" s="34">
        <v>45937</v>
      </c>
      <c r="B208" s="34">
        <v>45937</v>
      </c>
      <c r="C208" s="27" t="s">
        <v>27</v>
      </c>
      <c r="D208" s="27" t="s">
        <v>28</v>
      </c>
      <c r="E208" s="27" t="s">
        <v>29</v>
      </c>
      <c r="F208" s="27" t="s">
        <v>30</v>
      </c>
      <c r="G208" s="27" t="s">
        <v>31</v>
      </c>
      <c r="H208" s="27" t="s">
        <v>348</v>
      </c>
      <c r="I208" s="27" t="s">
        <v>32</v>
      </c>
      <c r="J208" s="27" t="s">
        <v>351</v>
      </c>
      <c r="K208" s="28">
        <v>16</v>
      </c>
      <c r="L208" s="28">
        <v>1</v>
      </c>
      <c r="M208" s="29">
        <v>6.25E-2</v>
      </c>
      <c r="N208" s="30" t="s">
        <v>352</v>
      </c>
      <c r="O208" s="31">
        <v>4.7699999999999996</v>
      </c>
      <c r="P208" s="31">
        <v>19.95</v>
      </c>
      <c r="Q208" s="32">
        <v>23.91</v>
      </c>
      <c r="R208" s="32">
        <v>4.18</v>
      </c>
      <c r="S208" s="28">
        <v>1</v>
      </c>
      <c r="T208" s="28">
        <v>1</v>
      </c>
      <c r="U208" s="29">
        <v>1</v>
      </c>
      <c r="V208" s="28">
        <v>1</v>
      </c>
      <c r="W208" s="28">
        <v>0</v>
      </c>
      <c r="X208" s="30" t="s">
        <v>340</v>
      </c>
      <c r="Y208" s="30" t="s">
        <v>36</v>
      </c>
      <c r="Z208" s="10"/>
    </row>
    <row r="209" spans="1:26" ht="14.4" x14ac:dyDescent="0.3">
      <c r="A209" s="34">
        <v>45937</v>
      </c>
      <c r="B209" s="34">
        <v>45937</v>
      </c>
      <c r="C209" s="27" t="s">
        <v>27</v>
      </c>
      <c r="D209" s="27" t="s">
        <v>28</v>
      </c>
      <c r="E209" s="27" t="s">
        <v>56</v>
      </c>
      <c r="F209" s="27" t="s">
        <v>57</v>
      </c>
      <c r="G209" s="27" t="s">
        <v>31</v>
      </c>
      <c r="H209" s="33" t="e">
        <f>+maca +root</f>
        <v>#NAME?</v>
      </c>
      <c r="I209" s="27" t="s">
        <v>32</v>
      </c>
      <c r="J209" s="27" t="s">
        <v>353</v>
      </c>
      <c r="K209" s="28">
        <v>3</v>
      </c>
      <c r="L209" s="28">
        <v>1</v>
      </c>
      <c r="M209" s="29">
        <v>0.33333299999999999</v>
      </c>
      <c r="N209" s="30" t="s">
        <v>324</v>
      </c>
      <c r="O209" s="31">
        <v>4.75</v>
      </c>
      <c r="P209" s="31">
        <v>19.95</v>
      </c>
      <c r="Q209" s="32">
        <v>23.81</v>
      </c>
      <c r="R209" s="32">
        <v>4.2</v>
      </c>
      <c r="S209" s="28">
        <v>1</v>
      </c>
      <c r="T209" s="28">
        <v>1</v>
      </c>
      <c r="U209" s="29">
        <v>1</v>
      </c>
      <c r="V209" s="28">
        <v>1</v>
      </c>
      <c r="W209" s="28">
        <v>0</v>
      </c>
      <c r="X209" s="30" t="s">
        <v>340</v>
      </c>
      <c r="Y209" s="30" t="s">
        <v>36</v>
      </c>
      <c r="Z209" s="10"/>
    </row>
    <row r="210" spans="1:26" ht="14.4" x14ac:dyDescent="0.3">
      <c r="A210" s="34">
        <v>45937</v>
      </c>
      <c r="B210" s="34">
        <v>45937</v>
      </c>
      <c r="C210" s="27" t="s">
        <v>27</v>
      </c>
      <c r="D210" s="27" t="s">
        <v>28</v>
      </c>
      <c r="E210" s="27" t="s">
        <v>71</v>
      </c>
      <c r="F210" s="27" t="s">
        <v>72</v>
      </c>
      <c r="G210" s="27" t="s">
        <v>31</v>
      </c>
      <c r="H210" s="27" t="s">
        <v>51</v>
      </c>
      <c r="I210" s="27" t="s">
        <v>52</v>
      </c>
      <c r="J210" s="27" t="s">
        <v>354</v>
      </c>
      <c r="K210" s="28">
        <v>2</v>
      </c>
      <c r="L210" s="28">
        <v>1</v>
      </c>
      <c r="M210" s="29">
        <v>0.5</v>
      </c>
      <c r="N210" s="30" t="s">
        <v>355</v>
      </c>
      <c r="O210" s="31">
        <v>1.8</v>
      </c>
      <c r="P210" s="31">
        <v>19.95</v>
      </c>
      <c r="Q210" s="32">
        <v>9.02</v>
      </c>
      <c r="R210" s="32">
        <v>11.08</v>
      </c>
      <c r="S210" s="28">
        <v>1</v>
      </c>
      <c r="T210" s="28">
        <v>1</v>
      </c>
      <c r="U210" s="29">
        <v>1</v>
      </c>
      <c r="V210" s="28">
        <v>1</v>
      </c>
      <c r="W210" s="28">
        <v>0</v>
      </c>
      <c r="X210" s="30" t="s">
        <v>340</v>
      </c>
      <c r="Y210" s="30" t="s">
        <v>36</v>
      </c>
      <c r="Z210" s="10"/>
    </row>
    <row r="211" spans="1:26" ht="14.4" x14ac:dyDescent="0.3">
      <c r="A211" s="34">
        <v>45937</v>
      </c>
      <c r="B211" s="26">
        <v>45940</v>
      </c>
      <c r="C211" s="27" t="s">
        <v>85</v>
      </c>
      <c r="D211" s="27" t="s">
        <v>28</v>
      </c>
      <c r="E211" s="27" t="s">
        <v>86</v>
      </c>
      <c r="F211" s="27" t="s">
        <v>87</v>
      </c>
      <c r="G211" s="27" t="s">
        <v>31</v>
      </c>
      <c r="H211" s="27" t="s">
        <v>87</v>
      </c>
      <c r="I211" s="27" t="s">
        <v>44</v>
      </c>
      <c r="J211" s="27" t="s">
        <v>87</v>
      </c>
      <c r="K211" s="28">
        <v>31</v>
      </c>
      <c r="L211" s="28">
        <v>2</v>
      </c>
      <c r="M211" s="29">
        <v>6.4516000000000004E-2</v>
      </c>
      <c r="N211" s="30" t="s">
        <v>356</v>
      </c>
      <c r="O211" s="31">
        <v>8.98</v>
      </c>
      <c r="P211" s="31">
        <v>21.9</v>
      </c>
      <c r="Q211" s="32">
        <v>41</v>
      </c>
      <c r="R211" s="32">
        <v>2.44</v>
      </c>
      <c r="S211" s="28">
        <v>1</v>
      </c>
      <c r="T211" s="28">
        <v>1</v>
      </c>
      <c r="U211" s="29">
        <v>0.5</v>
      </c>
      <c r="V211" s="28">
        <v>1</v>
      </c>
      <c r="W211" s="28">
        <v>0</v>
      </c>
      <c r="X211" s="30" t="s">
        <v>55</v>
      </c>
      <c r="Y211" s="30" t="s">
        <v>36</v>
      </c>
      <c r="Z211" s="10"/>
    </row>
    <row r="212" spans="1:26" ht="14.4" x14ac:dyDescent="0.3">
      <c r="A212" s="34">
        <v>45937</v>
      </c>
      <c r="B212" s="34">
        <v>45937</v>
      </c>
      <c r="C212" s="27" t="s">
        <v>48</v>
      </c>
      <c r="D212" s="27" t="s">
        <v>28</v>
      </c>
      <c r="E212" s="27" t="s">
        <v>233</v>
      </c>
      <c r="F212" s="27" t="s">
        <v>234</v>
      </c>
      <c r="G212" s="27" t="s">
        <v>31</v>
      </c>
      <c r="H212" s="27" t="s">
        <v>357</v>
      </c>
      <c r="I212" s="27" t="s">
        <v>32</v>
      </c>
      <c r="J212" s="27" t="s">
        <v>358</v>
      </c>
      <c r="K212" s="28">
        <v>5</v>
      </c>
      <c r="L212" s="28">
        <v>1</v>
      </c>
      <c r="M212" s="29">
        <v>0.2</v>
      </c>
      <c r="N212" s="30" t="s">
        <v>359</v>
      </c>
      <c r="O212" s="31">
        <v>2.2400000000000002</v>
      </c>
      <c r="P212" s="31">
        <v>17.52</v>
      </c>
      <c r="Q212" s="32">
        <v>12.79</v>
      </c>
      <c r="R212" s="32">
        <v>7.82</v>
      </c>
      <c r="S212" s="28">
        <v>1</v>
      </c>
      <c r="T212" s="28">
        <v>1</v>
      </c>
      <c r="U212" s="29">
        <v>1</v>
      </c>
      <c r="V212" s="28">
        <v>1</v>
      </c>
      <c r="W212" s="28">
        <v>0</v>
      </c>
      <c r="X212" s="30" t="s">
        <v>343</v>
      </c>
      <c r="Y212" s="30" t="s">
        <v>36</v>
      </c>
      <c r="Z212" s="10"/>
    </row>
    <row r="213" spans="1:26" ht="14.4" x14ac:dyDescent="0.3">
      <c r="A213" s="34">
        <v>45936</v>
      </c>
      <c r="B213" s="34">
        <v>45936</v>
      </c>
      <c r="C213" s="27" t="s">
        <v>27</v>
      </c>
      <c r="D213" s="27" t="s">
        <v>28</v>
      </c>
      <c r="E213" s="27" t="s">
        <v>29</v>
      </c>
      <c r="F213" s="27" t="s">
        <v>30</v>
      </c>
      <c r="G213" s="27" t="s">
        <v>31</v>
      </c>
      <c r="H213" s="27" t="s">
        <v>30</v>
      </c>
      <c r="I213" s="27" t="s">
        <v>32</v>
      </c>
      <c r="J213" s="27" t="s">
        <v>360</v>
      </c>
      <c r="K213" s="28">
        <v>3</v>
      </c>
      <c r="L213" s="28">
        <v>1</v>
      </c>
      <c r="M213" s="29">
        <v>0.33333299999999999</v>
      </c>
      <c r="N213" s="30" t="s">
        <v>120</v>
      </c>
      <c r="O213" s="31">
        <v>3.1</v>
      </c>
      <c r="P213" s="31">
        <v>24.94</v>
      </c>
      <c r="Q213" s="32">
        <v>12.43</v>
      </c>
      <c r="R213" s="32">
        <v>8.0500000000000007</v>
      </c>
      <c r="S213" s="28">
        <v>1</v>
      </c>
      <c r="T213" s="28">
        <v>1</v>
      </c>
      <c r="U213" s="29">
        <v>1</v>
      </c>
      <c r="V213" s="28">
        <v>1</v>
      </c>
      <c r="W213" s="28">
        <v>0</v>
      </c>
      <c r="X213" s="30" t="s">
        <v>35</v>
      </c>
      <c r="Y213" s="30" t="s">
        <v>36</v>
      </c>
      <c r="Z213" s="10"/>
    </row>
    <row r="214" spans="1:26" ht="14.4" x14ac:dyDescent="0.3">
      <c r="A214" s="34">
        <v>45936</v>
      </c>
      <c r="B214" s="26">
        <v>45940</v>
      </c>
      <c r="C214" s="27" t="s">
        <v>27</v>
      </c>
      <c r="D214" s="27" t="s">
        <v>28</v>
      </c>
      <c r="E214" s="27" t="s">
        <v>71</v>
      </c>
      <c r="F214" s="27" t="s">
        <v>72</v>
      </c>
      <c r="G214" s="27" t="s">
        <v>31</v>
      </c>
      <c r="H214" s="27" t="s">
        <v>73</v>
      </c>
      <c r="I214" s="27" t="s">
        <v>52</v>
      </c>
      <c r="J214" s="27" t="s">
        <v>162</v>
      </c>
      <c r="K214" s="28">
        <v>203</v>
      </c>
      <c r="L214" s="28">
        <v>5</v>
      </c>
      <c r="M214" s="29">
        <v>2.4631E-2</v>
      </c>
      <c r="N214" s="30" t="s">
        <v>309</v>
      </c>
      <c r="O214" s="31">
        <v>18.48</v>
      </c>
      <c r="P214" s="31">
        <v>44.89</v>
      </c>
      <c r="Q214" s="32">
        <v>41.17</v>
      </c>
      <c r="R214" s="32">
        <v>2.4300000000000002</v>
      </c>
      <c r="S214" s="28">
        <v>2</v>
      </c>
      <c r="T214" s="28">
        <v>2</v>
      </c>
      <c r="U214" s="29">
        <v>0.4</v>
      </c>
      <c r="V214" s="28">
        <v>2</v>
      </c>
      <c r="W214" s="28">
        <v>0</v>
      </c>
      <c r="X214" s="30" t="s">
        <v>361</v>
      </c>
      <c r="Y214" s="30" t="s">
        <v>36</v>
      </c>
      <c r="Z214" s="10"/>
    </row>
    <row r="215" spans="1:26" ht="14.4" x14ac:dyDescent="0.3">
      <c r="A215" s="34">
        <v>45936</v>
      </c>
      <c r="B215" s="34">
        <v>45939</v>
      </c>
      <c r="C215" s="27" t="s">
        <v>48</v>
      </c>
      <c r="D215" s="27" t="s">
        <v>28</v>
      </c>
      <c r="E215" s="27" t="s">
        <v>62</v>
      </c>
      <c r="F215" s="27" t="s">
        <v>63</v>
      </c>
      <c r="G215" s="27" t="s">
        <v>31</v>
      </c>
      <c r="H215" s="27" t="s">
        <v>68</v>
      </c>
      <c r="I215" s="27" t="s">
        <v>65</v>
      </c>
      <c r="J215" s="27" t="s">
        <v>68</v>
      </c>
      <c r="K215" s="28">
        <v>291</v>
      </c>
      <c r="L215" s="28">
        <v>5</v>
      </c>
      <c r="M215" s="29">
        <v>1.7181999999999999E-2</v>
      </c>
      <c r="N215" s="30" t="s">
        <v>122</v>
      </c>
      <c r="O215" s="31">
        <v>18.260000000000002</v>
      </c>
      <c r="P215" s="31">
        <v>17.52</v>
      </c>
      <c r="Q215" s="32">
        <v>104.22</v>
      </c>
      <c r="R215" s="32">
        <v>0.96</v>
      </c>
      <c r="S215" s="28">
        <v>1</v>
      </c>
      <c r="T215" s="28">
        <v>1</v>
      </c>
      <c r="U215" s="29">
        <v>0.2</v>
      </c>
      <c r="V215" s="28">
        <v>1</v>
      </c>
      <c r="W215" s="28">
        <v>0</v>
      </c>
      <c r="X215" s="30" t="s">
        <v>343</v>
      </c>
      <c r="Y215" s="30" t="s">
        <v>36</v>
      </c>
      <c r="Z215" s="10"/>
    </row>
    <row r="216" spans="1:26" ht="14.4" x14ac:dyDescent="0.3">
      <c r="A216" s="34">
        <v>45936</v>
      </c>
      <c r="B216" s="34">
        <v>45936</v>
      </c>
      <c r="C216" s="27" t="s">
        <v>27</v>
      </c>
      <c r="D216" s="27" t="s">
        <v>28</v>
      </c>
      <c r="E216" s="27" t="s">
        <v>71</v>
      </c>
      <c r="F216" s="27" t="s">
        <v>72</v>
      </c>
      <c r="G216" s="27" t="s">
        <v>31</v>
      </c>
      <c r="H216" s="27" t="s">
        <v>51</v>
      </c>
      <c r="I216" s="27" t="s">
        <v>52</v>
      </c>
      <c r="J216" s="27" t="s">
        <v>362</v>
      </c>
      <c r="K216" s="28">
        <v>2</v>
      </c>
      <c r="L216" s="28">
        <v>1</v>
      </c>
      <c r="M216" s="29">
        <v>0.5</v>
      </c>
      <c r="N216" s="30" t="s">
        <v>237</v>
      </c>
      <c r="O216" s="31">
        <v>4.42</v>
      </c>
      <c r="P216" s="31">
        <v>49.88</v>
      </c>
      <c r="Q216" s="32">
        <v>8.86</v>
      </c>
      <c r="R216" s="32">
        <v>11.29</v>
      </c>
      <c r="S216" s="28">
        <v>1</v>
      </c>
      <c r="T216" s="28">
        <v>2</v>
      </c>
      <c r="U216" s="29">
        <v>1</v>
      </c>
      <c r="V216" s="28">
        <v>2</v>
      </c>
      <c r="W216" s="28">
        <v>0</v>
      </c>
      <c r="X216" s="30" t="s">
        <v>78</v>
      </c>
      <c r="Y216" s="30" t="s">
        <v>36</v>
      </c>
      <c r="Z216" s="10"/>
    </row>
    <row r="217" spans="1:26" ht="14.4" x14ac:dyDescent="0.3">
      <c r="A217" s="34">
        <v>45936</v>
      </c>
      <c r="B217" s="34">
        <v>45939</v>
      </c>
      <c r="C217" s="27" t="s">
        <v>27</v>
      </c>
      <c r="D217" s="27" t="s">
        <v>28</v>
      </c>
      <c r="E217" s="27" t="s">
        <v>71</v>
      </c>
      <c r="F217" s="27" t="s">
        <v>72</v>
      </c>
      <c r="G217" s="27" t="s">
        <v>31</v>
      </c>
      <c r="H217" s="27" t="s">
        <v>51</v>
      </c>
      <c r="I217" s="27" t="s">
        <v>52</v>
      </c>
      <c r="J217" s="27" t="s">
        <v>145</v>
      </c>
      <c r="K217" s="28">
        <v>216</v>
      </c>
      <c r="L217" s="28">
        <v>9</v>
      </c>
      <c r="M217" s="29">
        <v>4.1667000000000003E-2</v>
      </c>
      <c r="N217" s="30" t="s">
        <v>363</v>
      </c>
      <c r="O217" s="31">
        <v>22.77</v>
      </c>
      <c r="P217" s="31">
        <v>49.88</v>
      </c>
      <c r="Q217" s="32">
        <v>45.65</v>
      </c>
      <c r="R217" s="32">
        <v>2.19</v>
      </c>
      <c r="S217" s="28">
        <v>2</v>
      </c>
      <c r="T217" s="28">
        <v>2</v>
      </c>
      <c r="U217" s="29">
        <v>0.222222</v>
      </c>
      <c r="V217" s="28">
        <v>2</v>
      </c>
      <c r="W217" s="28">
        <v>0</v>
      </c>
      <c r="X217" s="30" t="s">
        <v>78</v>
      </c>
      <c r="Y217" s="30" t="s">
        <v>36</v>
      </c>
      <c r="Z217" s="10"/>
    </row>
    <row r="218" spans="1:26" ht="14.4" x14ac:dyDescent="0.3">
      <c r="A218" s="34">
        <v>45936</v>
      </c>
      <c r="B218" s="26">
        <v>45941</v>
      </c>
      <c r="C218" s="27" t="s">
        <v>85</v>
      </c>
      <c r="D218" s="27" t="s">
        <v>28</v>
      </c>
      <c r="E218" s="27" t="s">
        <v>108</v>
      </c>
      <c r="F218" s="27" t="s">
        <v>109</v>
      </c>
      <c r="G218" s="27" t="s">
        <v>31</v>
      </c>
      <c r="H218" s="27" t="s">
        <v>110</v>
      </c>
      <c r="I218" s="27" t="s">
        <v>44</v>
      </c>
      <c r="J218" s="27" t="s">
        <v>111</v>
      </c>
      <c r="K218" s="28">
        <v>4</v>
      </c>
      <c r="L218" s="28">
        <v>2</v>
      </c>
      <c r="M218" s="29">
        <v>0.5</v>
      </c>
      <c r="N218" s="30" t="s">
        <v>222</v>
      </c>
      <c r="O218" s="31">
        <v>5.07</v>
      </c>
      <c r="P218" s="31">
        <v>43.8</v>
      </c>
      <c r="Q218" s="32">
        <v>11.58</v>
      </c>
      <c r="R218" s="32">
        <v>8.64</v>
      </c>
      <c r="S218" s="28">
        <v>2</v>
      </c>
      <c r="T218" s="28">
        <v>2</v>
      </c>
      <c r="U218" s="29">
        <v>1</v>
      </c>
      <c r="V218" s="28">
        <v>2</v>
      </c>
      <c r="W218" s="28">
        <v>0</v>
      </c>
      <c r="X218" s="30" t="s">
        <v>67</v>
      </c>
      <c r="Y218" s="30" t="s">
        <v>36</v>
      </c>
      <c r="Z218" s="10"/>
    </row>
    <row r="219" spans="1:26" ht="14.4" x14ac:dyDescent="0.3">
      <c r="A219" s="34">
        <v>45936</v>
      </c>
      <c r="B219" s="26">
        <v>45940</v>
      </c>
      <c r="C219" s="27" t="s">
        <v>27</v>
      </c>
      <c r="D219" s="27" t="s">
        <v>28</v>
      </c>
      <c r="E219" s="27" t="s">
        <v>56</v>
      </c>
      <c r="F219" s="27" t="s">
        <v>57</v>
      </c>
      <c r="G219" s="27" t="s">
        <v>31</v>
      </c>
      <c r="H219" s="33" t="e">
        <f>+maca +root</f>
        <v>#NAME?</v>
      </c>
      <c r="I219" s="27" t="s">
        <v>32</v>
      </c>
      <c r="J219" s="27" t="s">
        <v>76</v>
      </c>
      <c r="K219" s="28">
        <v>75</v>
      </c>
      <c r="L219" s="28">
        <v>3</v>
      </c>
      <c r="M219" s="29">
        <v>0.04</v>
      </c>
      <c r="N219" s="30" t="s">
        <v>206</v>
      </c>
      <c r="O219" s="31">
        <v>8.15</v>
      </c>
      <c r="P219" s="31">
        <v>24.94</v>
      </c>
      <c r="Q219" s="32">
        <v>32.68</v>
      </c>
      <c r="R219" s="32">
        <v>3.06</v>
      </c>
      <c r="S219" s="28">
        <v>1</v>
      </c>
      <c r="T219" s="28">
        <v>1</v>
      </c>
      <c r="U219" s="29">
        <v>0.33333299999999999</v>
      </c>
      <c r="V219" s="28">
        <v>1</v>
      </c>
      <c r="W219" s="28">
        <v>0</v>
      </c>
      <c r="X219" s="30" t="s">
        <v>35</v>
      </c>
      <c r="Y219" s="30" t="s">
        <v>36</v>
      </c>
      <c r="Z219" s="10"/>
    </row>
    <row r="220" spans="1:26" ht="14.4" x14ac:dyDescent="0.3">
      <c r="A220" s="34">
        <v>45936</v>
      </c>
      <c r="B220" s="34">
        <v>45936</v>
      </c>
      <c r="C220" s="27" t="s">
        <v>48</v>
      </c>
      <c r="D220" s="27" t="s">
        <v>28</v>
      </c>
      <c r="E220" s="27" t="s">
        <v>225</v>
      </c>
      <c r="F220" s="27" t="s">
        <v>226</v>
      </c>
      <c r="G220" s="27" t="s">
        <v>31</v>
      </c>
      <c r="H220" s="27" t="s">
        <v>68</v>
      </c>
      <c r="I220" s="27" t="s">
        <v>32</v>
      </c>
      <c r="J220" s="27" t="s">
        <v>364</v>
      </c>
      <c r="K220" s="28">
        <v>6</v>
      </c>
      <c r="L220" s="28">
        <v>1</v>
      </c>
      <c r="M220" s="29">
        <v>0.16666700000000001</v>
      </c>
      <c r="N220" s="30" t="s">
        <v>114</v>
      </c>
      <c r="O220" s="31">
        <v>3.33</v>
      </c>
      <c r="P220" s="31">
        <v>21.9</v>
      </c>
      <c r="Q220" s="32">
        <v>15.21</v>
      </c>
      <c r="R220" s="32">
        <v>6.58</v>
      </c>
      <c r="S220" s="28">
        <v>1</v>
      </c>
      <c r="T220" s="28">
        <v>1</v>
      </c>
      <c r="U220" s="29">
        <v>1</v>
      </c>
      <c r="V220" s="28">
        <v>1</v>
      </c>
      <c r="W220" s="28">
        <v>0</v>
      </c>
      <c r="X220" s="30" t="s">
        <v>55</v>
      </c>
      <c r="Y220" s="30" t="s">
        <v>36</v>
      </c>
      <c r="Z220" s="10"/>
    </row>
    <row r="221" spans="1:26" ht="14.4" x14ac:dyDescent="0.3">
      <c r="A221" s="34">
        <v>45936</v>
      </c>
      <c r="B221" s="34">
        <v>45936</v>
      </c>
      <c r="C221" s="27" t="s">
        <v>27</v>
      </c>
      <c r="D221" s="27" t="s">
        <v>28</v>
      </c>
      <c r="E221" s="27" t="s">
        <v>71</v>
      </c>
      <c r="F221" s="27" t="s">
        <v>72</v>
      </c>
      <c r="G221" s="27" t="s">
        <v>31</v>
      </c>
      <c r="H221" s="27" t="s">
        <v>51</v>
      </c>
      <c r="I221" s="27" t="s">
        <v>52</v>
      </c>
      <c r="J221" s="27" t="s">
        <v>365</v>
      </c>
      <c r="K221" s="28">
        <v>4</v>
      </c>
      <c r="L221" s="28">
        <v>1</v>
      </c>
      <c r="M221" s="29">
        <v>0.25</v>
      </c>
      <c r="N221" s="30" t="s">
        <v>237</v>
      </c>
      <c r="O221" s="31">
        <v>4.42</v>
      </c>
      <c r="P221" s="31">
        <v>19.95</v>
      </c>
      <c r="Q221" s="32">
        <v>22.16</v>
      </c>
      <c r="R221" s="32">
        <v>4.51</v>
      </c>
      <c r="S221" s="28">
        <v>1</v>
      </c>
      <c r="T221" s="28">
        <v>1</v>
      </c>
      <c r="U221" s="29">
        <v>1</v>
      </c>
      <c r="V221" s="28">
        <v>1</v>
      </c>
      <c r="W221" s="28">
        <v>0</v>
      </c>
      <c r="X221" s="30" t="s">
        <v>340</v>
      </c>
      <c r="Y221" s="30" t="s">
        <v>36</v>
      </c>
      <c r="Z221" s="10"/>
    </row>
    <row r="222" spans="1:26" ht="14.4" x14ac:dyDescent="0.3">
      <c r="A222" s="34">
        <v>45935</v>
      </c>
      <c r="B222" s="26">
        <v>45941</v>
      </c>
      <c r="C222" s="27" t="s">
        <v>27</v>
      </c>
      <c r="D222" s="27" t="s">
        <v>28</v>
      </c>
      <c r="E222" s="27" t="s">
        <v>29</v>
      </c>
      <c r="F222" s="27" t="s">
        <v>30</v>
      </c>
      <c r="G222" s="27" t="s">
        <v>31</v>
      </c>
      <c r="H222" s="27" t="s">
        <v>30</v>
      </c>
      <c r="I222" s="27" t="s">
        <v>32</v>
      </c>
      <c r="J222" s="27" t="s">
        <v>30</v>
      </c>
      <c r="K222" s="28">
        <v>545</v>
      </c>
      <c r="L222" s="28">
        <v>11</v>
      </c>
      <c r="M222" s="29">
        <v>2.0183E-2</v>
      </c>
      <c r="N222" s="30" t="s">
        <v>114</v>
      </c>
      <c r="O222" s="31">
        <v>36.65</v>
      </c>
      <c r="P222" s="31">
        <v>74.819999999999993</v>
      </c>
      <c r="Q222" s="32">
        <v>48.98</v>
      </c>
      <c r="R222" s="32">
        <v>2.04</v>
      </c>
      <c r="S222" s="28">
        <v>3</v>
      </c>
      <c r="T222" s="28">
        <v>3</v>
      </c>
      <c r="U222" s="29">
        <v>0.272727</v>
      </c>
      <c r="V222" s="28">
        <v>3</v>
      </c>
      <c r="W222" s="28">
        <v>0</v>
      </c>
      <c r="X222" s="30" t="s">
        <v>93</v>
      </c>
      <c r="Y222" s="30" t="s">
        <v>36</v>
      </c>
      <c r="Z222" s="10"/>
    </row>
    <row r="223" spans="1:26" ht="14.4" x14ac:dyDescent="0.3">
      <c r="A223" s="34">
        <v>45935</v>
      </c>
      <c r="B223" s="26">
        <v>45941</v>
      </c>
      <c r="C223" s="27" t="s">
        <v>27</v>
      </c>
      <c r="D223" s="27" t="s">
        <v>28</v>
      </c>
      <c r="E223" s="27" t="s">
        <v>71</v>
      </c>
      <c r="F223" s="27" t="s">
        <v>72</v>
      </c>
      <c r="G223" s="27" t="s">
        <v>31</v>
      </c>
      <c r="H223" s="27" t="s">
        <v>73</v>
      </c>
      <c r="I223" s="27" t="s">
        <v>52</v>
      </c>
      <c r="J223" s="27" t="s">
        <v>159</v>
      </c>
      <c r="K223" s="28">
        <v>59</v>
      </c>
      <c r="L223" s="28">
        <v>4</v>
      </c>
      <c r="M223" s="29">
        <v>6.7796999999999996E-2</v>
      </c>
      <c r="N223" s="30" t="s">
        <v>309</v>
      </c>
      <c r="O223" s="31">
        <v>14.8</v>
      </c>
      <c r="P223" s="31">
        <v>24.94</v>
      </c>
      <c r="Q223" s="32">
        <v>59.34</v>
      </c>
      <c r="R223" s="32">
        <v>1.69</v>
      </c>
      <c r="S223" s="28">
        <v>1</v>
      </c>
      <c r="T223" s="28">
        <v>1</v>
      </c>
      <c r="U223" s="29">
        <v>0.25</v>
      </c>
      <c r="V223" s="28">
        <v>1</v>
      </c>
      <c r="W223" s="28">
        <v>0</v>
      </c>
      <c r="X223" s="30" t="s">
        <v>35</v>
      </c>
      <c r="Y223" s="30" t="s">
        <v>36</v>
      </c>
      <c r="Z223" s="10"/>
    </row>
    <row r="224" spans="1:26" ht="14.4" x14ac:dyDescent="0.3">
      <c r="A224" s="34">
        <v>45935</v>
      </c>
      <c r="B224" s="34">
        <v>45935</v>
      </c>
      <c r="C224" s="27" t="s">
        <v>27</v>
      </c>
      <c r="D224" s="27" t="s">
        <v>28</v>
      </c>
      <c r="E224" s="27" t="s">
        <v>29</v>
      </c>
      <c r="F224" s="27" t="s">
        <v>30</v>
      </c>
      <c r="G224" s="27" t="s">
        <v>31</v>
      </c>
      <c r="H224" s="27" t="s">
        <v>30</v>
      </c>
      <c r="I224" s="27" t="s">
        <v>32</v>
      </c>
      <c r="J224" s="27" t="s">
        <v>366</v>
      </c>
      <c r="K224" s="28">
        <v>2</v>
      </c>
      <c r="L224" s="28">
        <v>1</v>
      </c>
      <c r="M224" s="29">
        <v>0.5</v>
      </c>
      <c r="N224" s="30" t="s">
        <v>120</v>
      </c>
      <c r="O224" s="31">
        <v>3.1</v>
      </c>
      <c r="P224" s="31">
        <v>24.94</v>
      </c>
      <c r="Q224" s="32">
        <v>12.43</v>
      </c>
      <c r="R224" s="32">
        <v>8.0500000000000007</v>
      </c>
      <c r="S224" s="28">
        <v>1</v>
      </c>
      <c r="T224" s="28">
        <v>1</v>
      </c>
      <c r="U224" s="29">
        <v>1</v>
      </c>
      <c r="V224" s="28">
        <v>1</v>
      </c>
      <c r="W224" s="28">
        <v>0</v>
      </c>
      <c r="X224" s="30" t="s">
        <v>35</v>
      </c>
      <c r="Y224" s="30" t="s">
        <v>36</v>
      </c>
      <c r="Z224" s="10"/>
    </row>
    <row r="225" spans="1:26" ht="14.4" x14ac:dyDescent="0.3">
      <c r="A225" s="34">
        <v>45935</v>
      </c>
      <c r="B225" s="26">
        <v>45941</v>
      </c>
      <c r="C225" s="27" t="s">
        <v>27</v>
      </c>
      <c r="D225" s="27" t="s">
        <v>28</v>
      </c>
      <c r="E225" s="27" t="s">
        <v>56</v>
      </c>
      <c r="F225" s="27" t="s">
        <v>57</v>
      </c>
      <c r="G225" s="27" t="s">
        <v>31</v>
      </c>
      <c r="H225" s="33" t="e">
        <f>+maca +root</f>
        <v>#NAME?</v>
      </c>
      <c r="I225" s="27" t="s">
        <v>32</v>
      </c>
      <c r="J225" s="27" t="s">
        <v>119</v>
      </c>
      <c r="K225" s="28">
        <v>3068</v>
      </c>
      <c r="L225" s="28">
        <v>53</v>
      </c>
      <c r="M225" s="29">
        <v>1.7274999999999999E-2</v>
      </c>
      <c r="N225" s="30" t="s">
        <v>367</v>
      </c>
      <c r="O225" s="31">
        <v>170.31</v>
      </c>
      <c r="P225" s="31">
        <v>164.6</v>
      </c>
      <c r="Q225" s="32">
        <v>103.47</v>
      </c>
      <c r="R225" s="32">
        <v>0.97</v>
      </c>
      <c r="S225" s="28">
        <v>7</v>
      </c>
      <c r="T225" s="28">
        <v>7</v>
      </c>
      <c r="U225" s="29">
        <v>0.132075</v>
      </c>
      <c r="V225" s="28">
        <v>7</v>
      </c>
      <c r="W225" s="28">
        <v>0</v>
      </c>
      <c r="X225" s="30" t="s">
        <v>368</v>
      </c>
      <c r="Y225" s="30" t="s">
        <v>36</v>
      </c>
      <c r="Z225" s="10"/>
    </row>
    <row r="226" spans="1:26" ht="14.4" x14ac:dyDescent="0.3">
      <c r="A226" s="34">
        <v>45935</v>
      </c>
      <c r="B226" s="26">
        <v>45940</v>
      </c>
      <c r="C226" s="27" t="s">
        <v>27</v>
      </c>
      <c r="D226" s="27" t="s">
        <v>28</v>
      </c>
      <c r="E226" s="27" t="s">
        <v>71</v>
      </c>
      <c r="F226" s="27" t="s">
        <v>72</v>
      </c>
      <c r="G226" s="27" t="s">
        <v>31</v>
      </c>
      <c r="H226" s="27" t="s">
        <v>73</v>
      </c>
      <c r="I226" s="27" t="s">
        <v>52</v>
      </c>
      <c r="J226" s="27" t="s">
        <v>43</v>
      </c>
      <c r="K226" s="28">
        <v>67</v>
      </c>
      <c r="L226" s="28">
        <v>4</v>
      </c>
      <c r="M226" s="29">
        <v>5.9700999999999997E-2</v>
      </c>
      <c r="N226" s="30" t="s">
        <v>369</v>
      </c>
      <c r="O226" s="31">
        <v>13.57</v>
      </c>
      <c r="P226" s="31">
        <v>49.88</v>
      </c>
      <c r="Q226" s="32">
        <v>27.21</v>
      </c>
      <c r="R226" s="32">
        <v>3.68</v>
      </c>
      <c r="S226" s="28">
        <v>2</v>
      </c>
      <c r="T226" s="28">
        <v>2</v>
      </c>
      <c r="U226" s="29">
        <v>0.5</v>
      </c>
      <c r="V226" s="28">
        <v>2</v>
      </c>
      <c r="W226" s="28">
        <v>0</v>
      </c>
      <c r="X226" s="30" t="s">
        <v>78</v>
      </c>
      <c r="Y226" s="30" t="s">
        <v>36</v>
      </c>
      <c r="Z226" s="10"/>
    </row>
    <row r="227" spans="1:26" ht="14.4" x14ac:dyDescent="0.3">
      <c r="A227" s="34">
        <v>45935</v>
      </c>
      <c r="B227" s="26">
        <v>45941</v>
      </c>
      <c r="C227" s="27" t="s">
        <v>40</v>
      </c>
      <c r="D227" s="27" t="s">
        <v>28</v>
      </c>
      <c r="E227" s="27" t="s">
        <v>41</v>
      </c>
      <c r="F227" s="27" t="s">
        <v>42</v>
      </c>
      <c r="G227" s="27" t="s">
        <v>31</v>
      </c>
      <c r="H227" s="27" t="s">
        <v>43</v>
      </c>
      <c r="I227" s="27" t="s">
        <v>44</v>
      </c>
      <c r="J227" s="27" t="s">
        <v>43</v>
      </c>
      <c r="K227" s="28">
        <v>349</v>
      </c>
      <c r="L227" s="28">
        <v>13</v>
      </c>
      <c r="M227" s="29">
        <v>3.7248999999999997E-2</v>
      </c>
      <c r="N227" s="30" t="s">
        <v>316</v>
      </c>
      <c r="O227" s="31">
        <v>36.92</v>
      </c>
      <c r="P227" s="31">
        <v>74.819999999999993</v>
      </c>
      <c r="Q227" s="32">
        <v>49.35</v>
      </c>
      <c r="R227" s="32">
        <v>2.0299999999999998</v>
      </c>
      <c r="S227" s="28">
        <v>3</v>
      </c>
      <c r="T227" s="28">
        <v>3</v>
      </c>
      <c r="U227" s="29">
        <v>0.230769</v>
      </c>
      <c r="V227" s="28">
        <v>3</v>
      </c>
      <c r="W227" s="28">
        <v>0</v>
      </c>
      <c r="X227" s="30" t="s">
        <v>93</v>
      </c>
      <c r="Y227" s="30" t="s">
        <v>36</v>
      </c>
      <c r="Z227" s="10"/>
    </row>
    <row r="228" spans="1:26" ht="14.4" x14ac:dyDescent="0.3">
      <c r="A228" s="34">
        <v>45935</v>
      </c>
      <c r="B228" s="34">
        <v>45935</v>
      </c>
      <c r="C228" s="27" t="s">
        <v>27</v>
      </c>
      <c r="D228" s="27" t="s">
        <v>28</v>
      </c>
      <c r="E228" s="27" t="s">
        <v>71</v>
      </c>
      <c r="F228" s="27" t="s">
        <v>72</v>
      </c>
      <c r="G228" s="27" t="s">
        <v>31</v>
      </c>
      <c r="H228" s="27" t="s">
        <v>51</v>
      </c>
      <c r="I228" s="27" t="s">
        <v>52</v>
      </c>
      <c r="J228" s="27" t="s">
        <v>370</v>
      </c>
      <c r="K228" s="28">
        <v>1</v>
      </c>
      <c r="L228" s="28">
        <v>1</v>
      </c>
      <c r="M228" s="29">
        <v>1</v>
      </c>
      <c r="N228" s="30" t="s">
        <v>371</v>
      </c>
      <c r="O228" s="31">
        <v>3.16</v>
      </c>
      <c r="P228" s="31">
        <v>24.94</v>
      </c>
      <c r="Q228" s="32">
        <v>12.67</v>
      </c>
      <c r="R228" s="32">
        <v>7.89</v>
      </c>
      <c r="S228" s="28">
        <v>1</v>
      </c>
      <c r="T228" s="28">
        <v>1</v>
      </c>
      <c r="U228" s="29">
        <v>1</v>
      </c>
      <c r="V228" s="28">
        <v>1</v>
      </c>
      <c r="W228" s="28">
        <v>0</v>
      </c>
      <c r="X228" s="30" t="s">
        <v>35</v>
      </c>
      <c r="Y228" s="30" t="s">
        <v>36</v>
      </c>
      <c r="Z228" s="10"/>
    </row>
    <row r="229" spans="1:26" ht="14.4" x14ac:dyDescent="0.3">
      <c r="A229" s="34">
        <v>45935</v>
      </c>
      <c r="B229" s="34">
        <v>45935</v>
      </c>
      <c r="C229" s="27" t="s">
        <v>48</v>
      </c>
      <c r="D229" s="27" t="s">
        <v>28</v>
      </c>
      <c r="E229" s="27" t="s">
        <v>225</v>
      </c>
      <c r="F229" s="27" t="s">
        <v>226</v>
      </c>
      <c r="G229" s="27" t="s">
        <v>31</v>
      </c>
      <c r="H229" s="27" t="s">
        <v>372</v>
      </c>
      <c r="I229" s="27" t="s">
        <v>32</v>
      </c>
      <c r="J229" s="27" t="s">
        <v>373</v>
      </c>
      <c r="K229" s="28">
        <v>1</v>
      </c>
      <c r="L229" s="28">
        <v>1</v>
      </c>
      <c r="M229" s="29">
        <v>1</v>
      </c>
      <c r="N229" s="30" t="s">
        <v>374</v>
      </c>
      <c r="O229" s="31">
        <v>3.13</v>
      </c>
      <c r="P229" s="31">
        <v>21.9</v>
      </c>
      <c r="Q229" s="32">
        <v>14.29</v>
      </c>
      <c r="R229" s="32">
        <v>7</v>
      </c>
      <c r="S229" s="28">
        <v>1</v>
      </c>
      <c r="T229" s="28">
        <v>1</v>
      </c>
      <c r="U229" s="29">
        <v>1</v>
      </c>
      <c r="V229" s="28">
        <v>1</v>
      </c>
      <c r="W229" s="28">
        <v>0</v>
      </c>
      <c r="X229" s="30" t="s">
        <v>55</v>
      </c>
      <c r="Y229" s="30" t="s">
        <v>36</v>
      </c>
      <c r="Z229" s="10"/>
    </row>
    <row r="230" spans="1:26" ht="14.4" x14ac:dyDescent="0.3">
      <c r="A230" s="34">
        <v>45935</v>
      </c>
      <c r="B230" s="34">
        <v>45935</v>
      </c>
      <c r="C230" s="27" t="s">
        <v>48</v>
      </c>
      <c r="D230" s="27" t="s">
        <v>28</v>
      </c>
      <c r="E230" s="27" t="s">
        <v>225</v>
      </c>
      <c r="F230" s="27" t="s">
        <v>226</v>
      </c>
      <c r="G230" s="27" t="s">
        <v>31</v>
      </c>
      <c r="H230" s="27" t="s">
        <v>168</v>
      </c>
      <c r="I230" s="27" t="s">
        <v>32</v>
      </c>
      <c r="J230" s="27" t="s">
        <v>171</v>
      </c>
      <c r="K230" s="28">
        <v>3</v>
      </c>
      <c r="L230" s="28">
        <v>1</v>
      </c>
      <c r="M230" s="29">
        <v>0.33333299999999999</v>
      </c>
      <c r="N230" s="30" t="s">
        <v>198</v>
      </c>
      <c r="O230" s="31">
        <v>3.66</v>
      </c>
      <c r="P230" s="31">
        <v>21.9</v>
      </c>
      <c r="Q230" s="32">
        <v>16.71</v>
      </c>
      <c r="R230" s="32">
        <v>5.98</v>
      </c>
      <c r="S230" s="28">
        <v>1</v>
      </c>
      <c r="T230" s="28">
        <v>1</v>
      </c>
      <c r="U230" s="29">
        <v>1</v>
      </c>
      <c r="V230" s="28">
        <v>1</v>
      </c>
      <c r="W230" s="28">
        <v>0</v>
      </c>
      <c r="X230" s="30" t="s">
        <v>55</v>
      </c>
      <c r="Y230" s="30" t="s">
        <v>36</v>
      </c>
      <c r="Z230" s="10"/>
    </row>
    <row r="231" spans="1:26" ht="14.4" x14ac:dyDescent="0.3">
      <c r="A231" s="4">
        <v>45934</v>
      </c>
      <c r="B231" s="4">
        <v>45934</v>
      </c>
      <c r="C231" s="5" t="s">
        <v>27</v>
      </c>
      <c r="D231" s="5" t="s">
        <v>28</v>
      </c>
      <c r="E231" s="5" t="s">
        <v>29</v>
      </c>
      <c r="F231" s="5" t="s">
        <v>30</v>
      </c>
      <c r="G231" s="5" t="s">
        <v>31</v>
      </c>
      <c r="H231" s="5" t="s">
        <v>30</v>
      </c>
      <c r="I231" s="5" t="s">
        <v>32</v>
      </c>
      <c r="J231" s="5" t="s">
        <v>375</v>
      </c>
      <c r="K231" s="7">
        <v>1</v>
      </c>
      <c r="L231" s="7">
        <v>1</v>
      </c>
      <c r="M231" s="16">
        <v>1</v>
      </c>
      <c r="N231" s="10" t="s">
        <v>309</v>
      </c>
      <c r="O231" s="6">
        <v>3.7</v>
      </c>
      <c r="P231" s="6">
        <v>24.94</v>
      </c>
      <c r="Q231" s="9">
        <v>14.84</v>
      </c>
      <c r="R231" s="9">
        <v>6.74</v>
      </c>
      <c r="S231" s="7">
        <v>1</v>
      </c>
      <c r="T231" s="7">
        <v>1</v>
      </c>
      <c r="U231" s="16">
        <v>1</v>
      </c>
      <c r="V231" s="7">
        <v>1</v>
      </c>
      <c r="W231" s="7">
        <v>0</v>
      </c>
      <c r="X231" s="10" t="s">
        <v>35</v>
      </c>
      <c r="Y231" s="10" t="s">
        <v>36</v>
      </c>
      <c r="Z231" s="10"/>
    </row>
    <row r="232" spans="1:26" ht="14.4" x14ac:dyDescent="0.3">
      <c r="A232" s="4">
        <v>45934</v>
      </c>
      <c r="B232" s="4">
        <v>45934</v>
      </c>
      <c r="C232" s="5" t="s">
        <v>143</v>
      </c>
      <c r="D232" s="5" t="s">
        <v>28</v>
      </c>
      <c r="E232" s="5" t="s">
        <v>144</v>
      </c>
      <c r="F232" s="5" t="s">
        <v>32</v>
      </c>
      <c r="G232" s="5" t="s">
        <v>31</v>
      </c>
      <c r="H232" s="5" t="s">
        <v>30</v>
      </c>
      <c r="I232" s="5" t="s">
        <v>44</v>
      </c>
      <c r="J232" s="5" t="s">
        <v>376</v>
      </c>
      <c r="K232" s="7">
        <v>3</v>
      </c>
      <c r="L232" s="7">
        <v>1</v>
      </c>
      <c r="M232" s="16">
        <v>0.33333299999999999</v>
      </c>
      <c r="N232" s="10" t="s">
        <v>196</v>
      </c>
      <c r="O232" s="6">
        <v>1.36</v>
      </c>
      <c r="P232" s="6">
        <v>24.94</v>
      </c>
      <c r="Q232" s="9">
        <v>5.45</v>
      </c>
      <c r="R232" s="9">
        <v>18.34</v>
      </c>
      <c r="S232" s="7">
        <v>1</v>
      </c>
      <c r="T232" s="7">
        <v>1</v>
      </c>
      <c r="U232" s="16">
        <v>1</v>
      </c>
      <c r="V232" s="7">
        <v>1</v>
      </c>
      <c r="W232" s="7">
        <v>0</v>
      </c>
      <c r="X232" s="10" t="s">
        <v>35</v>
      </c>
      <c r="Y232" s="10" t="s">
        <v>36</v>
      </c>
      <c r="Z232" s="10"/>
    </row>
    <row r="233" spans="1:26" ht="14.4" x14ac:dyDescent="0.3">
      <c r="A233" s="4">
        <v>45934</v>
      </c>
      <c r="B233" s="4">
        <v>45934</v>
      </c>
      <c r="C233" s="5" t="s">
        <v>27</v>
      </c>
      <c r="D233" s="5" t="s">
        <v>28</v>
      </c>
      <c r="E233" s="5" t="s">
        <v>29</v>
      </c>
      <c r="F233" s="5" t="s">
        <v>30</v>
      </c>
      <c r="G233" s="5" t="s">
        <v>31</v>
      </c>
      <c r="H233" s="5" t="s">
        <v>30</v>
      </c>
      <c r="I233" s="5" t="s">
        <v>32</v>
      </c>
      <c r="J233" s="5" t="s">
        <v>377</v>
      </c>
      <c r="K233" s="7">
        <v>1</v>
      </c>
      <c r="L233" s="7">
        <v>1</v>
      </c>
      <c r="M233" s="16">
        <v>1</v>
      </c>
      <c r="N233" s="10" t="s">
        <v>309</v>
      </c>
      <c r="O233" s="6">
        <v>3.7</v>
      </c>
      <c r="P233" s="6">
        <v>24.94</v>
      </c>
      <c r="Q233" s="9">
        <v>14.84</v>
      </c>
      <c r="R233" s="9">
        <v>6.74</v>
      </c>
      <c r="S233" s="7">
        <v>1</v>
      </c>
      <c r="T233" s="7">
        <v>1</v>
      </c>
      <c r="U233" s="16">
        <v>1</v>
      </c>
      <c r="V233" s="7">
        <v>1</v>
      </c>
      <c r="W233" s="7">
        <v>0</v>
      </c>
      <c r="X233" s="10" t="s">
        <v>35</v>
      </c>
      <c r="Y233" s="10" t="s">
        <v>36</v>
      </c>
      <c r="Z233" s="10"/>
    </row>
    <row r="234" spans="1:26" ht="14.4" x14ac:dyDescent="0.3">
      <c r="A234" s="4">
        <v>45934</v>
      </c>
      <c r="B234" s="4">
        <v>45934</v>
      </c>
      <c r="C234" s="5" t="s">
        <v>48</v>
      </c>
      <c r="D234" s="5" t="s">
        <v>28</v>
      </c>
      <c r="E234" s="5" t="s">
        <v>233</v>
      </c>
      <c r="F234" s="5" t="s">
        <v>234</v>
      </c>
      <c r="G234" s="5" t="s">
        <v>31</v>
      </c>
      <c r="H234" s="5" t="s">
        <v>153</v>
      </c>
      <c r="I234" s="5" t="s">
        <v>32</v>
      </c>
      <c r="J234" s="5" t="s">
        <v>378</v>
      </c>
      <c r="K234" s="7">
        <v>1</v>
      </c>
      <c r="L234" s="7">
        <v>1</v>
      </c>
      <c r="M234" s="16">
        <v>1</v>
      </c>
      <c r="N234" s="10" t="s">
        <v>367</v>
      </c>
      <c r="O234" s="6">
        <v>3.21</v>
      </c>
      <c r="P234" s="6">
        <v>43.8</v>
      </c>
      <c r="Q234" s="9">
        <v>7.33</v>
      </c>
      <c r="R234" s="9">
        <v>13.64</v>
      </c>
      <c r="S234" s="7">
        <v>1</v>
      </c>
      <c r="T234" s="7">
        <v>2</v>
      </c>
      <c r="U234" s="16">
        <v>1</v>
      </c>
      <c r="V234" s="7">
        <v>2</v>
      </c>
      <c r="W234" s="7">
        <v>0</v>
      </c>
      <c r="X234" s="10" t="s">
        <v>67</v>
      </c>
      <c r="Y234" s="10" t="s">
        <v>36</v>
      </c>
      <c r="Z234" s="10"/>
    </row>
    <row r="235" spans="1:26" ht="14.4" x14ac:dyDescent="0.3">
      <c r="A235" s="4">
        <v>45934</v>
      </c>
      <c r="B235" s="4">
        <v>45934</v>
      </c>
      <c r="C235" s="5" t="s">
        <v>48</v>
      </c>
      <c r="D235" s="5" t="s">
        <v>28</v>
      </c>
      <c r="E235" s="5" t="s">
        <v>233</v>
      </c>
      <c r="F235" s="5" t="s">
        <v>234</v>
      </c>
      <c r="G235" s="5" t="s">
        <v>31</v>
      </c>
      <c r="H235" s="5" t="s">
        <v>153</v>
      </c>
      <c r="I235" s="5" t="s">
        <v>32</v>
      </c>
      <c r="J235" s="5" t="s">
        <v>379</v>
      </c>
      <c r="K235" s="7">
        <v>1</v>
      </c>
      <c r="L235" s="7">
        <v>1</v>
      </c>
      <c r="M235" s="16">
        <v>1</v>
      </c>
      <c r="N235" s="10" t="s">
        <v>380</v>
      </c>
      <c r="O235" s="6">
        <v>3.53</v>
      </c>
      <c r="P235" s="6">
        <v>21.9</v>
      </c>
      <c r="Q235" s="9">
        <v>16.12</v>
      </c>
      <c r="R235" s="9">
        <v>6.2</v>
      </c>
      <c r="S235" s="7">
        <v>1</v>
      </c>
      <c r="T235" s="7">
        <v>1</v>
      </c>
      <c r="U235" s="16">
        <v>1</v>
      </c>
      <c r="V235" s="7">
        <v>1</v>
      </c>
      <c r="W235" s="7">
        <v>0</v>
      </c>
      <c r="X235" s="10" t="s">
        <v>55</v>
      </c>
      <c r="Y235" s="10" t="s">
        <v>36</v>
      </c>
      <c r="Z235" s="10"/>
    </row>
    <row r="236" spans="1:26" ht="14.4" x14ac:dyDescent="0.3">
      <c r="A236" s="4">
        <v>45933</v>
      </c>
      <c r="B236" s="4">
        <v>45933</v>
      </c>
      <c r="C236" s="5" t="s">
        <v>27</v>
      </c>
      <c r="D236" s="5" t="s">
        <v>28</v>
      </c>
      <c r="E236" s="5" t="s">
        <v>71</v>
      </c>
      <c r="F236" s="5" t="s">
        <v>72</v>
      </c>
      <c r="G236" s="5" t="s">
        <v>31</v>
      </c>
      <c r="H236" s="5" t="s">
        <v>73</v>
      </c>
      <c r="I236" s="5" t="s">
        <v>52</v>
      </c>
      <c r="J236" s="5" t="s">
        <v>381</v>
      </c>
      <c r="K236" s="7">
        <v>1</v>
      </c>
      <c r="L236" s="7">
        <v>1</v>
      </c>
      <c r="M236" s="16">
        <v>1</v>
      </c>
      <c r="N236" s="10" t="s">
        <v>163</v>
      </c>
      <c r="O236" s="6">
        <v>3.81</v>
      </c>
      <c r="P236" s="6">
        <v>24.94</v>
      </c>
      <c r="Q236" s="9">
        <v>15.28</v>
      </c>
      <c r="R236" s="9">
        <v>6.55</v>
      </c>
      <c r="S236" s="7">
        <v>1</v>
      </c>
      <c r="T236" s="7">
        <v>1</v>
      </c>
      <c r="U236" s="16">
        <v>1</v>
      </c>
      <c r="V236" s="7">
        <v>1</v>
      </c>
      <c r="W236" s="7">
        <v>0</v>
      </c>
      <c r="X236" s="10" t="s">
        <v>35</v>
      </c>
      <c r="Y236" s="10" t="s">
        <v>36</v>
      </c>
      <c r="Z236" s="10"/>
    </row>
    <row r="237" spans="1:26" ht="14.4" x14ac:dyDescent="0.3">
      <c r="A237" s="4">
        <v>45933</v>
      </c>
      <c r="B237" s="4">
        <v>45934</v>
      </c>
      <c r="C237" s="5" t="s">
        <v>143</v>
      </c>
      <c r="D237" s="5" t="s">
        <v>28</v>
      </c>
      <c r="E237" s="5" t="s">
        <v>144</v>
      </c>
      <c r="F237" s="5" t="s">
        <v>32</v>
      </c>
      <c r="G237" s="5" t="s">
        <v>31</v>
      </c>
      <c r="H237" s="5" t="s">
        <v>173</v>
      </c>
      <c r="I237" s="5" t="s">
        <v>65</v>
      </c>
      <c r="J237" s="5" t="s">
        <v>173</v>
      </c>
      <c r="K237" s="7">
        <v>132</v>
      </c>
      <c r="L237" s="7">
        <v>3</v>
      </c>
      <c r="M237" s="16">
        <v>2.2727000000000001E-2</v>
      </c>
      <c r="N237" s="10" t="s">
        <v>382</v>
      </c>
      <c r="O237" s="6">
        <v>1.47</v>
      </c>
      <c r="P237" s="6">
        <v>24.94</v>
      </c>
      <c r="Q237" s="9">
        <v>5.89</v>
      </c>
      <c r="R237" s="9">
        <v>16.97</v>
      </c>
      <c r="S237" s="7">
        <v>1</v>
      </c>
      <c r="T237" s="7">
        <v>1</v>
      </c>
      <c r="U237" s="16">
        <v>0.33333299999999999</v>
      </c>
      <c r="V237" s="7">
        <v>1</v>
      </c>
      <c r="W237" s="7">
        <v>0</v>
      </c>
      <c r="X237" s="10" t="s">
        <v>35</v>
      </c>
      <c r="Y237" s="10" t="s">
        <v>36</v>
      </c>
      <c r="Z237" s="10"/>
    </row>
    <row r="238" spans="1:26" ht="14.4" x14ac:dyDescent="0.3">
      <c r="A238" s="4">
        <v>45933</v>
      </c>
      <c r="B238" s="4">
        <v>45933</v>
      </c>
      <c r="C238" s="5" t="s">
        <v>27</v>
      </c>
      <c r="D238" s="5" t="s">
        <v>28</v>
      </c>
      <c r="E238" s="5" t="s">
        <v>56</v>
      </c>
      <c r="F238" s="5" t="s">
        <v>57</v>
      </c>
      <c r="G238" s="5" t="s">
        <v>31</v>
      </c>
      <c r="H238" s="35" t="e">
        <f>+maca +root</f>
        <v>#NAME?</v>
      </c>
      <c r="I238" s="5" t="s">
        <v>32</v>
      </c>
      <c r="J238" s="5" t="s">
        <v>383</v>
      </c>
      <c r="K238" s="7">
        <v>2</v>
      </c>
      <c r="L238" s="7">
        <v>1</v>
      </c>
      <c r="M238" s="16">
        <v>0.5</v>
      </c>
      <c r="N238" s="10" t="s">
        <v>324</v>
      </c>
      <c r="O238" s="6">
        <v>4.75</v>
      </c>
      <c r="P238" s="6">
        <v>24.94</v>
      </c>
      <c r="Q238" s="9">
        <v>19.05</v>
      </c>
      <c r="R238" s="9">
        <v>5.25</v>
      </c>
      <c r="S238" s="7">
        <v>1</v>
      </c>
      <c r="T238" s="7">
        <v>1</v>
      </c>
      <c r="U238" s="16">
        <v>1</v>
      </c>
      <c r="V238" s="7">
        <v>1</v>
      </c>
      <c r="W238" s="7">
        <v>0</v>
      </c>
      <c r="X238" s="10" t="s">
        <v>35</v>
      </c>
      <c r="Y238" s="10" t="s">
        <v>36</v>
      </c>
      <c r="Z238" s="10"/>
    </row>
    <row r="239" spans="1:26" ht="14.4" x14ac:dyDescent="0.3">
      <c r="A239" s="4">
        <v>45933</v>
      </c>
      <c r="B239" s="4">
        <v>45933</v>
      </c>
      <c r="C239" s="5" t="s">
        <v>48</v>
      </c>
      <c r="D239" s="5" t="s">
        <v>28</v>
      </c>
      <c r="E239" s="5" t="s">
        <v>233</v>
      </c>
      <c r="F239" s="5" t="s">
        <v>234</v>
      </c>
      <c r="G239" s="5" t="s">
        <v>31</v>
      </c>
      <c r="H239" s="5" t="s">
        <v>153</v>
      </c>
      <c r="I239" s="5" t="s">
        <v>32</v>
      </c>
      <c r="J239" s="5" t="s">
        <v>299</v>
      </c>
      <c r="K239" s="7">
        <v>6</v>
      </c>
      <c r="L239" s="7">
        <v>1</v>
      </c>
      <c r="M239" s="16">
        <v>0.16666700000000001</v>
      </c>
      <c r="N239" s="10" t="s">
        <v>367</v>
      </c>
      <c r="O239" s="6">
        <v>3.21</v>
      </c>
      <c r="P239" s="6">
        <v>21.9</v>
      </c>
      <c r="Q239" s="9">
        <v>14.66</v>
      </c>
      <c r="R239" s="9">
        <v>6.82</v>
      </c>
      <c r="S239" s="7">
        <v>1</v>
      </c>
      <c r="T239" s="7">
        <v>1</v>
      </c>
      <c r="U239" s="16">
        <v>1</v>
      </c>
      <c r="V239" s="7">
        <v>1</v>
      </c>
      <c r="W239" s="7">
        <v>0</v>
      </c>
      <c r="X239" s="10" t="s">
        <v>55</v>
      </c>
      <c r="Y239" s="10" t="s">
        <v>36</v>
      </c>
      <c r="Z239" s="10"/>
    </row>
    <row r="240" spans="1:26" ht="14.4" x14ac:dyDescent="0.3">
      <c r="A240" s="4">
        <v>45932</v>
      </c>
      <c r="B240" s="4">
        <v>45933</v>
      </c>
      <c r="C240" s="5" t="s">
        <v>27</v>
      </c>
      <c r="D240" s="5" t="s">
        <v>28</v>
      </c>
      <c r="E240" s="5" t="s">
        <v>29</v>
      </c>
      <c r="F240" s="5" t="s">
        <v>30</v>
      </c>
      <c r="G240" s="5" t="s">
        <v>31</v>
      </c>
      <c r="H240" s="5" t="s">
        <v>30</v>
      </c>
      <c r="I240" s="5" t="s">
        <v>32</v>
      </c>
      <c r="J240" s="5" t="s">
        <v>162</v>
      </c>
      <c r="K240" s="7">
        <v>24</v>
      </c>
      <c r="L240" s="7">
        <v>3</v>
      </c>
      <c r="M240" s="16">
        <v>0.125</v>
      </c>
      <c r="N240" s="10" t="s">
        <v>167</v>
      </c>
      <c r="O240" s="6">
        <v>15.54</v>
      </c>
      <c r="P240" s="6">
        <v>24.94</v>
      </c>
      <c r="Q240" s="9">
        <v>62.31</v>
      </c>
      <c r="R240" s="9">
        <v>1.6</v>
      </c>
      <c r="S240" s="7">
        <v>1</v>
      </c>
      <c r="T240" s="7">
        <v>1</v>
      </c>
      <c r="U240" s="16">
        <v>0.33333299999999999</v>
      </c>
      <c r="V240" s="7">
        <v>1</v>
      </c>
      <c r="W240" s="7">
        <v>0</v>
      </c>
      <c r="X240" s="10" t="s">
        <v>35</v>
      </c>
      <c r="Y240" s="10" t="s">
        <v>36</v>
      </c>
      <c r="Z240" s="10"/>
    </row>
    <row r="241" spans="1:26" ht="14.4" x14ac:dyDescent="0.3">
      <c r="A241" s="4">
        <v>45932</v>
      </c>
      <c r="B241" s="4">
        <v>45932</v>
      </c>
      <c r="C241" s="5" t="s">
        <v>27</v>
      </c>
      <c r="D241" s="5" t="s">
        <v>28</v>
      </c>
      <c r="E241" s="5" t="s">
        <v>56</v>
      </c>
      <c r="F241" s="5" t="s">
        <v>57</v>
      </c>
      <c r="G241" s="5" t="s">
        <v>31</v>
      </c>
      <c r="H241" s="35" t="e">
        <f t="shared" ref="H241:H242" si="4">+maca +root</f>
        <v>#NAME?</v>
      </c>
      <c r="I241" s="5" t="s">
        <v>32</v>
      </c>
      <c r="J241" s="5" t="s">
        <v>384</v>
      </c>
      <c r="K241" s="7">
        <v>12</v>
      </c>
      <c r="L241" s="7">
        <v>1</v>
      </c>
      <c r="M241" s="16">
        <v>8.3333000000000004E-2</v>
      </c>
      <c r="N241" s="10" t="s">
        <v>385</v>
      </c>
      <c r="O241" s="6">
        <v>2.75</v>
      </c>
      <c r="P241" s="6">
        <v>24.94</v>
      </c>
      <c r="Q241" s="9">
        <v>11.03</v>
      </c>
      <c r="R241" s="9">
        <v>9.07</v>
      </c>
      <c r="S241" s="7">
        <v>1</v>
      </c>
      <c r="T241" s="7">
        <v>1</v>
      </c>
      <c r="U241" s="16">
        <v>1</v>
      </c>
      <c r="V241" s="7">
        <v>1</v>
      </c>
      <c r="W241" s="7">
        <v>0</v>
      </c>
      <c r="X241" s="10" t="s">
        <v>35</v>
      </c>
      <c r="Y241" s="10" t="s">
        <v>36</v>
      </c>
      <c r="Z241" s="10"/>
    </row>
    <row r="242" spans="1:26" ht="14.4" x14ac:dyDescent="0.3">
      <c r="A242" s="4">
        <v>45932</v>
      </c>
      <c r="B242" s="4">
        <v>45932</v>
      </c>
      <c r="C242" s="5" t="s">
        <v>27</v>
      </c>
      <c r="D242" s="5" t="s">
        <v>28</v>
      </c>
      <c r="E242" s="5" t="s">
        <v>56</v>
      </c>
      <c r="F242" s="5" t="s">
        <v>57</v>
      </c>
      <c r="G242" s="5" t="s">
        <v>31</v>
      </c>
      <c r="H242" s="35" t="e">
        <f t="shared" si="4"/>
        <v>#NAME?</v>
      </c>
      <c r="I242" s="5" t="s">
        <v>32</v>
      </c>
      <c r="J242" s="5" t="s">
        <v>386</v>
      </c>
      <c r="K242" s="7">
        <v>2</v>
      </c>
      <c r="L242" s="7">
        <v>1</v>
      </c>
      <c r="M242" s="16">
        <v>0.5</v>
      </c>
      <c r="N242" s="10" t="s">
        <v>107</v>
      </c>
      <c r="O242" s="6">
        <v>2.91</v>
      </c>
      <c r="P242" s="6">
        <v>24.94</v>
      </c>
      <c r="Q242" s="9">
        <v>11.67</v>
      </c>
      <c r="R242" s="9">
        <v>8.57</v>
      </c>
      <c r="S242" s="7">
        <v>1</v>
      </c>
      <c r="T242" s="7">
        <v>1</v>
      </c>
      <c r="U242" s="16">
        <v>1</v>
      </c>
      <c r="V242" s="7">
        <v>1</v>
      </c>
      <c r="W242" s="7">
        <v>0</v>
      </c>
      <c r="X242" s="10" t="s">
        <v>35</v>
      </c>
      <c r="Y242" s="10" t="s">
        <v>36</v>
      </c>
      <c r="Z242" s="10"/>
    </row>
    <row r="243" spans="1:26" ht="14.4" x14ac:dyDescent="0.3">
      <c r="A243" s="4">
        <v>45932</v>
      </c>
      <c r="B243" s="4">
        <v>45932</v>
      </c>
      <c r="C243" s="5" t="s">
        <v>27</v>
      </c>
      <c r="D243" s="5" t="s">
        <v>28</v>
      </c>
      <c r="E243" s="5" t="s">
        <v>29</v>
      </c>
      <c r="F243" s="5" t="s">
        <v>30</v>
      </c>
      <c r="G243" s="5" t="s">
        <v>31</v>
      </c>
      <c r="H243" s="5" t="s">
        <v>30</v>
      </c>
      <c r="I243" s="5" t="s">
        <v>32</v>
      </c>
      <c r="J243" s="5" t="s">
        <v>335</v>
      </c>
      <c r="K243" s="7">
        <v>1</v>
      </c>
      <c r="L243" s="7">
        <v>1</v>
      </c>
      <c r="M243" s="16">
        <v>1</v>
      </c>
      <c r="N243" s="10" t="s">
        <v>309</v>
      </c>
      <c r="O243" s="6">
        <v>3.7</v>
      </c>
      <c r="P243" s="6">
        <v>24.94</v>
      </c>
      <c r="Q243" s="9">
        <v>14.84</v>
      </c>
      <c r="R243" s="9">
        <v>6.74</v>
      </c>
      <c r="S243" s="7">
        <v>1</v>
      </c>
      <c r="T243" s="7">
        <v>1</v>
      </c>
      <c r="U243" s="16">
        <v>1</v>
      </c>
      <c r="V243" s="7">
        <v>1</v>
      </c>
      <c r="W243" s="7">
        <v>0</v>
      </c>
      <c r="X243" s="10" t="s">
        <v>35</v>
      </c>
      <c r="Y243" s="10" t="s">
        <v>36</v>
      </c>
      <c r="Z243" s="10"/>
    </row>
    <row r="244" spans="1:26" ht="14.4" x14ac:dyDescent="0.3">
      <c r="A244" s="4">
        <v>45932</v>
      </c>
      <c r="B244" s="4">
        <v>45932</v>
      </c>
      <c r="C244" s="5" t="s">
        <v>48</v>
      </c>
      <c r="D244" s="5" t="s">
        <v>28</v>
      </c>
      <c r="E244" s="5" t="s">
        <v>233</v>
      </c>
      <c r="F244" s="5" t="s">
        <v>234</v>
      </c>
      <c r="G244" s="5" t="s">
        <v>31</v>
      </c>
      <c r="H244" s="5" t="s">
        <v>357</v>
      </c>
      <c r="I244" s="5" t="s">
        <v>32</v>
      </c>
      <c r="J244" s="5" t="s">
        <v>387</v>
      </c>
      <c r="K244" s="7">
        <v>1</v>
      </c>
      <c r="L244" s="7">
        <v>1</v>
      </c>
      <c r="M244" s="16">
        <v>1</v>
      </c>
      <c r="N244" s="10" t="s">
        <v>388</v>
      </c>
      <c r="O244" s="6">
        <v>3.12</v>
      </c>
      <c r="P244" s="6">
        <v>21.9</v>
      </c>
      <c r="Q244" s="9">
        <v>14.25</v>
      </c>
      <c r="R244" s="9">
        <v>7.02</v>
      </c>
      <c r="S244" s="7">
        <v>1</v>
      </c>
      <c r="T244" s="7">
        <v>1</v>
      </c>
      <c r="U244" s="16">
        <v>1</v>
      </c>
      <c r="V244" s="7">
        <v>1</v>
      </c>
      <c r="W244" s="7">
        <v>0</v>
      </c>
      <c r="X244" s="10" t="s">
        <v>55</v>
      </c>
      <c r="Y244" s="10" t="s">
        <v>36</v>
      </c>
      <c r="Z244" s="10"/>
    </row>
    <row r="245" spans="1:26" ht="14.4" x14ac:dyDescent="0.3">
      <c r="A245" s="4">
        <v>45931</v>
      </c>
      <c r="B245" s="4">
        <v>45931</v>
      </c>
      <c r="C245" s="5" t="s">
        <v>27</v>
      </c>
      <c r="D245" s="5" t="s">
        <v>28</v>
      </c>
      <c r="E245" s="5" t="s">
        <v>71</v>
      </c>
      <c r="F245" s="5" t="s">
        <v>72</v>
      </c>
      <c r="G245" s="5" t="s">
        <v>31</v>
      </c>
      <c r="H245" s="5" t="s">
        <v>73</v>
      </c>
      <c r="I245" s="5" t="s">
        <v>52</v>
      </c>
      <c r="J245" s="5" t="s">
        <v>43</v>
      </c>
      <c r="K245" s="7">
        <v>17</v>
      </c>
      <c r="L245" s="7">
        <v>2</v>
      </c>
      <c r="M245" s="16">
        <v>0.117647</v>
      </c>
      <c r="N245" s="10" t="s">
        <v>100</v>
      </c>
      <c r="O245" s="6">
        <v>7.26</v>
      </c>
      <c r="P245" s="6">
        <v>24.94</v>
      </c>
      <c r="Q245" s="9">
        <v>29.11</v>
      </c>
      <c r="R245" s="9">
        <v>3.44</v>
      </c>
      <c r="S245" s="7">
        <v>1</v>
      </c>
      <c r="T245" s="7">
        <v>1</v>
      </c>
      <c r="U245" s="16">
        <v>0.5</v>
      </c>
      <c r="V245" s="7">
        <v>1</v>
      </c>
      <c r="W245" s="7">
        <v>0</v>
      </c>
      <c r="X245" s="10" t="s">
        <v>35</v>
      </c>
      <c r="Y245" s="10" t="s">
        <v>36</v>
      </c>
      <c r="Z245" s="10"/>
    </row>
    <row r="246" spans="1:26" ht="14.4" x14ac:dyDescent="0.3">
      <c r="A246" s="4">
        <v>45931</v>
      </c>
      <c r="B246" s="4">
        <v>45934</v>
      </c>
      <c r="C246" s="5" t="s">
        <v>27</v>
      </c>
      <c r="D246" s="5" t="s">
        <v>28</v>
      </c>
      <c r="E246" s="5" t="s">
        <v>71</v>
      </c>
      <c r="F246" s="5" t="s">
        <v>72</v>
      </c>
      <c r="G246" s="5" t="s">
        <v>31</v>
      </c>
      <c r="H246" s="5" t="s">
        <v>73</v>
      </c>
      <c r="I246" s="5" t="s">
        <v>52</v>
      </c>
      <c r="J246" s="5" t="s">
        <v>76</v>
      </c>
      <c r="K246" s="7">
        <v>203</v>
      </c>
      <c r="L246" s="7">
        <v>4</v>
      </c>
      <c r="M246" s="16">
        <v>1.9703999999999999E-2</v>
      </c>
      <c r="N246" s="10" t="s">
        <v>238</v>
      </c>
      <c r="O246" s="6">
        <v>15.04</v>
      </c>
      <c r="P246" s="6">
        <v>24.94</v>
      </c>
      <c r="Q246" s="9">
        <v>60.3</v>
      </c>
      <c r="R246" s="9">
        <v>1.66</v>
      </c>
      <c r="S246" s="7">
        <v>1</v>
      </c>
      <c r="T246" s="7">
        <v>1</v>
      </c>
      <c r="U246" s="16">
        <v>0.25</v>
      </c>
      <c r="V246" s="7">
        <v>1</v>
      </c>
      <c r="W246" s="7">
        <v>0</v>
      </c>
      <c r="X246" s="10" t="s">
        <v>35</v>
      </c>
      <c r="Y246" s="10" t="s">
        <v>36</v>
      </c>
      <c r="Z246" s="10"/>
    </row>
    <row r="247" spans="1:26" ht="14.4" x14ac:dyDescent="0.3">
      <c r="A247" s="4">
        <v>45931</v>
      </c>
      <c r="B247" s="4">
        <v>45931</v>
      </c>
      <c r="C247" s="5" t="s">
        <v>48</v>
      </c>
      <c r="D247" s="5" t="s">
        <v>28</v>
      </c>
      <c r="E247" s="5" t="s">
        <v>233</v>
      </c>
      <c r="F247" s="5" t="s">
        <v>234</v>
      </c>
      <c r="G247" s="5" t="s">
        <v>31</v>
      </c>
      <c r="H247" s="5" t="s">
        <v>153</v>
      </c>
      <c r="I247" s="5" t="s">
        <v>32</v>
      </c>
      <c r="J247" s="5" t="s">
        <v>389</v>
      </c>
      <c r="K247" s="7">
        <v>3</v>
      </c>
      <c r="L247" s="7">
        <v>2</v>
      </c>
      <c r="M247" s="16">
        <v>0.66666700000000001</v>
      </c>
      <c r="N247" s="10" t="s">
        <v>367</v>
      </c>
      <c r="O247" s="6">
        <v>6.42</v>
      </c>
      <c r="P247" s="6">
        <v>21.9</v>
      </c>
      <c r="Q247" s="9">
        <v>29.32</v>
      </c>
      <c r="R247" s="9">
        <v>3.41</v>
      </c>
      <c r="S247" s="7">
        <v>1</v>
      </c>
      <c r="T247" s="7">
        <v>1</v>
      </c>
      <c r="U247" s="16">
        <v>0.5</v>
      </c>
      <c r="V247" s="7">
        <v>1</v>
      </c>
      <c r="W247" s="7">
        <v>0</v>
      </c>
      <c r="X247" s="10" t="s">
        <v>55</v>
      </c>
      <c r="Y247" s="10" t="s">
        <v>36</v>
      </c>
      <c r="Z247" s="10"/>
    </row>
    <row r="248" spans="1:26" ht="14.4" x14ac:dyDescent="0.3">
      <c r="A248" s="4">
        <v>45930</v>
      </c>
      <c r="B248" s="4">
        <v>45930</v>
      </c>
      <c r="C248" s="5" t="s">
        <v>27</v>
      </c>
      <c r="D248" s="5" t="s">
        <v>28</v>
      </c>
      <c r="E248" s="5" t="s">
        <v>29</v>
      </c>
      <c r="F248" s="5" t="s">
        <v>30</v>
      </c>
      <c r="G248" s="5" t="s">
        <v>31</v>
      </c>
      <c r="H248" s="5" t="s">
        <v>30</v>
      </c>
      <c r="I248" s="5" t="s">
        <v>32</v>
      </c>
      <c r="J248" s="5" t="s">
        <v>390</v>
      </c>
      <c r="K248" s="7">
        <v>2</v>
      </c>
      <c r="L248" s="7">
        <v>1</v>
      </c>
      <c r="M248" s="16">
        <v>0.5</v>
      </c>
      <c r="N248" s="10" t="s">
        <v>167</v>
      </c>
      <c r="O248" s="6">
        <v>5.18</v>
      </c>
      <c r="P248" s="6">
        <v>24.94</v>
      </c>
      <c r="Q248" s="9">
        <v>20.77</v>
      </c>
      <c r="R248" s="9">
        <v>4.8099999999999996</v>
      </c>
      <c r="S248" s="7">
        <v>1</v>
      </c>
      <c r="T248" s="7">
        <v>1</v>
      </c>
      <c r="U248" s="16">
        <v>1</v>
      </c>
      <c r="V248" s="7">
        <v>1</v>
      </c>
      <c r="W248" s="7">
        <v>0</v>
      </c>
      <c r="X248" s="10" t="s">
        <v>35</v>
      </c>
      <c r="Y248" s="10" t="s">
        <v>36</v>
      </c>
      <c r="Z248" s="10"/>
    </row>
    <row r="249" spans="1:26" ht="14.4" x14ac:dyDescent="0.3">
      <c r="A249" s="4">
        <v>45930</v>
      </c>
      <c r="B249" s="4">
        <v>45930</v>
      </c>
      <c r="C249" s="5" t="s">
        <v>27</v>
      </c>
      <c r="D249" s="5" t="s">
        <v>28</v>
      </c>
      <c r="E249" s="5" t="s">
        <v>71</v>
      </c>
      <c r="F249" s="5" t="s">
        <v>72</v>
      </c>
      <c r="G249" s="5" t="s">
        <v>31</v>
      </c>
      <c r="H249" s="5" t="s">
        <v>51</v>
      </c>
      <c r="I249" s="5" t="s">
        <v>52</v>
      </c>
      <c r="J249" s="5" t="s">
        <v>391</v>
      </c>
      <c r="K249" s="7">
        <v>1</v>
      </c>
      <c r="L249" s="7">
        <v>1</v>
      </c>
      <c r="M249" s="16">
        <v>1</v>
      </c>
      <c r="N249" s="10" t="s">
        <v>371</v>
      </c>
      <c r="O249" s="6">
        <v>3.16</v>
      </c>
      <c r="P249" s="6">
        <v>24.94</v>
      </c>
      <c r="Q249" s="9">
        <v>12.67</v>
      </c>
      <c r="R249" s="9">
        <v>7.89</v>
      </c>
      <c r="S249" s="7">
        <v>1</v>
      </c>
      <c r="T249" s="7">
        <v>1</v>
      </c>
      <c r="U249" s="16">
        <v>1</v>
      </c>
      <c r="V249" s="7">
        <v>1</v>
      </c>
      <c r="W249" s="7">
        <v>0</v>
      </c>
      <c r="X249" s="10" t="s">
        <v>35</v>
      </c>
      <c r="Y249" s="10" t="s">
        <v>36</v>
      </c>
      <c r="Z249" s="10"/>
    </row>
    <row r="250" spans="1:26" ht="15.75" customHeight="1" x14ac:dyDescent="0.3">
      <c r="A250" s="4">
        <v>45930</v>
      </c>
      <c r="B250" s="4">
        <v>45932</v>
      </c>
      <c r="C250" s="5" t="s">
        <v>48</v>
      </c>
      <c r="D250" s="5" t="s">
        <v>28</v>
      </c>
      <c r="E250" s="5" t="s">
        <v>62</v>
      </c>
      <c r="F250" s="5" t="s">
        <v>63</v>
      </c>
      <c r="G250" s="5" t="s">
        <v>31</v>
      </c>
      <c r="H250" s="5" t="s">
        <v>68</v>
      </c>
      <c r="I250" s="5" t="s">
        <v>65</v>
      </c>
      <c r="J250" s="5" t="s">
        <v>68</v>
      </c>
      <c r="K250" s="7">
        <v>78</v>
      </c>
      <c r="L250" s="7">
        <v>7</v>
      </c>
      <c r="M250" s="16">
        <v>8.9744000000000004E-2</v>
      </c>
      <c r="N250" s="10" t="s">
        <v>104</v>
      </c>
      <c r="O250" s="6">
        <v>26.03</v>
      </c>
      <c r="P250" s="6">
        <v>21.9</v>
      </c>
      <c r="Q250" s="9">
        <v>118.86</v>
      </c>
      <c r="R250" s="9">
        <v>0.84</v>
      </c>
      <c r="S250" s="7">
        <v>1</v>
      </c>
      <c r="T250" s="7">
        <v>1</v>
      </c>
      <c r="U250" s="16">
        <v>0.14285700000000001</v>
      </c>
      <c r="V250" s="7">
        <v>1</v>
      </c>
      <c r="W250" s="7">
        <v>0</v>
      </c>
      <c r="X250" s="10" t="s">
        <v>55</v>
      </c>
      <c r="Y250" s="10" t="s">
        <v>36</v>
      </c>
      <c r="Z250" s="10"/>
    </row>
    <row r="251" spans="1:26" ht="15.75" customHeight="1" x14ac:dyDescent="0.3">
      <c r="A251" s="4">
        <v>45930</v>
      </c>
      <c r="B251" s="4">
        <v>45930</v>
      </c>
      <c r="C251" s="5" t="s">
        <v>48</v>
      </c>
      <c r="D251" s="5" t="s">
        <v>28</v>
      </c>
      <c r="E251" s="5" t="s">
        <v>225</v>
      </c>
      <c r="F251" s="5" t="s">
        <v>226</v>
      </c>
      <c r="G251" s="5" t="s">
        <v>31</v>
      </c>
      <c r="H251" s="5" t="s">
        <v>88</v>
      </c>
      <c r="I251" s="5" t="s">
        <v>32</v>
      </c>
      <c r="J251" s="5" t="s">
        <v>392</v>
      </c>
      <c r="K251" s="7">
        <v>2</v>
      </c>
      <c r="L251" s="7">
        <v>1</v>
      </c>
      <c r="M251" s="16">
        <v>0.5</v>
      </c>
      <c r="N251" s="10" t="s">
        <v>355</v>
      </c>
      <c r="O251" s="6">
        <v>1.8</v>
      </c>
      <c r="P251" s="6">
        <v>21.9</v>
      </c>
      <c r="Q251" s="9">
        <v>8.2200000000000006</v>
      </c>
      <c r="R251" s="9">
        <v>12.17</v>
      </c>
      <c r="S251" s="7">
        <v>1</v>
      </c>
      <c r="T251" s="7">
        <v>1</v>
      </c>
      <c r="U251" s="16">
        <v>1</v>
      </c>
      <c r="V251" s="7">
        <v>1</v>
      </c>
      <c r="W251" s="7">
        <v>0</v>
      </c>
      <c r="X251" s="10" t="s">
        <v>55</v>
      </c>
      <c r="Y251" s="10" t="s">
        <v>36</v>
      </c>
      <c r="Z251" s="10"/>
    </row>
    <row r="252" spans="1:26" ht="15.75" customHeight="1" x14ac:dyDescent="0.3">
      <c r="A252" s="4">
        <v>45929</v>
      </c>
      <c r="B252" s="4">
        <v>45929</v>
      </c>
      <c r="C252" s="5" t="s">
        <v>27</v>
      </c>
      <c r="D252" s="5" t="s">
        <v>28</v>
      </c>
      <c r="E252" s="5" t="s">
        <v>71</v>
      </c>
      <c r="F252" s="5" t="s">
        <v>72</v>
      </c>
      <c r="G252" s="5" t="s">
        <v>31</v>
      </c>
      <c r="H252" s="5" t="s">
        <v>51</v>
      </c>
      <c r="I252" s="5" t="s">
        <v>52</v>
      </c>
      <c r="J252" s="5" t="s">
        <v>393</v>
      </c>
      <c r="K252" s="7">
        <v>3</v>
      </c>
      <c r="L252" s="7">
        <v>1</v>
      </c>
      <c r="M252" s="16">
        <v>0.33333299999999999</v>
      </c>
      <c r="N252" s="10" t="s">
        <v>237</v>
      </c>
      <c r="O252" s="6">
        <v>4.42</v>
      </c>
      <c r="P252" s="6">
        <v>24.94</v>
      </c>
      <c r="Q252" s="9">
        <v>17.72</v>
      </c>
      <c r="R252" s="9">
        <v>5.64</v>
      </c>
      <c r="S252" s="7">
        <v>1</v>
      </c>
      <c r="T252" s="7">
        <v>1</v>
      </c>
      <c r="U252" s="16">
        <v>1</v>
      </c>
      <c r="V252" s="7">
        <v>1</v>
      </c>
      <c r="W252" s="7">
        <v>0</v>
      </c>
      <c r="X252" s="10" t="s">
        <v>35</v>
      </c>
      <c r="Y252" s="10" t="s">
        <v>36</v>
      </c>
      <c r="Z252" s="10"/>
    </row>
    <row r="253" spans="1:26" ht="15.75" customHeight="1" x14ac:dyDescent="0.3">
      <c r="A253" s="4">
        <v>45928</v>
      </c>
      <c r="B253" s="4">
        <v>45934</v>
      </c>
      <c r="C253" s="5" t="s">
        <v>27</v>
      </c>
      <c r="D253" s="5" t="s">
        <v>28</v>
      </c>
      <c r="E253" s="5" t="s">
        <v>29</v>
      </c>
      <c r="F253" s="5" t="s">
        <v>30</v>
      </c>
      <c r="G253" s="5" t="s">
        <v>31</v>
      </c>
      <c r="H253" s="5" t="s">
        <v>30</v>
      </c>
      <c r="I253" s="5" t="s">
        <v>32</v>
      </c>
      <c r="J253" s="5" t="s">
        <v>30</v>
      </c>
      <c r="K253" s="7">
        <v>253</v>
      </c>
      <c r="L253" s="7">
        <v>5</v>
      </c>
      <c r="M253" s="16">
        <v>1.9762999999999999E-2</v>
      </c>
      <c r="N253" s="10" t="s">
        <v>314</v>
      </c>
      <c r="O253" s="6">
        <v>16.91</v>
      </c>
      <c r="P253" s="6">
        <v>24.94</v>
      </c>
      <c r="Q253" s="9">
        <v>67.8</v>
      </c>
      <c r="R253" s="9">
        <v>1.47</v>
      </c>
      <c r="S253" s="7">
        <v>1</v>
      </c>
      <c r="T253" s="7">
        <v>1</v>
      </c>
      <c r="U253" s="16">
        <v>0.2</v>
      </c>
      <c r="V253" s="7">
        <v>1</v>
      </c>
      <c r="W253" s="7">
        <v>0</v>
      </c>
      <c r="X253" s="10" t="s">
        <v>35</v>
      </c>
      <c r="Y253" s="10" t="s">
        <v>36</v>
      </c>
      <c r="Z253" s="10"/>
    </row>
    <row r="254" spans="1:26" ht="15.75" customHeight="1" x14ac:dyDescent="0.3">
      <c r="A254" s="4">
        <v>45928</v>
      </c>
      <c r="B254" s="4">
        <v>45934</v>
      </c>
      <c r="C254" s="5" t="s">
        <v>27</v>
      </c>
      <c r="D254" s="5" t="s">
        <v>28</v>
      </c>
      <c r="E254" s="5" t="s">
        <v>71</v>
      </c>
      <c r="F254" s="5" t="s">
        <v>72</v>
      </c>
      <c r="G254" s="5" t="s">
        <v>31</v>
      </c>
      <c r="H254" s="5" t="s">
        <v>73</v>
      </c>
      <c r="I254" s="5" t="s">
        <v>52</v>
      </c>
      <c r="J254" s="5" t="s">
        <v>159</v>
      </c>
      <c r="K254" s="7">
        <v>37</v>
      </c>
      <c r="L254" s="7">
        <v>6</v>
      </c>
      <c r="M254" s="16">
        <v>0.162162</v>
      </c>
      <c r="N254" s="10" t="s">
        <v>394</v>
      </c>
      <c r="O254" s="6">
        <v>22.48</v>
      </c>
      <c r="P254" s="6">
        <v>24.94</v>
      </c>
      <c r="Q254" s="9">
        <v>90.14</v>
      </c>
      <c r="R254" s="9">
        <v>1.1100000000000001</v>
      </c>
      <c r="S254" s="7">
        <v>1</v>
      </c>
      <c r="T254" s="7">
        <v>1</v>
      </c>
      <c r="U254" s="16">
        <v>0.16666700000000001</v>
      </c>
      <c r="V254" s="7">
        <v>1</v>
      </c>
      <c r="W254" s="7">
        <v>0</v>
      </c>
      <c r="X254" s="10" t="s">
        <v>35</v>
      </c>
      <c r="Y254" s="10" t="s">
        <v>36</v>
      </c>
      <c r="Z254" s="10"/>
    </row>
    <row r="255" spans="1:26" ht="15.75" customHeight="1" x14ac:dyDescent="0.3">
      <c r="A255" s="4">
        <v>45928</v>
      </c>
      <c r="B255" s="4">
        <v>45933</v>
      </c>
      <c r="C255" s="5" t="s">
        <v>48</v>
      </c>
      <c r="D255" s="5" t="s">
        <v>28</v>
      </c>
      <c r="E255" s="5" t="s">
        <v>62</v>
      </c>
      <c r="F255" s="5" t="s">
        <v>63</v>
      </c>
      <c r="G255" s="5" t="s">
        <v>31</v>
      </c>
      <c r="H255" s="5" t="s">
        <v>68</v>
      </c>
      <c r="I255" s="5" t="s">
        <v>65</v>
      </c>
      <c r="J255" s="5" t="s">
        <v>69</v>
      </c>
      <c r="K255" s="7">
        <v>68</v>
      </c>
      <c r="L255" s="7">
        <v>2</v>
      </c>
      <c r="M255" s="16">
        <v>2.9412000000000001E-2</v>
      </c>
      <c r="N255" s="10" t="s">
        <v>395</v>
      </c>
      <c r="O255" s="6">
        <v>9.85</v>
      </c>
      <c r="P255" s="6">
        <v>21.9</v>
      </c>
      <c r="Q255" s="9">
        <v>44.98</v>
      </c>
      <c r="R255" s="9">
        <v>2.2200000000000002</v>
      </c>
      <c r="S255" s="7">
        <v>1</v>
      </c>
      <c r="T255" s="7">
        <v>1</v>
      </c>
      <c r="U255" s="16">
        <v>0.5</v>
      </c>
      <c r="V255" s="7">
        <v>1</v>
      </c>
      <c r="W255" s="7">
        <v>0</v>
      </c>
      <c r="X255" s="10" t="s">
        <v>55</v>
      </c>
      <c r="Y255" s="10" t="s">
        <v>36</v>
      </c>
      <c r="Z255" s="10"/>
    </row>
    <row r="256" spans="1:26" ht="15.75" customHeight="1" x14ac:dyDescent="0.3">
      <c r="A256" s="4">
        <v>45928</v>
      </c>
      <c r="B256" s="4">
        <v>45933</v>
      </c>
      <c r="C256" s="5" t="s">
        <v>27</v>
      </c>
      <c r="D256" s="5" t="s">
        <v>28</v>
      </c>
      <c r="E256" s="5" t="s">
        <v>71</v>
      </c>
      <c r="F256" s="5" t="s">
        <v>72</v>
      </c>
      <c r="G256" s="5" t="s">
        <v>31</v>
      </c>
      <c r="H256" s="5" t="s">
        <v>73</v>
      </c>
      <c r="I256" s="5" t="s">
        <v>52</v>
      </c>
      <c r="J256" s="5" t="s">
        <v>162</v>
      </c>
      <c r="K256" s="7">
        <v>88</v>
      </c>
      <c r="L256" s="7">
        <v>6</v>
      </c>
      <c r="M256" s="16">
        <v>6.8182000000000006E-2</v>
      </c>
      <c r="N256" s="10" t="s">
        <v>257</v>
      </c>
      <c r="O256" s="6">
        <v>24.44</v>
      </c>
      <c r="P256" s="6">
        <v>49.88</v>
      </c>
      <c r="Q256" s="9">
        <v>49</v>
      </c>
      <c r="R256" s="9">
        <v>2.04</v>
      </c>
      <c r="S256" s="7">
        <v>2</v>
      </c>
      <c r="T256" s="7">
        <v>2</v>
      </c>
      <c r="U256" s="16">
        <v>0.33333299999999999</v>
      </c>
      <c r="V256" s="7">
        <v>2</v>
      </c>
      <c r="W256" s="7">
        <v>0</v>
      </c>
      <c r="X256" s="10" t="s">
        <v>78</v>
      </c>
      <c r="Y256" s="10" t="s">
        <v>36</v>
      </c>
      <c r="Z256" s="10"/>
    </row>
    <row r="257" spans="1:26" ht="15.75" customHeight="1" x14ac:dyDescent="0.3">
      <c r="A257" s="4">
        <v>45928</v>
      </c>
      <c r="B257" s="4">
        <v>45934</v>
      </c>
      <c r="C257" s="5" t="s">
        <v>27</v>
      </c>
      <c r="D257" s="5" t="s">
        <v>28</v>
      </c>
      <c r="E257" s="5" t="s">
        <v>56</v>
      </c>
      <c r="F257" s="5" t="s">
        <v>57</v>
      </c>
      <c r="G257" s="5" t="s">
        <v>31</v>
      </c>
      <c r="H257" s="35" t="e">
        <f>+maca +root</f>
        <v>#NAME?</v>
      </c>
      <c r="I257" s="5" t="s">
        <v>32</v>
      </c>
      <c r="J257" s="5" t="s">
        <v>119</v>
      </c>
      <c r="K257" s="7">
        <v>5597</v>
      </c>
      <c r="L257" s="7">
        <v>55</v>
      </c>
      <c r="M257" s="16">
        <v>9.8270000000000007E-3</v>
      </c>
      <c r="N257" s="10" t="s">
        <v>126</v>
      </c>
      <c r="O257" s="6">
        <v>179.96</v>
      </c>
      <c r="P257" s="6">
        <v>189.64</v>
      </c>
      <c r="Q257" s="9">
        <v>94.9</v>
      </c>
      <c r="R257" s="9">
        <v>1.05</v>
      </c>
      <c r="S257" s="7">
        <v>8</v>
      </c>
      <c r="T257" s="7">
        <v>8</v>
      </c>
      <c r="U257" s="16">
        <v>0.145455</v>
      </c>
      <c r="V257" s="7">
        <v>7</v>
      </c>
      <c r="W257" s="7">
        <v>1</v>
      </c>
      <c r="X257" s="10" t="s">
        <v>396</v>
      </c>
      <c r="Y257" s="10" t="s">
        <v>397</v>
      </c>
      <c r="Z257" s="10"/>
    </row>
    <row r="258" spans="1:26" ht="15.75" customHeight="1" x14ac:dyDescent="0.3">
      <c r="A258" s="4">
        <v>45928</v>
      </c>
      <c r="B258" s="4">
        <v>45931</v>
      </c>
      <c r="C258" s="5" t="s">
        <v>40</v>
      </c>
      <c r="D258" s="5" t="s">
        <v>28</v>
      </c>
      <c r="E258" s="5" t="s">
        <v>41</v>
      </c>
      <c r="F258" s="5" t="s">
        <v>42</v>
      </c>
      <c r="G258" s="5" t="s">
        <v>31</v>
      </c>
      <c r="H258" s="5" t="s">
        <v>43</v>
      </c>
      <c r="I258" s="5" t="s">
        <v>44</v>
      </c>
      <c r="J258" s="5" t="s">
        <v>60</v>
      </c>
      <c r="K258" s="7">
        <v>184</v>
      </c>
      <c r="L258" s="7">
        <v>6</v>
      </c>
      <c r="M258" s="16">
        <v>3.2608999999999999E-2</v>
      </c>
      <c r="N258" s="10" t="s">
        <v>371</v>
      </c>
      <c r="O258" s="6">
        <v>18.93</v>
      </c>
      <c r="P258" s="6">
        <v>49.88</v>
      </c>
      <c r="Q258" s="9">
        <v>37.950000000000003</v>
      </c>
      <c r="R258" s="9">
        <v>2.63</v>
      </c>
      <c r="S258" s="7">
        <v>2</v>
      </c>
      <c r="T258" s="7">
        <v>2</v>
      </c>
      <c r="U258" s="16">
        <v>0.33333299999999999</v>
      </c>
      <c r="V258" s="7">
        <v>2</v>
      </c>
      <c r="W258" s="7">
        <v>0</v>
      </c>
      <c r="X258" s="10" t="s">
        <v>78</v>
      </c>
      <c r="Y258" s="10" t="s">
        <v>36</v>
      </c>
      <c r="Z258" s="10"/>
    </row>
    <row r="259" spans="1:26" ht="15.75" customHeight="1" x14ac:dyDescent="0.3">
      <c r="A259" s="4">
        <v>45928</v>
      </c>
      <c r="B259" s="4">
        <v>45933</v>
      </c>
      <c r="C259" s="5" t="s">
        <v>40</v>
      </c>
      <c r="D259" s="5" t="s">
        <v>28</v>
      </c>
      <c r="E259" s="5" t="s">
        <v>41</v>
      </c>
      <c r="F259" s="5" t="s">
        <v>42</v>
      </c>
      <c r="G259" s="5" t="s">
        <v>31</v>
      </c>
      <c r="H259" s="5" t="s">
        <v>43</v>
      </c>
      <c r="I259" s="5" t="s">
        <v>44</v>
      </c>
      <c r="J259" s="5" t="s">
        <v>43</v>
      </c>
      <c r="K259" s="7">
        <v>318</v>
      </c>
      <c r="L259" s="7">
        <v>12</v>
      </c>
      <c r="M259" s="16">
        <v>3.7735999999999999E-2</v>
      </c>
      <c r="N259" s="10" t="s">
        <v>269</v>
      </c>
      <c r="O259" s="6">
        <v>36.93</v>
      </c>
      <c r="P259" s="6">
        <v>49.88</v>
      </c>
      <c r="Q259" s="9">
        <v>74.040000000000006</v>
      </c>
      <c r="R259" s="9">
        <v>1.35</v>
      </c>
      <c r="S259" s="7">
        <v>2</v>
      </c>
      <c r="T259" s="7">
        <v>2</v>
      </c>
      <c r="U259" s="16">
        <v>0.16666700000000001</v>
      </c>
      <c r="V259" s="7">
        <v>2</v>
      </c>
      <c r="W259" s="7">
        <v>0</v>
      </c>
      <c r="X259" s="10" t="s">
        <v>78</v>
      </c>
      <c r="Y259" s="10" t="s">
        <v>36</v>
      </c>
      <c r="Z259" s="10"/>
    </row>
    <row r="260" spans="1:26" ht="14.4" x14ac:dyDescent="0.3">
      <c r="A260" s="36">
        <v>45927</v>
      </c>
      <c r="B260" s="37">
        <v>45927</v>
      </c>
      <c r="C260" s="38" t="s">
        <v>27</v>
      </c>
      <c r="D260" s="38" t="s">
        <v>28</v>
      </c>
      <c r="E260" s="38" t="s">
        <v>71</v>
      </c>
      <c r="F260" s="38" t="s">
        <v>72</v>
      </c>
      <c r="G260" s="38" t="s">
        <v>31</v>
      </c>
      <c r="H260" s="38" t="s">
        <v>51</v>
      </c>
      <c r="I260" s="38" t="s">
        <v>52</v>
      </c>
      <c r="J260" s="38" t="s">
        <v>398</v>
      </c>
      <c r="K260" s="39">
        <v>1</v>
      </c>
      <c r="L260" s="39">
        <v>1</v>
      </c>
      <c r="M260" s="40">
        <v>1</v>
      </c>
      <c r="N260" s="39" t="s">
        <v>371</v>
      </c>
      <c r="O260" s="39" t="s">
        <v>371</v>
      </c>
      <c r="P260" s="39">
        <v>24.94</v>
      </c>
      <c r="Q260" s="41">
        <v>0.13</v>
      </c>
      <c r="R260" s="41">
        <v>7.89</v>
      </c>
      <c r="S260" s="41">
        <v>1</v>
      </c>
      <c r="T260" s="41">
        <v>1</v>
      </c>
      <c r="U260" s="42">
        <v>1</v>
      </c>
      <c r="V260" s="41">
        <v>1</v>
      </c>
      <c r="W260" s="41">
        <v>0</v>
      </c>
      <c r="X260" s="41" t="s">
        <v>35</v>
      </c>
      <c r="Y260" s="43" t="s">
        <v>36</v>
      </c>
    </row>
    <row r="261" spans="1:26" ht="14.4" x14ac:dyDescent="0.3">
      <c r="A261" s="44">
        <v>45927</v>
      </c>
      <c r="B261" s="45">
        <v>45927</v>
      </c>
      <c r="C261" s="46" t="s">
        <v>27</v>
      </c>
      <c r="D261" s="46" t="s">
        <v>28</v>
      </c>
      <c r="E261" s="46" t="s">
        <v>29</v>
      </c>
      <c r="F261" s="46" t="s">
        <v>30</v>
      </c>
      <c r="G261" s="46" t="s">
        <v>31</v>
      </c>
      <c r="H261" s="46" t="s">
        <v>30</v>
      </c>
      <c r="I261" s="46" t="s">
        <v>32</v>
      </c>
      <c r="J261" s="46" t="s">
        <v>399</v>
      </c>
      <c r="K261" s="47">
        <v>2</v>
      </c>
      <c r="L261" s="47">
        <v>1</v>
      </c>
      <c r="M261" s="48">
        <v>0.5</v>
      </c>
      <c r="N261" s="47" t="s">
        <v>400</v>
      </c>
      <c r="O261" s="47" t="s">
        <v>400</v>
      </c>
      <c r="P261" s="47">
        <v>24.94</v>
      </c>
      <c r="Q261" s="49">
        <v>0.13</v>
      </c>
      <c r="R261" s="49">
        <v>7.47</v>
      </c>
      <c r="S261" s="49">
        <v>1</v>
      </c>
      <c r="T261" s="49">
        <v>1</v>
      </c>
      <c r="U261" s="50">
        <v>1</v>
      </c>
      <c r="V261" s="49">
        <v>1</v>
      </c>
      <c r="W261" s="49">
        <v>0</v>
      </c>
      <c r="X261" s="49" t="s">
        <v>35</v>
      </c>
      <c r="Y261" s="51" t="s">
        <v>36</v>
      </c>
    </row>
    <row r="262" spans="1:26" ht="14.4" x14ac:dyDescent="0.3">
      <c r="A262" s="44">
        <v>45927</v>
      </c>
      <c r="B262" s="45">
        <v>45927</v>
      </c>
      <c r="C262" s="46" t="s">
        <v>27</v>
      </c>
      <c r="D262" s="46" t="s">
        <v>28</v>
      </c>
      <c r="E262" s="46" t="s">
        <v>56</v>
      </c>
      <c r="F262" s="46" t="s">
        <v>57</v>
      </c>
      <c r="G262" s="46" t="s">
        <v>31</v>
      </c>
      <c r="H262" s="52" t="e">
        <f>+maca +root</f>
        <v>#NAME?</v>
      </c>
      <c r="I262" s="46" t="s">
        <v>32</v>
      </c>
      <c r="J262" s="46" t="s">
        <v>401</v>
      </c>
      <c r="K262" s="47">
        <v>1</v>
      </c>
      <c r="L262" s="47">
        <v>1</v>
      </c>
      <c r="M262" s="48">
        <v>1</v>
      </c>
      <c r="N262" s="47" t="s">
        <v>371</v>
      </c>
      <c r="O262" s="47" t="s">
        <v>371</v>
      </c>
      <c r="P262" s="47">
        <v>24.94</v>
      </c>
      <c r="Q262" s="53">
        <v>0.13</v>
      </c>
      <c r="R262" s="53">
        <v>7.89</v>
      </c>
      <c r="S262" s="53">
        <v>1</v>
      </c>
      <c r="T262" s="53">
        <v>1</v>
      </c>
      <c r="U262" s="54">
        <v>1</v>
      </c>
      <c r="V262" s="53">
        <v>1</v>
      </c>
      <c r="W262" s="53">
        <v>0</v>
      </c>
      <c r="X262" s="53" t="s">
        <v>35</v>
      </c>
      <c r="Y262" s="55" t="s">
        <v>36</v>
      </c>
    </row>
    <row r="263" spans="1:26" ht="14.4" x14ac:dyDescent="0.3">
      <c r="A263" s="44">
        <v>45926</v>
      </c>
      <c r="B263" s="45">
        <v>45926</v>
      </c>
      <c r="C263" s="46" t="s">
        <v>27</v>
      </c>
      <c r="D263" s="46" t="s">
        <v>28</v>
      </c>
      <c r="E263" s="46" t="s">
        <v>29</v>
      </c>
      <c r="F263" s="46" t="s">
        <v>30</v>
      </c>
      <c r="G263" s="46" t="s">
        <v>31</v>
      </c>
      <c r="H263" s="46" t="s">
        <v>30</v>
      </c>
      <c r="I263" s="46" t="s">
        <v>32</v>
      </c>
      <c r="J263" s="46" t="s">
        <v>402</v>
      </c>
      <c r="K263" s="47">
        <v>1</v>
      </c>
      <c r="L263" s="47">
        <v>1</v>
      </c>
      <c r="M263" s="48">
        <v>1</v>
      </c>
      <c r="N263" s="47" t="s">
        <v>167</v>
      </c>
      <c r="O263" s="47" t="s">
        <v>167</v>
      </c>
      <c r="P263" s="47">
        <v>24.94</v>
      </c>
      <c r="Q263" s="53">
        <v>0.21</v>
      </c>
      <c r="R263" s="53">
        <v>4.8099999999999996</v>
      </c>
      <c r="S263" s="53">
        <v>1</v>
      </c>
      <c r="T263" s="53">
        <v>1</v>
      </c>
      <c r="U263" s="54">
        <v>1</v>
      </c>
      <c r="V263" s="53">
        <v>1</v>
      </c>
      <c r="W263" s="53">
        <v>0</v>
      </c>
      <c r="X263" s="53" t="s">
        <v>35</v>
      </c>
      <c r="Y263" s="55" t="s">
        <v>36</v>
      </c>
    </row>
    <row r="264" spans="1:26" ht="14.4" x14ac:dyDescent="0.3">
      <c r="A264" s="44">
        <v>45926</v>
      </c>
      <c r="B264" s="45">
        <v>45926</v>
      </c>
      <c r="C264" s="46" t="s">
        <v>40</v>
      </c>
      <c r="D264" s="46" t="s">
        <v>28</v>
      </c>
      <c r="E264" s="46" t="s">
        <v>41</v>
      </c>
      <c r="F264" s="46" t="s">
        <v>42</v>
      </c>
      <c r="G264" s="46" t="s">
        <v>31</v>
      </c>
      <c r="H264" s="46" t="s">
        <v>43</v>
      </c>
      <c r="I264" s="46" t="s">
        <v>44</v>
      </c>
      <c r="J264" s="46" t="s">
        <v>403</v>
      </c>
      <c r="K264" s="47">
        <v>4</v>
      </c>
      <c r="L264" s="47">
        <v>1</v>
      </c>
      <c r="M264" s="48">
        <v>0.25</v>
      </c>
      <c r="N264" s="47" t="s">
        <v>126</v>
      </c>
      <c r="O264" s="47" t="s">
        <v>126</v>
      </c>
      <c r="P264" s="47">
        <v>24.94</v>
      </c>
      <c r="Q264" s="49">
        <v>0.13</v>
      </c>
      <c r="R264" s="49">
        <v>7.63</v>
      </c>
      <c r="S264" s="49">
        <v>1</v>
      </c>
      <c r="T264" s="49">
        <v>1</v>
      </c>
      <c r="U264" s="50">
        <v>1</v>
      </c>
      <c r="V264" s="49">
        <v>1</v>
      </c>
      <c r="W264" s="49">
        <v>0</v>
      </c>
      <c r="X264" s="49" t="s">
        <v>35</v>
      </c>
      <c r="Y264" s="51" t="s">
        <v>36</v>
      </c>
    </row>
    <row r="265" spans="1:26" ht="14.4" x14ac:dyDescent="0.3">
      <c r="A265" s="44">
        <v>45926</v>
      </c>
      <c r="B265" s="45">
        <v>45926</v>
      </c>
      <c r="C265" s="46" t="s">
        <v>27</v>
      </c>
      <c r="D265" s="46" t="s">
        <v>28</v>
      </c>
      <c r="E265" s="46" t="s">
        <v>29</v>
      </c>
      <c r="F265" s="46" t="s">
        <v>30</v>
      </c>
      <c r="G265" s="46" t="s">
        <v>31</v>
      </c>
      <c r="H265" s="46" t="s">
        <v>30</v>
      </c>
      <c r="I265" s="46" t="s">
        <v>32</v>
      </c>
      <c r="J265" s="46" t="s">
        <v>404</v>
      </c>
      <c r="K265" s="47">
        <v>3</v>
      </c>
      <c r="L265" s="47">
        <v>1</v>
      </c>
      <c r="M265" s="48">
        <v>0.33333299999999999</v>
      </c>
      <c r="N265" s="47" t="s">
        <v>167</v>
      </c>
      <c r="O265" s="47" t="s">
        <v>167</v>
      </c>
      <c r="P265" s="47">
        <v>24.94</v>
      </c>
      <c r="Q265" s="53">
        <v>0.21</v>
      </c>
      <c r="R265" s="53">
        <v>4.8099999999999996</v>
      </c>
      <c r="S265" s="53">
        <v>1</v>
      </c>
      <c r="T265" s="53">
        <v>1</v>
      </c>
      <c r="U265" s="54">
        <v>1</v>
      </c>
      <c r="V265" s="53">
        <v>1</v>
      </c>
      <c r="W265" s="53">
        <v>0</v>
      </c>
      <c r="X265" s="53" t="s">
        <v>35</v>
      </c>
      <c r="Y265" s="55" t="s">
        <v>36</v>
      </c>
    </row>
    <row r="266" spans="1:26" ht="14.4" x14ac:dyDescent="0.3">
      <c r="A266" s="44">
        <v>45926</v>
      </c>
      <c r="B266" s="45">
        <v>45926</v>
      </c>
      <c r="C266" s="46" t="s">
        <v>143</v>
      </c>
      <c r="D266" s="46" t="s">
        <v>28</v>
      </c>
      <c r="E266" s="46" t="s">
        <v>144</v>
      </c>
      <c r="F266" s="46" t="s">
        <v>32</v>
      </c>
      <c r="G266" s="46" t="s">
        <v>31</v>
      </c>
      <c r="H266" s="46" t="s">
        <v>119</v>
      </c>
      <c r="I266" s="46" t="s">
        <v>32</v>
      </c>
      <c r="J266" s="46" t="s">
        <v>119</v>
      </c>
      <c r="K266" s="47">
        <v>2</v>
      </c>
      <c r="L266" s="47">
        <v>1</v>
      </c>
      <c r="M266" s="48">
        <v>0.5</v>
      </c>
      <c r="N266" s="47" t="s">
        <v>175</v>
      </c>
      <c r="O266" s="47" t="s">
        <v>175</v>
      </c>
      <c r="P266" s="47">
        <v>24.94</v>
      </c>
      <c r="Q266" s="49">
        <v>0.03</v>
      </c>
      <c r="R266" s="49">
        <v>32.82</v>
      </c>
      <c r="S266" s="49">
        <v>1</v>
      </c>
      <c r="T266" s="49">
        <v>1</v>
      </c>
      <c r="U266" s="50">
        <v>1</v>
      </c>
      <c r="V266" s="49">
        <v>1</v>
      </c>
      <c r="W266" s="49">
        <v>0</v>
      </c>
      <c r="X266" s="49" t="s">
        <v>35</v>
      </c>
      <c r="Y266" s="51" t="s">
        <v>36</v>
      </c>
    </row>
    <row r="267" spans="1:26" ht="14.4" x14ac:dyDescent="0.3">
      <c r="A267" s="44">
        <v>45925</v>
      </c>
      <c r="B267" s="45">
        <v>45925</v>
      </c>
      <c r="C267" s="46" t="s">
        <v>27</v>
      </c>
      <c r="D267" s="46" t="s">
        <v>28</v>
      </c>
      <c r="E267" s="46" t="s">
        <v>29</v>
      </c>
      <c r="F267" s="46" t="s">
        <v>30</v>
      </c>
      <c r="G267" s="46" t="s">
        <v>31</v>
      </c>
      <c r="H267" s="46" t="s">
        <v>405</v>
      </c>
      <c r="I267" s="46" t="s">
        <v>32</v>
      </c>
      <c r="J267" s="46" t="s">
        <v>406</v>
      </c>
      <c r="K267" s="47">
        <v>5</v>
      </c>
      <c r="L267" s="47">
        <v>1</v>
      </c>
      <c r="M267" s="48">
        <v>0.2</v>
      </c>
      <c r="N267" s="47" t="s">
        <v>317</v>
      </c>
      <c r="O267" s="47" t="s">
        <v>317</v>
      </c>
      <c r="P267" s="47">
        <v>24.94</v>
      </c>
      <c r="Q267" s="49">
        <v>0.16</v>
      </c>
      <c r="R267" s="49">
        <v>6.2</v>
      </c>
      <c r="S267" s="49">
        <v>1</v>
      </c>
      <c r="T267" s="49">
        <v>1</v>
      </c>
      <c r="U267" s="50">
        <v>1</v>
      </c>
      <c r="V267" s="49">
        <v>1</v>
      </c>
      <c r="W267" s="49">
        <v>0</v>
      </c>
      <c r="X267" s="49" t="s">
        <v>35</v>
      </c>
      <c r="Y267" s="51" t="s">
        <v>36</v>
      </c>
    </row>
    <row r="268" spans="1:26" ht="14.4" x14ac:dyDescent="0.3">
      <c r="A268" s="44">
        <v>45925</v>
      </c>
      <c r="B268" s="45">
        <v>45926</v>
      </c>
      <c r="C268" s="46" t="s">
        <v>27</v>
      </c>
      <c r="D268" s="46" t="s">
        <v>28</v>
      </c>
      <c r="E268" s="46" t="s">
        <v>71</v>
      </c>
      <c r="F268" s="46" t="s">
        <v>72</v>
      </c>
      <c r="G268" s="46" t="s">
        <v>31</v>
      </c>
      <c r="H268" s="46" t="s">
        <v>73</v>
      </c>
      <c r="I268" s="46" t="s">
        <v>52</v>
      </c>
      <c r="J268" s="46" t="s">
        <v>74</v>
      </c>
      <c r="K268" s="47">
        <v>7</v>
      </c>
      <c r="L268" s="47">
        <v>2</v>
      </c>
      <c r="M268" s="48">
        <v>0.28571400000000002</v>
      </c>
      <c r="N268" s="47" t="s">
        <v>150</v>
      </c>
      <c r="O268" s="47" t="s">
        <v>407</v>
      </c>
      <c r="P268" s="47">
        <v>24.94</v>
      </c>
      <c r="Q268" s="53">
        <v>0.31</v>
      </c>
      <c r="R268" s="53">
        <v>3.21</v>
      </c>
      <c r="S268" s="53">
        <v>1</v>
      </c>
      <c r="T268" s="53">
        <v>1</v>
      </c>
      <c r="U268" s="54">
        <v>0.5</v>
      </c>
      <c r="V268" s="53">
        <v>1</v>
      </c>
      <c r="W268" s="53">
        <v>0</v>
      </c>
      <c r="X268" s="53" t="s">
        <v>35</v>
      </c>
      <c r="Y268" s="55" t="s">
        <v>36</v>
      </c>
    </row>
    <row r="269" spans="1:26" ht="14.4" x14ac:dyDescent="0.3">
      <c r="A269" s="44">
        <v>45925</v>
      </c>
      <c r="B269" s="45">
        <v>45927</v>
      </c>
      <c r="C269" s="46" t="s">
        <v>27</v>
      </c>
      <c r="D269" s="46" t="s">
        <v>28</v>
      </c>
      <c r="E269" s="46" t="s">
        <v>29</v>
      </c>
      <c r="F269" s="46" t="s">
        <v>30</v>
      </c>
      <c r="G269" s="46" t="s">
        <v>31</v>
      </c>
      <c r="H269" s="46" t="s">
        <v>30</v>
      </c>
      <c r="I269" s="46" t="s">
        <v>32</v>
      </c>
      <c r="J269" s="46" t="s">
        <v>408</v>
      </c>
      <c r="K269" s="47">
        <v>10</v>
      </c>
      <c r="L269" s="47">
        <v>2</v>
      </c>
      <c r="M269" s="48">
        <v>0.2</v>
      </c>
      <c r="N269" s="47" t="s">
        <v>409</v>
      </c>
      <c r="O269" s="47" t="s">
        <v>410</v>
      </c>
      <c r="P269" s="47">
        <v>49.88</v>
      </c>
      <c r="Q269" s="49">
        <v>0.2</v>
      </c>
      <c r="R269" s="49">
        <v>4.97</v>
      </c>
      <c r="S269" s="49">
        <v>2</v>
      </c>
      <c r="T269" s="49">
        <v>2</v>
      </c>
      <c r="U269" s="50">
        <v>1</v>
      </c>
      <c r="V269" s="49">
        <v>2</v>
      </c>
      <c r="W269" s="49">
        <v>0</v>
      </c>
      <c r="X269" s="49" t="s">
        <v>78</v>
      </c>
      <c r="Y269" s="51" t="s">
        <v>36</v>
      </c>
    </row>
    <row r="270" spans="1:26" ht="14.4" x14ac:dyDescent="0.3">
      <c r="A270" s="44">
        <v>45925</v>
      </c>
      <c r="B270" s="45">
        <v>45925</v>
      </c>
      <c r="C270" s="46" t="s">
        <v>27</v>
      </c>
      <c r="D270" s="46" t="s">
        <v>28</v>
      </c>
      <c r="E270" s="46" t="s">
        <v>29</v>
      </c>
      <c r="F270" s="46" t="s">
        <v>30</v>
      </c>
      <c r="G270" s="46" t="s">
        <v>31</v>
      </c>
      <c r="H270" s="46" t="s">
        <v>30</v>
      </c>
      <c r="I270" s="46" t="s">
        <v>32</v>
      </c>
      <c r="J270" s="46" t="s">
        <v>411</v>
      </c>
      <c r="K270" s="47">
        <v>4</v>
      </c>
      <c r="L270" s="47">
        <v>1</v>
      </c>
      <c r="M270" s="48">
        <v>0.25</v>
      </c>
      <c r="N270" s="47" t="s">
        <v>400</v>
      </c>
      <c r="O270" s="47" t="s">
        <v>400</v>
      </c>
      <c r="P270" s="47">
        <v>24.94</v>
      </c>
      <c r="Q270" s="53">
        <v>0.13</v>
      </c>
      <c r="R270" s="53">
        <v>7.47</v>
      </c>
      <c r="S270" s="53">
        <v>1</v>
      </c>
      <c r="T270" s="53">
        <v>1</v>
      </c>
      <c r="U270" s="54">
        <v>1</v>
      </c>
      <c r="V270" s="53">
        <v>1</v>
      </c>
      <c r="W270" s="53">
        <v>0</v>
      </c>
      <c r="X270" s="53" t="s">
        <v>35</v>
      </c>
      <c r="Y270" s="55" t="s">
        <v>36</v>
      </c>
    </row>
    <row r="271" spans="1:26" ht="14.4" x14ac:dyDescent="0.3">
      <c r="A271" s="44">
        <v>45925</v>
      </c>
      <c r="B271" s="45">
        <v>45925</v>
      </c>
      <c r="C271" s="46" t="s">
        <v>27</v>
      </c>
      <c r="D271" s="46" t="s">
        <v>28</v>
      </c>
      <c r="E271" s="46" t="s">
        <v>71</v>
      </c>
      <c r="F271" s="46" t="s">
        <v>72</v>
      </c>
      <c r="G271" s="46" t="s">
        <v>31</v>
      </c>
      <c r="H271" s="46" t="s">
        <v>51</v>
      </c>
      <c r="I271" s="46" t="s">
        <v>52</v>
      </c>
      <c r="J271" s="46" t="s">
        <v>412</v>
      </c>
      <c r="K271" s="47">
        <v>1</v>
      </c>
      <c r="L271" s="47">
        <v>1</v>
      </c>
      <c r="M271" s="48">
        <v>1</v>
      </c>
      <c r="N271" s="47" t="s">
        <v>413</v>
      </c>
      <c r="O271" s="47" t="s">
        <v>413</v>
      </c>
      <c r="P271" s="47">
        <v>24.94</v>
      </c>
      <c r="Q271" s="49">
        <v>0.09</v>
      </c>
      <c r="R271" s="49">
        <v>11.23</v>
      </c>
      <c r="S271" s="49">
        <v>1</v>
      </c>
      <c r="T271" s="49">
        <v>1</v>
      </c>
      <c r="U271" s="50">
        <v>1</v>
      </c>
      <c r="V271" s="49">
        <v>1</v>
      </c>
      <c r="W271" s="49">
        <v>0</v>
      </c>
      <c r="X271" s="49" t="s">
        <v>35</v>
      </c>
      <c r="Y271" s="51" t="s">
        <v>36</v>
      </c>
    </row>
    <row r="272" spans="1:26" ht="14.4" x14ac:dyDescent="0.3">
      <c r="A272" s="44">
        <v>45924</v>
      </c>
      <c r="B272" s="45">
        <v>45924</v>
      </c>
      <c r="C272" s="46" t="s">
        <v>27</v>
      </c>
      <c r="D272" s="46" t="s">
        <v>28</v>
      </c>
      <c r="E272" s="46" t="s">
        <v>29</v>
      </c>
      <c r="F272" s="46" t="s">
        <v>30</v>
      </c>
      <c r="G272" s="46" t="s">
        <v>31</v>
      </c>
      <c r="H272" s="46" t="s">
        <v>30</v>
      </c>
      <c r="I272" s="46" t="s">
        <v>32</v>
      </c>
      <c r="J272" s="46" t="s">
        <v>414</v>
      </c>
      <c r="K272" s="47">
        <v>2</v>
      </c>
      <c r="L272" s="47">
        <v>1</v>
      </c>
      <c r="M272" s="48">
        <v>0.5</v>
      </c>
      <c r="N272" s="47" t="s">
        <v>309</v>
      </c>
      <c r="O272" s="47" t="s">
        <v>309</v>
      </c>
      <c r="P272" s="47">
        <v>24.94</v>
      </c>
      <c r="Q272" s="49">
        <v>0.15</v>
      </c>
      <c r="R272" s="49">
        <v>6.74</v>
      </c>
      <c r="S272" s="49">
        <v>1</v>
      </c>
      <c r="T272" s="49">
        <v>1</v>
      </c>
      <c r="U272" s="50">
        <v>1</v>
      </c>
      <c r="V272" s="49">
        <v>1</v>
      </c>
      <c r="W272" s="49">
        <v>0</v>
      </c>
      <c r="X272" s="49" t="s">
        <v>35</v>
      </c>
      <c r="Y272" s="51" t="s">
        <v>36</v>
      </c>
    </row>
    <row r="273" spans="1:25" ht="14.4" x14ac:dyDescent="0.3">
      <c r="A273" s="44">
        <v>45924</v>
      </c>
      <c r="B273" s="45">
        <v>45925</v>
      </c>
      <c r="C273" s="46" t="s">
        <v>27</v>
      </c>
      <c r="D273" s="46" t="s">
        <v>28</v>
      </c>
      <c r="E273" s="46" t="s">
        <v>71</v>
      </c>
      <c r="F273" s="46" t="s">
        <v>72</v>
      </c>
      <c r="G273" s="46" t="s">
        <v>31</v>
      </c>
      <c r="H273" s="46" t="s">
        <v>73</v>
      </c>
      <c r="I273" s="46" t="s">
        <v>52</v>
      </c>
      <c r="J273" s="46" t="s">
        <v>162</v>
      </c>
      <c r="K273" s="47">
        <v>217</v>
      </c>
      <c r="L273" s="47">
        <v>4</v>
      </c>
      <c r="M273" s="48">
        <v>1.8433000000000001E-2</v>
      </c>
      <c r="N273" s="47" t="s">
        <v>415</v>
      </c>
      <c r="O273" s="47" t="s">
        <v>416</v>
      </c>
      <c r="P273" s="47">
        <v>24.94</v>
      </c>
      <c r="Q273" s="53">
        <v>0.84</v>
      </c>
      <c r="R273" s="53">
        <v>1.19</v>
      </c>
      <c r="S273" s="53">
        <v>1</v>
      </c>
      <c r="T273" s="53">
        <v>1</v>
      </c>
      <c r="U273" s="54">
        <v>0.25</v>
      </c>
      <c r="V273" s="53">
        <v>1</v>
      </c>
      <c r="W273" s="53">
        <v>0</v>
      </c>
      <c r="X273" s="53" t="s">
        <v>35</v>
      </c>
      <c r="Y273" s="55" t="s">
        <v>36</v>
      </c>
    </row>
    <row r="274" spans="1:25" ht="14.4" x14ac:dyDescent="0.3">
      <c r="A274" s="44">
        <v>45924</v>
      </c>
      <c r="B274" s="45">
        <v>45924</v>
      </c>
      <c r="C274" s="46" t="s">
        <v>27</v>
      </c>
      <c r="D274" s="46" t="s">
        <v>28</v>
      </c>
      <c r="E274" s="46" t="s">
        <v>71</v>
      </c>
      <c r="F274" s="46" t="s">
        <v>72</v>
      </c>
      <c r="G274" s="46" t="s">
        <v>31</v>
      </c>
      <c r="H274" s="46" t="s">
        <v>51</v>
      </c>
      <c r="I274" s="46" t="s">
        <v>52</v>
      </c>
      <c r="J274" s="46" t="s">
        <v>417</v>
      </c>
      <c r="K274" s="47">
        <v>1</v>
      </c>
      <c r="L274" s="47">
        <v>1</v>
      </c>
      <c r="M274" s="48">
        <v>1</v>
      </c>
      <c r="N274" s="47" t="s">
        <v>418</v>
      </c>
      <c r="O274" s="47" t="s">
        <v>418</v>
      </c>
      <c r="P274" s="47">
        <v>24.94</v>
      </c>
      <c r="Q274" s="49">
        <v>0.11</v>
      </c>
      <c r="R274" s="49">
        <v>8.75</v>
      </c>
      <c r="S274" s="49">
        <v>1</v>
      </c>
      <c r="T274" s="49">
        <v>1</v>
      </c>
      <c r="U274" s="50">
        <v>1</v>
      </c>
      <c r="V274" s="49">
        <v>1</v>
      </c>
      <c r="W274" s="49">
        <v>0</v>
      </c>
      <c r="X274" s="49" t="s">
        <v>35</v>
      </c>
      <c r="Y274" s="51" t="s">
        <v>36</v>
      </c>
    </row>
    <row r="275" spans="1:25" ht="14.4" x14ac:dyDescent="0.3">
      <c r="A275" s="44">
        <v>45924</v>
      </c>
      <c r="B275" s="45">
        <v>45925</v>
      </c>
      <c r="C275" s="46" t="s">
        <v>143</v>
      </c>
      <c r="D275" s="46" t="s">
        <v>28</v>
      </c>
      <c r="E275" s="46" t="s">
        <v>144</v>
      </c>
      <c r="F275" s="46" t="s">
        <v>32</v>
      </c>
      <c r="G275" s="46" t="s">
        <v>31</v>
      </c>
      <c r="H275" s="46" t="s">
        <v>173</v>
      </c>
      <c r="I275" s="46" t="s">
        <v>65</v>
      </c>
      <c r="J275" s="46" t="s">
        <v>173</v>
      </c>
      <c r="K275" s="47">
        <v>43</v>
      </c>
      <c r="L275" s="47">
        <v>4</v>
      </c>
      <c r="M275" s="48">
        <v>9.3022999999999995E-2</v>
      </c>
      <c r="N275" s="47" t="s">
        <v>419</v>
      </c>
      <c r="O275" s="47" t="s">
        <v>420</v>
      </c>
      <c r="P275" s="47">
        <v>24.94</v>
      </c>
      <c r="Q275" s="53">
        <v>0.2</v>
      </c>
      <c r="R275" s="53">
        <v>5.1100000000000003</v>
      </c>
      <c r="S275" s="53">
        <v>1</v>
      </c>
      <c r="T275" s="53">
        <v>1</v>
      </c>
      <c r="U275" s="54">
        <v>0.25</v>
      </c>
      <c r="V275" s="53">
        <v>1</v>
      </c>
      <c r="W275" s="53">
        <v>0</v>
      </c>
      <c r="X275" s="53" t="s">
        <v>35</v>
      </c>
      <c r="Y275" s="55" t="s">
        <v>36</v>
      </c>
    </row>
    <row r="276" spans="1:25" ht="14.4" x14ac:dyDescent="0.3">
      <c r="A276" s="44">
        <v>45924</v>
      </c>
      <c r="B276" s="45">
        <v>45924</v>
      </c>
      <c r="C276" s="46" t="s">
        <v>27</v>
      </c>
      <c r="D276" s="46" t="s">
        <v>28</v>
      </c>
      <c r="E276" s="46" t="s">
        <v>71</v>
      </c>
      <c r="F276" s="46" t="s">
        <v>72</v>
      </c>
      <c r="G276" s="46" t="s">
        <v>31</v>
      </c>
      <c r="H276" s="46" t="s">
        <v>73</v>
      </c>
      <c r="I276" s="46" t="s">
        <v>52</v>
      </c>
      <c r="J276" s="46" t="s">
        <v>421</v>
      </c>
      <c r="K276" s="47">
        <v>2</v>
      </c>
      <c r="L276" s="47">
        <v>1</v>
      </c>
      <c r="M276" s="48">
        <v>0.5</v>
      </c>
      <c r="N276" s="47" t="s">
        <v>422</v>
      </c>
      <c r="O276" s="47" t="s">
        <v>422</v>
      </c>
      <c r="P276" s="47">
        <v>24.94</v>
      </c>
      <c r="Q276" s="49">
        <v>0.23</v>
      </c>
      <c r="R276" s="49">
        <v>4.3899999999999997</v>
      </c>
      <c r="S276" s="49">
        <v>1</v>
      </c>
      <c r="T276" s="49">
        <v>1</v>
      </c>
      <c r="U276" s="50">
        <v>1</v>
      </c>
      <c r="V276" s="49">
        <v>1</v>
      </c>
      <c r="W276" s="49">
        <v>0</v>
      </c>
      <c r="X276" s="49" t="s">
        <v>35</v>
      </c>
      <c r="Y276" s="51" t="s">
        <v>36</v>
      </c>
    </row>
    <row r="277" spans="1:25" ht="14.4" x14ac:dyDescent="0.3">
      <c r="A277" s="44">
        <v>45924</v>
      </c>
      <c r="B277" s="45">
        <v>45924</v>
      </c>
      <c r="C277" s="46" t="s">
        <v>85</v>
      </c>
      <c r="D277" s="46" t="s">
        <v>28</v>
      </c>
      <c r="E277" s="46" t="s">
        <v>108</v>
      </c>
      <c r="F277" s="46" t="s">
        <v>109</v>
      </c>
      <c r="G277" s="46" t="s">
        <v>31</v>
      </c>
      <c r="H277" s="46" t="s">
        <v>110</v>
      </c>
      <c r="I277" s="46" t="s">
        <v>44</v>
      </c>
      <c r="J277" s="46" t="s">
        <v>423</v>
      </c>
      <c r="K277" s="47">
        <v>3</v>
      </c>
      <c r="L277" s="47">
        <v>1</v>
      </c>
      <c r="M277" s="48">
        <v>0.33333299999999999</v>
      </c>
      <c r="N277" s="47" t="s">
        <v>424</v>
      </c>
      <c r="O277" s="47" t="s">
        <v>424</v>
      </c>
      <c r="P277" s="47">
        <v>24.94</v>
      </c>
      <c r="Q277" s="53">
        <v>7.0000000000000007E-2</v>
      </c>
      <c r="R277" s="53">
        <v>14.67</v>
      </c>
      <c r="S277" s="53">
        <v>1</v>
      </c>
      <c r="T277" s="53">
        <v>1</v>
      </c>
      <c r="U277" s="54">
        <v>1</v>
      </c>
      <c r="V277" s="53">
        <v>1</v>
      </c>
      <c r="W277" s="53">
        <v>0</v>
      </c>
      <c r="X277" s="53" t="s">
        <v>35</v>
      </c>
      <c r="Y277" s="55" t="s">
        <v>36</v>
      </c>
    </row>
    <row r="278" spans="1:25" ht="14.4" x14ac:dyDescent="0.3">
      <c r="A278" s="44">
        <v>45924</v>
      </c>
      <c r="B278" s="45">
        <v>45925</v>
      </c>
      <c r="C278" s="46" t="s">
        <v>27</v>
      </c>
      <c r="D278" s="46" t="s">
        <v>28</v>
      </c>
      <c r="E278" s="46" t="s">
        <v>71</v>
      </c>
      <c r="F278" s="46" t="s">
        <v>72</v>
      </c>
      <c r="G278" s="46" t="s">
        <v>31</v>
      </c>
      <c r="H278" s="46" t="s">
        <v>51</v>
      </c>
      <c r="I278" s="46" t="s">
        <v>52</v>
      </c>
      <c r="J278" s="46" t="s">
        <v>425</v>
      </c>
      <c r="K278" s="47">
        <v>4</v>
      </c>
      <c r="L278" s="47">
        <v>2</v>
      </c>
      <c r="M278" s="48">
        <v>0.5</v>
      </c>
      <c r="N278" s="47" t="s">
        <v>426</v>
      </c>
      <c r="O278" s="47" t="s">
        <v>427</v>
      </c>
      <c r="P278" s="47">
        <v>24.94</v>
      </c>
      <c r="Q278" s="49">
        <v>0.28999999999999998</v>
      </c>
      <c r="R278" s="49">
        <v>3.39</v>
      </c>
      <c r="S278" s="49">
        <v>1</v>
      </c>
      <c r="T278" s="49">
        <v>1</v>
      </c>
      <c r="U278" s="50">
        <v>0.5</v>
      </c>
      <c r="V278" s="49">
        <v>1</v>
      </c>
      <c r="W278" s="49">
        <v>0</v>
      </c>
      <c r="X278" s="49" t="s">
        <v>35</v>
      </c>
      <c r="Y278" s="51" t="s">
        <v>36</v>
      </c>
    </row>
    <row r="279" spans="1:25" ht="14.4" x14ac:dyDescent="0.3">
      <c r="A279" s="44">
        <v>45924</v>
      </c>
      <c r="B279" s="45">
        <v>45924</v>
      </c>
      <c r="C279" s="46" t="s">
        <v>27</v>
      </c>
      <c r="D279" s="46" t="s">
        <v>28</v>
      </c>
      <c r="E279" s="46" t="s">
        <v>29</v>
      </c>
      <c r="F279" s="46" t="s">
        <v>30</v>
      </c>
      <c r="G279" s="46" t="s">
        <v>31</v>
      </c>
      <c r="H279" s="46" t="s">
        <v>30</v>
      </c>
      <c r="I279" s="46" t="s">
        <v>32</v>
      </c>
      <c r="J279" s="46" t="s">
        <v>428</v>
      </c>
      <c r="K279" s="47">
        <v>5</v>
      </c>
      <c r="L279" s="47">
        <v>2</v>
      </c>
      <c r="M279" s="48">
        <v>0.4</v>
      </c>
      <c r="N279" s="47" t="s">
        <v>429</v>
      </c>
      <c r="O279" s="47" t="s">
        <v>430</v>
      </c>
      <c r="P279" s="47">
        <v>24.94</v>
      </c>
      <c r="Q279" s="53">
        <v>0.21</v>
      </c>
      <c r="R279" s="53">
        <v>4.83</v>
      </c>
      <c r="S279" s="53">
        <v>1</v>
      </c>
      <c r="T279" s="53">
        <v>1</v>
      </c>
      <c r="U279" s="54">
        <v>0.5</v>
      </c>
      <c r="V279" s="53">
        <v>1</v>
      </c>
      <c r="W279" s="53">
        <v>0</v>
      </c>
      <c r="X279" s="53" t="s">
        <v>35</v>
      </c>
      <c r="Y279" s="55" t="s">
        <v>36</v>
      </c>
    </row>
    <row r="280" spans="1:25" ht="14.4" x14ac:dyDescent="0.3">
      <c r="A280" s="44">
        <v>45923</v>
      </c>
      <c r="B280" s="45">
        <v>45923</v>
      </c>
      <c r="C280" s="46" t="s">
        <v>143</v>
      </c>
      <c r="D280" s="46" t="s">
        <v>28</v>
      </c>
      <c r="E280" s="46" t="s">
        <v>144</v>
      </c>
      <c r="F280" s="46" t="s">
        <v>32</v>
      </c>
      <c r="G280" s="46" t="s">
        <v>31</v>
      </c>
      <c r="H280" s="46" t="s">
        <v>30</v>
      </c>
      <c r="I280" s="46" t="s">
        <v>44</v>
      </c>
      <c r="J280" s="46" t="s">
        <v>30</v>
      </c>
      <c r="K280" s="47">
        <v>80</v>
      </c>
      <c r="L280" s="47">
        <v>3</v>
      </c>
      <c r="M280" s="48">
        <v>3.7499999999999999E-2</v>
      </c>
      <c r="N280" s="47" t="s">
        <v>431</v>
      </c>
      <c r="O280" s="47" t="s">
        <v>432</v>
      </c>
      <c r="P280" s="47">
        <v>74.819999999999993</v>
      </c>
      <c r="Q280" s="49">
        <v>0.03</v>
      </c>
      <c r="R280" s="49">
        <v>38.369999999999997</v>
      </c>
      <c r="S280" s="49">
        <v>3</v>
      </c>
      <c r="T280" s="49">
        <v>3</v>
      </c>
      <c r="U280" s="50">
        <v>1</v>
      </c>
      <c r="V280" s="49">
        <v>3</v>
      </c>
      <c r="W280" s="49">
        <v>0</v>
      </c>
      <c r="X280" s="49" t="s">
        <v>93</v>
      </c>
      <c r="Y280" s="51" t="s">
        <v>36</v>
      </c>
    </row>
    <row r="281" spans="1:25" ht="14.4" x14ac:dyDescent="0.3">
      <c r="A281" s="44">
        <v>45923</v>
      </c>
      <c r="B281" s="45">
        <v>45923</v>
      </c>
      <c r="C281" s="46" t="s">
        <v>85</v>
      </c>
      <c r="D281" s="46" t="s">
        <v>28</v>
      </c>
      <c r="E281" s="46" t="s">
        <v>108</v>
      </c>
      <c r="F281" s="46" t="s">
        <v>109</v>
      </c>
      <c r="G281" s="46" t="s">
        <v>31</v>
      </c>
      <c r="H281" s="46" t="s">
        <v>110</v>
      </c>
      <c r="I281" s="46" t="s">
        <v>44</v>
      </c>
      <c r="J281" s="46" t="s">
        <v>111</v>
      </c>
      <c r="K281" s="47">
        <v>1</v>
      </c>
      <c r="L281" s="47">
        <v>1</v>
      </c>
      <c r="M281" s="48">
        <v>1</v>
      </c>
      <c r="N281" s="47" t="s">
        <v>433</v>
      </c>
      <c r="O281" s="47" t="s">
        <v>433</v>
      </c>
      <c r="P281" s="47">
        <v>21.9</v>
      </c>
      <c r="Q281" s="53">
        <v>0.11</v>
      </c>
      <c r="R281" s="53">
        <v>8.8000000000000007</v>
      </c>
      <c r="S281" s="53">
        <v>1</v>
      </c>
      <c r="T281" s="53">
        <v>1</v>
      </c>
      <c r="U281" s="54">
        <v>1</v>
      </c>
      <c r="V281" s="53">
        <v>1</v>
      </c>
      <c r="W281" s="53">
        <v>0</v>
      </c>
      <c r="X281" s="53" t="s">
        <v>55</v>
      </c>
      <c r="Y281" s="55" t="s">
        <v>36</v>
      </c>
    </row>
    <row r="282" spans="1:25" ht="14.4" x14ac:dyDescent="0.3">
      <c r="A282" s="44">
        <v>45923</v>
      </c>
      <c r="B282" s="45">
        <v>45923</v>
      </c>
      <c r="C282" s="46" t="s">
        <v>48</v>
      </c>
      <c r="D282" s="46" t="s">
        <v>28</v>
      </c>
      <c r="E282" s="46" t="s">
        <v>49</v>
      </c>
      <c r="F282" s="46" t="s">
        <v>50</v>
      </c>
      <c r="G282" s="46" t="s">
        <v>31</v>
      </c>
      <c r="H282" s="46" t="s">
        <v>51</v>
      </c>
      <c r="I282" s="46" t="s">
        <v>52</v>
      </c>
      <c r="J282" s="46" t="s">
        <v>434</v>
      </c>
      <c r="K282" s="47">
        <v>10</v>
      </c>
      <c r="L282" s="47">
        <v>1</v>
      </c>
      <c r="M282" s="48">
        <v>0.1</v>
      </c>
      <c r="N282" s="47" t="s">
        <v>435</v>
      </c>
      <c r="O282" s="47" t="s">
        <v>435</v>
      </c>
      <c r="P282" s="47">
        <v>21.9</v>
      </c>
      <c r="Q282" s="49">
        <v>0.09</v>
      </c>
      <c r="R282" s="49">
        <v>11.06</v>
      </c>
      <c r="S282" s="49">
        <v>1</v>
      </c>
      <c r="T282" s="49">
        <v>1</v>
      </c>
      <c r="U282" s="50">
        <v>1</v>
      </c>
      <c r="V282" s="49">
        <v>1</v>
      </c>
      <c r="W282" s="49">
        <v>0</v>
      </c>
      <c r="X282" s="49" t="s">
        <v>55</v>
      </c>
      <c r="Y282" s="51" t="s">
        <v>36</v>
      </c>
    </row>
    <row r="283" spans="1:25" ht="14.4" x14ac:dyDescent="0.3">
      <c r="A283" s="44">
        <v>45923</v>
      </c>
      <c r="B283" s="45">
        <v>45923</v>
      </c>
      <c r="C283" s="46" t="s">
        <v>27</v>
      </c>
      <c r="D283" s="46" t="s">
        <v>28</v>
      </c>
      <c r="E283" s="46" t="s">
        <v>71</v>
      </c>
      <c r="F283" s="46" t="s">
        <v>72</v>
      </c>
      <c r="G283" s="46" t="s">
        <v>31</v>
      </c>
      <c r="H283" s="46" t="s">
        <v>51</v>
      </c>
      <c r="I283" s="46" t="s">
        <v>52</v>
      </c>
      <c r="J283" s="46" t="s">
        <v>436</v>
      </c>
      <c r="K283" s="47">
        <v>1</v>
      </c>
      <c r="L283" s="47">
        <v>1</v>
      </c>
      <c r="M283" s="48">
        <v>1</v>
      </c>
      <c r="N283" s="47" t="s">
        <v>237</v>
      </c>
      <c r="O283" s="47" t="s">
        <v>237</v>
      </c>
      <c r="P283" s="47">
        <v>24.94</v>
      </c>
      <c r="Q283" s="53">
        <v>0.18</v>
      </c>
      <c r="R283" s="53">
        <v>5.64</v>
      </c>
      <c r="S283" s="53">
        <v>1</v>
      </c>
      <c r="T283" s="53">
        <v>1</v>
      </c>
      <c r="U283" s="54">
        <v>1</v>
      </c>
      <c r="V283" s="53">
        <v>1</v>
      </c>
      <c r="W283" s="53">
        <v>0</v>
      </c>
      <c r="X283" s="53" t="s">
        <v>35</v>
      </c>
      <c r="Y283" s="55" t="s">
        <v>36</v>
      </c>
    </row>
    <row r="284" spans="1:25" ht="14.4" x14ac:dyDescent="0.3">
      <c r="A284" s="44">
        <v>45923</v>
      </c>
      <c r="B284" s="45">
        <v>45923</v>
      </c>
      <c r="C284" s="46" t="s">
        <v>27</v>
      </c>
      <c r="D284" s="46" t="s">
        <v>28</v>
      </c>
      <c r="E284" s="46" t="s">
        <v>29</v>
      </c>
      <c r="F284" s="46" t="s">
        <v>30</v>
      </c>
      <c r="G284" s="46" t="s">
        <v>31</v>
      </c>
      <c r="H284" s="46" t="s">
        <v>30</v>
      </c>
      <c r="I284" s="46" t="s">
        <v>32</v>
      </c>
      <c r="J284" s="46" t="s">
        <v>437</v>
      </c>
      <c r="K284" s="47">
        <v>3</v>
      </c>
      <c r="L284" s="47">
        <v>1</v>
      </c>
      <c r="M284" s="48">
        <v>0.33333299999999999</v>
      </c>
      <c r="N284" s="47" t="s">
        <v>309</v>
      </c>
      <c r="O284" s="47" t="s">
        <v>309</v>
      </c>
      <c r="P284" s="47">
        <v>24.94</v>
      </c>
      <c r="Q284" s="49">
        <v>0.15</v>
      </c>
      <c r="R284" s="49">
        <v>6.74</v>
      </c>
      <c r="S284" s="49">
        <v>1</v>
      </c>
      <c r="T284" s="49">
        <v>1</v>
      </c>
      <c r="U284" s="50">
        <v>1</v>
      </c>
      <c r="V284" s="49">
        <v>1</v>
      </c>
      <c r="W284" s="49">
        <v>0</v>
      </c>
      <c r="X284" s="49" t="s">
        <v>35</v>
      </c>
      <c r="Y284" s="51" t="s">
        <v>36</v>
      </c>
    </row>
    <row r="285" spans="1:25" ht="14.4" x14ac:dyDescent="0.3">
      <c r="A285" s="44">
        <v>45923</v>
      </c>
      <c r="B285" s="45">
        <v>45923</v>
      </c>
      <c r="C285" s="46" t="s">
        <v>48</v>
      </c>
      <c r="D285" s="46" t="s">
        <v>28</v>
      </c>
      <c r="E285" s="46" t="s">
        <v>49</v>
      </c>
      <c r="F285" s="46" t="s">
        <v>50</v>
      </c>
      <c r="G285" s="46" t="s">
        <v>31</v>
      </c>
      <c r="H285" s="46" t="s">
        <v>51</v>
      </c>
      <c r="I285" s="46" t="s">
        <v>52</v>
      </c>
      <c r="J285" s="46" t="s">
        <v>438</v>
      </c>
      <c r="K285" s="47">
        <v>1</v>
      </c>
      <c r="L285" s="47">
        <v>1</v>
      </c>
      <c r="M285" s="48">
        <v>1</v>
      </c>
      <c r="N285" s="47" t="s">
        <v>131</v>
      </c>
      <c r="O285" s="47" t="s">
        <v>131</v>
      </c>
      <c r="P285" s="47">
        <v>21.9</v>
      </c>
      <c r="Q285" s="53">
        <v>0.14000000000000001</v>
      </c>
      <c r="R285" s="53">
        <v>7.3</v>
      </c>
      <c r="S285" s="53">
        <v>1</v>
      </c>
      <c r="T285" s="53">
        <v>1</v>
      </c>
      <c r="U285" s="54">
        <v>1</v>
      </c>
      <c r="V285" s="53">
        <v>1</v>
      </c>
      <c r="W285" s="53">
        <v>0</v>
      </c>
      <c r="X285" s="53" t="s">
        <v>55</v>
      </c>
      <c r="Y285" s="55" t="s">
        <v>36</v>
      </c>
    </row>
    <row r="286" spans="1:25" ht="14.4" x14ac:dyDescent="0.3">
      <c r="A286" s="44">
        <v>45922</v>
      </c>
      <c r="B286" s="45">
        <v>45927</v>
      </c>
      <c r="C286" s="46" t="s">
        <v>27</v>
      </c>
      <c r="D286" s="46" t="s">
        <v>28</v>
      </c>
      <c r="E286" s="46" t="s">
        <v>29</v>
      </c>
      <c r="F286" s="46" t="s">
        <v>30</v>
      </c>
      <c r="G286" s="46" t="s">
        <v>31</v>
      </c>
      <c r="H286" s="46" t="s">
        <v>30</v>
      </c>
      <c r="I286" s="46" t="s">
        <v>32</v>
      </c>
      <c r="J286" s="46" t="s">
        <v>30</v>
      </c>
      <c r="K286" s="47">
        <v>1242</v>
      </c>
      <c r="L286" s="47">
        <v>10</v>
      </c>
      <c r="M286" s="48">
        <v>8.0520000000000001E-3</v>
      </c>
      <c r="N286" s="47" t="s">
        <v>75</v>
      </c>
      <c r="O286" s="47" t="s">
        <v>439</v>
      </c>
      <c r="P286" s="47">
        <v>49.88</v>
      </c>
      <c r="Q286" s="49">
        <v>0.72</v>
      </c>
      <c r="R286" s="49">
        <v>1.38</v>
      </c>
      <c r="S286" s="49">
        <v>2</v>
      </c>
      <c r="T286" s="49">
        <v>2</v>
      </c>
      <c r="U286" s="50">
        <v>0.2</v>
      </c>
      <c r="V286" s="49">
        <v>2</v>
      </c>
      <c r="W286" s="49">
        <v>0</v>
      </c>
      <c r="X286" s="49" t="s">
        <v>78</v>
      </c>
      <c r="Y286" s="51" t="s">
        <v>36</v>
      </c>
    </row>
    <row r="287" spans="1:25" ht="14.4" x14ac:dyDescent="0.3">
      <c r="A287" s="44">
        <v>45922</v>
      </c>
      <c r="B287" s="45">
        <v>45922</v>
      </c>
      <c r="C287" s="46" t="s">
        <v>48</v>
      </c>
      <c r="D287" s="46" t="s">
        <v>28</v>
      </c>
      <c r="E287" s="46" t="s">
        <v>62</v>
      </c>
      <c r="F287" s="46" t="s">
        <v>63</v>
      </c>
      <c r="G287" s="46" t="s">
        <v>31</v>
      </c>
      <c r="H287" s="46" t="s">
        <v>68</v>
      </c>
      <c r="I287" s="46" t="s">
        <v>65</v>
      </c>
      <c r="J287" s="46" t="s">
        <v>68</v>
      </c>
      <c r="K287" s="47">
        <v>30</v>
      </c>
      <c r="L287" s="47">
        <v>1</v>
      </c>
      <c r="M287" s="48">
        <v>3.3333000000000002E-2</v>
      </c>
      <c r="N287" s="47" t="s">
        <v>440</v>
      </c>
      <c r="O287" s="47" t="s">
        <v>440</v>
      </c>
      <c r="P287" s="47">
        <v>21.9</v>
      </c>
      <c r="Q287" s="53">
        <v>0.17</v>
      </c>
      <c r="R287" s="53">
        <v>5.86</v>
      </c>
      <c r="S287" s="53">
        <v>1</v>
      </c>
      <c r="T287" s="53">
        <v>1</v>
      </c>
      <c r="U287" s="54">
        <v>1</v>
      </c>
      <c r="V287" s="53">
        <v>1</v>
      </c>
      <c r="W287" s="53">
        <v>0</v>
      </c>
      <c r="X287" s="53" t="s">
        <v>55</v>
      </c>
      <c r="Y287" s="55" t="s">
        <v>36</v>
      </c>
    </row>
    <row r="288" spans="1:25" ht="14.4" x14ac:dyDescent="0.3">
      <c r="A288" s="44">
        <v>45922</v>
      </c>
      <c r="B288" s="45">
        <v>45927</v>
      </c>
      <c r="C288" s="46" t="s">
        <v>27</v>
      </c>
      <c r="D288" s="46" t="s">
        <v>28</v>
      </c>
      <c r="E288" s="46" t="s">
        <v>71</v>
      </c>
      <c r="F288" s="46" t="s">
        <v>72</v>
      </c>
      <c r="G288" s="46" t="s">
        <v>31</v>
      </c>
      <c r="H288" s="46" t="s">
        <v>73</v>
      </c>
      <c r="I288" s="46" t="s">
        <v>52</v>
      </c>
      <c r="J288" s="46" t="s">
        <v>76</v>
      </c>
      <c r="K288" s="47">
        <v>151</v>
      </c>
      <c r="L288" s="47">
        <v>5</v>
      </c>
      <c r="M288" s="48">
        <v>3.3112999999999997E-2</v>
      </c>
      <c r="N288" s="47" t="s">
        <v>441</v>
      </c>
      <c r="O288" s="47" t="s">
        <v>442</v>
      </c>
      <c r="P288" s="47">
        <v>24.94</v>
      </c>
      <c r="Q288" s="49">
        <v>0.86</v>
      </c>
      <c r="R288" s="49">
        <v>1.1599999999999999</v>
      </c>
      <c r="S288" s="49">
        <v>1</v>
      </c>
      <c r="T288" s="49">
        <v>1</v>
      </c>
      <c r="U288" s="50">
        <v>0.2</v>
      </c>
      <c r="V288" s="49">
        <v>1</v>
      </c>
      <c r="W288" s="49">
        <v>0</v>
      </c>
      <c r="X288" s="49" t="s">
        <v>35</v>
      </c>
      <c r="Y288" s="51" t="s">
        <v>36</v>
      </c>
    </row>
    <row r="289" spans="1:25" ht="14.4" x14ac:dyDescent="0.3">
      <c r="A289" s="44">
        <v>45922</v>
      </c>
      <c r="B289" s="45">
        <v>45925</v>
      </c>
      <c r="C289" s="46" t="s">
        <v>48</v>
      </c>
      <c r="D289" s="46" t="s">
        <v>28</v>
      </c>
      <c r="E289" s="46" t="s">
        <v>225</v>
      </c>
      <c r="F289" s="46" t="s">
        <v>226</v>
      </c>
      <c r="G289" s="46" t="s">
        <v>31</v>
      </c>
      <c r="H289" s="46" t="s">
        <v>168</v>
      </c>
      <c r="I289" s="46" t="s">
        <v>32</v>
      </c>
      <c r="J289" s="46" t="s">
        <v>443</v>
      </c>
      <c r="K289" s="47">
        <v>7</v>
      </c>
      <c r="L289" s="47">
        <v>5</v>
      </c>
      <c r="M289" s="48">
        <v>0.71428599999999998</v>
      </c>
      <c r="N289" s="47" t="s">
        <v>444</v>
      </c>
      <c r="O289" s="47" t="s">
        <v>445</v>
      </c>
      <c r="P289" s="47">
        <v>43.8</v>
      </c>
      <c r="Q289" s="53">
        <v>0.45</v>
      </c>
      <c r="R289" s="53">
        <v>2.21</v>
      </c>
      <c r="S289" s="53">
        <v>1</v>
      </c>
      <c r="T289" s="53">
        <v>2</v>
      </c>
      <c r="U289" s="54">
        <v>0.2</v>
      </c>
      <c r="V289" s="53">
        <v>2</v>
      </c>
      <c r="W289" s="53">
        <v>0</v>
      </c>
      <c r="X289" s="53" t="s">
        <v>67</v>
      </c>
      <c r="Y289" s="55" t="s">
        <v>36</v>
      </c>
    </row>
    <row r="290" spans="1:25" ht="14.4" x14ac:dyDescent="0.3">
      <c r="A290" s="44">
        <v>45922</v>
      </c>
      <c r="B290" s="45">
        <v>45925</v>
      </c>
      <c r="C290" s="46" t="s">
        <v>48</v>
      </c>
      <c r="D290" s="46" t="s">
        <v>28</v>
      </c>
      <c r="E290" s="46" t="s">
        <v>446</v>
      </c>
      <c r="F290" s="46" t="s">
        <v>447</v>
      </c>
      <c r="G290" s="46" t="s">
        <v>31</v>
      </c>
      <c r="H290" s="46" t="s">
        <v>448</v>
      </c>
      <c r="I290" s="46" t="s">
        <v>44</v>
      </c>
      <c r="J290" s="46" t="s">
        <v>448</v>
      </c>
      <c r="K290" s="47">
        <v>14</v>
      </c>
      <c r="L290" s="47">
        <v>2</v>
      </c>
      <c r="M290" s="48">
        <v>0.14285700000000001</v>
      </c>
      <c r="N290" s="47" t="s">
        <v>369</v>
      </c>
      <c r="O290" s="47" t="s">
        <v>449</v>
      </c>
      <c r="P290" s="47">
        <v>21.9</v>
      </c>
      <c r="Q290" s="49">
        <v>0.31</v>
      </c>
      <c r="R290" s="49">
        <v>3.23</v>
      </c>
      <c r="S290" s="49">
        <v>1</v>
      </c>
      <c r="T290" s="49">
        <v>1</v>
      </c>
      <c r="U290" s="50">
        <v>0.5</v>
      </c>
      <c r="V290" s="49">
        <v>1</v>
      </c>
      <c r="W290" s="49">
        <v>0</v>
      </c>
      <c r="X290" s="49" t="s">
        <v>55</v>
      </c>
      <c r="Y290" s="51" t="s">
        <v>36</v>
      </c>
    </row>
    <row r="291" spans="1:25" ht="14.4" x14ac:dyDescent="0.3">
      <c r="A291" s="44">
        <v>45922</v>
      </c>
      <c r="B291" s="45">
        <v>45925</v>
      </c>
      <c r="C291" s="46" t="s">
        <v>48</v>
      </c>
      <c r="D291" s="46" t="s">
        <v>28</v>
      </c>
      <c r="E291" s="46" t="s">
        <v>233</v>
      </c>
      <c r="F291" s="46" t="s">
        <v>234</v>
      </c>
      <c r="G291" s="46" t="s">
        <v>31</v>
      </c>
      <c r="H291" s="52" t="s">
        <v>917</v>
      </c>
      <c r="I291" s="46" t="s">
        <v>32</v>
      </c>
      <c r="J291" s="46" t="s">
        <v>450</v>
      </c>
      <c r="K291" s="47">
        <v>5</v>
      </c>
      <c r="L291" s="47">
        <v>2</v>
      </c>
      <c r="M291" s="48">
        <v>0.4</v>
      </c>
      <c r="N291" s="47" t="s">
        <v>388</v>
      </c>
      <c r="O291" s="47" t="s">
        <v>451</v>
      </c>
      <c r="P291" s="47">
        <v>21.9</v>
      </c>
      <c r="Q291" s="53">
        <v>0.28000000000000003</v>
      </c>
      <c r="R291" s="53">
        <v>3.51</v>
      </c>
      <c r="S291" s="53">
        <v>1</v>
      </c>
      <c r="T291" s="53">
        <v>1</v>
      </c>
      <c r="U291" s="54">
        <v>0.5</v>
      </c>
      <c r="V291" s="53">
        <v>1</v>
      </c>
      <c r="W291" s="53">
        <v>0</v>
      </c>
      <c r="X291" s="53" t="s">
        <v>55</v>
      </c>
      <c r="Y291" s="55" t="s">
        <v>36</v>
      </c>
    </row>
    <row r="292" spans="1:25" ht="14.4" x14ac:dyDescent="0.3">
      <c r="A292" s="44">
        <v>45922</v>
      </c>
      <c r="B292" s="45">
        <v>45927</v>
      </c>
      <c r="C292" s="46" t="s">
        <v>48</v>
      </c>
      <c r="D292" s="46" t="s">
        <v>28</v>
      </c>
      <c r="E292" s="46" t="s">
        <v>233</v>
      </c>
      <c r="F292" s="46" t="s">
        <v>234</v>
      </c>
      <c r="G292" s="46" t="s">
        <v>31</v>
      </c>
      <c r="H292" s="52" t="s">
        <v>917</v>
      </c>
      <c r="I292" s="46" t="s">
        <v>32</v>
      </c>
      <c r="J292" s="46" t="s">
        <v>221</v>
      </c>
      <c r="K292" s="47">
        <v>3</v>
      </c>
      <c r="L292" s="47">
        <v>2</v>
      </c>
      <c r="M292" s="48">
        <v>0.66666700000000001</v>
      </c>
      <c r="N292" s="47" t="s">
        <v>311</v>
      </c>
      <c r="O292" s="47" t="s">
        <v>452</v>
      </c>
      <c r="P292" s="47">
        <v>21.9</v>
      </c>
      <c r="Q292" s="49">
        <v>0.37</v>
      </c>
      <c r="R292" s="49">
        <v>2.72</v>
      </c>
      <c r="S292" s="49">
        <v>1</v>
      </c>
      <c r="T292" s="49">
        <v>1</v>
      </c>
      <c r="U292" s="50">
        <v>0.5</v>
      </c>
      <c r="V292" s="49">
        <v>1</v>
      </c>
      <c r="W292" s="49">
        <v>0</v>
      </c>
      <c r="X292" s="49" t="s">
        <v>55</v>
      </c>
      <c r="Y292" s="51" t="s">
        <v>36</v>
      </c>
    </row>
    <row r="293" spans="1:25" ht="14.4" x14ac:dyDescent="0.3">
      <c r="A293" s="44">
        <v>45922</v>
      </c>
      <c r="B293" s="45">
        <v>45926</v>
      </c>
      <c r="C293" s="46" t="s">
        <v>85</v>
      </c>
      <c r="D293" s="46" t="s">
        <v>28</v>
      </c>
      <c r="E293" s="46" t="s">
        <v>86</v>
      </c>
      <c r="F293" s="46" t="s">
        <v>87</v>
      </c>
      <c r="G293" s="46" t="s">
        <v>31</v>
      </c>
      <c r="H293" s="46" t="s">
        <v>87</v>
      </c>
      <c r="I293" s="46" t="s">
        <v>44</v>
      </c>
      <c r="J293" s="46" t="s">
        <v>308</v>
      </c>
      <c r="K293" s="47">
        <v>13</v>
      </c>
      <c r="L293" s="47">
        <v>4</v>
      </c>
      <c r="M293" s="48">
        <v>0.30769200000000002</v>
      </c>
      <c r="N293" s="47" t="s">
        <v>453</v>
      </c>
      <c r="O293" s="47" t="s">
        <v>454</v>
      </c>
      <c r="P293" s="47">
        <v>21.9</v>
      </c>
      <c r="Q293" s="53">
        <v>0.83</v>
      </c>
      <c r="R293" s="53">
        <v>1.21</v>
      </c>
      <c r="S293" s="53">
        <v>1</v>
      </c>
      <c r="T293" s="53">
        <v>1</v>
      </c>
      <c r="U293" s="54">
        <v>0.25</v>
      </c>
      <c r="V293" s="53">
        <v>1</v>
      </c>
      <c r="W293" s="53">
        <v>0</v>
      </c>
      <c r="X293" s="53" t="s">
        <v>55</v>
      </c>
      <c r="Y293" s="55" t="s">
        <v>36</v>
      </c>
    </row>
    <row r="294" spans="1:25" ht="14.4" x14ac:dyDescent="0.3">
      <c r="A294" s="44">
        <v>45921</v>
      </c>
      <c r="B294" s="45">
        <v>45926</v>
      </c>
      <c r="C294" s="46" t="s">
        <v>48</v>
      </c>
      <c r="D294" s="46" t="s">
        <v>28</v>
      </c>
      <c r="E294" s="46" t="s">
        <v>62</v>
      </c>
      <c r="F294" s="46" t="s">
        <v>63</v>
      </c>
      <c r="G294" s="46" t="s">
        <v>31</v>
      </c>
      <c r="H294" s="46" t="s">
        <v>68</v>
      </c>
      <c r="I294" s="46" t="s">
        <v>65</v>
      </c>
      <c r="J294" s="46" t="s">
        <v>69</v>
      </c>
      <c r="K294" s="47">
        <v>112</v>
      </c>
      <c r="L294" s="47">
        <v>7</v>
      </c>
      <c r="M294" s="48">
        <v>6.25E-2</v>
      </c>
      <c r="N294" s="47" t="s">
        <v>455</v>
      </c>
      <c r="O294" s="47" t="s">
        <v>456</v>
      </c>
      <c r="P294" s="47">
        <v>21.9</v>
      </c>
      <c r="Q294" s="49">
        <v>1.1599999999999999</v>
      </c>
      <c r="R294" s="49">
        <v>0.86</v>
      </c>
      <c r="S294" s="49">
        <v>1</v>
      </c>
      <c r="T294" s="49">
        <v>1</v>
      </c>
      <c r="U294" s="50">
        <v>0.14285700000000001</v>
      </c>
      <c r="V294" s="49">
        <v>1</v>
      </c>
      <c r="W294" s="49">
        <v>0</v>
      </c>
      <c r="X294" s="49" t="s">
        <v>55</v>
      </c>
      <c r="Y294" s="51" t="s">
        <v>36</v>
      </c>
    </row>
    <row r="295" spans="1:25" ht="14.4" x14ac:dyDescent="0.3">
      <c r="A295" s="44">
        <v>45921</v>
      </c>
      <c r="B295" s="45">
        <v>45921</v>
      </c>
      <c r="C295" s="46" t="s">
        <v>27</v>
      </c>
      <c r="D295" s="46" t="s">
        <v>28</v>
      </c>
      <c r="E295" s="46" t="s">
        <v>71</v>
      </c>
      <c r="F295" s="46" t="s">
        <v>72</v>
      </c>
      <c r="G295" s="46" t="s">
        <v>31</v>
      </c>
      <c r="H295" s="46" t="s">
        <v>73</v>
      </c>
      <c r="I295" s="46" t="s">
        <v>52</v>
      </c>
      <c r="J295" s="46" t="s">
        <v>457</v>
      </c>
      <c r="K295" s="47">
        <v>2</v>
      </c>
      <c r="L295" s="47">
        <v>1</v>
      </c>
      <c r="M295" s="48">
        <v>0.5</v>
      </c>
      <c r="N295" s="47" t="s">
        <v>128</v>
      </c>
      <c r="O295" s="47" t="s">
        <v>128</v>
      </c>
      <c r="P295" s="47">
        <v>24.94</v>
      </c>
      <c r="Q295" s="53">
        <v>0.16</v>
      </c>
      <c r="R295" s="53">
        <v>6.27</v>
      </c>
      <c r="S295" s="53">
        <v>1</v>
      </c>
      <c r="T295" s="53">
        <v>1</v>
      </c>
      <c r="U295" s="54">
        <v>1</v>
      </c>
      <c r="V295" s="53">
        <v>1</v>
      </c>
      <c r="W295" s="53">
        <v>0</v>
      </c>
      <c r="X295" s="53" t="s">
        <v>35</v>
      </c>
      <c r="Y295" s="55" t="s">
        <v>36</v>
      </c>
    </row>
    <row r="296" spans="1:25" ht="14.4" x14ac:dyDescent="0.3">
      <c r="A296" s="44">
        <v>45921</v>
      </c>
      <c r="B296" s="45">
        <v>45927</v>
      </c>
      <c r="C296" s="46" t="s">
        <v>27</v>
      </c>
      <c r="D296" s="46" t="s">
        <v>28</v>
      </c>
      <c r="E296" s="46" t="s">
        <v>71</v>
      </c>
      <c r="F296" s="46" t="s">
        <v>72</v>
      </c>
      <c r="G296" s="46" t="s">
        <v>31</v>
      </c>
      <c r="H296" s="46" t="s">
        <v>51</v>
      </c>
      <c r="I296" s="46" t="s">
        <v>52</v>
      </c>
      <c r="J296" s="46" t="s">
        <v>145</v>
      </c>
      <c r="K296" s="47">
        <v>616</v>
      </c>
      <c r="L296" s="47">
        <v>8</v>
      </c>
      <c r="M296" s="48">
        <v>1.2987E-2</v>
      </c>
      <c r="N296" s="47" t="s">
        <v>458</v>
      </c>
      <c r="O296" s="47" t="s">
        <v>459</v>
      </c>
      <c r="P296" s="47">
        <v>99.76</v>
      </c>
      <c r="Q296" s="49">
        <v>0.23</v>
      </c>
      <c r="R296" s="49">
        <v>4.32</v>
      </c>
      <c r="S296" s="49">
        <v>4</v>
      </c>
      <c r="T296" s="49">
        <v>4</v>
      </c>
      <c r="U296" s="50">
        <v>0.5</v>
      </c>
      <c r="V296" s="49">
        <v>4</v>
      </c>
      <c r="W296" s="49">
        <v>0</v>
      </c>
      <c r="X296" s="49" t="s">
        <v>47</v>
      </c>
      <c r="Y296" s="51" t="s">
        <v>36</v>
      </c>
    </row>
    <row r="297" spans="1:25" ht="14.4" x14ac:dyDescent="0.3">
      <c r="A297" s="44">
        <v>45921</v>
      </c>
      <c r="B297" s="45">
        <v>45921</v>
      </c>
      <c r="C297" s="46" t="s">
        <v>48</v>
      </c>
      <c r="D297" s="46" t="s">
        <v>28</v>
      </c>
      <c r="E297" s="46" t="s">
        <v>233</v>
      </c>
      <c r="F297" s="46" t="s">
        <v>234</v>
      </c>
      <c r="G297" s="46" t="s">
        <v>31</v>
      </c>
      <c r="H297" s="46" t="s">
        <v>153</v>
      </c>
      <c r="I297" s="46" t="s">
        <v>32</v>
      </c>
      <c r="J297" s="46" t="s">
        <v>460</v>
      </c>
      <c r="K297" s="47">
        <v>40</v>
      </c>
      <c r="L297" s="47">
        <v>1</v>
      </c>
      <c r="M297" s="48">
        <v>2.5000000000000001E-2</v>
      </c>
      <c r="N297" s="47" t="s">
        <v>461</v>
      </c>
      <c r="O297" s="47" t="s">
        <v>461</v>
      </c>
      <c r="P297" s="47">
        <v>21.9</v>
      </c>
      <c r="Q297" s="53">
        <v>0.08</v>
      </c>
      <c r="R297" s="53">
        <v>11.77</v>
      </c>
      <c r="S297" s="53">
        <v>1</v>
      </c>
      <c r="T297" s="53">
        <v>1</v>
      </c>
      <c r="U297" s="54">
        <v>1</v>
      </c>
      <c r="V297" s="53">
        <v>1</v>
      </c>
      <c r="W297" s="53">
        <v>0</v>
      </c>
      <c r="X297" s="53" t="s">
        <v>55</v>
      </c>
      <c r="Y297" s="55" t="s">
        <v>36</v>
      </c>
    </row>
    <row r="298" spans="1:25" ht="14.4" x14ac:dyDescent="0.3">
      <c r="A298" s="44">
        <v>45921</v>
      </c>
      <c r="B298" s="45">
        <v>45927</v>
      </c>
      <c r="C298" s="46" t="s">
        <v>27</v>
      </c>
      <c r="D298" s="46" t="s">
        <v>28</v>
      </c>
      <c r="E298" s="46" t="s">
        <v>56</v>
      </c>
      <c r="F298" s="46" t="s">
        <v>57</v>
      </c>
      <c r="G298" s="46" t="s">
        <v>31</v>
      </c>
      <c r="H298" s="52" t="e">
        <f>+maca +root</f>
        <v>#NAME?</v>
      </c>
      <c r="I298" s="46" t="s">
        <v>32</v>
      </c>
      <c r="J298" s="46" t="s">
        <v>119</v>
      </c>
      <c r="K298" s="47">
        <v>4913</v>
      </c>
      <c r="L298" s="47">
        <v>57</v>
      </c>
      <c r="M298" s="48">
        <v>1.1601999999999999E-2</v>
      </c>
      <c r="N298" s="47" t="s">
        <v>210</v>
      </c>
      <c r="O298" s="47" t="s">
        <v>462</v>
      </c>
      <c r="P298" s="47">
        <v>97.32</v>
      </c>
      <c r="Q298" s="49">
        <v>1.84</v>
      </c>
      <c r="R298" s="49">
        <v>0.54</v>
      </c>
      <c r="S298" s="49">
        <v>4</v>
      </c>
      <c r="T298" s="49">
        <v>4</v>
      </c>
      <c r="U298" s="50">
        <v>7.0175000000000001E-2</v>
      </c>
      <c r="V298" s="49">
        <v>4</v>
      </c>
      <c r="W298" s="49">
        <v>0</v>
      </c>
      <c r="X298" s="49" t="s">
        <v>463</v>
      </c>
      <c r="Y298" s="51" t="s">
        <v>36</v>
      </c>
    </row>
    <row r="299" spans="1:25" ht="14.4" x14ac:dyDescent="0.3">
      <c r="A299" s="44">
        <v>45921</v>
      </c>
      <c r="B299" s="45">
        <v>45927</v>
      </c>
      <c r="C299" s="46" t="s">
        <v>40</v>
      </c>
      <c r="D299" s="46" t="s">
        <v>28</v>
      </c>
      <c r="E299" s="46" t="s">
        <v>41</v>
      </c>
      <c r="F299" s="46" t="s">
        <v>42</v>
      </c>
      <c r="G299" s="46" t="s">
        <v>31</v>
      </c>
      <c r="H299" s="46" t="s">
        <v>43</v>
      </c>
      <c r="I299" s="46" t="s">
        <v>44</v>
      </c>
      <c r="J299" s="46" t="s">
        <v>60</v>
      </c>
      <c r="K299" s="47">
        <v>59</v>
      </c>
      <c r="L299" s="47">
        <v>7</v>
      </c>
      <c r="M299" s="48">
        <v>0.118644</v>
      </c>
      <c r="N299" s="47" t="s">
        <v>295</v>
      </c>
      <c r="O299" s="47" t="s">
        <v>464</v>
      </c>
      <c r="P299" s="47">
        <v>49.88</v>
      </c>
      <c r="Q299" s="53">
        <v>0.43</v>
      </c>
      <c r="R299" s="53">
        <v>2.3199999999999998</v>
      </c>
      <c r="S299" s="53">
        <v>2</v>
      </c>
      <c r="T299" s="53">
        <v>2</v>
      </c>
      <c r="U299" s="54">
        <v>0.28571400000000002</v>
      </c>
      <c r="V299" s="53">
        <v>2</v>
      </c>
      <c r="W299" s="53">
        <v>0</v>
      </c>
      <c r="X299" s="53" t="s">
        <v>78</v>
      </c>
      <c r="Y299" s="55" t="s">
        <v>36</v>
      </c>
    </row>
    <row r="300" spans="1:25" ht="14.4" x14ac:dyDescent="0.3">
      <c r="A300" s="44">
        <v>45921</v>
      </c>
      <c r="B300" s="45">
        <v>45926</v>
      </c>
      <c r="C300" s="46" t="s">
        <v>27</v>
      </c>
      <c r="D300" s="46" t="s">
        <v>28</v>
      </c>
      <c r="E300" s="46" t="s">
        <v>71</v>
      </c>
      <c r="F300" s="46" t="s">
        <v>72</v>
      </c>
      <c r="G300" s="46" t="s">
        <v>31</v>
      </c>
      <c r="H300" s="46" t="s">
        <v>73</v>
      </c>
      <c r="I300" s="46" t="s">
        <v>52</v>
      </c>
      <c r="J300" s="46" t="s">
        <v>43</v>
      </c>
      <c r="K300" s="47">
        <v>43</v>
      </c>
      <c r="L300" s="47">
        <v>4</v>
      </c>
      <c r="M300" s="48">
        <v>9.3022999999999995E-2</v>
      </c>
      <c r="N300" s="47" t="s">
        <v>90</v>
      </c>
      <c r="O300" s="47" t="s">
        <v>465</v>
      </c>
      <c r="P300" s="47">
        <v>49.88</v>
      </c>
      <c r="Q300" s="49">
        <v>0.27</v>
      </c>
      <c r="R300" s="49">
        <v>3.66</v>
      </c>
      <c r="S300" s="49">
        <v>2</v>
      </c>
      <c r="T300" s="49">
        <v>2</v>
      </c>
      <c r="U300" s="50">
        <v>0.5</v>
      </c>
      <c r="V300" s="49">
        <v>2</v>
      </c>
      <c r="W300" s="49">
        <v>0</v>
      </c>
      <c r="X300" s="49" t="s">
        <v>78</v>
      </c>
      <c r="Y300" s="51" t="s">
        <v>36</v>
      </c>
    </row>
    <row r="301" spans="1:25" ht="14.4" x14ac:dyDescent="0.3">
      <c r="A301" s="44">
        <v>45921</v>
      </c>
      <c r="B301" s="45">
        <v>45927</v>
      </c>
      <c r="C301" s="46" t="s">
        <v>40</v>
      </c>
      <c r="D301" s="46" t="s">
        <v>28</v>
      </c>
      <c r="E301" s="46" t="s">
        <v>41</v>
      </c>
      <c r="F301" s="46" t="s">
        <v>42</v>
      </c>
      <c r="G301" s="46" t="s">
        <v>31</v>
      </c>
      <c r="H301" s="46" t="s">
        <v>43</v>
      </c>
      <c r="I301" s="46" t="s">
        <v>44</v>
      </c>
      <c r="J301" s="46" t="s">
        <v>43</v>
      </c>
      <c r="K301" s="47">
        <v>560</v>
      </c>
      <c r="L301" s="47">
        <v>17</v>
      </c>
      <c r="M301" s="48">
        <v>3.0356999999999999E-2</v>
      </c>
      <c r="N301" s="47" t="s">
        <v>34</v>
      </c>
      <c r="O301" s="47" t="s">
        <v>466</v>
      </c>
      <c r="P301" s="47">
        <v>122.26</v>
      </c>
      <c r="Q301" s="53">
        <v>0.39</v>
      </c>
      <c r="R301" s="53">
        <v>2.54</v>
      </c>
      <c r="S301" s="53">
        <v>5</v>
      </c>
      <c r="T301" s="53">
        <v>5</v>
      </c>
      <c r="U301" s="54">
        <v>0.29411799999999999</v>
      </c>
      <c r="V301" s="53">
        <v>5</v>
      </c>
      <c r="W301" s="53">
        <v>0</v>
      </c>
      <c r="X301" s="53" t="s">
        <v>467</v>
      </c>
      <c r="Y301" s="55" t="s">
        <v>36</v>
      </c>
    </row>
    <row r="302" spans="1:25" ht="14.4" x14ac:dyDescent="0.3">
      <c r="A302" s="44">
        <v>45921</v>
      </c>
      <c r="B302" s="45">
        <v>45927</v>
      </c>
      <c r="C302" s="46" t="s">
        <v>27</v>
      </c>
      <c r="D302" s="46" t="s">
        <v>28</v>
      </c>
      <c r="E302" s="46" t="s">
        <v>71</v>
      </c>
      <c r="F302" s="46" t="s">
        <v>72</v>
      </c>
      <c r="G302" s="46" t="s">
        <v>31</v>
      </c>
      <c r="H302" s="46" t="s">
        <v>73</v>
      </c>
      <c r="I302" s="46" t="s">
        <v>52</v>
      </c>
      <c r="J302" s="46" t="s">
        <v>101</v>
      </c>
      <c r="K302" s="47">
        <v>279</v>
      </c>
      <c r="L302" s="47">
        <v>6</v>
      </c>
      <c r="M302" s="48">
        <v>2.1505E-2</v>
      </c>
      <c r="N302" s="47" t="s">
        <v>468</v>
      </c>
      <c r="O302" s="47" t="s">
        <v>469</v>
      </c>
      <c r="P302" s="47">
        <v>49.88</v>
      </c>
      <c r="Q302" s="49">
        <v>0.54</v>
      </c>
      <c r="R302" s="49">
        <v>1.86</v>
      </c>
      <c r="S302" s="49">
        <v>2</v>
      </c>
      <c r="T302" s="49">
        <v>2</v>
      </c>
      <c r="U302" s="50">
        <v>0.33333299999999999</v>
      </c>
      <c r="V302" s="49">
        <v>2</v>
      </c>
      <c r="W302" s="49">
        <v>0</v>
      </c>
      <c r="X302" s="49" t="s">
        <v>78</v>
      </c>
      <c r="Y302" s="51" t="s">
        <v>36</v>
      </c>
    </row>
    <row r="303" spans="1:25" ht="14.4" x14ac:dyDescent="0.3">
      <c r="A303" s="44">
        <v>45921</v>
      </c>
      <c r="B303" s="45">
        <v>45921</v>
      </c>
      <c r="C303" s="46" t="s">
        <v>48</v>
      </c>
      <c r="D303" s="46" t="s">
        <v>28</v>
      </c>
      <c r="E303" s="46" t="s">
        <v>49</v>
      </c>
      <c r="F303" s="46" t="s">
        <v>50</v>
      </c>
      <c r="G303" s="46" t="s">
        <v>31</v>
      </c>
      <c r="H303" s="46" t="s">
        <v>51</v>
      </c>
      <c r="I303" s="46" t="s">
        <v>52</v>
      </c>
      <c r="J303" s="46" t="s">
        <v>470</v>
      </c>
      <c r="K303" s="47">
        <v>1</v>
      </c>
      <c r="L303" s="47">
        <v>1</v>
      </c>
      <c r="M303" s="48">
        <v>1</v>
      </c>
      <c r="N303" s="47" t="s">
        <v>236</v>
      </c>
      <c r="O303" s="47" t="s">
        <v>236</v>
      </c>
      <c r="P303" s="47">
        <v>21.9</v>
      </c>
      <c r="Q303" s="53">
        <v>0.09</v>
      </c>
      <c r="R303" s="53">
        <v>10.95</v>
      </c>
      <c r="S303" s="53">
        <v>1</v>
      </c>
      <c r="T303" s="53">
        <v>1</v>
      </c>
      <c r="U303" s="54">
        <v>1</v>
      </c>
      <c r="V303" s="53">
        <v>1</v>
      </c>
      <c r="W303" s="53">
        <v>0</v>
      </c>
      <c r="X303" s="53" t="s">
        <v>55</v>
      </c>
      <c r="Y303" s="55" t="s">
        <v>36</v>
      </c>
    </row>
    <row r="304" spans="1:25" ht="14.4" x14ac:dyDescent="0.3">
      <c r="A304" s="44">
        <v>45921</v>
      </c>
      <c r="B304" s="45">
        <v>45926</v>
      </c>
      <c r="C304" s="46" t="s">
        <v>48</v>
      </c>
      <c r="D304" s="46" t="s">
        <v>28</v>
      </c>
      <c r="E304" s="46" t="s">
        <v>233</v>
      </c>
      <c r="F304" s="46" t="s">
        <v>234</v>
      </c>
      <c r="G304" s="46" t="s">
        <v>31</v>
      </c>
      <c r="H304" s="46" t="s">
        <v>223</v>
      </c>
      <c r="I304" s="46" t="s">
        <v>32</v>
      </c>
      <c r="J304" s="46" t="s">
        <v>471</v>
      </c>
      <c r="K304" s="47">
        <v>107</v>
      </c>
      <c r="L304" s="47">
        <v>7</v>
      </c>
      <c r="M304" s="48">
        <v>6.5421000000000007E-2</v>
      </c>
      <c r="N304" s="47" t="s">
        <v>128</v>
      </c>
      <c r="O304" s="47" t="s">
        <v>472</v>
      </c>
      <c r="P304" s="47">
        <v>21.9</v>
      </c>
      <c r="Q304" s="49">
        <v>1.27</v>
      </c>
      <c r="R304" s="49">
        <v>0.79</v>
      </c>
      <c r="S304" s="49">
        <v>1</v>
      </c>
      <c r="T304" s="49">
        <v>1</v>
      </c>
      <c r="U304" s="50">
        <v>0.14285700000000001</v>
      </c>
      <c r="V304" s="49">
        <v>1</v>
      </c>
      <c r="W304" s="49">
        <v>0</v>
      </c>
      <c r="X304" s="49" t="s">
        <v>55</v>
      </c>
      <c r="Y304" s="51" t="s">
        <v>36</v>
      </c>
    </row>
    <row r="305" spans="1:27" ht="14.4" x14ac:dyDescent="0.3">
      <c r="A305" s="44">
        <v>45921</v>
      </c>
      <c r="B305" s="45">
        <v>45921</v>
      </c>
      <c r="C305" s="46" t="s">
        <v>48</v>
      </c>
      <c r="D305" s="46" t="s">
        <v>28</v>
      </c>
      <c r="E305" s="46" t="s">
        <v>225</v>
      </c>
      <c r="F305" s="46" t="s">
        <v>226</v>
      </c>
      <c r="G305" s="46" t="s">
        <v>31</v>
      </c>
      <c r="H305" s="46" t="s">
        <v>168</v>
      </c>
      <c r="I305" s="46" t="s">
        <v>32</v>
      </c>
      <c r="J305" s="46" t="s">
        <v>473</v>
      </c>
      <c r="K305" s="47">
        <v>2</v>
      </c>
      <c r="L305" s="47">
        <v>1</v>
      </c>
      <c r="M305" s="48">
        <v>0.5</v>
      </c>
      <c r="N305" s="47" t="s">
        <v>350</v>
      </c>
      <c r="O305" s="47" t="s">
        <v>350</v>
      </c>
      <c r="P305" s="47">
        <v>21.9</v>
      </c>
      <c r="Q305" s="53">
        <v>0.13</v>
      </c>
      <c r="R305" s="53">
        <v>7.77</v>
      </c>
      <c r="S305" s="53">
        <v>1</v>
      </c>
      <c r="T305" s="53">
        <v>1</v>
      </c>
      <c r="U305" s="54">
        <v>1</v>
      </c>
      <c r="V305" s="53">
        <v>1</v>
      </c>
      <c r="W305" s="53">
        <v>0</v>
      </c>
      <c r="X305" s="53" t="s">
        <v>55</v>
      </c>
      <c r="Y305" s="55" t="s">
        <v>36</v>
      </c>
    </row>
    <row r="306" spans="1:27" ht="14.4" x14ac:dyDescent="0.3">
      <c r="A306" s="56">
        <v>45920</v>
      </c>
      <c r="B306" s="57">
        <v>45920</v>
      </c>
      <c r="C306" s="58" t="s">
        <v>27</v>
      </c>
      <c r="D306" s="58" t="s">
        <v>28</v>
      </c>
      <c r="E306" s="58" t="s">
        <v>71</v>
      </c>
      <c r="F306" s="58" t="s">
        <v>72</v>
      </c>
      <c r="G306" s="58" t="s">
        <v>31</v>
      </c>
      <c r="H306" s="58" t="s">
        <v>73</v>
      </c>
      <c r="I306" s="58" t="s">
        <v>52</v>
      </c>
      <c r="J306" s="58" t="s">
        <v>74</v>
      </c>
      <c r="K306" s="59">
        <v>7</v>
      </c>
      <c r="L306" s="59">
        <v>2</v>
      </c>
      <c r="M306" s="60">
        <v>0.28571400000000002</v>
      </c>
      <c r="N306" s="59" t="s">
        <v>474</v>
      </c>
      <c r="O306" s="59" t="s">
        <v>475</v>
      </c>
      <c r="P306" s="59">
        <v>24.94</v>
      </c>
      <c r="Q306" s="61">
        <v>31.96</v>
      </c>
      <c r="R306" s="61">
        <v>3.13</v>
      </c>
      <c r="S306" s="61">
        <v>1</v>
      </c>
      <c r="T306" s="61">
        <v>1</v>
      </c>
      <c r="U306" s="62">
        <v>0.5</v>
      </c>
      <c r="V306" s="61">
        <v>1</v>
      </c>
      <c r="W306" s="61">
        <v>0</v>
      </c>
      <c r="X306" s="61" t="s">
        <v>35</v>
      </c>
      <c r="Y306" s="63" t="s">
        <v>36</v>
      </c>
      <c r="Z306" s="64"/>
      <c r="AA306" s="64"/>
    </row>
    <row r="307" spans="1:27" ht="14.4" x14ac:dyDescent="0.3">
      <c r="A307" s="56">
        <v>45920</v>
      </c>
      <c r="B307" s="57">
        <v>45920</v>
      </c>
      <c r="C307" s="58" t="s">
        <v>27</v>
      </c>
      <c r="D307" s="58" t="s">
        <v>28</v>
      </c>
      <c r="E307" s="58" t="s">
        <v>56</v>
      </c>
      <c r="F307" s="58" t="s">
        <v>57</v>
      </c>
      <c r="G307" s="58" t="s">
        <v>31</v>
      </c>
      <c r="H307" s="65" t="e">
        <f>+maca +root</f>
        <v>#NAME?</v>
      </c>
      <c r="I307" s="58" t="s">
        <v>32</v>
      </c>
      <c r="J307" s="58" t="s">
        <v>476</v>
      </c>
      <c r="K307" s="59">
        <v>1</v>
      </c>
      <c r="L307" s="59">
        <v>1</v>
      </c>
      <c r="M307" s="60">
        <v>1</v>
      </c>
      <c r="N307" s="59" t="s">
        <v>210</v>
      </c>
      <c r="O307" s="59" t="s">
        <v>210</v>
      </c>
      <c r="P307" s="59">
        <v>24.94</v>
      </c>
      <c r="Q307" s="66">
        <v>12.63</v>
      </c>
      <c r="R307" s="66">
        <v>7.92</v>
      </c>
      <c r="S307" s="66">
        <v>1</v>
      </c>
      <c r="T307" s="66">
        <v>1</v>
      </c>
      <c r="U307" s="67">
        <v>1</v>
      </c>
      <c r="V307" s="66">
        <v>1</v>
      </c>
      <c r="W307" s="66">
        <v>0</v>
      </c>
      <c r="X307" s="66" t="s">
        <v>35</v>
      </c>
      <c r="Y307" s="68" t="s">
        <v>36</v>
      </c>
      <c r="Z307" s="64"/>
      <c r="AA307" s="64"/>
    </row>
    <row r="308" spans="1:27" ht="14.4" x14ac:dyDescent="0.3">
      <c r="A308" s="56">
        <v>45920</v>
      </c>
      <c r="B308" s="57">
        <v>45920</v>
      </c>
      <c r="C308" s="58" t="s">
        <v>27</v>
      </c>
      <c r="D308" s="58" t="s">
        <v>28</v>
      </c>
      <c r="E308" s="58" t="s">
        <v>71</v>
      </c>
      <c r="F308" s="58" t="s">
        <v>72</v>
      </c>
      <c r="G308" s="58" t="s">
        <v>31</v>
      </c>
      <c r="H308" s="58" t="s">
        <v>51</v>
      </c>
      <c r="I308" s="58" t="s">
        <v>52</v>
      </c>
      <c r="J308" s="58" t="s">
        <v>477</v>
      </c>
      <c r="K308" s="59">
        <v>1</v>
      </c>
      <c r="L308" s="59">
        <v>1</v>
      </c>
      <c r="M308" s="60">
        <v>1</v>
      </c>
      <c r="N308" s="59" t="s">
        <v>371</v>
      </c>
      <c r="O308" s="59" t="s">
        <v>371</v>
      </c>
      <c r="P308" s="59">
        <v>24.94</v>
      </c>
      <c r="Q308" s="61">
        <v>12.67</v>
      </c>
      <c r="R308" s="61">
        <v>7.89</v>
      </c>
      <c r="S308" s="61">
        <v>1</v>
      </c>
      <c r="T308" s="61">
        <v>1</v>
      </c>
      <c r="U308" s="62">
        <v>1</v>
      </c>
      <c r="V308" s="61">
        <v>1</v>
      </c>
      <c r="W308" s="61">
        <v>0</v>
      </c>
      <c r="X308" s="61" t="s">
        <v>35</v>
      </c>
      <c r="Y308" s="63" t="s">
        <v>36</v>
      </c>
      <c r="Z308" s="64"/>
      <c r="AA308" s="64"/>
    </row>
    <row r="309" spans="1:27" ht="14.4" x14ac:dyDescent="0.3">
      <c r="A309" s="56">
        <v>45920</v>
      </c>
      <c r="B309" s="57">
        <v>45920</v>
      </c>
      <c r="C309" s="58" t="s">
        <v>48</v>
      </c>
      <c r="D309" s="58" t="s">
        <v>28</v>
      </c>
      <c r="E309" s="58" t="s">
        <v>233</v>
      </c>
      <c r="F309" s="58" t="s">
        <v>234</v>
      </c>
      <c r="G309" s="58" t="s">
        <v>31</v>
      </c>
      <c r="H309" s="58" t="s">
        <v>223</v>
      </c>
      <c r="I309" s="58" t="s">
        <v>32</v>
      </c>
      <c r="J309" s="58" t="s">
        <v>478</v>
      </c>
      <c r="K309" s="59">
        <v>1</v>
      </c>
      <c r="L309" s="59">
        <v>1</v>
      </c>
      <c r="M309" s="60">
        <v>1</v>
      </c>
      <c r="N309" s="59" t="s">
        <v>479</v>
      </c>
      <c r="O309" s="59" t="s">
        <v>479</v>
      </c>
      <c r="P309" s="59">
        <v>21.9</v>
      </c>
      <c r="Q309" s="66">
        <v>13.38</v>
      </c>
      <c r="R309" s="66">
        <v>7.47</v>
      </c>
      <c r="S309" s="66">
        <v>1</v>
      </c>
      <c r="T309" s="66">
        <v>1</v>
      </c>
      <c r="U309" s="67">
        <v>1</v>
      </c>
      <c r="V309" s="66">
        <v>1</v>
      </c>
      <c r="W309" s="66">
        <v>0</v>
      </c>
      <c r="X309" s="66" t="s">
        <v>55</v>
      </c>
      <c r="Y309" s="68" t="s">
        <v>36</v>
      </c>
      <c r="Z309" s="64"/>
      <c r="AA309" s="64"/>
    </row>
    <row r="310" spans="1:27" ht="14.4" x14ac:dyDescent="0.3">
      <c r="A310" s="56">
        <v>45919</v>
      </c>
      <c r="B310" s="57">
        <v>45919</v>
      </c>
      <c r="C310" s="58" t="s">
        <v>27</v>
      </c>
      <c r="D310" s="58" t="s">
        <v>28</v>
      </c>
      <c r="E310" s="58" t="s">
        <v>71</v>
      </c>
      <c r="F310" s="58" t="s">
        <v>72</v>
      </c>
      <c r="G310" s="58" t="s">
        <v>31</v>
      </c>
      <c r="H310" s="58" t="s">
        <v>73</v>
      </c>
      <c r="I310" s="58" t="s">
        <v>52</v>
      </c>
      <c r="J310" s="58" t="s">
        <v>480</v>
      </c>
      <c r="K310" s="59">
        <v>4</v>
      </c>
      <c r="L310" s="59">
        <v>1</v>
      </c>
      <c r="M310" s="60">
        <v>0.25</v>
      </c>
      <c r="N310" s="59" t="s">
        <v>422</v>
      </c>
      <c r="O310" s="59" t="s">
        <v>422</v>
      </c>
      <c r="P310" s="59">
        <v>24.94</v>
      </c>
      <c r="Q310" s="66">
        <v>22.77</v>
      </c>
      <c r="R310" s="66">
        <v>4.3899999999999997</v>
      </c>
      <c r="S310" s="66">
        <v>1</v>
      </c>
      <c r="T310" s="66">
        <v>1</v>
      </c>
      <c r="U310" s="67">
        <v>1</v>
      </c>
      <c r="V310" s="66">
        <v>1</v>
      </c>
      <c r="W310" s="66">
        <v>0</v>
      </c>
      <c r="X310" s="66" t="s">
        <v>35</v>
      </c>
      <c r="Y310" s="68" t="s">
        <v>36</v>
      </c>
      <c r="Z310" s="64"/>
      <c r="AA310" s="64"/>
    </row>
    <row r="311" spans="1:27" ht="14.4" x14ac:dyDescent="0.3">
      <c r="A311" s="56">
        <v>45919</v>
      </c>
      <c r="B311" s="57">
        <v>45919</v>
      </c>
      <c r="C311" s="58" t="s">
        <v>27</v>
      </c>
      <c r="D311" s="58" t="s">
        <v>28</v>
      </c>
      <c r="E311" s="58" t="s">
        <v>71</v>
      </c>
      <c r="F311" s="58" t="s">
        <v>72</v>
      </c>
      <c r="G311" s="58" t="s">
        <v>31</v>
      </c>
      <c r="H311" s="58" t="s">
        <v>73</v>
      </c>
      <c r="I311" s="58" t="s">
        <v>52</v>
      </c>
      <c r="J311" s="58" t="s">
        <v>408</v>
      </c>
      <c r="K311" s="59">
        <v>47</v>
      </c>
      <c r="L311" s="59">
        <v>2</v>
      </c>
      <c r="M311" s="60">
        <v>4.2553000000000001E-2</v>
      </c>
      <c r="N311" s="59" t="s">
        <v>481</v>
      </c>
      <c r="O311" s="59" t="s">
        <v>482</v>
      </c>
      <c r="P311" s="59">
        <v>24.94</v>
      </c>
      <c r="Q311" s="61">
        <v>27.63</v>
      </c>
      <c r="R311" s="61">
        <v>3.62</v>
      </c>
      <c r="S311" s="61">
        <v>1</v>
      </c>
      <c r="T311" s="61">
        <v>1</v>
      </c>
      <c r="U311" s="62">
        <v>0.5</v>
      </c>
      <c r="V311" s="61">
        <v>1</v>
      </c>
      <c r="W311" s="61">
        <v>0</v>
      </c>
      <c r="X311" s="61" t="s">
        <v>35</v>
      </c>
      <c r="Y311" s="63" t="s">
        <v>36</v>
      </c>
      <c r="Z311" s="64"/>
      <c r="AA311" s="64"/>
    </row>
    <row r="312" spans="1:27" ht="14.4" x14ac:dyDescent="0.3">
      <c r="A312" s="56">
        <v>45919</v>
      </c>
      <c r="B312" s="57">
        <v>45919</v>
      </c>
      <c r="C312" s="58" t="s">
        <v>48</v>
      </c>
      <c r="D312" s="58" t="s">
        <v>28</v>
      </c>
      <c r="E312" s="58" t="s">
        <v>49</v>
      </c>
      <c r="F312" s="58" t="s">
        <v>50</v>
      </c>
      <c r="G312" s="58" t="s">
        <v>31</v>
      </c>
      <c r="H312" s="58" t="s">
        <v>51</v>
      </c>
      <c r="I312" s="58" t="s">
        <v>52</v>
      </c>
      <c r="J312" s="58" t="s">
        <v>483</v>
      </c>
      <c r="K312" s="59">
        <v>1</v>
      </c>
      <c r="L312" s="59">
        <v>1</v>
      </c>
      <c r="M312" s="60">
        <v>1</v>
      </c>
      <c r="N312" s="59" t="s">
        <v>484</v>
      </c>
      <c r="O312" s="59" t="s">
        <v>484</v>
      </c>
      <c r="P312" s="59">
        <v>21.9</v>
      </c>
      <c r="Q312" s="66">
        <v>11.19</v>
      </c>
      <c r="R312" s="66">
        <v>8.94</v>
      </c>
      <c r="S312" s="66">
        <v>1</v>
      </c>
      <c r="T312" s="66">
        <v>1</v>
      </c>
      <c r="U312" s="67">
        <v>1</v>
      </c>
      <c r="V312" s="66">
        <v>1</v>
      </c>
      <c r="W312" s="66">
        <v>0</v>
      </c>
      <c r="X312" s="66" t="s">
        <v>55</v>
      </c>
      <c r="Y312" s="68" t="s">
        <v>36</v>
      </c>
      <c r="Z312" s="64"/>
      <c r="AA312" s="64"/>
    </row>
    <row r="313" spans="1:27" ht="14.4" x14ac:dyDescent="0.3">
      <c r="A313" s="69">
        <v>45919</v>
      </c>
      <c r="B313" s="70">
        <v>45919</v>
      </c>
      <c r="C313" s="71" t="s">
        <v>27</v>
      </c>
      <c r="D313" s="71" t="s">
        <v>28</v>
      </c>
      <c r="E313" s="71" t="s">
        <v>29</v>
      </c>
      <c r="F313" s="71" t="s">
        <v>30</v>
      </c>
      <c r="G313" s="71" t="s">
        <v>31</v>
      </c>
      <c r="H313" s="71" t="s">
        <v>30</v>
      </c>
      <c r="I313" s="71" t="s">
        <v>32</v>
      </c>
      <c r="J313" s="71" t="s">
        <v>485</v>
      </c>
      <c r="K313" s="72">
        <v>1</v>
      </c>
      <c r="L313" s="72">
        <v>1</v>
      </c>
      <c r="M313" s="73">
        <v>1</v>
      </c>
      <c r="N313" s="72" t="s">
        <v>309</v>
      </c>
      <c r="O313" s="72" t="s">
        <v>309</v>
      </c>
      <c r="P313" s="72">
        <v>24.94</v>
      </c>
      <c r="Q313" s="74">
        <v>14.84</v>
      </c>
      <c r="R313" s="74">
        <v>6.74</v>
      </c>
      <c r="S313" s="74">
        <v>1</v>
      </c>
      <c r="T313" s="74">
        <v>1</v>
      </c>
      <c r="U313" s="75">
        <v>1</v>
      </c>
      <c r="V313" s="74">
        <v>1</v>
      </c>
      <c r="W313" s="74">
        <v>0</v>
      </c>
      <c r="X313" s="74" t="s">
        <v>35</v>
      </c>
      <c r="Y313" s="76" t="s">
        <v>36</v>
      </c>
      <c r="Z313" s="64"/>
      <c r="AA313" s="64"/>
    </row>
    <row r="314" spans="1:27" ht="14.4" x14ac:dyDescent="0.3">
      <c r="A314" s="56">
        <v>45919</v>
      </c>
      <c r="B314" s="57">
        <v>45919</v>
      </c>
      <c r="C314" s="58" t="s">
        <v>48</v>
      </c>
      <c r="D314" s="58" t="s">
        <v>28</v>
      </c>
      <c r="E314" s="58" t="s">
        <v>49</v>
      </c>
      <c r="F314" s="58" t="s">
        <v>50</v>
      </c>
      <c r="G314" s="58" t="s">
        <v>31</v>
      </c>
      <c r="H314" s="58" t="s">
        <v>51</v>
      </c>
      <c r="I314" s="58" t="s">
        <v>52</v>
      </c>
      <c r="J314" s="58" t="s">
        <v>486</v>
      </c>
      <c r="K314" s="59">
        <v>1</v>
      </c>
      <c r="L314" s="59">
        <v>1</v>
      </c>
      <c r="M314" s="60">
        <v>1</v>
      </c>
      <c r="N314" s="59" t="s">
        <v>131</v>
      </c>
      <c r="O314" s="59" t="s">
        <v>131</v>
      </c>
      <c r="P314" s="59">
        <v>21.9</v>
      </c>
      <c r="Q314" s="66">
        <v>13.7</v>
      </c>
      <c r="R314" s="66">
        <v>7.3</v>
      </c>
      <c r="S314" s="66">
        <v>1</v>
      </c>
      <c r="T314" s="66">
        <v>1</v>
      </c>
      <c r="U314" s="67">
        <v>1</v>
      </c>
      <c r="V314" s="66">
        <v>1</v>
      </c>
      <c r="W314" s="66">
        <v>0</v>
      </c>
      <c r="X314" s="66" t="s">
        <v>55</v>
      </c>
      <c r="Y314" s="68" t="s">
        <v>36</v>
      </c>
      <c r="Z314" s="64"/>
      <c r="AA314" s="64"/>
    </row>
    <row r="315" spans="1:27" ht="14.4" x14ac:dyDescent="0.3">
      <c r="A315" s="56">
        <v>45918</v>
      </c>
      <c r="B315" s="57">
        <v>45918</v>
      </c>
      <c r="C315" s="58" t="s">
        <v>27</v>
      </c>
      <c r="D315" s="58" t="s">
        <v>28</v>
      </c>
      <c r="E315" s="58" t="s">
        <v>29</v>
      </c>
      <c r="F315" s="58" t="s">
        <v>30</v>
      </c>
      <c r="G315" s="58" t="s">
        <v>31</v>
      </c>
      <c r="H315" s="58" t="s">
        <v>30</v>
      </c>
      <c r="I315" s="58" t="s">
        <v>32</v>
      </c>
      <c r="J315" s="58" t="s">
        <v>487</v>
      </c>
      <c r="K315" s="59">
        <v>3</v>
      </c>
      <c r="L315" s="59">
        <v>1</v>
      </c>
      <c r="M315" s="60">
        <v>0.33333299999999999</v>
      </c>
      <c r="N315" s="59" t="s">
        <v>309</v>
      </c>
      <c r="O315" s="59" t="s">
        <v>309</v>
      </c>
      <c r="P315" s="59">
        <v>24.94</v>
      </c>
      <c r="Q315" s="66">
        <v>14.84</v>
      </c>
      <c r="R315" s="66">
        <v>6.74</v>
      </c>
      <c r="S315" s="66">
        <v>1</v>
      </c>
      <c r="T315" s="66">
        <v>1</v>
      </c>
      <c r="U315" s="67">
        <v>1</v>
      </c>
      <c r="V315" s="66">
        <v>1</v>
      </c>
      <c r="W315" s="66">
        <v>0</v>
      </c>
      <c r="X315" s="66" t="s">
        <v>35</v>
      </c>
      <c r="Y315" s="68" t="s">
        <v>36</v>
      </c>
      <c r="Z315" s="64"/>
      <c r="AA315" s="64"/>
    </row>
    <row r="316" spans="1:27" ht="14.4" x14ac:dyDescent="0.3">
      <c r="A316" s="56">
        <v>45918</v>
      </c>
      <c r="B316" s="57">
        <v>45920</v>
      </c>
      <c r="C316" s="58" t="s">
        <v>143</v>
      </c>
      <c r="D316" s="58" t="s">
        <v>28</v>
      </c>
      <c r="E316" s="58" t="s">
        <v>144</v>
      </c>
      <c r="F316" s="58" t="s">
        <v>32</v>
      </c>
      <c r="G316" s="58" t="s">
        <v>31</v>
      </c>
      <c r="H316" s="58" t="s">
        <v>173</v>
      </c>
      <c r="I316" s="58" t="s">
        <v>65</v>
      </c>
      <c r="J316" s="58" t="s">
        <v>173</v>
      </c>
      <c r="K316" s="59">
        <v>393</v>
      </c>
      <c r="L316" s="59">
        <v>3</v>
      </c>
      <c r="M316" s="60">
        <v>7.6340000000000002E-3</v>
      </c>
      <c r="N316" s="59" t="s">
        <v>488</v>
      </c>
      <c r="O316" s="59" t="s">
        <v>489</v>
      </c>
      <c r="P316" s="59">
        <v>24.94</v>
      </c>
      <c r="Q316" s="61">
        <v>0.92</v>
      </c>
      <c r="R316" s="61">
        <v>108.43</v>
      </c>
      <c r="S316" s="61">
        <v>1</v>
      </c>
      <c r="T316" s="61">
        <v>1</v>
      </c>
      <c r="U316" s="62">
        <v>0.33333299999999999</v>
      </c>
      <c r="V316" s="61">
        <v>1</v>
      </c>
      <c r="W316" s="61">
        <v>0</v>
      </c>
      <c r="X316" s="61" t="s">
        <v>35</v>
      </c>
      <c r="Y316" s="63" t="s">
        <v>36</v>
      </c>
      <c r="Z316" s="64"/>
      <c r="AA316" s="64"/>
    </row>
    <row r="317" spans="1:27" ht="14.4" x14ac:dyDescent="0.3">
      <c r="A317" s="56">
        <v>45918</v>
      </c>
      <c r="B317" s="57">
        <v>45918</v>
      </c>
      <c r="C317" s="58" t="s">
        <v>27</v>
      </c>
      <c r="D317" s="58" t="s">
        <v>28</v>
      </c>
      <c r="E317" s="58" t="s">
        <v>56</v>
      </c>
      <c r="F317" s="58" t="s">
        <v>57</v>
      </c>
      <c r="G317" s="58" t="s">
        <v>31</v>
      </c>
      <c r="H317" s="65" t="e">
        <f>+maca +root</f>
        <v>#NAME?</v>
      </c>
      <c r="I317" s="58" t="s">
        <v>32</v>
      </c>
      <c r="J317" s="58" t="s">
        <v>490</v>
      </c>
      <c r="K317" s="59">
        <v>5</v>
      </c>
      <c r="L317" s="59">
        <v>1</v>
      </c>
      <c r="M317" s="60">
        <v>0.2</v>
      </c>
      <c r="N317" s="59" t="s">
        <v>481</v>
      </c>
      <c r="O317" s="59" t="s">
        <v>481</v>
      </c>
      <c r="P317" s="59">
        <v>24.94</v>
      </c>
      <c r="Q317" s="66">
        <v>13.83</v>
      </c>
      <c r="R317" s="66">
        <v>7.23</v>
      </c>
      <c r="S317" s="66">
        <v>1</v>
      </c>
      <c r="T317" s="66">
        <v>1</v>
      </c>
      <c r="U317" s="67">
        <v>1</v>
      </c>
      <c r="V317" s="66">
        <v>1</v>
      </c>
      <c r="W317" s="66">
        <v>0</v>
      </c>
      <c r="X317" s="66" t="s">
        <v>35</v>
      </c>
      <c r="Y317" s="68" t="s">
        <v>36</v>
      </c>
      <c r="Z317" s="64"/>
      <c r="AA317" s="64"/>
    </row>
    <row r="318" spans="1:27" ht="14.4" x14ac:dyDescent="0.3">
      <c r="A318" s="56">
        <v>45918</v>
      </c>
      <c r="B318" s="57">
        <v>45918</v>
      </c>
      <c r="C318" s="58" t="s">
        <v>27</v>
      </c>
      <c r="D318" s="58" t="s">
        <v>28</v>
      </c>
      <c r="E318" s="58" t="s">
        <v>71</v>
      </c>
      <c r="F318" s="58" t="s">
        <v>72</v>
      </c>
      <c r="G318" s="58" t="s">
        <v>31</v>
      </c>
      <c r="H318" s="58" t="s">
        <v>51</v>
      </c>
      <c r="I318" s="58" t="s">
        <v>52</v>
      </c>
      <c r="J318" s="58" t="s">
        <v>491</v>
      </c>
      <c r="K318" s="59">
        <v>2</v>
      </c>
      <c r="L318" s="59">
        <v>1</v>
      </c>
      <c r="M318" s="60">
        <v>0.5</v>
      </c>
      <c r="N318" s="59" t="s">
        <v>237</v>
      </c>
      <c r="O318" s="59" t="s">
        <v>237</v>
      </c>
      <c r="P318" s="59">
        <v>24.94</v>
      </c>
      <c r="Q318" s="61">
        <v>17.72</v>
      </c>
      <c r="R318" s="61">
        <v>5.64</v>
      </c>
      <c r="S318" s="61">
        <v>1</v>
      </c>
      <c r="T318" s="61">
        <v>1</v>
      </c>
      <c r="U318" s="62">
        <v>1</v>
      </c>
      <c r="V318" s="61">
        <v>1</v>
      </c>
      <c r="W318" s="61">
        <v>0</v>
      </c>
      <c r="X318" s="61" t="s">
        <v>35</v>
      </c>
      <c r="Y318" s="63" t="s">
        <v>36</v>
      </c>
      <c r="Z318" s="64"/>
      <c r="AA318" s="64"/>
    </row>
    <row r="319" spans="1:27" ht="14.4" x14ac:dyDescent="0.3">
      <c r="A319" s="56">
        <v>45917</v>
      </c>
      <c r="B319" s="57">
        <v>45917</v>
      </c>
      <c r="C319" s="58" t="s">
        <v>85</v>
      </c>
      <c r="D319" s="58" t="s">
        <v>28</v>
      </c>
      <c r="E319" s="58" t="s">
        <v>108</v>
      </c>
      <c r="F319" s="58" t="s">
        <v>109</v>
      </c>
      <c r="G319" s="58" t="s">
        <v>31</v>
      </c>
      <c r="H319" s="58" t="s">
        <v>110</v>
      </c>
      <c r="I319" s="58" t="s">
        <v>44</v>
      </c>
      <c r="J319" s="58" t="s">
        <v>492</v>
      </c>
      <c r="K319" s="59">
        <v>8</v>
      </c>
      <c r="L319" s="59">
        <v>1</v>
      </c>
      <c r="M319" s="60">
        <v>0.125</v>
      </c>
      <c r="N319" s="59" t="s">
        <v>493</v>
      </c>
      <c r="O319" s="59" t="s">
        <v>493</v>
      </c>
      <c r="P319" s="59">
        <v>24.94</v>
      </c>
      <c r="Q319" s="66">
        <v>24.06</v>
      </c>
      <c r="R319" s="66">
        <v>4.16</v>
      </c>
      <c r="S319" s="66">
        <v>1</v>
      </c>
      <c r="T319" s="66">
        <v>1</v>
      </c>
      <c r="U319" s="67">
        <v>1</v>
      </c>
      <c r="V319" s="66">
        <v>1</v>
      </c>
      <c r="W319" s="66">
        <v>0</v>
      </c>
      <c r="X319" s="66" t="s">
        <v>35</v>
      </c>
      <c r="Y319" s="68" t="s">
        <v>36</v>
      </c>
      <c r="Z319" s="64"/>
      <c r="AA319" s="64"/>
    </row>
    <row r="320" spans="1:27" ht="14.4" x14ac:dyDescent="0.3">
      <c r="A320" s="56">
        <v>45917</v>
      </c>
      <c r="B320" s="57">
        <v>45917</v>
      </c>
      <c r="C320" s="58" t="s">
        <v>494</v>
      </c>
      <c r="D320" s="58" t="s">
        <v>28</v>
      </c>
      <c r="E320" s="58" t="s">
        <v>495</v>
      </c>
      <c r="F320" s="58" t="s">
        <v>496</v>
      </c>
      <c r="G320" s="58" t="s">
        <v>31</v>
      </c>
      <c r="H320" s="58" t="s">
        <v>51</v>
      </c>
      <c r="I320" s="58" t="s">
        <v>52</v>
      </c>
      <c r="J320" s="58" t="s">
        <v>497</v>
      </c>
      <c r="K320" s="59">
        <v>1</v>
      </c>
      <c r="L320" s="59">
        <v>1</v>
      </c>
      <c r="M320" s="60">
        <v>1</v>
      </c>
      <c r="N320" s="59" t="s">
        <v>262</v>
      </c>
      <c r="O320" s="59" t="s">
        <v>262</v>
      </c>
      <c r="P320" s="59">
        <v>29.99</v>
      </c>
      <c r="Q320" s="61">
        <v>10.8</v>
      </c>
      <c r="R320" s="61">
        <v>9.26</v>
      </c>
      <c r="S320" s="61">
        <v>1</v>
      </c>
      <c r="T320" s="61">
        <v>1</v>
      </c>
      <c r="U320" s="62">
        <v>1</v>
      </c>
      <c r="V320" s="61">
        <v>1</v>
      </c>
      <c r="W320" s="61">
        <v>0</v>
      </c>
      <c r="X320" s="61" t="s">
        <v>498</v>
      </c>
      <c r="Y320" s="63" t="s">
        <v>36</v>
      </c>
      <c r="Z320" s="64"/>
      <c r="AA320" s="64"/>
    </row>
    <row r="321" spans="1:27" ht="14.4" x14ac:dyDescent="0.3">
      <c r="A321" s="56">
        <v>45917</v>
      </c>
      <c r="B321" s="57">
        <v>45917</v>
      </c>
      <c r="C321" s="58" t="s">
        <v>27</v>
      </c>
      <c r="D321" s="58" t="s">
        <v>28</v>
      </c>
      <c r="E321" s="58" t="s">
        <v>29</v>
      </c>
      <c r="F321" s="58" t="s">
        <v>30</v>
      </c>
      <c r="G321" s="58" t="s">
        <v>31</v>
      </c>
      <c r="H321" s="58" t="s">
        <v>30</v>
      </c>
      <c r="I321" s="58" t="s">
        <v>32</v>
      </c>
      <c r="J321" s="58" t="s">
        <v>499</v>
      </c>
      <c r="K321" s="59">
        <v>2</v>
      </c>
      <c r="L321" s="59">
        <v>1</v>
      </c>
      <c r="M321" s="60">
        <v>0.5</v>
      </c>
      <c r="N321" s="59" t="s">
        <v>122</v>
      </c>
      <c r="O321" s="59" t="s">
        <v>122</v>
      </c>
      <c r="P321" s="59">
        <v>24.94</v>
      </c>
      <c r="Q321" s="66">
        <v>14.64</v>
      </c>
      <c r="R321" s="66">
        <v>6.83</v>
      </c>
      <c r="S321" s="66">
        <v>2</v>
      </c>
      <c r="T321" s="66">
        <v>2</v>
      </c>
      <c r="U321" s="67">
        <v>2</v>
      </c>
      <c r="V321" s="66">
        <v>2</v>
      </c>
      <c r="W321" s="66">
        <v>0</v>
      </c>
      <c r="X321" s="66" t="s">
        <v>35</v>
      </c>
      <c r="Y321" s="68" t="s">
        <v>36</v>
      </c>
      <c r="Z321" s="64"/>
      <c r="AA321" s="64"/>
    </row>
    <row r="322" spans="1:27" ht="14.4" x14ac:dyDescent="0.3">
      <c r="A322" s="56">
        <v>45917</v>
      </c>
      <c r="B322" s="57">
        <v>45917</v>
      </c>
      <c r="C322" s="58" t="s">
        <v>27</v>
      </c>
      <c r="D322" s="58" t="s">
        <v>28</v>
      </c>
      <c r="E322" s="58" t="s">
        <v>29</v>
      </c>
      <c r="F322" s="58" t="s">
        <v>30</v>
      </c>
      <c r="G322" s="58" t="s">
        <v>31</v>
      </c>
      <c r="H322" s="58" t="s">
        <v>30</v>
      </c>
      <c r="I322" s="58" t="s">
        <v>32</v>
      </c>
      <c r="J322" s="58" t="s">
        <v>500</v>
      </c>
      <c r="K322" s="59">
        <v>1</v>
      </c>
      <c r="L322" s="59">
        <v>1</v>
      </c>
      <c r="M322" s="60">
        <v>1</v>
      </c>
      <c r="N322" s="59" t="s">
        <v>167</v>
      </c>
      <c r="O322" s="59" t="s">
        <v>167</v>
      </c>
      <c r="P322" s="59">
        <v>49.88</v>
      </c>
      <c r="Q322" s="61">
        <v>10.38</v>
      </c>
      <c r="R322" s="61">
        <v>9.6300000000000008</v>
      </c>
      <c r="S322" s="61">
        <v>2</v>
      </c>
      <c r="T322" s="61">
        <v>2</v>
      </c>
      <c r="U322" s="62">
        <v>2</v>
      </c>
      <c r="V322" s="61">
        <v>2</v>
      </c>
      <c r="W322" s="61">
        <v>0</v>
      </c>
      <c r="X322" s="61" t="s">
        <v>78</v>
      </c>
      <c r="Y322" s="63" t="s">
        <v>36</v>
      </c>
      <c r="Z322" s="64"/>
      <c r="AA322" s="64"/>
    </row>
    <row r="323" spans="1:27" ht="14.4" x14ac:dyDescent="0.3">
      <c r="A323" s="56">
        <v>45917</v>
      </c>
      <c r="B323" s="57">
        <v>45917</v>
      </c>
      <c r="C323" s="58" t="s">
        <v>27</v>
      </c>
      <c r="D323" s="58" t="s">
        <v>28</v>
      </c>
      <c r="E323" s="58" t="s">
        <v>71</v>
      </c>
      <c r="F323" s="58" t="s">
        <v>72</v>
      </c>
      <c r="G323" s="58" t="s">
        <v>31</v>
      </c>
      <c r="H323" s="58" t="s">
        <v>51</v>
      </c>
      <c r="I323" s="58" t="s">
        <v>52</v>
      </c>
      <c r="J323" s="58" t="s">
        <v>501</v>
      </c>
      <c r="K323" s="59">
        <v>2</v>
      </c>
      <c r="L323" s="59">
        <v>1</v>
      </c>
      <c r="M323" s="60">
        <v>0.5</v>
      </c>
      <c r="N323" s="59" t="s">
        <v>371</v>
      </c>
      <c r="O323" s="59" t="s">
        <v>371</v>
      </c>
      <c r="P323" s="59">
        <v>24.94</v>
      </c>
      <c r="Q323" s="66">
        <v>12.67</v>
      </c>
      <c r="R323" s="66">
        <v>7.89</v>
      </c>
      <c r="S323" s="66">
        <v>1</v>
      </c>
      <c r="T323" s="66">
        <v>1</v>
      </c>
      <c r="U323" s="67">
        <v>1</v>
      </c>
      <c r="V323" s="66">
        <v>1</v>
      </c>
      <c r="W323" s="66">
        <v>0</v>
      </c>
      <c r="X323" s="66" t="s">
        <v>35</v>
      </c>
      <c r="Y323" s="68" t="s">
        <v>36</v>
      </c>
      <c r="Z323" s="64"/>
      <c r="AA323" s="64"/>
    </row>
    <row r="324" spans="1:27" ht="14.4" x14ac:dyDescent="0.3">
      <c r="A324" s="56">
        <v>45917</v>
      </c>
      <c r="B324" s="57">
        <v>45917</v>
      </c>
      <c r="C324" s="58" t="s">
        <v>48</v>
      </c>
      <c r="D324" s="58" t="s">
        <v>28</v>
      </c>
      <c r="E324" s="58" t="s">
        <v>49</v>
      </c>
      <c r="F324" s="58" t="s">
        <v>50</v>
      </c>
      <c r="G324" s="58" t="s">
        <v>31</v>
      </c>
      <c r="H324" s="58" t="s">
        <v>51</v>
      </c>
      <c r="I324" s="58" t="s">
        <v>52</v>
      </c>
      <c r="J324" s="58" t="s">
        <v>502</v>
      </c>
      <c r="K324" s="59">
        <v>1</v>
      </c>
      <c r="L324" s="59">
        <v>1</v>
      </c>
      <c r="M324" s="60">
        <v>1</v>
      </c>
      <c r="N324" s="59" t="s">
        <v>316</v>
      </c>
      <c r="O324" s="59" t="s">
        <v>316</v>
      </c>
      <c r="P324" s="59">
        <v>21.9</v>
      </c>
      <c r="Q324" s="61">
        <v>12.97</v>
      </c>
      <c r="R324" s="61">
        <v>7.71</v>
      </c>
      <c r="S324" s="61">
        <v>1</v>
      </c>
      <c r="T324" s="61">
        <v>1</v>
      </c>
      <c r="U324" s="62">
        <v>1</v>
      </c>
      <c r="V324" s="61">
        <v>1</v>
      </c>
      <c r="W324" s="61">
        <v>0</v>
      </c>
      <c r="X324" s="61" t="s">
        <v>55</v>
      </c>
      <c r="Y324" s="63" t="s">
        <v>36</v>
      </c>
      <c r="Z324" s="64"/>
      <c r="AA324" s="64"/>
    </row>
    <row r="325" spans="1:27" ht="14.4" x14ac:dyDescent="0.3">
      <c r="A325" s="56">
        <v>45916</v>
      </c>
      <c r="B325" s="57">
        <v>45918</v>
      </c>
      <c r="C325" s="58" t="s">
        <v>27</v>
      </c>
      <c r="D325" s="58" t="s">
        <v>28</v>
      </c>
      <c r="E325" s="58" t="s">
        <v>29</v>
      </c>
      <c r="F325" s="58" t="s">
        <v>30</v>
      </c>
      <c r="G325" s="58" t="s">
        <v>31</v>
      </c>
      <c r="H325" s="58" t="s">
        <v>30</v>
      </c>
      <c r="I325" s="58" t="s">
        <v>32</v>
      </c>
      <c r="J325" s="58" t="s">
        <v>162</v>
      </c>
      <c r="K325" s="59">
        <v>110</v>
      </c>
      <c r="L325" s="59">
        <v>4</v>
      </c>
      <c r="M325" s="60">
        <v>3.6364E-2</v>
      </c>
      <c r="N325" s="59" t="s">
        <v>167</v>
      </c>
      <c r="O325" s="59" t="s">
        <v>503</v>
      </c>
      <c r="P325" s="59">
        <v>24.94</v>
      </c>
      <c r="Q325" s="61">
        <v>83.08</v>
      </c>
      <c r="R325" s="61">
        <v>1.2</v>
      </c>
      <c r="S325" s="61">
        <v>1</v>
      </c>
      <c r="T325" s="61">
        <v>1</v>
      </c>
      <c r="U325" s="62">
        <v>0.25</v>
      </c>
      <c r="V325" s="61">
        <v>1</v>
      </c>
      <c r="W325" s="61">
        <v>0</v>
      </c>
      <c r="X325" s="61" t="s">
        <v>35</v>
      </c>
      <c r="Y325" s="63" t="s">
        <v>36</v>
      </c>
      <c r="Z325" s="64"/>
      <c r="AA325" s="64"/>
    </row>
    <row r="326" spans="1:27" ht="14.4" x14ac:dyDescent="0.3">
      <c r="A326" s="56">
        <v>45916</v>
      </c>
      <c r="B326" s="57">
        <v>45916</v>
      </c>
      <c r="C326" s="58" t="s">
        <v>48</v>
      </c>
      <c r="D326" s="58" t="s">
        <v>28</v>
      </c>
      <c r="E326" s="58" t="s">
        <v>225</v>
      </c>
      <c r="F326" s="58" t="s">
        <v>226</v>
      </c>
      <c r="G326" s="58" t="s">
        <v>31</v>
      </c>
      <c r="H326" s="58" t="s">
        <v>504</v>
      </c>
      <c r="I326" s="58" t="s">
        <v>32</v>
      </c>
      <c r="J326" s="58" t="s">
        <v>505</v>
      </c>
      <c r="K326" s="59">
        <v>1</v>
      </c>
      <c r="L326" s="59">
        <v>1</v>
      </c>
      <c r="M326" s="60">
        <v>1</v>
      </c>
      <c r="N326" s="59" t="s">
        <v>388</v>
      </c>
      <c r="O326" s="59" t="s">
        <v>388</v>
      </c>
      <c r="P326" s="59">
        <v>21.9</v>
      </c>
      <c r="Q326" s="66">
        <v>14.25</v>
      </c>
      <c r="R326" s="66">
        <v>7.02</v>
      </c>
      <c r="S326" s="66">
        <v>1</v>
      </c>
      <c r="T326" s="66">
        <v>1</v>
      </c>
      <c r="U326" s="67">
        <v>1</v>
      </c>
      <c r="V326" s="66">
        <v>1</v>
      </c>
      <c r="W326" s="66">
        <v>0</v>
      </c>
      <c r="X326" s="66" t="s">
        <v>55</v>
      </c>
      <c r="Y326" s="68" t="s">
        <v>36</v>
      </c>
      <c r="Z326" s="64"/>
      <c r="AA326" s="64"/>
    </row>
    <row r="327" spans="1:27" ht="14.4" x14ac:dyDescent="0.3">
      <c r="A327" s="56">
        <v>45916</v>
      </c>
      <c r="B327" s="57">
        <v>45916</v>
      </c>
      <c r="C327" s="58" t="s">
        <v>85</v>
      </c>
      <c r="D327" s="58" t="s">
        <v>28</v>
      </c>
      <c r="E327" s="58" t="s">
        <v>108</v>
      </c>
      <c r="F327" s="58" t="s">
        <v>109</v>
      </c>
      <c r="G327" s="58" t="s">
        <v>31</v>
      </c>
      <c r="H327" s="58" t="s">
        <v>110</v>
      </c>
      <c r="I327" s="58" t="s">
        <v>44</v>
      </c>
      <c r="J327" s="58" t="s">
        <v>151</v>
      </c>
      <c r="K327" s="59">
        <v>3</v>
      </c>
      <c r="L327" s="59">
        <v>1</v>
      </c>
      <c r="M327" s="60">
        <v>0.33333299999999999</v>
      </c>
      <c r="N327" s="59" t="s">
        <v>506</v>
      </c>
      <c r="O327" s="59" t="s">
        <v>506</v>
      </c>
      <c r="P327" s="59">
        <v>24.94</v>
      </c>
      <c r="Q327" s="61">
        <v>22.98</v>
      </c>
      <c r="R327" s="61">
        <v>4.3499999999999996</v>
      </c>
      <c r="S327" s="61">
        <v>1</v>
      </c>
      <c r="T327" s="61">
        <v>1</v>
      </c>
      <c r="U327" s="62">
        <v>1</v>
      </c>
      <c r="V327" s="61">
        <v>1</v>
      </c>
      <c r="W327" s="61">
        <v>0</v>
      </c>
      <c r="X327" s="61" t="s">
        <v>35</v>
      </c>
      <c r="Y327" s="63" t="s">
        <v>36</v>
      </c>
      <c r="Z327" s="64"/>
      <c r="AA327" s="64"/>
    </row>
    <row r="328" spans="1:27" ht="14.4" x14ac:dyDescent="0.3">
      <c r="A328" s="56">
        <v>45916</v>
      </c>
      <c r="B328" s="57">
        <v>45916</v>
      </c>
      <c r="C328" s="58" t="s">
        <v>48</v>
      </c>
      <c r="D328" s="58" t="s">
        <v>28</v>
      </c>
      <c r="E328" s="58" t="s">
        <v>62</v>
      </c>
      <c r="F328" s="58" t="s">
        <v>63</v>
      </c>
      <c r="G328" s="58" t="s">
        <v>31</v>
      </c>
      <c r="H328" s="58" t="s">
        <v>372</v>
      </c>
      <c r="I328" s="58" t="s">
        <v>65</v>
      </c>
      <c r="J328" s="58" t="s">
        <v>507</v>
      </c>
      <c r="K328" s="59">
        <v>4</v>
      </c>
      <c r="L328" s="59">
        <v>1</v>
      </c>
      <c r="M328" s="60">
        <v>0.25</v>
      </c>
      <c r="N328" s="59" t="s">
        <v>59</v>
      </c>
      <c r="O328" s="59" t="s">
        <v>59</v>
      </c>
      <c r="P328" s="59">
        <v>21.9</v>
      </c>
      <c r="Q328" s="66">
        <v>19.86</v>
      </c>
      <c r="R328" s="66">
        <v>5.03</v>
      </c>
      <c r="S328" s="66">
        <v>1</v>
      </c>
      <c r="T328" s="66">
        <v>1</v>
      </c>
      <c r="U328" s="67">
        <v>1</v>
      </c>
      <c r="V328" s="66">
        <v>1</v>
      </c>
      <c r="W328" s="66">
        <v>0</v>
      </c>
      <c r="X328" s="66" t="s">
        <v>55</v>
      </c>
      <c r="Y328" s="68" t="s">
        <v>36</v>
      </c>
      <c r="Z328" s="64"/>
      <c r="AA328" s="64"/>
    </row>
    <row r="329" spans="1:27" ht="14.4" x14ac:dyDescent="0.3">
      <c r="A329" s="56">
        <v>45916</v>
      </c>
      <c r="B329" s="57">
        <v>45916</v>
      </c>
      <c r="C329" s="58" t="s">
        <v>48</v>
      </c>
      <c r="D329" s="58" t="s">
        <v>28</v>
      </c>
      <c r="E329" s="58" t="s">
        <v>49</v>
      </c>
      <c r="F329" s="58" t="s">
        <v>50</v>
      </c>
      <c r="G329" s="58" t="s">
        <v>31</v>
      </c>
      <c r="H329" s="58" t="s">
        <v>51</v>
      </c>
      <c r="I329" s="58" t="s">
        <v>52</v>
      </c>
      <c r="J329" s="58" t="s">
        <v>508</v>
      </c>
      <c r="K329" s="59">
        <v>2</v>
      </c>
      <c r="L329" s="59">
        <v>1</v>
      </c>
      <c r="M329" s="60">
        <v>0.5</v>
      </c>
      <c r="N329" s="59" t="s">
        <v>509</v>
      </c>
      <c r="O329" s="59" t="s">
        <v>509</v>
      </c>
      <c r="P329" s="59">
        <v>21.9</v>
      </c>
      <c r="Q329" s="61">
        <v>11.51</v>
      </c>
      <c r="R329" s="61">
        <v>8.69</v>
      </c>
      <c r="S329" s="61">
        <v>1</v>
      </c>
      <c r="T329" s="61">
        <v>1</v>
      </c>
      <c r="U329" s="62">
        <v>1</v>
      </c>
      <c r="V329" s="61">
        <v>1</v>
      </c>
      <c r="W329" s="61">
        <v>0</v>
      </c>
      <c r="X329" s="61" t="s">
        <v>55</v>
      </c>
      <c r="Y329" s="63" t="s">
        <v>36</v>
      </c>
      <c r="Z329" s="64"/>
      <c r="AA329" s="64"/>
    </row>
    <row r="330" spans="1:27" ht="14.4" x14ac:dyDescent="0.3">
      <c r="A330" s="56">
        <v>45915</v>
      </c>
      <c r="B330" s="57">
        <v>45915</v>
      </c>
      <c r="C330" s="58" t="s">
        <v>27</v>
      </c>
      <c r="D330" s="58" t="s">
        <v>28</v>
      </c>
      <c r="E330" s="58" t="s">
        <v>71</v>
      </c>
      <c r="F330" s="58" t="s">
        <v>72</v>
      </c>
      <c r="G330" s="58" t="s">
        <v>31</v>
      </c>
      <c r="H330" s="58" t="s">
        <v>73</v>
      </c>
      <c r="I330" s="58" t="s">
        <v>52</v>
      </c>
      <c r="J330" s="58" t="s">
        <v>159</v>
      </c>
      <c r="K330" s="59">
        <v>3</v>
      </c>
      <c r="L330" s="59">
        <v>1</v>
      </c>
      <c r="M330" s="60">
        <v>0.33333299999999999</v>
      </c>
      <c r="N330" s="59" t="s">
        <v>510</v>
      </c>
      <c r="O330" s="59" t="s">
        <v>510</v>
      </c>
      <c r="P330" s="59">
        <v>24.94</v>
      </c>
      <c r="Q330" s="66">
        <v>16.239999999999998</v>
      </c>
      <c r="R330" s="66">
        <v>6.16</v>
      </c>
      <c r="S330" s="66">
        <v>1</v>
      </c>
      <c r="T330" s="66">
        <v>1</v>
      </c>
      <c r="U330" s="67">
        <v>1</v>
      </c>
      <c r="V330" s="66">
        <v>1</v>
      </c>
      <c r="W330" s="66">
        <v>0</v>
      </c>
      <c r="X330" s="66" t="s">
        <v>35</v>
      </c>
      <c r="Y330" s="68" t="s">
        <v>36</v>
      </c>
      <c r="Z330" s="64"/>
      <c r="AA330" s="64"/>
    </row>
    <row r="331" spans="1:27" ht="14.4" x14ac:dyDescent="0.3">
      <c r="A331" s="56">
        <v>45915</v>
      </c>
      <c r="B331" s="57">
        <v>45915</v>
      </c>
      <c r="C331" s="58" t="s">
        <v>27</v>
      </c>
      <c r="D331" s="58" t="s">
        <v>28</v>
      </c>
      <c r="E331" s="58" t="s">
        <v>71</v>
      </c>
      <c r="F331" s="58" t="s">
        <v>72</v>
      </c>
      <c r="G331" s="58" t="s">
        <v>31</v>
      </c>
      <c r="H331" s="58" t="s">
        <v>73</v>
      </c>
      <c r="I331" s="58" t="s">
        <v>52</v>
      </c>
      <c r="J331" s="58" t="s">
        <v>511</v>
      </c>
      <c r="K331" s="59">
        <v>2</v>
      </c>
      <c r="L331" s="59">
        <v>1</v>
      </c>
      <c r="M331" s="60">
        <v>0.5</v>
      </c>
      <c r="N331" s="59" t="s">
        <v>316</v>
      </c>
      <c r="O331" s="59" t="s">
        <v>316</v>
      </c>
      <c r="P331" s="59">
        <v>24.94</v>
      </c>
      <c r="Q331" s="61">
        <v>11.39</v>
      </c>
      <c r="R331" s="61">
        <v>8.7799999999999994</v>
      </c>
      <c r="S331" s="61">
        <v>1</v>
      </c>
      <c r="T331" s="61">
        <v>1</v>
      </c>
      <c r="U331" s="62">
        <v>1</v>
      </c>
      <c r="V331" s="61">
        <v>1</v>
      </c>
      <c r="W331" s="61">
        <v>0</v>
      </c>
      <c r="X331" s="61" t="s">
        <v>35</v>
      </c>
      <c r="Y331" s="63" t="s">
        <v>36</v>
      </c>
      <c r="Z331" s="64"/>
      <c r="AA331" s="64"/>
    </row>
    <row r="332" spans="1:27" ht="14.4" x14ac:dyDescent="0.3">
      <c r="A332" s="56">
        <v>45915</v>
      </c>
      <c r="B332" s="57">
        <v>45917</v>
      </c>
      <c r="C332" s="58" t="s">
        <v>494</v>
      </c>
      <c r="D332" s="58" t="s">
        <v>28</v>
      </c>
      <c r="E332" s="58" t="s">
        <v>495</v>
      </c>
      <c r="F332" s="58" t="s">
        <v>496</v>
      </c>
      <c r="G332" s="58" t="s">
        <v>31</v>
      </c>
      <c r="H332" s="58" t="s">
        <v>73</v>
      </c>
      <c r="I332" s="58" t="s">
        <v>52</v>
      </c>
      <c r="J332" s="58" t="s">
        <v>512</v>
      </c>
      <c r="K332" s="59">
        <v>30</v>
      </c>
      <c r="L332" s="59">
        <v>2</v>
      </c>
      <c r="M332" s="60">
        <v>6.6667000000000004E-2</v>
      </c>
      <c r="N332" s="59" t="s">
        <v>513</v>
      </c>
      <c r="O332" s="59" t="s">
        <v>514</v>
      </c>
      <c r="P332" s="59">
        <v>29.99</v>
      </c>
      <c r="Q332" s="66">
        <v>34.01</v>
      </c>
      <c r="R332" s="66">
        <v>2.94</v>
      </c>
      <c r="S332" s="66">
        <v>1</v>
      </c>
      <c r="T332" s="66">
        <v>1</v>
      </c>
      <c r="U332" s="67">
        <v>0.5</v>
      </c>
      <c r="V332" s="66">
        <v>1</v>
      </c>
      <c r="W332" s="66">
        <v>0</v>
      </c>
      <c r="X332" s="66" t="s">
        <v>498</v>
      </c>
      <c r="Y332" s="68" t="s">
        <v>36</v>
      </c>
      <c r="Z332" s="64"/>
      <c r="AA332" s="64"/>
    </row>
    <row r="333" spans="1:27" ht="14.4" x14ac:dyDescent="0.3">
      <c r="A333" s="56">
        <v>45915</v>
      </c>
      <c r="B333" s="57">
        <v>45919</v>
      </c>
      <c r="C333" s="58" t="s">
        <v>27</v>
      </c>
      <c r="D333" s="58" t="s">
        <v>28</v>
      </c>
      <c r="E333" s="58" t="s">
        <v>29</v>
      </c>
      <c r="F333" s="58" t="s">
        <v>30</v>
      </c>
      <c r="G333" s="58" t="s">
        <v>31</v>
      </c>
      <c r="H333" s="58" t="s">
        <v>30</v>
      </c>
      <c r="I333" s="58" t="s">
        <v>32</v>
      </c>
      <c r="J333" s="58" t="s">
        <v>183</v>
      </c>
      <c r="K333" s="59">
        <v>24</v>
      </c>
      <c r="L333" s="59">
        <v>4</v>
      </c>
      <c r="M333" s="60">
        <v>0.16666700000000001</v>
      </c>
      <c r="N333" s="59" t="s">
        <v>313</v>
      </c>
      <c r="O333" s="59" t="s">
        <v>515</v>
      </c>
      <c r="P333" s="59">
        <v>24.94</v>
      </c>
      <c r="Q333" s="61">
        <v>56.98</v>
      </c>
      <c r="R333" s="61">
        <v>1.76</v>
      </c>
      <c r="S333" s="61">
        <v>1</v>
      </c>
      <c r="T333" s="61">
        <v>1</v>
      </c>
      <c r="U333" s="62">
        <v>0.25</v>
      </c>
      <c r="V333" s="61">
        <v>1</v>
      </c>
      <c r="W333" s="61">
        <v>0</v>
      </c>
      <c r="X333" s="61" t="s">
        <v>35</v>
      </c>
      <c r="Y333" s="63" t="s">
        <v>36</v>
      </c>
      <c r="Z333" s="64"/>
      <c r="AA333" s="64"/>
    </row>
    <row r="334" spans="1:27" ht="14.4" x14ac:dyDescent="0.3">
      <c r="A334" s="56">
        <v>45915</v>
      </c>
      <c r="B334" s="57">
        <v>45919</v>
      </c>
      <c r="C334" s="58" t="s">
        <v>40</v>
      </c>
      <c r="D334" s="58" t="s">
        <v>28</v>
      </c>
      <c r="E334" s="58" t="s">
        <v>41</v>
      </c>
      <c r="F334" s="58" t="s">
        <v>42</v>
      </c>
      <c r="G334" s="58" t="s">
        <v>31</v>
      </c>
      <c r="H334" s="58" t="s">
        <v>43</v>
      </c>
      <c r="I334" s="58" t="s">
        <v>44</v>
      </c>
      <c r="J334" s="58" t="s">
        <v>43</v>
      </c>
      <c r="K334" s="59">
        <v>102</v>
      </c>
      <c r="L334" s="59">
        <v>12</v>
      </c>
      <c r="M334" s="60">
        <v>0.117647</v>
      </c>
      <c r="N334" s="59" t="s">
        <v>367</v>
      </c>
      <c r="O334" s="59" t="s">
        <v>516</v>
      </c>
      <c r="P334" s="59">
        <v>24.94</v>
      </c>
      <c r="Q334" s="66">
        <v>154.57</v>
      </c>
      <c r="R334" s="66">
        <v>0.65</v>
      </c>
      <c r="S334" s="66">
        <v>1</v>
      </c>
      <c r="T334" s="66">
        <v>1</v>
      </c>
      <c r="U334" s="67">
        <v>8.3333000000000004E-2</v>
      </c>
      <c r="V334" s="66">
        <v>1</v>
      </c>
      <c r="W334" s="66">
        <v>0</v>
      </c>
      <c r="X334" s="66" t="s">
        <v>35</v>
      </c>
      <c r="Y334" s="68" t="s">
        <v>36</v>
      </c>
      <c r="Z334" s="64"/>
      <c r="AA334" s="64"/>
    </row>
    <row r="335" spans="1:27" ht="14.4" x14ac:dyDescent="0.3">
      <c r="A335" s="56">
        <v>45915</v>
      </c>
      <c r="B335" s="57">
        <v>45916</v>
      </c>
      <c r="C335" s="58" t="s">
        <v>48</v>
      </c>
      <c r="D335" s="58" t="s">
        <v>28</v>
      </c>
      <c r="E335" s="58" t="s">
        <v>233</v>
      </c>
      <c r="F335" s="58" t="s">
        <v>234</v>
      </c>
      <c r="G335" s="58" t="s">
        <v>31</v>
      </c>
      <c r="H335" s="65" t="s">
        <v>917</v>
      </c>
      <c r="I335" s="58" t="s">
        <v>32</v>
      </c>
      <c r="J335" s="58" t="s">
        <v>450</v>
      </c>
      <c r="K335" s="59">
        <v>7</v>
      </c>
      <c r="L335" s="59">
        <v>2</v>
      </c>
      <c r="M335" s="60">
        <v>0.28571400000000002</v>
      </c>
      <c r="N335" s="59" t="s">
        <v>517</v>
      </c>
      <c r="O335" s="59" t="s">
        <v>518</v>
      </c>
      <c r="P335" s="59">
        <v>21.9</v>
      </c>
      <c r="Q335" s="61">
        <v>37.21</v>
      </c>
      <c r="R335" s="61">
        <v>2.69</v>
      </c>
      <c r="S335" s="61">
        <v>1</v>
      </c>
      <c r="T335" s="61">
        <v>1</v>
      </c>
      <c r="U335" s="62">
        <v>0.5</v>
      </c>
      <c r="V335" s="61">
        <v>1</v>
      </c>
      <c r="W335" s="61">
        <v>0</v>
      </c>
      <c r="X335" s="61" t="s">
        <v>55</v>
      </c>
      <c r="Y335" s="63" t="s">
        <v>36</v>
      </c>
      <c r="Z335" s="64"/>
      <c r="AA335" s="64"/>
    </row>
    <row r="336" spans="1:27" ht="14.4" x14ac:dyDescent="0.3">
      <c r="A336" s="56">
        <v>45915</v>
      </c>
      <c r="B336" s="57">
        <v>45920</v>
      </c>
      <c r="C336" s="58" t="s">
        <v>85</v>
      </c>
      <c r="D336" s="58" t="s">
        <v>28</v>
      </c>
      <c r="E336" s="58" t="s">
        <v>86</v>
      </c>
      <c r="F336" s="58" t="s">
        <v>87</v>
      </c>
      <c r="G336" s="58" t="s">
        <v>31</v>
      </c>
      <c r="H336" s="58" t="s">
        <v>87</v>
      </c>
      <c r="I336" s="58" t="s">
        <v>44</v>
      </c>
      <c r="J336" s="58" t="s">
        <v>87</v>
      </c>
      <c r="K336" s="59">
        <v>34</v>
      </c>
      <c r="L336" s="59">
        <v>4</v>
      </c>
      <c r="M336" s="60">
        <v>0.117647</v>
      </c>
      <c r="N336" s="59" t="s">
        <v>519</v>
      </c>
      <c r="O336" s="59" t="s">
        <v>520</v>
      </c>
      <c r="P336" s="59">
        <v>43.8</v>
      </c>
      <c r="Q336" s="66">
        <v>37.1</v>
      </c>
      <c r="R336" s="66">
        <v>2.7</v>
      </c>
      <c r="S336" s="66">
        <v>2</v>
      </c>
      <c r="T336" s="66">
        <v>2</v>
      </c>
      <c r="U336" s="67">
        <v>0.5</v>
      </c>
      <c r="V336" s="66">
        <v>2</v>
      </c>
      <c r="W336" s="66">
        <v>0</v>
      </c>
      <c r="X336" s="66" t="s">
        <v>67</v>
      </c>
      <c r="Y336" s="68" t="s">
        <v>36</v>
      </c>
      <c r="Z336" s="64"/>
      <c r="AA336" s="64"/>
    </row>
    <row r="337" spans="1:27" ht="14.4" x14ac:dyDescent="0.3">
      <c r="A337" s="56">
        <v>45915</v>
      </c>
      <c r="B337" s="57">
        <v>45919</v>
      </c>
      <c r="C337" s="58" t="s">
        <v>48</v>
      </c>
      <c r="D337" s="58" t="s">
        <v>28</v>
      </c>
      <c r="E337" s="58" t="s">
        <v>225</v>
      </c>
      <c r="F337" s="58" t="s">
        <v>226</v>
      </c>
      <c r="G337" s="58" t="s">
        <v>31</v>
      </c>
      <c r="H337" s="58" t="s">
        <v>168</v>
      </c>
      <c r="I337" s="58" t="s">
        <v>32</v>
      </c>
      <c r="J337" s="58" t="s">
        <v>171</v>
      </c>
      <c r="K337" s="59">
        <v>10</v>
      </c>
      <c r="L337" s="59">
        <v>2</v>
      </c>
      <c r="M337" s="60">
        <v>0.2</v>
      </c>
      <c r="N337" s="59" t="s">
        <v>521</v>
      </c>
      <c r="O337" s="59" t="s">
        <v>522</v>
      </c>
      <c r="P337" s="59">
        <v>21.9</v>
      </c>
      <c r="Q337" s="61">
        <v>36.21</v>
      </c>
      <c r="R337" s="61">
        <v>2.76</v>
      </c>
      <c r="S337" s="61">
        <v>1</v>
      </c>
      <c r="T337" s="61">
        <v>1</v>
      </c>
      <c r="U337" s="62">
        <v>0.5</v>
      </c>
      <c r="V337" s="61">
        <v>1</v>
      </c>
      <c r="W337" s="61">
        <v>0</v>
      </c>
      <c r="X337" s="61" t="s">
        <v>55</v>
      </c>
      <c r="Y337" s="63" t="s">
        <v>36</v>
      </c>
      <c r="Z337" s="64"/>
      <c r="AA337" s="64"/>
    </row>
    <row r="338" spans="1:27" ht="14.4" x14ac:dyDescent="0.3">
      <c r="A338" s="56">
        <v>45915</v>
      </c>
      <c r="B338" s="57">
        <v>45915</v>
      </c>
      <c r="C338" s="58" t="s">
        <v>48</v>
      </c>
      <c r="D338" s="58" t="s">
        <v>28</v>
      </c>
      <c r="E338" s="58" t="s">
        <v>49</v>
      </c>
      <c r="F338" s="58" t="s">
        <v>50</v>
      </c>
      <c r="G338" s="58" t="s">
        <v>31</v>
      </c>
      <c r="H338" s="58" t="s">
        <v>51</v>
      </c>
      <c r="I338" s="58" t="s">
        <v>52</v>
      </c>
      <c r="J338" s="58" t="s">
        <v>523</v>
      </c>
      <c r="K338" s="59">
        <v>1</v>
      </c>
      <c r="L338" s="59">
        <v>1</v>
      </c>
      <c r="M338" s="60">
        <v>1</v>
      </c>
      <c r="N338" s="59" t="s">
        <v>236</v>
      </c>
      <c r="O338" s="59" t="s">
        <v>236</v>
      </c>
      <c r="P338" s="59">
        <v>21.9</v>
      </c>
      <c r="Q338" s="66">
        <v>9.1300000000000008</v>
      </c>
      <c r="R338" s="66">
        <v>10.95</v>
      </c>
      <c r="S338" s="66">
        <v>1</v>
      </c>
      <c r="T338" s="66">
        <v>1</v>
      </c>
      <c r="U338" s="67">
        <v>1</v>
      </c>
      <c r="V338" s="66">
        <v>1</v>
      </c>
      <c r="W338" s="66">
        <v>0</v>
      </c>
      <c r="X338" s="66" t="s">
        <v>55</v>
      </c>
      <c r="Y338" s="68" t="s">
        <v>36</v>
      </c>
      <c r="Z338" s="64"/>
      <c r="AA338" s="64"/>
    </row>
    <row r="339" spans="1:27" ht="14.4" x14ac:dyDescent="0.3">
      <c r="A339" s="56">
        <v>45914</v>
      </c>
      <c r="B339" s="57">
        <v>45916</v>
      </c>
      <c r="C339" s="58" t="s">
        <v>143</v>
      </c>
      <c r="D339" s="58" t="s">
        <v>28</v>
      </c>
      <c r="E339" s="58" t="s">
        <v>144</v>
      </c>
      <c r="F339" s="58" t="s">
        <v>32</v>
      </c>
      <c r="G339" s="58" t="s">
        <v>31</v>
      </c>
      <c r="H339" s="58" t="s">
        <v>30</v>
      </c>
      <c r="I339" s="58" t="s">
        <v>44</v>
      </c>
      <c r="J339" s="58" t="s">
        <v>30</v>
      </c>
      <c r="K339" s="59">
        <v>868</v>
      </c>
      <c r="L339" s="59">
        <v>2</v>
      </c>
      <c r="M339" s="60">
        <v>2.3040000000000001E-3</v>
      </c>
      <c r="N339" s="59" t="s">
        <v>524</v>
      </c>
      <c r="O339" s="59" t="s">
        <v>374</v>
      </c>
      <c r="P339" s="59">
        <v>24.94</v>
      </c>
      <c r="Q339" s="66">
        <v>12.55</v>
      </c>
      <c r="R339" s="66">
        <v>7.97</v>
      </c>
      <c r="S339" s="66">
        <v>1</v>
      </c>
      <c r="T339" s="66">
        <v>1</v>
      </c>
      <c r="U339" s="67">
        <v>0.5</v>
      </c>
      <c r="V339" s="66">
        <v>1</v>
      </c>
      <c r="W339" s="66">
        <v>0</v>
      </c>
      <c r="X339" s="66" t="s">
        <v>35</v>
      </c>
      <c r="Y339" s="68" t="s">
        <v>36</v>
      </c>
      <c r="Z339" s="64"/>
      <c r="AA339" s="64"/>
    </row>
    <row r="340" spans="1:27" ht="14.4" x14ac:dyDescent="0.3">
      <c r="A340" s="56">
        <v>45914</v>
      </c>
      <c r="B340" s="57">
        <v>45919</v>
      </c>
      <c r="C340" s="58" t="s">
        <v>27</v>
      </c>
      <c r="D340" s="58" t="s">
        <v>28</v>
      </c>
      <c r="E340" s="58" t="s">
        <v>29</v>
      </c>
      <c r="F340" s="58" t="s">
        <v>30</v>
      </c>
      <c r="G340" s="58" t="s">
        <v>31</v>
      </c>
      <c r="H340" s="58" t="s">
        <v>30</v>
      </c>
      <c r="I340" s="58" t="s">
        <v>32</v>
      </c>
      <c r="J340" s="58" t="s">
        <v>30</v>
      </c>
      <c r="K340" s="59">
        <v>670</v>
      </c>
      <c r="L340" s="59">
        <v>15</v>
      </c>
      <c r="M340" s="60">
        <v>2.2388000000000002E-2</v>
      </c>
      <c r="N340" s="59" t="s">
        <v>525</v>
      </c>
      <c r="O340" s="59" t="s">
        <v>526</v>
      </c>
      <c r="P340" s="59">
        <v>74.819999999999993</v>
      </c>
      <c r="Q340" s="61">
        <v>92.92</v>
      </c>
      <c r="R340" s="61">
        <v>1.08</v>
      </c>
      <c r="S340" s="61">
        <v>3</v>
      </c>
      <c r="T340" s="61">
        <v>3</v>
      </c>
      <c r="U340" s="62">
        <v>0.2</v>
      </c>
      <c r="V340" s="61">
        <v>3</v>
      </c>
      <c r="W340" s="61">
        <v>0</v>
      </c>
      <c r="X340" s="61" t="s">
        <v>93</v>
      </c>
      <c r="Y340" s="63" t="s">
        <v>36</v>
      </c>
      <c r="Z340" s="64"/>
      <c r="AA340" s="64"/>
    </row>
    <row r="341" spans="1:27" ht="14.4" x14ac:dyDescent="0.3">
      <c r="A341" s="56">
        <v>45914</v>
      </c>
      <c r="B341" s="57">
        <v>45914</v>
      </c>
      <c r="C341" s="58" t="s">
        <v>27</v>
      </c>
      <c r="D341" s="58" t="s">
        <v>28</v>
      </c>
      <c r="E341" s="58" t="s">
        <v>71</v>
      </c>
      <c r="F341" s="58" t="s">
        <v>72</v>
      </c>
      <c r="G341" s="58" t="s">
        <v>31</v>
      </c>
      <c r="H341" s="58" t="s">
        <v>73</v>
      </c>
      <c r="I341" s="58" t="s">
        <v>52</v>
      </c>
      <c r="J341" s="58" t="s">
        <v>527</v>
      </c>
      <c r="K341" s="59">
        <v>1</v>
      </c>
      <c r="L341" s="59">
        <v>1</v>
      </c>
      <c r="M341" s="60">
        <v>1</v>
      </c>
      <c r="N341" s="59" t="s">
        <v>422</v>
      </c>
      <c r="O341" s="59" t="s">
        <v>422</v>
      </c>
      <c r="P341" s="59">
        <v>24.94</v>
      </c>
      <c r="Q341" s="66">
        <v>22.77</v>
      </c>
      <c r="R341" s="66">
        <v>4.3899999999999997</v>
      </c>
      <c r="S341" s="66">
        <v>1</v>
      </c>
      <c r="T341" s="66">
        <v>1</v>
      </c>
      <c r="U341" s="67">
        <v>1</v>
      </c>
      <c r="V341" s="66">
        <v>1</v>
      </c>
      <c r="W341" s="66">
        <v>0</v>
      </c>
      <c r="X341" s="66" t="s">
        <v>35</v>
      </c>
      <c r="Y341" s="68" t="s">
        <v>36</v>
      </c>
      <c r="Z341" s="64"/>
      <c r="AA341" s="64"/>
    </row>
    <row r="342" spans="1:27" ht="14.4" x14ac:dyDescent="0.3">
      <c r="A342" s="56">
        <v>45914</v>
      </c>
      <c r="B342" s="57">
        <v>45914</v>
      </c>
      <c r="C342" s="58" t="s">
        <v>27</v>
      </c>
      <c r="D342" s="58" t="s">
        <v>28</v>
      </c>
      <c r="E342" s="58" t="s">
        <v>71</v>
      </c>
      <c r="F342" s="58" t="s">
        <v>72</v>
      </c>
      <c r="G342" s="58" t="s">
        <v>31</v>
      </c>
      <c r="H342" s="58" t="s">
        <v>51</v>
      </c>
      <c r="I342" s="58" t="s">
        <v>52</v>
      </c>
      <c r="J342" s="58" t="s">
        <v>528</v>
      </c>
      <c r="K342" s="59">
        <v>2</v>
      </c>
      <c r="L342" s="59">
        <v>1</v>
      </c>
      <c r="M342" s="60">
        <v>0.5</v>
      </c>
      <c r="N342" s="59" t="s">
        <v>529</v>
      </c>
      <c r="O342" s="59" t="s">
        <v>529</v>
      </c>
      <c r="P342" s="59">
        <v>24.94</v>
      </c>
      <c r="Q342" s="61">
        <v>11.95</v>
      </c>
      <c r="R342" s="61">
        <v>8.3699999999999992</v>
      </c>
      <c r="S342" s="61">
        <v>1</v>
      </c>
      <c r="T342" s="61">
        <v>1</v>
      </c>
      <c r="U342" s="62">
        <v>1</v>
      </c>
      <c r="V342" s="61">
        <v>1</v>
      </c>
      <c r="W342" s="61">
        <v>0</v>
      </c>
      <c r="X342" s="61" t="s">
        <v>35</v>
      </c>
      <c r="Y342" s="63" t="s">
        <v>36</v>
      </c>
      <c r="Z342" s="64"/>
      <c r="AA342" s="64"/>
    </row>
    <row r="343" spans="1:27" ht="14.4" x14ac:dyDescent="0.3">
      <c r="A343" s="56">
        <v>45914</v>
      </c>
      <c r="B343" s="57">
        <v>45914</v>
      </c>
      <c r="C343" s="58" t="s">
        <v>27</v>
      </c>
      <c r="D343" s="58" t="s">
        <v>28</v>
      </c>
      <c r="E343" s="58" t="s">
        <v>29</v>
      </c>
      <c r="F343" s="58" t="s">
        <v>30</v>
      </c>
      <c r="G343" s="58" t="s">
        <v>31</v>
      </c>
      <c r="H343" s="58" t="s">
        <v>145</v>
      </c>
      <c r="I343" s="58" t="s">
        <v>32</v>
      </c>
      <c r="J343" s="58" t="s">
        <v>183</v>
      </c>
      <c r="K343" s="59">
        <v>4</v>
      </c>
      <c r="L343" s="59">
        <v>1</v>
      </c>
      <c r="M343" s="60">
        <v>0.25</v>
      </c>
      <c r="N343" s="59" t="s">
        <v>186</v>
      </c>
      <c r="O343" s="59" t="s">
        <v>186</v>
      </c>
      <c r="P343" s="59">
        <v>24.94</v>
      </c>
      <c r="Q343" s="66">
        <v>11.99</v>
      </c>
      <c r="R343" s="66">
        <v>8.34</v>
      </c>
      <c r="S343" s="66">
        <v>1</v>
      </c>
      <c r="T343" s="66">
        <v>1</v>
      </c>
      <c r="U343" s="67">
        <v>1</v>
      </c>
      <c r="V343" s="66">
        <v>1</v>
      </c>
      <c r="W343" s="66">
        <v>0</v>
      </c>
      <c r="X343" s="66" t="s">
        <v>35</v>
      </c>
      <c r="Y343" s="68" t="s">
        <v>36</v>
      </c>
      <c r="Z343" s="64"/>
      <c r="AA343" s="64"/>
    </row>
    <row r="344" spans="1:27" ht="14.4" x14ac:dyDescent="0.3">
      <c r="A344" s="56">
        <v>45914</v>
      </c>
      <c r="B344" s="57">
        <v>45920</v>
      </c>
      <c r="C344" s="58" t="s">
        <v>27</v>
      </c>
      <c r="D344" s="58" t="s">
        <v>28</v>
      </c>
      <c r="E344" s="58" t="s">
        <v>56</v>
      </c>
      <c r="F344" s="58" t="s">
        <v>57</v>
      </c>
      <c r="G344" s="58" t="s">
        <v>31</v>
      </c>
      <c r="H344" s="65" t="e">
        <f>+maca +root</f>
        <v>#NAME?</v>
      </c>
      <c r="I344" s="58" t="s">
        <v>32</v>
      </c>
      <c r="J344" s="58" t="s">
        <v>119</v>
      </c>
      <c r="K344" s="59">
        <v>5195</v>
      </c>
      <c r="L344" s="59">
        <v>75</v>
      </c>
      <c r="M344" s="60">
        <v>1.4437E-2</v>
      </c>
      <c r="N344" s="59" t="s">
        <v>46</v>
      </c>
      <c r="O344" s="59" t="s">
        <v>530</v>
      </c>
      <c r="P344" s="59">
        <v>199.52</v>
      </c>
      <c r="Q344" s="61">
        <v>120.04</v>
      </c>
      <c r="R344" s="61">
        <v>0.83</v>
      </c>
      <c r="S344" s="61">
        <v>8</v>
      </c>
      <c r="T344" s="61">
        <v>8</v>
      </c>
      <c r="U344" s="62">
        <v>0.106667</v>
      </c>
      <c r="V344" s="61">
        <v>8</v>
      </c>
      <c r="W344" s="61">
        <v>0</v>
      </c>
      <c r="X344" s="61" t="s">
        <v>531</v>
      </c>
      <c r="Y344" s="63" t="s">
        <v>36</v>
      </c>
      <c r="Z344" s="64"/>
      <c r="AA344" s="64"/>
    </row>
    <row r="345" spans="1:27" ht="14.4" x14ac:dyDescent="0.3">
      <c r="A345" s="56">
        <v>45914</v>
      </c>
      <c r="B345" s="57">
        <v>45914</v>
      </c>
      <c r="C345" s="58" t="s">
        <v>27</v>
      </c>
      <c r="D345" s="58" t="s">
        <v>28</v>
      </c>
      <c r="E345" s="58" t="s">
        <v>71</v>
      </c>
      <c r="F345" s="58" t="s">
        <v>72</v>
      </c>
      <c r="G345" s="58" t="s">
        <v>31</v>
      </c>
      <c r="H345" s="58" t="s">
        <v>51</v>
      </c>
      <c r="I345" s="58" t="s">
        <v>52</v>
      </c>
      <c r="J345" s="58" t="s">
        <v>532</v>
      </c>
      <c r="K345" s="59">
        <v>1</v>
      </c>
      <c r="L345" s="59">
        <v>1</v>
      </c>
      <c r="M345" s="60">
        <v>1</v>
      </c>
      <c r="N345" s="59" t="s">
        <v>371</v>
      </c>
      <c r="O345" s="59" t="s">
        <v>371</v>
      </c>
      <c r="P345" s="59">
        <v>24.94</v>
      </c>
      <c r="Q345" s="66">
        <v>12.67</v>
      </c>
      <c r="R345" s="66">
        <v>7.89</v>
      </c>
      <c r="S345" s="66">
        <v>1</v>
      </c>
      <c r="T345" s="66">
        <v>1</v>
      </c>
      <c r="U345" s="67">
        <v>1</v>
      </c>
      <c r="V345" s="66">
        <v>1</v>
      </c>
      <c r="W345" s="66">
        <v>0</v>
      </c>
      <c r="X345" s="66" t="s">
        <v>35</v>
      </c>
      <c r="Y345" s="68" t="s">
        <v>36</v>
      </c>
      <c r="Z345" s="64"/>
      <c r="AA345" s="64"/>
    </row>
    <row r="346" spans="1:27" ht="14.4" x14ac:dyDescent="0.3">
      <c r="A346" s="56">
        <v>45914</v>
      </c>
      <c r="B346" s="57">
        <v>45914</v>
      </c>
      <c r="C346" s="58" t="s">
        <v>40</v>
      </c>
      <c r="D346" s="58" t="s">
        <v>28</v>
      </c>
      <c r="E346" s="58" t="s">
        <v>41</v>
      </c>
      <c r="F346" s="58" t="s">
        <v>42</v>
      </c>
      <c r="G346" s="58" t="s">
        <v>31</v>
      </c>
      <c r="H346" s="58" t="s">
        <v>43</v>
      </c>
      <c r="I346" s="58" t="s">
        <v>44</v>
      </c>
      <c r="J346" s="58" t="s">
        <v>533</v>
      </c>
      <c r="K346" s="59">
        <v>2</v>
      </c>
      <c r="L346" s="59">
        <v>1</v>
      </c>
      <c r="M346" s="60">
        <v>0.5</v>
      </c>
      <c r="N346" s="59" t="s">
        <v>126</v>
      </c>
      <c r="O346" s="59" t="s">
        <v>126</v>
      </c>
      <c r="P346" s="59">
        <v>24.94</v>
      </c>
      <c r="Q346" s="61">
        <v>13.11</v>
      </c>
      <c r="R346" s="61">
        <v>7.63</v>
      </c>
      <c r="S346" s="61">
        <v>1</v>
      </c>
      <c r="T346" s="61">
        <v>1</v>
      </c>
      <c r="U346" s="62">
        <v>1</v>
      </c>
      <c r="V346" s="61">
        <v>1</v>
      </c>
      <c r="W346" s="61">
        <v>0</v>
      </c>
      <c r="X346" s="61" t="s">
        <v>35</v>
      </c>
      <c r="Y346" s="63" t="s">
        <v>36</v>
      </c>
      <c r="Z346" s="64"/>
      <c r="AA346" s="64"/>
    </row>
    <row r="347" spans="1:27" ht="14.4" x14ac:dyDescent="0.3">
      <c r="A347" s="56">
        <v>45914</v>
      </c>
      <c r="B347" s="57">
        <v>45920</v>
      </c>
      <c r="C347" s="58" t="s">
        <v>27</v>
      </c>
      <c r="D347" s="58" t="s">
        <v>28</v>
      </c>
      <c r="E347" s="58" t="s">
        <v>71</v>
      </c>
      <c r="F347" s="58" t="s">
        <v>72</v>
      </c>
      <c r="G347" s="58" t="s">
        <v>31</v>
      </c>
      <c r="H347" s="58" t="s">
        <v>73</v>
      </c>
      <c r="I347" s="58" t="s">
        <v>52</v>
      </c>
      <c r="J347" s="58" t="s">
        <v>101</v>
      </c>
      <c r="K347" s="59">
        <v>633</v>
      </c>
      <c r="L347" s="59">
        <v>9</v>
      </c>
      <c r="M347" s="60">
        <v>1.4218E-2</v>
      </c>
      <c r="N347" s="59" t="s">
        <v>519</v>
      </c>
      <c r="O347" s="59" t="s">
        <v>534</v>
      </c>
      <c r="P347" s="59">
        <v>24.94</v>
      </c>
      <c r="Q347" s="66">
        <v>146.59</v>
      </c>
      <c r="R347" s="66">
        <v>0.68</v>
      </c>
      <c r="S347" s="66">
        <v>1</v>
      </c>
      <c r="T347" s="66">
        <v>1</v>
      </c>
      <c r="U347" s="67">
        <v>0.111111</v>
      </c>
      <c r="V347" s="66">
        <v>1</v>
      </c>
      <c r="W347" s="66">
        <v>0</v>
      </c>
      <c r="X347" s="66" t="s">
        <v>35</v>
      </c>
      <c r="Y347" s="68" t="s">
        <v>36</v>
      </c>
      <c r="Z347" s="64"/>
      <c r="AA347" s="64"/>
    </row>
    <row r="348" spans="1:27" ht="14.4" x14ac:dyDescent="0.3">
      <c r="A348" s="56">
        <v>45914</v>
      </c>
      <c r="B348" s="57">
        <v>45916</v>
      </c>
      <c r="C348" s="58" t="s">
        <v>48</v>
      </c>
      <c r="D348" s="58" t="s">
        <v>28</v>
      </c>
      <c r="E348" s="58" t="s">
        <v>225</v>
      </c>
      <c r="F348" s="58" t="s">
        <v>226</v>
      </c>
      <c r="G348" s="58" t="s">
        <v>31</v>
      </c>
      <c r="H348" s="58" t="s">
        <v>168</v>
      </c>
      <c r="I348" s="58" t="s">
        <v>32</v>
      </c>
      <c r="J348" s="58" t="s">
        <v>169</v>
      </c>
      <c r="K348" s="59">
        <v>6</v>
      </c>
      <c r="L348" s="59">
        <v>2</v>
      </c>
      <c r="M348" s="60">
        <v>0.33333299999999999</v>
      </c>
      <c r="N348" s="59" t="s">
        <v>535</v>
      </c>
      <c r="O348" s="59" t="s">
        <v>536</v>
      </c>
      <c r="P348" s="59">
        <v>43.8</v>
      </c>
      <c r="Q348" s="61">
        <v>19.04</v>
      </c>
      <c r="R348" s="61">
        <v>5.25</v>
      </c>
      <c r="S348" s="61">
        <v>2</v>
      </c>
      <c r="T348" s="61">
        <v>2</v>
      </c>
      <c r="U348" s="62">
        <v>1</v>
      </c>
      <c r="V348" s="61">
        <v>2</v>
      </c>
      <c r="W348" s="61">
        <v>0</v>
      </c>
      <c r="X348" s="61" t="s">
        <v>67</v>
      </c>
      <c r="Y348" s="63" t="s">
        <v>36</v>
      </c>
      <c r="Z348" s="64"/>
      <c r="AA348" s="64"/>
    </row>
    <row r="349" spans="1:27" ht="14.4" x14ac:dyDescent="0.3">
      <c r="A349" s="77">
        <v>45910</v>
      </c>
      <c r="B349" s="78">
        <v>45913</v>
      </c>
      <c r="C349" s="58" t="s">
        <v>85</v>
      </c>
      <c r="D349" s="58" t="s">
        <v>28</v>
      </c>
      <c r="E349" s="58" t="s">
        <v>86</v>
      </c>
      <c r="F349" s="58" t="s">
        <v>87</v>
      </c>
      <c r="G349" s="58" t="s">
        <v>31</v>
      </c>
      <c r="H349" s="58" t="s">
        <v>88</v>
      </c>
      <c r="I349" s="58" t="s">
        <v>44</v>
      </c>
      <c r="J349" s="58" t="s">
        <v>88</v>
      </c>
      <c r="K349" s="59">
        <v>2</v>
      </c>
      <c r="L349" s="59">
        <v>2</v>
      </c>
      <c r="M349" s="60">
        <v>1</v>
      </c>
      <c r="N349" s="59" t="s">
        <v>116</v>
      </c>
      <c r="O349" s="59" t="s">
        <v>537</v>
      </c>
      <c r="P349" s="59">
        <v>43.8</v>
      </c>
      <c r="Q349" s="66">
        <v>17.309999999999999</v>
      </c>
      <c r="R349" s="66">
        <v>5.78</v>
      </c>
      <c r="S349" s="66">
        <v>2</v>
      </c>
      <c r="T349" s="66">
        <v>2</v>
      </c>
      <c r="U349" s="67">
        <v>1</v>
      </c>
      <c r="V349" s="66">
        <v>2</v>
      </c>
      <c r="W349" s="66">
        <v>0</v>
      </c>
      <c r="X349" s="66" t="s">
        <v>67</v>
      </c>
      <c r="Y349" s="68" t="s">
        <v>36</v>
      </c>
      <c r="Z349" s="64"/>
      <c r="AA349" s="64"/>
    </row>
    <row r="350" spans="1:27" ht="14.4" x14ac:dyDescent="0.3">
      <c r="A350" s="77">
        <v>45908</v>
      </c>
      <c r="B350" s="78">
        <v>45913</v>
      </c>
      <c r="C350" s="58" t="s">
        <v>48</v>
      </c>
      <c r="D350" s="58" t="s">
        <v>28</v>
      </c>
      <c r="E350" s="58" t="s">
        <v>225</v>
      </c>
      <c r="F350" s="58" t="s">
        <v>226</v>
      </c>
      <c r="G350" s="58" t="s">
        <v>31</v>
      </c>
      <c r="H350" s="58" t="s">
        <v>88</v>
      </c>
      <c r="I350" s="58" t="s">
        <v>32</v>
      </c>
      <c r="J350" s="58" t="s">
        <v>130</v>
      </c>
      <c r="K350" s="59">
        <v>12</v>
      </c>
      <c r="L350" s="59">
        <v>3</v>
      </c>
      <c r="M350" s="60">
        <v>0.25</v>
      </c>
      <c r="N350" s="59" t="s">
        <v>538</v>
      </c>
      <c r="O350" s="59" t="s">
        <v>539</v>
      </c>
      <c r="P350" s="59">
        <v>65.7</v>
      </c>
      <c r="Q350" s="66">
        <v>21.11</v>
      </c>
      <c r="R350" s="66">
        <v>4.74</v>
      </c>
      <c r="S350" s="66">
        <v>2</v>
      </c>
      <c r="T350" s="66">
        <v>3</v>
      </c>
      <c r="U350" s="67">
        <v>0.66666700000000001</v>
      </c>
      <c r="V350" s="66">
        <v>3</v>
      </c>
      <c r="W350" s="66">
        <v>0</v>
      </c>
      <c r="X350" s="66" t="s">
        <v>260</v>
      </c>
      <c r="Y350" s="68" t="s">
        <v>36</v>
      </c>
      <c r="Z350" s="64"/>
      <c r="AA350" s="64"/>
    </row>
    <row r="351" spans="1:27" ht="14.4" x14ac:dyDescent="0.3">
      <c r="A351" s="77">
        <v>45908</v>
      </c>
      <c r="B351" s="78">
        <v>45913</v>
      </c>
      <c r="C351" s="58" t="s">
        <v>27</v>
      </c>
      <c r="D351" s="58" t="s">
        <v>28</v>
      </c>
      <c r="E351" s="58" t="s">
        <v>71</v>
      </c>
      <c r="F351" s="58" t="s">
        <v>72</v>
      </c>
      <c r="G351" s="58" t="s">
        <v>31</v>
      </c>
      <c r="H351" s="58" t="s">
        <v>73</v>
      </c>
      <c r="I351" s="58" t="s">
        <v>52</v>
      </c>
      <c r="J351" s="58" t="s">
        <v>162</v>
      </c>
      <c r="K351" s="59">
        <v>182</v>
      </c>
      <c r="L351" s="59">
        <v>7</v>
      </c>
      <c r="M351" s="60">
        <v>3.8462000000000003E-2</v>
      </c>
      <c r="N351" s="59" t="s">
        <v>540</v>
      </c>
      <c r="O351" s="59" t="s">
        <v>541</v>
      </c>
      <c r="P351" s="59">
        <v>74.819999999999993</v>
      </c>
      <c r="Q351" s="61">
        <v>38.68</v>
      </c>
      <c r="R351" s="61">
        <v>2.59</v>
      </c>
      <c r="S351" s="61">
        <v>3</v>
      </c>
      <c r="T351" s="61">
        <v>3</v>
      </c>
      <c r="U351" s="62">
        <v>0.42857099999999998</v>
      </c>
      <c r="V351" s="61">
        <v>3</v>
      </c>
      <c r="W351" s="61">
        <v>0</v>
      </c>
      <c r="X351" s="61" t="s">
        <v>93</v>
      </c>
      <c r="Y351" s="63" t="s">
        <v>36</v>
      </c>
      <c r="Z351" s="64"/>
      <c r="AA351" s="64"/>
    </row>
    <row r="352" spans="1:27" ht="14.4" x14ac:dyDescent="0.3">
      <c r="A352" s="77">
        <v>45908</v>
      </c>
      <c r="B352" s="78">
        <v>45910</v>
      </c>
      <c r="C352" s="58" t="s">
        <v>27</v>
      </c>
      <c r="D352" s="58" t="s">
        <v>28</v>
      </c>
      <c r="E352" s="58" t="s">
        <v>71</v>
      </c>
      <c r="F352" s="58" t="s">
        <v>72</v>
      </c>
      <c r="G352" s="58" t="s">
        <v>31</v>
      </c>
      <c r="H352" s="58" t="s">
        <v>73</v>
      </c>
      <c r="I352" s="58" t="s">
        <v>52</v>
      </c>
      <c r="J352" s="58" t="s">
        <v>421</v>
      </c>
      <c r="K352" s="59">
        <v>5</v>
      </c>
      <c r="L352" s="59">
        <v>2</v>
      </c>
      <c r="M352" s="60">
        <v>0.4</v>
      </c>
      <c r="N352" s="59" t="s">
        <v>46</v>
      </c>
      <c r="O352" s="59" t="s">
        <v>542</v>
      </c>
      <c r="P352" s="59">
        <v>49.88</v>
      </c>
      <c r="Q352" s="61">
        <v>12.79</v>
      </c>
      <c r="R352" s="61">
        <v>7.82</v>
      </c>
      <c r="S352" s="61">
        <v>2</v>
      </c>
      <c r="T352" s="61">
        <v>2</v>
      </c>
      <c r="U352" s="62">
        <v>1</v>
      </c>
      <c r="V352" s="61">
        <v>2</v>
      </c>
      <c r="W352" s="61">
        <v>0</v>
      </c>
      <c r="X352" s="61" t="s">
        <v>78</v>
      </c>
      <c r="Y352" s="63" t="s">
        <v>36</v>
      </c>
      <c r="Z352" s="64"/>
      <c r="AA352" s="64"/>
    </row>
    <row r="353" spans="1:27" ht="14.4" x14ac:dyDescent="0.3">
      <c r="A353" s="77">
        <v>45907</v>
      </c>
      <c r="B353" s="78">
        <v>45913</v>
      </c>
      <c r="C353" s="58" t="s">
        <v>27</v>
      </c>
      <c r="D353" s="58" t="s">
        <v>28</v>
      </c>
      <c r="E353" s="58" t="s">
        <v>56</v>
      </c>
      <c r="F353" s="58" t="s">
        <v>57</v>
      </c>
      <c r="G353" s="58" t="s">
        <v>31</v>
      </c>
      <c r="H353" s="65" t="e">
        <f>+maca +root</f>
        <v>#NAME?</v>
      </c>
      <c r="I353" s="58" t="s">
        <v>32</v>
      </c>
      <c r="J353" s="58" t="s">
        <v>119</v>
      </c>
      <c r="K353" s="59">
        <v>5173</v>
      </c>
      <c r="L353" s="59">
        <v>66</v>
      </c>
      <c r="M353" s="60">
        <v>1.2759E-2</v>
      </c>
      <c r="N353" s="59" t="s">
        <v>543</v>
      </c>
      <c r="O353" s="59" t="s">
        <v>544</v>
      </c>
      <c r="P353" s="59">
        <v>374.1</v>
      </c>
      <c r="Q353" s="66">
        <v>51.9</v>
      </c>
      <c r="R353" s="66">
        <v>1.93</v>
      </c>
      <c r="S353" s="66">
        <v>15</v>
      </c>
      <c r="T353" s="66">
        <v>15</v>
      </c>
      <c r="U353" s="67">
        <v>0.227273</v>
      </c>
      <c r="V353" s="66">
        <v>15</v>
      </c>
      <c r="W353" s="66">
        <v>0</v>
      </c>
      <c r="X353" s="66" t="s">
        <v>545</v>
      </c>
      <c r="Y353" s="68" t="s">
        <v>36</v>
      </c>
      <c r="Z353" s="64"/>
      <c r="AA353" s="64"/>
    </row>
    <row r="354" spans="1:27" ht="14.4" x14ac:dyDescent="0.3">
      <c r="A354" s="77">
        <v>45907</v>
      </c>
      <c r="B354" s="78">
        <v>45912</v>
      </c>
      <c r="C354" s="58" t="s">
        <v>27</v>
      </c>
      <c r="D354" s="58" t="s">
        <v>28</v>
      </c>
      <c r="E354" s="58" t="s">
        <v>71</v>
      </c>
      <c r="F354" s="58" t="s">
        <v>72</v>
      </c>
      <c r="G354" s="58" t="s">
        <v>31</v>
      </c>
      <c r="H354" s="58" t="s">
        <v>73</v>
      </c>
      <c r="I354" s="58" t="s">
        <v>52</v>
      </c>
      <c r="J354" s="58" t="s">
        <v>43</v>
      </c>
      <c r="K354" s="59">
        <v>151</v>
      </c>
      <c r="L354" s="59">
        <v>7</v>
      </c>
      <c r="M354" s="60">
        <v>4.6358000000000003E-2</v>
      </c>
      <c r="N354" s="59" t="s">
        <v>546</v>
      </c>
      <c r="O354" s="59" t="s">
        <v>547</v>
      </c>
      <c r="P354" s="59">
        <v>124.7</v>
      </c>
      <c r="Q354" s="66">
        <v>19.850000000000001</v>
      </c>
      <c r="R354" s="66">
        <v>5.04</v>
      </c>
      <c r="S354" s="66">
        <v>5</v>
      </c>
      <c r="T354" s="66">
        <v>5</v>
      </c>
      <c r="U354" s="67">
        <v>0.71428599999999998</v>
      </c>
      <c r="V354" s="66">
        <v>5</v>
      </c>
      <c r="W354" s="66">
        <v>0</v>
      </c>
      <c r="X354" s="66" t="s">
        <v>548</v>
      </c>
      <c r="Y354" s="68" t="s">
        <v>36</v>
      </c>
      <c r="Z354" s="64"/>
      <c r="AA354" s="64"/>
    </row>
    <row r="355" spans="1:27" ht="14.4" x14ac:dyDescent="0.3">
      <c r="A355" s="77">
        <v>45907</v>
      </c>
      <c r="B355" s="78">
        <v>45911</v>
      </c>
      <c r="C355" s="58" t="s">
        <v>40</v>
      </c>
      <c r="D355" s="58" t="s">
        <v>28</v>
      </c>
      <c r="E355" s="58" t="s">
        <v>41</v>
      </c>
      <c r="F355" s="58" t="s">
        <v>42</v>
      </c>
      <c r="G355" s="58" t="s">
        <v>31</v>
      </c>
      <c r="H355" s="58" t="s">
        <v>43</v>
      </c>
      <c r="I355" s="58" t="s">
        <v>44</v>
      </c>
      <c r="J355" s="58" t="s">
        <v>43</v>
      </c>
      <c r="K355" s="59">
        <v>90</v>
      </c>
      <c r="L355" s="59">
        <v>9</v>
      </c>
      <c r="M355" s="60">
        <v>0.1</v>
      </c>
      <c r="N355" s="59" t="s">
        <v>549</v>
      </c>
      <c r="O355" s="59" t="s">
        <v>550</v>
      </c>
      <c r="P355" s="59">
        <v>49.88</v>
      </c>
      <c r="Q355" s="61">
        <v>59.66</v>
      </c>
      <c r="R355" s="61">
        <v>1.68</v>
      </c>
      <c r="S355" s="61">
        <v>2</v>
      </c>
      <c r="T355" s="61">
        <v>2</v>
      </c>
      <c r="U355" s="62">
        <v>0.222222</v>
      </c>
      <c r="V355" s="61">
        <v>2</v>
      </c>
      <c r="W355" s="61">
        <v>0</v>
      </c>
      <c r="X355" s="61" t="s">
        <v>78</v>
      </c>
      <c r="Y355" s="63" t="s">
        <v>36</v>
      </c>
      <c r="Z355" s="64"/>
      <c r="AA355" s="64"/>
    </row>
    <row r="356" spans="1:27" ht="14.4" x14ac:dyDescent="0.3">
      <c r="A356" s="77">
        <v>45905</v>
      </c>
      <c r="B356" s="78">
        <v>45905</v>
      </c>
      <c r="C356" s="58" t="s">
        <v>48</v>
      </c>
      <c r="D356" s="58" t="s">
        <v>28</v>
      </c>
      <c r="E356" s="58" t="s">
        <v>225</v>
      </c>
      <c r="F356" s="58" t="s">
        <v>226</v>
      </c>
      <c r="G356" s="58" t="s">
        <v>31</v>
      </c>
      <c r="H356" s="58" t="s">
        <v>88</v>
      </c>
      <c r="I356" s="58" t="s">
        <v>32</v>
      </c>
      <c r="J356" s="58" t="s">
        <v>130</v>
      </c>
      <c r="K356" s="59">
        <v>2</v>
      </c>
      <c r="L356" s="59">
        <v>1</v>
      </c>
      <c r="M356" s="60">
        <v>0.5</v>
      </c>
      <c r="N356" s="59" t="s">
        <v>319</v>
      </c>
      <c r="O356" s="59" t="s">
        <v>319</v>
      </c>
      <c r="P356" s="59">
        <v>21.9</v>
      </c>
      <c r="Q356" s="60">
        <v>0.160274</v>
      </c>
      <c r="R356" s="59">
        <v>6.24</v>
      </c>
      <c r="S356" s="59">
        <v>1</v>
      </c>
      <c r="T356" s="59">
        <v>1</v>
      </c>
      <c r="U356" s="60">
        <v>1</v>
      </c>
      <c r="V356" s="59">
        <v>1</v>
      </c>
      <c r="W356" s="59">
        <v>0</v>
      </c>
      <c r="X356" s="59" t="s">
        <v>55</v>
      </c>
      <c r="Y356" s="79" t="s">
        <v>36</v>
      </c>
      <c r="Z356" s="64" t="s">
        <v>551</v>
      </c>
      <c r="AA356" s="80">
        <f t="shared" ref="AA356:AA601" si="5">IFERROR(VALUE(SUBSTITUTE(Q356,"%","")),NA())</f>
        <v>0.160274</v>
      </c>
    </row>
    <row r="357" spans="1:27" ht="14.4" x14ac:dyDescent="0.3">
      <c r="A357" s="77">
        <v>45905</v>
      </c>
      <c r="B357" s="78">
        <v>45905</v>
      </c>
      <c r="C357" s="58" t="s">
        <v>85</v>
      </c>
      <c r="D357" s="58" t="s">
        <v>28</v>
      </c>
      <c r="E357" s="58" t="s">
        <v>108</v>
      </c>
      <c r="F357" s="58" t="s">
        <v>109</v>
      </c>
      <c r="G357" s="58" t="s">
        <v>31</v>
      </c>
      <c r="H357" s="58" t="s">
        <v>110</v>
      </c>
      <c r="I357" s="58" t="s">
        <v>44</v>
      </c>
      <c r="J357" s="58" t="s">
        <v>552</v>
      </c>
      <c r="K357" s="59">
        <v>3</v>
      </c>
      <c r="L357" s="59">
        <v>1</v>
      </c>
      <c r="M357" s="60">
        <v>0.33333299999999999</v>
      </c>
      <c r="N357" s="59" t="s">
        <v>553</v>
      </c>
      <c r="O357" s="59" t="s">
        <v>553</v>
      </c>
      <c r="P357" s="59">
        <v>24.94</v>
      </c>
      <c r="Q357" s="60">
        <v>0.17682400000000001</v>
      </c>
      <c r="R357" s="59">
        <v>5.66</v>
      </c>
      <c r="S357" s="59">
        <v>1</v>
      </c>
      <c r="T357" s="59">
        <v>1</v>
      </c>
      <c r="U357" s="60">
        <v>1</v>
      </c>
      <c r="V357" s="59">
        <v>1</v>
      </c>
      <c r="W357" s="59">
        <v>0</v>
      </c>
      <c r="X357" s="59" t="s">
        <v>35</v>
      </c>
      <c r="Y357" s="79" t="s">
        <v>36</v>
      </c>
      <c r="Z357" s="64" t="s">
        <v>551</v>
      </c>
      <c r="AA357" s="80">
        <f t="shared" si="5"/>
        <v>0.17682400000000001</v>
      </c>
    </row>
    <row r="358" spans="1:27" ht="14.4" x14ac:dyDescent="0.3">
      <c r="A358" s="77">
        <v>45905</v>
      </c>
      <c r="B358" s="78">
        <v>45905</v>
      </c>
      <c r="C358" s="58" t="s">
        <v>85</v>
      </c>
      <c r="D358" s="58" t="s">
        <v>28</v>
      </c>
      <c r="E358" s="58" t="s">
        <v>108</v>
      </c>
      <c r="F358" s="58" t="s">
        <v>109</v>
      </c>
      <c r="G358" s="58" t="s">
        <v>31</v>
      </c>
      <c r="H358" s="58" t="s">
        <v>110</v>
      </c>
      <c r="I358" s="58" t="s">
        <v>44</v>
      </c>
      <c r="J358" s="58" t="s">
        <v>111</v>
      </c>
      <c r="K358" s="59">
        <v>2</v>
      </c>
      <c r="L358" s="59">
        <v>1</v>
      </c>
      <c r="M358" s="60">
        <v>0.5</v>
      </c>
      <c r="N358" s="59" t="s">
        <v>554</v>
      </c>
      <c r="O358" s="59" t="s">
        <v>554</v>
      </c>
      <c r="P358" s="59">
        <v>21.9</v>
      </c>
      <c r="Q358" s="60">
        <v>5.7077999999999997E-2</v>
      </c>
      <c r="R358" s="59">
        <v>17.52</v>
      </c>
      <c r="S358" s="59">
        <v>1</v>
      </c>
      <c r="T358" s="59">
        <v>1</v>
      </c>
      <c r="U358" s="60">
        <v>1</v>
      </c>
      <c r="V358" s="59">
        <v>1</v>
      </c>
      <c r="W358" s="59">
        <v>0</v>
      </c>
      <c r="X358" s="59" t="s">
        <v>55</v>
      </c>
      <c r="Y358" s="79" t="s">
        <v>36</v>
      </c>
      <c r="Z358" s="64" t="s">
        <v>551</v>
      </c>
      <c r="AA358" s="80">
        <f t="shared" si="5"/>
        <v>5.7077999999999997E-2</v>
      </c>
    </row>
    <row r="359" spans="1:27" ht="14.4" x14ac:dyDescent="0.3">
      <c r="A359" s="77">
        <v>45905</v>
      </c>
      <c r="B359" s="78">
        <v>45905</v>
      </c>
      <c r="C359" s="58" t="s">
        <v>27</v>
      </c>
      <c r="D359" s="58" t="s">
        <v>28</v>
      </c>
      <c r="E359" s="58" t="s">
        <v>71</v>
      </c>
      <c r="F359" s="58" t="s">
        <v>72</v>
      </c>
      <c r="G359" s="58" t="s">
        <v>31</v>
      </c>
      <c r="H359" s="58" t="s">
        <v>51</v>
      </c>
      <c r="I359" s="58" t="s">
        <v>52</v>
      </c>
      <c r="J359" s="58" t="s">
        <v>555</v>
      </c>
      <c r="K359" s="59">
        <v>3</v>
      </c>
      <c r="L359" s="59">
        <v>2</v>
      </c>
      <c r="M359" s="60">
        <v>0.66666700000000001</v>
      </c>
      <c r="N359" s="59" t="s">
        <v>181</v>
      </c>
      <c r="O359" s="59" t="s">
        <v>556</v>
      </c>
      <c r="P359" s="59">
        <v>24.94</v>
      </c>
      <c r="Q359" s="60">
        <v>0.20048099999999999</v>
      </c>
      <c r="R359" s="59">
        <v>4.99</v>
      </c>
      <c r="S359" s="59">
        <v>1</v>
      </c>
      <c r="T359" s="59">
        <v>1</v>
      </c>
      <c r="U359" s="60">
        <v>0.5</v>
      </c>
      <c r="V359" s="59">
        <v>1</v>
      </c>
      <c r="W359" s="59">
        <v>0</v>
      </c>
      <c r="X359" s="59" t="s">
        <v>35</v>
      </c>
      <c r="Y359" s="79" t="s">
        <v>36</v>
      </c>
      <c r="Z359" s="64" t="s">
        <v>551</v>
      </c>
      <c r="AA359" s="80">
        <f t="shared" si="5"/>
        <v>0.20048099999999999</v>
      </c>
    </row>
    <row r="360" spans="1:27" ht="14.4" x14ac:dyDescent="0.3">
      <c r="A360" s="77">
        <v>45905</v>
      </c>
      <c r="B360" s="78">
        <v>45906</v>
      </c>
      <c r="C360" s="58" t="s">
        <v>27</v>
      </c>
      <c r="D360" s="58" t="s">
        <v>28</v>
      </c>
      <c r="E360" s="58" t="s">
        <v>71</v>
      </c>
      <c r="F360" s="58" t="s">
        <v>72</v>
      </c>
      <c r="G360" s="58" t="s">
        <v>31</v>
      </c>
      <c r="H360" s="58" t="s">
        <v>73</v>
      </c>
      <c r="I360" s="58" t="s">
        <v>52</v>
      </c>
      <c r="J360" s="58" t="s">
        <v>43</v>
      </c>
      <c r="K360" s="59">
        <v>6</v>
      </c>
      <c r="L360" s="59">
        <v>2</v>
      </c>
      <c r="M360" s="60">
        <v>0.33333299999999999</v>
      </c>
      <c r="N360" s="59" t="s">
        <v>313</v>
      </c>
      <c r="O360" s="59" t="s">
        <v>557</v>
      </c>
      <c r="P360" s="59">
        <v>24.94</v>
      </c>
      <c r="Q360" s="60">
        <v>0.28428199999999998</v>
      </c>
      <c r="R360" s="59">
        <v>3.52</v>
      </c>
      <c r="S360" s="59">
        <v>1</v>
      </c>
      <c r="T360" s="59">
        <v>1</v>
      </c>
      <c r="U360" s="60">
        <v>0.5</v>
      </c>
      <c r="V360" s="59">
        <v>1</v>
      </c>
      <c r="W360" s="59">
        <v>0</v>
      </c>
      <c r="X360" s="59" t="s">
        <v>35</v>
      </c>
      <c r="Y360" s="79" t="s">
        <v>36</v>
      </c>
      <c r="Z360" s="64" t="s">
        <v>551</v>
      </c>
      <c r="AA360" s="80">
        <f t="shared" si="5"/>
        <v>0.28428199999999998</v>
      </c>
    </row>
    <row r="361" spans="1:27" ht="14.4" x14ac:dyDescent="0.3">
      <c r="A361" s="77">
        <v>45904</v>
      </c>
      <c r="B361" s="78">
        <v>45904</v>
      </c>
      <c r="C361" s="58" t="s">
        <v>27</v>
      </c>
      <c r="D361" s="58" t="s">
        <v>28</v>
      </c>
      <c r="E361" s="58" t="s">
        <v>71</v>
      </c>
      <c r="F361" s="58" t="s">
        <v>72</v>
      </c>
      <c r="G361" s="58" t="s">
        <v>31</v>
      </c>
      <c r="H361" s="58" t="s">
        <v>51</v>
      </c>
      <c r="I361" s="58" t="s">
        <v>52</v>
      </c>
      <c r="J361" s="58" t="s">
        <v>558</v>
      </c>
      <c r="K361" s="59">
        <v>1</v>
      </c>
      <c r="L361" s="59">
        <v>1</v>
      </c>
      <c r="M361" s="60">
        <v>1</v>
      </c>
      <c r="N361" s="59" t="s">
        <v>559</v>
      </c>
      <c r="O361" s="59" t="s">
        <v>559</v>
      </c>
      <c r="P361" s="59">
        <v>24.94</v>
      </c>
      <c r="Q361" s="60">
        <v>6.4956E-2</v>
      </c>
      <c r="R361" s="59">
        <v>15.4</v>
      </c>
      <c r="S361" s="59">
        <v>1</v>
      </c>
      <c r="T361" s="59">
        <v>1</v>
      </c>
      <c r="U361" s="60">
        <v>1</v>
      </c>
      <c r="V361" s="59">
        <v>1</v>
      </c>
      <c r="W361" s="59">
        <v>0</v>
      </c>
      <c r="X361" s="59" t="s">
        <v>35</v>
      </c>
      <c r="Y361" s="79" t="s">
        <v>36</v>
      </c>
      <c r="Z361" s="64" t="s">
        <v>551</v>
      </c>
      <c r="AA361" s="80">
        <f t="shared" si="5"/>
        <v>6.4956E-2</v>
      </c>
    </row>
    <row r="362" spans="1:27" ht="14.4" x14ac:dyDescent="0.3">
      <c r="A362" s="77">
        <v>45904</v>
      </c>
      <c r="B362" s="78">
        <v>45904</v>
      </c>
      <c r="C362" s="58" t="s">
        <v>27</v>
      </c>
      <c r="D362" s="58" t="s">
        <v>28</v>
      </c>
      <c r="E362" s="58" t="s">
        <v>29</v>
      </c>
      <c r="F362" s="58" t="s">
        <v>30</v>
      </c>
      <c r="G362" s="58" t="s">
        <v>31</v>
      </c>
      <c r="H362" s="58" t="s">
        <v>480</v>
      </c>
      <c r="I362" s="58" t="s">
        <v>32</v>
      </c>
      <c r="J362" s="58" t="s">
        <v>162</v>
      </c>
      <c r="K362" s="59">
        <v>8</v>
      </c>
      <c r="L362" s="59">
        <v>1</v>
      </c>
      <c r="M362" s="60">
        <v>0.125</v>
      </c>
      <c r="N362" s="59" t="s">
        <v>540</v>
      </c>
      <c r="O362" s="59" t="s">
        <v>540</v>
      </c>
      <c r="P362" s="59">
        <v>24.94</v>
      </c>
      <c r="Q362" s="60">
        <v>0.16559699999999999</v>
      </c>
      <c r="R362" s="59">
        <v>6.04</v>
      </c>
      <c r="S362" s="59">
        <v>1</v>
      </c>
      <c r="T362" s="59">
        <v>1</v>
      </c>
      <c r="U362" s="60">
        <v>1</v>
      </c>
      <c r="V362" s="59">
        <v>1</v>
      </c>
      <c r="W362" s="59">
        <v>0</v>
      </c>
      <c r="X362" s="59" t="s">
        <v>35</v>
      </c>
      <c r="Y362" s="79" t="s">
        <v>36</v>
      </c>
      <c r="Z362" s="64" t="s">
        <v>551</v>
      </c>
      <c r="AA362" s="80">
        <f t="shared" si="5"/>
        <v>0.16559699999999999</v>
      </c>
    </row>
    <row r="363" spans="1:27" ht="14.4" x14ac:dyDescent="0.3">
      <c r="A363" s="77">
        <v>45904</v>
      </c>
      <c r="B363" s="78">
        <v>45905</v>
      </c>
      <c r="C363" s="58" t="s">
        <v>40</v>
      </c>
      <c r="D363" s="58" t="s">
        <v>28</v>
      </c>
      <c r="E363" s="58" t="s">
        <v>41</v>
      </c>
      <c r="F363" s="58" t="s">
        <v>42</v>
      </c>
      <c r="G363" s="58" t="s">
        <v>31</v>
      </c>
      <c r="H363" s="58" t="s">
        <v>43</v>
      </c>
      <c r="I363" s="58" t="s">
        <v>44</v>
      </c>
      <c r="J363" s="58" t="s">
        <v>560</v>
      </c>
      <c r="K363" s="59">
        <v>6</v>
      </c>
      <c r="L363" s="59">
        <v>2</v>
      </c>
      <c r="M363" s="60">
        <v>0.33333299999999999</v>
      </c>
      <c r="N363" s="59" t="s">
        <v>66</v>
      </c>
      <c r="O363" s="59" t="s">
        <v>561</v>
      </c>
      <c r="P363" s="59">
        <v>24.94</v>
      </c>
      <c r="Q363" s="60">
        <v>0.23817199999999999</v>
      </c>
      <c r="R363" s="59">
        <v>4.2</v>
      </c>
      <c r="S363" s="59">
        <v>1</v>
      </c>
      <c r="T363" s="59">
        <v>1</v>
      </c>
      <c r="U363" s="60">
        <v>0.5</v>
      </c>
      <c r="V363" s="59">
        <v>1</v>
      </c>
      <c r="W363" s="59">
        <v>0</v>
      </c>
      <c r="X363" s="59" t="s">
        <v>35</v>
      </c>
      <c r="Y363" s="79" t="s">
        <v>36</v>
      </c>
      <c r="Z363" s="64" t="s">
        <v>551</v>
      </c>
      <c r="AA363" s="80">
        <f t="shared" si="5"/>
        <v>0.23817199999999999</v>
      </c>
    </row>
    <row r="364" spans="1:27" ht="14.4" x14ac:dyDescent="0.3">
      <c r="A364" s="81">
        <v>45904</v>
      </c>
      <c r="B364" s="82">
        <v>45904</v>
      </c>
      <c r="C364" s="71" t="s">
        <v>27</v>
      </c>
      <c r="D364" s="71" t="s">
        <v>28</v>
      </c>
      <c r="E364" s="71" t="s">
        <v>71</v>
      </c>
      <c r="F364" s="71" t="s">
        <v>72</v>
      </c>
      <c r="G364" s="71" t="s">
        <v>31</v>
      </c>
      <c r="H364" s="71" t="s">
        <v>51</v>
      </c>
      <c r="I364" s="71" t="s">
        <v>52</v>
      </c>
      <c r="J364" s="71" t="s">
        <v>562</v>
      </c>
      <c r="K364" s="72">
        <v>2</v>
      </c>
      <c r="L364" s="72">
        <v>1</v>
      </c>
      <c r="M364" s="73">
        <v>0.5</v>
      </c>
      <c r="N364" s="72" t="s">
        <v>181</v>
      </c>
      <c r="O364" s="72" t="s">
        <v>181</v>
      </c>
      <c r="P364" s="72">
        <v>24.94</v>
      </c>
      <c r="Q364" s="73">
        <v>0.100241</v>
      </c>
      <c r="R364" s="72">
        <v>9.98</v>
      </c>
      <c r="S364" s="72">
        <v>1</v>
      </c>
      <c r="T364" s="72">
        <v>1</v>
      </c>
      <c r="U364" s="73">
        <v>1</v>
      </c>
      <c r="V364" s="72">
        <v>1</v>
      </c>
      <c r="W364" s="72">
        <v>0</v>
      </c>
      <c r="X364" s="72" t="s">
        <v>35</v>
      </c>
      <c r="Y364" s="83" t="s">
        <v>36</v>
      </c>
      <c r="Z364" s="64" t="s">
        <v>551</v>
      </c>
      <c r="AA364" s="80">
        <f t="shared" si="5"/>
        <v>0.100241</v>
      </c>
    </row>
    <row r="365" spans="1:27" ht="14.4" x14ac:dyDescent="0.3">
      <c r="A365" s="77">
        <v>45903</v>
      </c>
      <c r="B365" s="78">
        <v>45906</v>
      </c>
      <c r="C365" s="58" t="s">
        <v>27</v>
      </c>
      <c r="D365" s="58" t="s">
        <v>28</v>
      </c>
      <c r="E365" s="58" t="s">
        <v>29</v>
      </c>
      <c r="F365" s="58" t="s">
        <v>30</v>
      </c>
      <c r="G365" s="58" t="s">
        <v>31</v>
      </c>
      <c r="H365" s="58" t="s">
        <v>145</v>
      </c>
      <c r="I365" s="58" t="s">
        <v>32</v>
      </c>
      <c r="J365" s="58" t="s">
        <v>183</v>
      </c>
      <c r="K365" s="59">
        <v>21</v>
      </c>
      <c r="L365" s="59">
        <v>3</v>
      </c>
      <c r="M365" s="60">
        <v>0.14285700000000001</v>
      </c>
      <c r="N365" s="59" t="s">
        <v>479</v>
      </c>
      <c r="O365" s="59" t="s">
        <v>563</v>
      </c>
      <c r="P365" s="59">
        <v>49.88</v>
      </c>
      <c r="Q365" s="60">
        <v>0.17602200000000001</v>
      </c>
      <c r="R365" s="59">
        <v>5.68</v>
      </c>
      <c r="S365" s="59">
        <v>2</v>
      </c>
      <c r="T365" s="59">
        <v>2</v>
      </c>
      <c r="U365" s="60">
        <v>0.66666700000000001</v>
      </c>
      <c r="V365" s="59">
        <v>2</v>
      </c>
      <c r="W365" s="59">
        <v>0</v>
      </c>
      <c r="X365" s="59" t="s">
        <v>78</v>
      </c>
      <c r="Y365" s="79" t="s">
        <v>36</v>
      </c>
      <c r="Z365" s="64" t="s">
        <v>551</v>
      </c>
      <c r="AA365" s="80">
        <f t="shared" si="5"/>
        <v>0.17602200000000001</v>
      </c>
    </row>
    <row r="366" spans="1:27" ht="14.4" x14ac:dyDescent="0.3">
      <c r="A366" s="77">
        <v>45903</v>
      </c>
      <c r="B366" s="78">
        <v>45906</v>
      </c>
      <c r="C366" s="58" t="s">
        <v>85</v>
      </c>
      <c r="D366" s="58" t="s">
        <v>28</v>
      </c>
      <c r="E366" s="58" t="s">
        <v>86</v>
      </c>
      <c r="F366" s="58" t="s">
        <v>87</v>
      </c>
      <c r="G366" s="58" t="s">
        <v>31</v>
      </c>
      <c r="H366" s="58" t="s">
        <v>87</v>
      </c>
      <c r="I366" s="58" t="s">
        <v>44</v>
      </c>
      <c r="J366" s="58" t="s">
        <v>87</v>
      </c>
      <c r="K366" s="59">
        <v>15</v>
      </c>
      <c r="L366" s="59">
        <v>4</v>
      </c>
      <c r="M366" s="60">
        <v>0.26666699999999999</v>
      </c>
      <c r="N366" s="59" t="s">
        <v>418</v>
      </c>
      <c r="O366" s="59" t="s">
        <v>564</v>
      </c>
      <c r="P366" s="59">
        <v>43.8</v>
      </c>
      <c r="Q366" s="60">
        <v>0.25981700000000002</v>
      </c>
      <c r="R366" s="59">
        <v>3.85</v>
      </c>
      <c r="S366" s="59">
        <v>2</v>
      </c>
      <c r="T366" s="59">
        <v>2</v>
      </c>
      <c r="U366" s="60">
        <v>0.5</v>
      </c>
      <c r="V366" s="59">
        <v>2</v>
      </c>
      <c r="W366" s="59">
        <v>0</v>
      </c>
      <c r="X366" s="59" t="s">
        <v>67</v>
      </c>
      <c r="Y366" s="79" t="s">
        <v>36</v>
      </c>
      <c r="Z366" s="64" t="s">
        <v>551</v>
      </c>
      <c r="AA366" s="80">
        <f t="shared" si="5"/>
        <v>0.25981700000000002</v>
      </c>
    </row>
    <row r="367" spans="1:27" ht="14.4" x14ac:dyDescent="0.3">
      <c r="A367" s="77">
        <v>45903</v>
      </c>
      <c r="B367" s="78">
        <v>45906</v>
      </c>
      <c r="C367" s="58" t="s">
        <v>85</v>
      </c>
      <c r="D367" s="58" t="s">
        <v>28</v>
      </c>
      <c r="E367" s="58" t="s">
        <v>86</v>
      </c>
      <c r="F367" s="58" t="s">
        <v>87</v>
      </c>
      <c r="G367" s="58" t="s">
        <v>31</v>
      </c>
      <c r="H367" s="58" t="s">
        <v>88</v>
      </c>
      <c r="I367" s="58" t="s">
        <v>44</v>
      </c>
      <c r="J367" s="58" t="s">
        <v>88</v>
      </c>
      <c r="K367" s="59">
        <v>10</v>
      </c>
      <c r="L367" s="59">
        <v>3</v>
      </c>
      <c r="M367" s="60">
        <v>0.3</v>
      </c>
      <c r="N367" s="59" t="s">
        <v>546</v>
      </c>
      <c r="O367" s="59" t="s">
        <v>565</v>
      </c>
      <c r="P367" s="59">
        <v>21.9</v>
      </c>
      <c r="Q367" s="60">
        <v>0.48538799999999999</v>
      </c>
      <c r="R367" s="59">
        <v>2.06</v>
      </c>
      <c r="S367" s="59">
        <v>1</v>
      </c>
      <c r="T367" s="59">
        <v>1</v>
      </c>
      <c r="U367" s="60">
        <v>0.33333299999999999</v>
      </c>
      <c r="V367" s="59">
        <v>1</v>
      </c>
      <c r="W367" s="59">
        <v>0</v>
      </c>
      <c r="X367" s="59" t="s">
        <v>55</v>
      </c>
      <c r="Y367" s="79" t="s">
        <v>36</v>
      </c>
      <c r="Z367" s="64" t="s">
        <v>551</v>
      </c>
      <c r="AA367" s="80">
        <f t="shared" si="5"/>
        <v>0.48538799999999999</v>
      </c>
    </row>
    <row r="368" spans="1:27" ht="14.4" x14ac:dyDescent="0.3">
      <c r="A368" s="77">
        <v>45903</v>
      </c>
      <c r="B368" s="78">
        <v>45903</v>
      </c>
      <c r="C368" s="58" t="s">
        <v>143</v>
      </c>
      <c r="D368" s="58" t="s">
        <v>28</v>
      </c>
      <c r="E368" s="58" t="s">
        <v>144</v>
      </c>
      <c r="F368" s="58" t="s">
        <v>32</v>
      </c>
      <c r="G368" s="58" t="s">
        <v>31</v>
      </c>
      <c r="H368" s="58" t="s">
        <v>566</v>
      </c>
      <c r="I368" s="58" t="s">
        <v>32</v>
      </c>
      <c r="J368" s="58" t="s">
        <v>567</v>
      </c>
      <c r="K368" s="59">
        <v>3</v>
      </c>
      <c r="L368" s="59">
        <v>1</v>
      </c>
      <c r="M368" s="60">
        <v>0.33333299999999999</v>
      </c>
      <c r="N368" s="59" t="s">
        <v>568</v>
      </c>
      <c r="O368" s="59" t="s">
        <v>568</v>
      </c>
      <c r="P368" s="59">
        <v>24.94</v>
      </c>
      <c r="Q368" s="60">
        <v>3.2878999999999999E-2</v>
      </c>
      <c r="R368" s="59">
        <v>30.41</v>
      </c>
      <c r="S368" s="59">
        <v>1</v>
      </c>
      <c r="T368" s="59">
        <v>1</v>
      </c>
      <c r="U368" s="60">
        <v>1</v>
      </c>
      <c r="V368" s="59">
        <v>1</v>
      </c>
      <c r="W368" s="59">
        <v>0</v>
      </c>
      <c r="X368" s="59" t="s">
        <v>35</v>
      </c>
      <c r="Y368" s="79" t="s">
        <v>36</v>
      </c>
      <c r="Z368" s="64" t="s">
        <v>551</v>
      </c>
      <c r="AA368" s="80">
        <f t="shared" si="5"/>
        <v>3.2878999999999999E-2</v>
      </c>
    </row>
    <row r="369" spans="1:27" ht="14.4" x14ac:dyDescent="0.3">
      <c r="A369" s="77">
        <v>45902</v>
      </c>
      <c r="B369" s="78">
        <v>45902</v>
      </c>
      <c r="C369" s="58" t="s">
        <v>27</v>
      </c>
      <c r="D369" s="58" t="s">
        <v>28</v>
      </c>
      <c r="E369" s="58" t="s">
        <v>29</v>
      </c>
      <c r="F369" s="58" t="s">
        <v>30</v>
      </c>
      <c r="G369" s="58" t="s">
        <v>31</v>
      </c>
      <c r="H369" s="58" t="s">
        <v>145</v>
      </c>
      <c r="I369" s="58" t="s">
        <v>32</v>
      </c>
      <c r="J369" s="58" t="s">
        <v>569</v>
      </c>
      <c r="K369" s="59">
        <v>1</v>
      </c>
      <c r="L369" s="59">
        <v>1</v>
      </c>
      <c r="M369" s="60">
        <v>1</v>
      </c>
      <c r="N369" s="59" t="s">
        <v>540</v>
      </c>
      <c r="O369" s="59" t="s">
        <v>540</v>
      </c>
      <c r="P369" s="59">
        <v>24.94</v>
      </c>
      <c r="Q369" s="60">
        <v>0.16559699999999999</v>
      </c>
      <c r="R369" s="59">
        <v>6.04</v>
      </c>
      <c r="S369" s="59">
        <v>1</v>
      </c>
      <c r="T369" s="59">
        <v>1</v>
      </c>
      <c r="U369" s="60">
        <v>1</v>
      </c>
      <c r="V369" s="59">
        <v>1</v>
      </c>
      <c r="W369" s="59">
        <v>0</v>
      </c>
      <c r="X369" s="59" t="s">
        <v>35</v>
      </c>
      <c r="Y369" s="79" t="s">
        <v>36</v>
      </c>
      <c r="Z369" s="64" t="s">
        <v>551</v>
      </c>
      <c r="AA369" s="80">
        <f t="shared" si="5"/>
        <v>0.16559699999999999</v>
      </c>
    </row>
    <row r="370" spans="1:27" ht="14.4" x14ac:dyDescent="0.3">
      <c r="A370" s="77">
        <v>45902</v>
      </c>
      <c r="B370" s="78">
        <v>45902</v>
      </c>
      <c r="C370" s="58" t="s">
        <v>27</v>
      </c>
      <c r="D370" s="58" t="s">
        <v>28</v>
      </c>
      <c r="E370" s="58" t="s">
        <v>71</v>
      </c>
      <c r="F370" s="58" t="s">
        <v>72</v>
      </c>
      <c r="G370" s="58" t="s">
        <v>31</v>
      </c>
      <c r="H370" s="58" t="s">
        <v>51</v>
      </c>
      <c r="I370" s="58" t="s">
        <v>52</v>
      </c>
      <c r="J370" s="58" t="s">
        <v>570</v>
      </c>
      <c r="K370" s="59">
        <v>1</v>
      </c>
      <c r="L370" s="59">
        <v>1</v>
      </c>
      <c r="M370" s="60">
        <v>1</v>
      </c>
      <c r="N370" s="59" t="s">
        <v>571</v>
      </c>
      <c r="O370" s="59" t="s">
        <v>571</v>
      </c>
      <c r="P370" s="59">
        <v>24.94</v>
      </c>
      <c r="Q370" s="60">
        <v>0.14033699999999999</v>
      </c>
      <c r="R370" s="59">
        <v>7.13</v>
      </c>
      <c r="S370" s="59">
        <v>1</v>
      </c>
      <c r="T370" s="59">
        <v>1</v>
      </c>
      <c r="U370" s="60">
        <v>1</v>
      </c>
      <c r="V370" s="59">
        <v>1</v>
      </c>
      <c r="W370" s="59">
        <v>0</v>
      </c>
      <c r="X370" s="59" t="s">
        <v>35</v>
      </c>
      <c r="Y370" s="79" t="s">
        <v>36</v>
      </c>
      <c r="Z370" s="64" t="s">
        <v>551</v>
      </c>
      <c r="AA370" s="80">
        <f t="shared" si="5"/>
        <v>0.14033699999999999</v>
      </c>
    </row>
    <row r="371" spans="1:27" ht="14.4" x14ac:dyDescent="0.3">
      <c r="A371" s="77">
        <v>45902</v>
      </c>
      <c r="B371" s="78">
        <v>45902</v>
      </c>
      <c r="C371" s="58" t="s">
        <v>27</v>
      </c>
      <c r="D371" s="58" t="s">
        <v>28</v>
      </c>
      <c r="E371" s="58" t="s">
        <v>71</v>
      </c>
      <c r="F371" s="58" t="s">
        <v>72</v>
      </c>
      <c r="G371" s="58" t="s">
        <v>31</v>
      </c>
      <c r="H371" s="58" t="s">
        <v>51</v>
      </c>
      <c r="I371" s="58" t="s">
        <v>52</v>
      </c>
      <c r="J371" s="58" t="s">
        <v>572</v>
      </c>
      <c r="K371" s="59">
        <v>3</v>
      </c>
      <c r="L371" s="59">
        <v>1</v>
      </c>
      <c r="M371" s="60">
        <v>0.33333299999999999</v>
      </c>
      <c r="N371" s="59" t="s">
        <v>181</v>
      </c>
      <c r="O371" s="59" t="s">
        <v>181</v>
      </c>
      <c r="P371" s="59">
        <v>24.94</v>
      </c>
      <c r="Q371" s="60">
        <v>0.100241</v>
      </c>
      <c r="R371" s="59">
        <v>9.98</v>
      </c>
      <c r="S371" s="59">
        <v>1</v>
      </c>
      <c r="T371" s="59">
        <v>1</v>
      </c>
      <c r="U371" s="60">
        <v>1</v>
      </c>
      <c r="V371" s="59">
        <v>1</v>
      </c>
      <c r="W371" s="59">
        <v>0</v>
      </c>
      <c r="X371" s="59" t="s">
        <v>35</v>
      </c>
      <c r="Y371" s="79" t="s">
        <v>36</v>
      </c>
      <c r="Z371" s="64" t="s">
        <v>551</v>
      </c>
      <c r="AA371" s="80">
        <f t="shared" si="5"/>
        <v>0.100241</v>
      </c>
    </row>
    <row r="372" spans="1:27" ht="14.4" x14ac:dyDescent="0.3">
      <c r="A372" s="77">
        <v>45901</v>
      </c>
      <c r="B372" s="78">
        <v>45905</v>
      </c>
      <c r="C372" s="58" t="s">
        <v>27</v>
      </c>
      <c r="D372" s="58" t="s">
        <v>28</v>
      </c>
      <c r="E372" s="58" t="s">
        <v>29</v>
      </c>
      <c r="F372" s="58" t="s">
        <v>30</v>
      </c>
      <c r="G372" s="58" t="s">
        <v>31</v>
      </c>
      <c r="H372" s="58" t="s">
        <v>30</v>
      </c>
      <c r="I372" s="58" t="s">
        <v>32</v>
      </c>
      <c r="J372" s="58" t="s">
        <v>30</v>
      </c>
      <c r="K372" s="59">
        <v>960</v>
      </c>
      <c r="L372" s="59">
        <v>9</v>
      </c>
      <c r="M372" s="60">
        <v>9.3749999999999997E-3</v>
      </c>
      <c r="N372" s="59" t="s">
        <v>336</v>
      </c>
      <c r="O372" s="59" t="s">
        <v>573</v>
      </c>
      <c r="P372" s="59">
        <v>174.58</v>
      </c>
      <c r="Q372" s="60">
        <v>0.172872</v>
      </c>
      <c r="R372" s="59">
        <v>5.78</v>
      </c>
      <c r="S372" s="59">
        <v>5</v>
      </c>
      <c r="T372" s="59">
        <v>7</v>
      </c>
      <c r="U372" s="60">
        <v>0.55555600000000005</v>
      </c>
      <c r="V372" s="59">
        <v>7</v>
      </c>
      <c r="W372" s="59">
        <v>0</v>
      </c>
      <c r="X372" s="59" t="s">
        <v>121</v>
      </c>
      <c r="Y372" s="79" t="s">
        <v>36</v>
      </c>
      <c r="Z372" s="64" t="s">
        <v>551</v>
      </c>
      <c r="AA372" s="80">
        <f t="shared" si="5"/>
        <v>0.172872</v>
      </c>
    </row>
    <row r="373" spans="1:27" ht="14.4" x14ac:dyDescent="0.3">
      <c r="A373" s="77">
        <v>45901</v>
      </c>
      <c r="B373" s="78">
        <v>45901</v>
      </c>
      <c r="C373" s="58" t="s">
        <v>27</v>
      </c>
      <c r="D373" s="58" t="s">
        <v>28</v>
      </c>
      <c r="E373" s="58" t="s">
        <v>71</v>
      </c>
      <c r="F373" s="58" t="s">
        <v>72</v>
      </c>
      <c r="G373" s="58" t="s">
        <v>31</v>
      </c>
      <c r="H373" s="58" t="s">
        <v>51</v>
      </c>
      <c r="I373" s="58" t="s">
        <v>52</v>
      </c>
      <c r="J373" s="58" t="s">
        <v>574</v>
      </c>
      <c r="K373" s="59">
        <v>1</v>
      </c>
      <c r="L373" s="59">
        <v>1</v>
      </c>
      <c r="M373" s="60">
        <v>1</v>
      </c>
      <c r="N373" s="59" t="s">
        <v>181</v>
      </c>
      <c r="O373" s="59" t="s">
        <v>181</v>
      </c>
      <c r="P373" s="59">
        <v>24.94</v>
      </c>
      <c r="Q373" s="60">
        <v>0.100241</v>
      </c>
      <c r="R373" s="59">
        <v>9.98</v>
      </c>
      <c r="S373" s="59">
        <v>1</v>
      </c>
      <c r="T373" s="59">
        <v>1</v>
      </c>
      <c r="U373" s="60">
        <v>1</v>
      </c>
      <c r="V373" s="59">
        <v>1</v>
      </c>
      <c r="W373" s="59">
        <v>0</v>
      </c>
      <c r="X373" s="59" t="s">
        <v>35</v>
      </c>
      <c r="Y373" s="79" t="s">
        <v>36</v>
      </c>
      <c r="Z373" s="64" t="s">
        <v>551</v>
      </c>
      <c r="AA373" s="80">
        <f t="shared" si="5"/>
        <v>0.100241</v>
      </c>
    </row>
    <row r="374" spans="1:27" ht="14.4" x14ac:dyDescent="0.3">
      <c r="A374" s="77">
        <v>45901</v>
      </c>
      <c r="B374" s="78">
        <v>45905</v>
      </c>
      <c r="C374" s="58" t="s">
        <v>40</v>
      </c>
      <c r="D374" s="58" t="s">
        <v>28</v>
      </c>
      <c r="E374" s="58" t="s">
        <v>41</v>
      </c>
      <c r="F374" s="58" t="s">
        <v>42</v>
      </c>
      <c r="G374" s="58" t="s">
        <v>31</v>
      </c>
      <c r="H374" s="58" t="s">
        <v>43</v>
      </c>
      <c r="I374" s="58" t="s">
        <v>44</v>
      </c>
      <c r="J374" s="58" t="s">
        <v>60</v>
      </c>
      <c r="K374" s="59">
        <v>66</v>
      </c>
      <c r="L374" s="59">
        <v>3</v>
      </c>
      <c r="M374" s="60">
        <v>4.5455000000000002E-2</v>
      </c>
      <c r="N374" s="59" t="s">
        <v>336</v>
      </c>
      <c r="O374" s="59" t="s">
        <v>575</v>
      </c>
      <c r="P374" s="59">
        <v>24.94</v>
      </c>
      <c r="Q374" s="60">
        <v>0.40296700000000002</v>
      </c>
      <c r="R374" s="59">
        <v>2.48</v>
      </c>
      <c r="S374" s="59">
        <v>1</v>
      </c>
      <c r="T374" s="59">
        <v>1</v>
      </c>
      <c r="U374" s="60">
        <v>0.33333299999999999</v>
      </c>
      <c r="V374" s="59">
        <v>1</v>
      </c>
      <c r="W374" s="59">
        <v>0</v>
      </c>
      <c r="X374" s="59" t="s">
        <v>35</v>
      </c>
      <c r="Y374" s="79" t="s">
        <v>36</v>
      </c>
      <c r="Z374" s="64" t="s">
        <v>551</v>
      </c>
      <c r="AA374" s="80">
        <f t="shared" si="5"/>
        <v>0.40296700000000002</v>
      </c>
    </row>
    <row r="375" spans="1:27" ht="14.4" x14ac:dyDescent="0.3">
      <c r="A375" s="77">
        <v>45901</v>
      </c>
      <c r="B375" s="78">
        <v>45901</v>
      </c>
      <c r="C375" s="58" t="s">
        <v>40</v>
      </c>
      <c r="D375" s="58" t="s">
        <v>28</v>
      </c>
      <c r="E375" s="58" t="s">
        <v>41</v>
      </c>
      <c r="F375" s="58" t="s">
        <v>42</v>
      </c>
      <c r="G375" s="58" t="s">
        <v>31</v>
      </c>
      <c r="H375" s="58" t="s">
        <v>43</v>
      </c>
      <c r="I375" s="58" t="s">
        <v>44</v>
      </c>
      <c r="J375" s="58" t="s">
        <v>576</v>
      </c>
      <c r="K375" s="59">
        <v>1</v>
      </c>
      <c r="L375" s="59">
        <v>1</v>
      </c>
      <c r="M375" s="60">
        <v>1</v>
      </c>
      <c r="N375" s="59" t="s">
        <v>577</v>
      </c>
      <c r="O375" s="59" t="s">
        <v>577</v>
      </c>
      <c r="P375" s="59">
        <v>24.94</v>
      </c>
      <c r="Q375" s="60">
        <v>9.5829999999999999E-2</v>
      </c>
      <c r="R375" s="59">
        <v>10.44</v>
      </c>
      <c r="S375" s="59">
        <v>1</v>
      </c>
      <c r="T375" s="59">
        <v>1</v>
      </c>
      <c r="U375" s="60">
        <v>1</v>
      </c>
      <c r="V375" s="59">
        <v>1</v>
      </c>
      <c r="W375" s="59">
        <v>0</v>
      </c>
      <c r="X375" s="59" t="s">
        <v>35</v>
      </c>
      <c r="Y375" s="79" t="s">
        <v>36</v>
      </c>
      <c r="Z375" s="64" t="s">
        <v>551</v>
      </c>
      <c r="AA375" s="80">
        <f t="shared" si="5"/>
        <v>9.5829999999999999E-2</v>
      </c>
    </row>
    <row r="376" spans="1:27" ht="14.4" x14ac:dyDescent="0.3">
      <c r="A376" s="77">
        <v>45901</v>
      </c>
      <c r="B376" s="78">
        <v>45901</v>
      </c>
      <c r="C376" s="58" t="s">
        <v>27</v>
      </c>
      <c r="D376" s="58" t="s">
        <v>28</v>
      </c>
      <c r="E376" s="58" t="s">
        <v>56</v>
      </c>
      <c r="F376" s="58" t="s">
        <v>57</v>
      </c>
      <c r="G376" s="58" t="s">
        <v>31</v>
      </c>
      <c r="H376" s="65" t="e">
        <f>+maca +root</f>
        <v>#NAME?</v>
      </c>
      <c r="I376" s="58" t="s">
        <v>32</v>
      </c>
      <c r="J376" s="58" t="s">
        <v>578</v>
      </c>
      <c r="K376" s="59">
        <v>10</v>
      </c>
      <c r="L376" s="59">
        <v>2</v>
      </c>
      <c r="M376" s="60">
        <v>0.2</v>
      </c>
      <c r="N376" s="59" t="s">
        <v>181</v>
      </c>
      <c r="O376" s="59" t="s">
        <v>556</v>
      </c>
      <c r="P376" s="59">
        <v>24.94</v>
      </c>
      <c r="Q376" s="60">
        <v>0.20048099999999999</v>
      </c>
      <c r="R376" s="59">
        <v>4.99</v>
      </c>
      <c r="S376" s="59">
        <v>1</v>
      </c>
      <c r="T376" s="59">
        <v>1</v>
      </c>
      <c r="U376" s="60">
        <v>0.5</v>
      </c>
      <c r="V376" s="59">
        <v>1</v>
      </c>
      <c r="W376" s="59">
        <v>0</v>
      </c>
      <c r="X376" s="59" t="s">
        <v>35</v>
      </c>
      <c r="Y376" s="79" t="s">
        <v>36</v>
      </c>
      <c r="Z376" s="64" t="s">
        <v>551</v>
      </c>
      <c r="AA376" s="80">
        <f t="shared" si="5"/>
        <v>0.20048099999999999</v>
      </c>
    </row>
    <row r="377" spans="1:27" ht="14.4" x14ac:dyDescent="0.3">
      <c r="A377" s="77">
        <v>45901</v>
      </c>
      <c r="B377" s="78">
        <v>45904</v>
      </c>
      <c r="C377" s="58" t="s">
        <v>48</v>
      </c>
      <c r="D377" s="58" t="s">
        <v>28</v>
      </c>
      <c r="E377" s="58" t="s">
        <v>62</v>
      </c>
      <c r="F377" s="58" t="s">
        <v>63</v>
      </c>
      <c r="G377" s="58" t="s">
        <v>31</v>
      </c>
      <c r="H377" s="58" t="s">
        <v>64</v>
      </c>
      <c r="I377" s="58" t="s">
        <v>65</v>
      </c>
      <c r="J377" s="58" t="s">
        <v>579</v>
      </c>
      <c r="K377" s="59">
        <v>20</v>
      </c>
      <c r="L377" s="59">
        <v>2</v>
      </c>
      <c r="M377" s="60">
        <v>0.1</v>
      </c>
      <c r="N377" s="59" t="s">
        <v>580</v>
      </c>
      <c r="O377" s="59" t="s">
        <v>581</v>
      </c>
      <c r="P377" s="59">
        <v>21.9</v>
      </c>
      <c r="Q377" s="60">
        <v>0.49589</v>
      </c>
      <c r="R377" s="59">
        <v>2.02</v>
      </c>
      <c r="S377" s="59">
        <v>1</v>
      </c>
      <c r="T377" s="59">
        <v>1</v>
      </c>
      <c r="U377" s="60">
        <v>0.5</v>
      </c>
      <c r="V377" s="59">
        <v>1</v>
      </c>
      <c r="W377" s="59">
        <v>0</v>
      </c>
      <c r="X377" s="59" t="s">
        <v>55</v>
      </c>
      <c r="Y377" s="79" t="s">
        <v>36</v>
      </c>
      <c r="Z377" s="64" t="s">
        <v>551</v>
      </c>
      <c r="AA377" s="80">
        <f t="shared" si="5"/>
        <v>0.49589</v>
      </c>
    </row>
    <row r="378" spans="1:27" ht="14.4" x14ac:dyDescent="0.3">
      <c r="A378" s="77">
        <v>45901</v>
      </c>
      <c r="B378" s="78">
        <v>45901</v>
      </c>
      <c r="C378" s="58" t="s">
        <v>48</v>
      </c>
      <c r="D378" s="58" t="s">
        <v>28</v>
      </c>
      <c r="E378" s="58" t="s">
        <v>233</v>
      </c>
      <c r="F378" s="58" t="s">
        <v>234</v>
      </c>
      <c r="G378" s="58" t="s">
        <v>31</v>
      </c>
      <c r="H378" s="58" t="s">
        <v>153</v>
      </c>
      <c r="I378" s="58" t="s">
        <v>32</v>
      </c>
      <c r="J378" s="58" t="s">
        <v>64</v>
      </c>
      <c r="K378" s="59">
        <v>3</v>
      </c>
      <c r="L378" s="59">
        <v>2</v>
      </c>
      <c r="M378" s="60">
        <v>0.66666700000000001</v>
      </c>
      <c r="N378" s="59" t="s">
        <v>230</v>
      </c>
      <c r="O378" s="59" t="s">
        <v>582</v>
      </c>
      <c r="P378" s="59">
        <v>43.8</v>
      </c>
      <c r="Q378" s="60">
        <v>0.15388099999999999</v>
      </c>
      <c r="R378" s="59">
        <v>6.5</v>
      </c>
      <c r="S378" s="59">
        <v>2</v>
      </c>
      <c r="T378" s="59">
        <v>2</v>
      </c>
      <c r="U378" s="60">
        <v>1</v>
      </c>
      <c r="V378" s="59">
        <v>2</v>
      </c>
      <c r="W378" s="59">
        <v>0</v>
      </c>
      <c r="X378" s="59" t="s">
        <v>67</v>
      </c>
      <c r="Y378" s="79" t="s">
        <v>36</v>
      </c>
      <c r="Z378" s="64" t="s">
        <v>551</v>
      </c>
      <c r="AA378" s="80">
        <f t="shared" si="5"/>
        <v>0.15388099999999999</v>
      </c>
    </row>
    <row r="379" spans="1:27" ht="14.4" x14ac:dyDescent="0.3">
      <c r="A379" s="56">
        <v>45900</v>
      </c>
      <c r="B379" s="57">
        <v>45900</v>
      </c>
      <c r="C379" s="58" t="s">
        <v>27</v>
      </c>
      <c r="D379" s="58" t="s">
        <v>28</v>
      </c>
      <c r="E379" s="58" t="s">
        <v>71</v>
      </c>
      <c r="F379" s="58" t="s">
        <v>72</v>
      </c>
      <c r="G379" s="58" t="s">
        <v>31</v>
      </c>
      <c r="H379" s="58" t="s">
        <v>73</v>
      </c>
      <c r="I379" s="58" t="s">
        <v>52</v>
      </c>
      <c r="J379" s="58" t="s">
        <v>583</v>
      </c>
      <c r="K379" s="59">
        <v>2</v>
      </c>
      <c r="L379" s="59">
        <v>1</v>
      </c>
      <c r="M379" s="60">
        <v>0.5</v>
      </c>
      <c r="N379" s="59" t="s">
        <v>114</v>
      </c>
      <c r="O379" s="59" t="s">
        <v>114</v>
      </c>
      <c r="P379" s="59">
        <v>24.94</v>
      </c>
      <c r="Q379" s="60">
        <v>0.13352</v>
      </c>
      <c r="R379" s="59">
        <v>7.49</v>
      </c>
      <c r="S379" s="59">
        <v>1</v>
      </c>
      <c r="T379" s="59">
        <v>1</v>
      </c>
      <c r="U379" s="60">
        <v>1</v>
      </c>
      <c r="V379" s="59">
        <v>1</v>
      </c>
      <c r="W379" s="59">
        <v>0</v>
      </c>
      <c r="X379" s="59" t="s">
        <v>35</v>
      </c>
      <c r="Y379" s="79" t="s">
        <v>36</v>
      </c>
      <c r="Z379" s="64" t="s">
        <v>584</v>
      </c>
      <c r="AA379" s="80">
        <f t="shared" si="5"/>
        <v>0.13352</v>
      </c>
    </row>
    <row r="380" spans="1:27" ht="14.4" x14ac:dyDescent="0.3">
      <c r="A380" s="56">
        <v>45900</v>
      </c>
      <c r="B380" s="57">
        <v>45900</v>
      </c>
      <c r="C380" s="58" t="s">
        <v>27</v>
      </c>
      <c r="D380" s="58" t="s">
        <v>28</v>
      </c>
      <c r="E380" s="58" t="s">
        <v>71</v>
      </c>
      <c r="F380" s="58" t="s">
        <v>72</v>
      </c>
      <c r="G380" s="58" t="s">
        <v>31</v>
      </c>
      <c r="H380" s="58" t="s">
        <v>51</v>
      </c>
      <c r="I380" s="58" t="s">
        <v>52</v>
      </c>
      <c r="J380" s="58" t="s">
        <v>585</v>
      </c>
      <c r="K380" s="59">
        <v>3</v>
      </c>
      <c r="L380" s="59">
        <v>1</v>
      </c>
      <c r="M380" s="60">
        <v>0.33333299999999999</v>
      </c>
      <c r="N380" s="59" t="s">
        <v>559</v>
      </c>
      <c r="O380" s="59" t="s">
        <v>559</v>
      </c>
      <c r="P380" s="59">
        <v>24.94</v>
      </c>
      <c r="Q380" s="60">
        <v>6.4956E-2</v>
      </c>
      <c r="R380" s="59">
        <v>15.4</v>
      </c>
      <c r="S380" s="59">
        <v>1</v>
      </c>
      <c r="T380" s="59">
        <v>1</v>
      </c>
      <c r="U380" s="60">
        <v>1</v>
      </c>
      <c r="V380" s="59">
        <v>1</v>
      </c>
      <c r="W380" s="59">
        <v>0</v>
      </c>
      <c r="X380" s="59" t="s">
        <v>35</v>
      </c>
      <c r="Y380" s="79" t="s">
        <v>36</v>
      </c>
      <c r="Z380" s="64" t="s">
        <v>584</v>
      </c>
      <c r="AA380" s="80">
        <f t="shared" si="5"/>
        <v>6.4956E-2</v>
      </c>
    </row>
    <row r="381" spans="1:27" ht="14.4" x14ac:dyDescent="0.3">
      <c r="A381" s="56">
        <v>45900</v>
      </c>
      <c r="B381" s="78">
        <v>45904</v>
      </c>
      <c r="C381" s="58" t="s">
        <v>143</v>
      </c>
      <c r="D381" s="58" t="s">
        <v>28</v>
      </c>
      <c r="E381" s="58" t="s">
        <v>144</v>
      </c>
      <c r="F381" s="58" t="s">
        <v>32</v>
      </c>
      <c r="G381" s="58" t="s">
        <v>31</v>
      </c>
      <c r="H381" s="58" t="s">
        <v>119</v>
      </c>
      <c r="I381" s="58" t="s">
        <v>32</v>
      </c>
      <c r="J381" s="58" t="s">
        <v>119</v>
      </c>
      <c r="K381" s="59">
        <v>8</v>
      </c>
      <c r="L381" s="59">
        <v>3</v>
      </c>
      <c r="M381" s="60">
        <v>0.375</v>
      </c>
      <c r="N381" s="59" t="s">
        <v>586</v>
      </c>
      <c r="O381" s="59" t="s">
        <v>222</v>
      </c>
      <c r="P381" s="59">
        <v>24.94</v>
      </c>
      <c r="Q381" s="60">
        <v>0.101844</v>
      </c>
      <c r="R381" s="59">
        <v>9.82</v>
      </c>
      <c r="S381" s="59">
        <v>1</v>
      </c>
      <c r="T381" s="59">
        <v>1</v>
      </c>
      <c r="U381" s="60">
        <v>0.33333299999999999</v>
      </c>
      <c r="V381" s="59">
        <v>1</v>
      </c>
      <c r="W381" s="59">
        <v>0</v>
      </c>
      <c r="X381" s="59" t="s">
        <v>35</v>
      </c>
      <c r="Y381" s="79" t="s">
        <v>36</v>
      </c>
      <c r="Z381" s="64" t="s">
        <v>584</v>
      </c>
      <c r="AA381" s="80">
        <f t="shared" si="5"/>
        <v>0.101844</v>
      </c>
    </row>
    <row r="382" spans="1:27" ht="14.4" x14ac:dyDescent="0.3">
      <c r="A382" s="56">
        <v>45900</v>
      </c>
      <c r="B382" s="78">
        <v>45906</v>
      </c>
      <c r="C382" s="58" t="s">
        <v>27</v>
      </c>
      <c r="D382" s="58" t="s">
        <v>28</v>
      </c>
      <c r="E382" s="58" t="s">
        <v>56</v>
      </c>
      <c r="F382" s="58" t="s">
        <v>57</v>
      </c>
      <c r="G382" s="58" t="s">
        <v>31</v>
      </c>
      <c r="H382" s="65" t="e">
        <f>+maca +root</f>
        <v>#NAME?</v>
      </c>
      <c r="I382" s="58" t="s">
        <v>32</v>
      </c>
      <c r="J382" s="58" t="s">
        <v>119</v>
      </c>
      <c r="K382" s="59">
        <v>4648</v>
      </c>
      <c r="L382" s="59">
        <v>73</v>
      </c>
      <c r="M382" s="60">
        <v>1.5706000000000001E-2</v>
      </c>
      <c r="N382" s="59" t="s">
        <v>34</v>
      </c>
      <c r="O382" s="59" t="s">
        <v>587</v>
      </c>
      <c r="P382" s="59">
        <v>336.84</v>
      </c>
      <c r="Q382" s="60">
        <v>0.61423799999999995</v>
      </c>
      <c r="R382" s="59">
        <v>1.63</v>
      </c>
      <c r="S382" s="59">
        <v>13</v>
      </c>
      <c r="T382" s="59">
        <v>14</v>
      </c>
      <c r="U382" s="60">
        <v>0.17808199999999999</v>
      </c>
      <c r="V382" s="59">
        <v>13</v>
      </c>
      <c r="W382" s="59">
        <v>1</v>
      </c>
      <c r="X382" s="59" t="s">
        <v>588</v>
      </c>
      <c r="Y382" s="79" t="s">
        <v>397</v>
      </c>
      <c r="Z382" s="64" t="s">
        <v>584</v>
      </c>
      <c r="AA382" s="80">
        <f t="shared" si="5"/>
        <v>0.61423799999999995</v>
      </c>
    </row>
    <row r="383" spans="1:27" ht="14.4" x14ac:dyDescent="0.3">
      <c r="A383" s="56">
        <v>45900</v>
      </c>
      <c r="B383" s="78">
        <v>45906</v>
      </c>
      <c r="C383" s="58" t="s">
        <v>27</v>
      </c>
      <c r="D383" s="58" t="s">
        <v>28</v>
      </c>
      <c r="E383" s="58" t="s">
        <v>71</v>
      </c>
      <c r="F383" s="58" t="s">
        <v>72</v>
      </c>
      <c r="G383" s="58" t="s">
        <v>31</v>
      </c>
      <c r="H383" s="58" t="s">
        <v>73</v>
      </c>
      <c r="I383" s="58" t="s">
        <v>52</v>
      </c>
      <c r="J383" s="58" t="s">
        <v>101</v>
      </c>
      <c r="K383" s="59">
        <v>1212</v>
      </c>
      <c r="L383" s="59">
        <v>14</v>
      </c>
      <c r="M383" s="60">
        <v>1.1551000000000001E-2</v>
      </c>
      <c r="N383" s="59" t="s">
        <v>238</v>
      </c>
      <c r="O383" s="59" t="s">
        <v>589</v>
      </c>
      <c r="P383" s="59">
        <v>99.76</v>
      </c>
      <c r="Q383" s="60">
        <v>0.52726499999999998</v>
      </c>
      <c r="R383" s="59">
        <v>1.9</v>
      </c>
      <c r="S383" s="59">
        <v>4</v>
      </c>
      <c r="T383" s="59">
        <v>4</v>
      </c>
      <c r="U383" s="60">
        <v>0.28571400000000002</v>
      </c>
      <c r="V383" s="59">
        <v>4</v>
      </c>
      <c r="W383" s="59">
        <v>0</v>
      </c>
      <c r="X383" s="59" t="s">
        <v>47</v>
      </c>
      <c r="Y383" s="79" t="s">
        <v>36</v>
      </c>
      <c r="Z383" s="64" t="s">
        <v>584</v>
      </c>
      <c r="AA383" s="80">
        <f t="shared" si="5"/>
        <v>0.52726499999999998</v>
      </c>
    </row>
    <row r="384" spans="1:27" ht="14.4" x14ac:dyDescent="0.3">
      <c r="A384" s="56">
        <v>45900</v>
      </c>
      <c r="B384" s="78">
        <v>45901</v>
      </c>
      <c r="C384" s="58" t="s">
        <v>48</v>
      </c>
      <c r="D384" s="58" t="s">
        <v>28</v>
      </c>
      <c r="E384" s="58" t="s">
        <v>62</v>
      </c>
      <c r="F384" s="58" t="s">
        <v>63</v>
      </c>
      <c r="G384" s="58" t="s">
        <v>31</v>
      </c>
      <c r="H384" s="58" t="s">
        <v>372</v>
      </c>
      <c r="I384" s="58" t="s">
        <v>65</v>
      </c>
      <c r="J384" s="58" t="s">
        <v>372</v>
      </c>
      <c r="K384" s="59">
        <v>4</v>
      </c>
      <c r="L384" s="59">
        <v>2</v>
      </c>
      <c r="M384" s="60">
        <v>0.5</v>
      </c>
      <c r="N384" s="59" t="s">
        <v>590</v>
      </c>
      <c r="O384" s="59" t="s">
        <v>591</v>
      </c>
      <c r="P384" s="59">
        <v>21.9</v>
      </c>
      <c r="Q384" s="60">
        <v>0.54566199999999998</v>
      </c>
      <c r="R384" s="59">
        <v>1.83</v>
      </c>
      <c r="S384" s="59">
        <v>1</v>
      </c>
      <c r="T384" s="59">
        <v>1</v>
      </c>
      <c r="U384" s="60">
        <v>0.5</v>
      </c>
      <c r="V384" s="59">
        <v>1</v>
      </c>
      <c r="W384" s="59">
        <v>0</v>
      </c>
      <c r="X384" s="59" t="s">
        <v>55</v>
      </c>
      <c r="Y384" s="79" t="s">
        <v>36</v>
      </c>
      <c r="Z384" s="64" t="s">
        <v>584</v>
      </c>
      <c r="AA384" s="80">
        <f t="shared" si="5"/>
        <v>0.54566199999999998</v>
      </c>
    </row>
    <row r="385" spans="1:27" ht="14.4" x14ac:dyDescent="0.3">
      <c r="A385" s="56">
        <v>45900</v>
      </c>
      <c r="B385" s="57">
        <v>45900</v>
      </c>
      <c r="C385" s="58" t="s">
        <v>27</v>
      </c>
      <c r="D385" s="58" t="s">
        <v>28</v>
      </c>
      <c r="E385" s="58" t="s">
        <v>29</v>
      </c>
      <c r="F385" s="58" t="s">
        <v>30</v>
      </c>
      <c r="G385" s="58" t="s">
        <v>31</v>
      </c>
      <c r="H385" s="58" t="s">
        <v>592</v>
      </c>
      <c r="I385" s="58" t="s">
        <v>32</v>
      </c>
      <c r="J385" s="58" t="s">
        <v>593</v>
      </c>
      <c r="K385" s="59">
        <v>2</v>
      </c>
      <c r="L385" s="59">
        <v>1</v>
      </c>
      <c r="M385" s="60">
        <v>0.5</v>
      </c>
      <c r="N385" s="59" t="s">
        <v>217</v>
      </c>
      <c r="O385" s="59" t="s">
        <v>217</v>
      </c>
      <c r="P385" s="59">
        <v>24.94</v>
      </c>
      <c r="Q385" s="60">
        <v>7.2974999999999998E-2</v>
      </c>
      <c r="R385" s="59">
        <v>13.7</v>
      </c>
      <c r="S385" s="59">
        <v>1</v>
      </c>
      <c r="T385" s="59">
        <v>1</v>
      </c>
      <c r="U385" s="60">
        <v>1</v>
      </c>
      <c r="V385" s="59">
        <v>1</v>
      </c>
      <c r="W385" s="59">
        <v>0</v>
      </c>
      <c r="X385" s="59" t="s">
        <v>35</v>
      </c>
      <c r="Y385" s="79" t="s">
        <v>36</v>
      </c>
      <c r="Z385" s="64" t="s">
        <v>584</v>
      </c>
      <c r="AA385" s="80">
        <f t="shared" si="5"/>
        <v>7.2974999999999998E-2</v>
      </c>
    </row>
    <row r="386" spans="1:27" ht="14.4" x14ac:dyDescent="0.3">
      <c r="A386" s="56">
        <v>45900</v>
      </c>
      <c r="B386" s="78">
        <v>45906</v>
      </c>
      <c r="C386" s="58" t="s">
        <v>85</v>
      </c>
      <c r="D386" s="58" t="s">
        <v>28</v>
      </c>
      <c r="E386" s="58" t="s">
        <v>86</v>
      </c>
      <c r="F386" s="58" t="s">
        <v>87</v>
      </c>
      <c r="G386" s="58" t="s">
        <v>31</v>
      </c>
      <c r="H386" s="58" t="s">
        <v>87</v>
      </c>
      <c r="I386" s="58" t="s">
        <v>44</v>
      </c>
      <c r="J386" s="58" t="s">
        <v>308</v>
      </c>
      <c r="K386" s="59">
        <v>21</v>
      </c>
      <c r="L386" s="59">
        <v>5</v>
      </c>
      <c r="M386" s="60">
        <v>0.238095</v>
      </c>
      <c r="N386" s="59" t="s">
        <v>319</v>
      </c>
      <c r="O386" s="59" t="s">
        <v>594</v>
      </c>
      <c r="P386" s="59">
        <v>21.9</v>
      </c>
      <c r="Q386" s="60">
        <v>0.80091299999999999</v>
      </c>
      <c r="R386" s="59">
        <v>1.25</v>
      </c>
      <c r="S386" s="59">
        <v>1</v>
      </c>
      <c r="T386" s="59">
        <v>1</v>
      </c>
      <c r="U386" s="60">
        <v>0.2</v>
      </c>
      <c r="V386" s="59">
        <v>1</v>
      </c>
      <c r="W386" s="59">
        <v>0</v>
      </c>
      <c r="X386" s="59" t="s">
        <v>55</v>
      </c>
      <c r="Y386" s="79" t="s">
        <v>36</v>
      </c>
      <c r="Z386" s="64" t="s">
        <v>584</v>
      </c>
      <c r="AA386" s="80">
        <f t="shared" si="5"/>
        <v>0.80091299999999999</v>
      </c>
    </row>
    <row r="387" spans="1:27" ht="14.4" x14ac:dyDescent="0.3">
      <c r="A387" s="56">
        <v>45900</v>
      </c>
      <c r="B387" s="78">
        <v>45906</v>
      </c>
      <c r="C387" s="58" t="s">
        <v>85</v>
      </c>
      <c r="D387" s="58" t="s">
        <v>28</v>
      </c>
      <c r="E387" s="58" t="s">
        <v>86</v>
      </c>
      <c r="F387" s="58" t="s">
        <v>87</v>
      </c>
      <c r="G387" s="58" t="s">
        <v>31</v>
      </c>
      <c r="H387" s="58" t="s">
        <v>88</v>
      </c>
      <c r="I387" s="58" t="s">
        <v>44</v>
      </c>
      <c r="J387" s="58" t="s">
        <v>89</v>
      </c>
      <c r="K387" s="59">
        <v>16</v>
      </c>
      <c r="L387" s="59">
        <v>3</v>
      </c>
      <c r="M387" s="60">
        <v>0.1875</v>
      </c>
      <c r="N387" s="59" t="s">
        <v>152</v>
      </c>
      <c r="O387" s="59" t="s">
        <v>595</v>
      </c>
      <c r="P387" s="59">
        <v>21.9</v>
      </c>
      <c r="Q387" s="60">
        <v>0.42374400000000001</v>
      </c>
      <c r="R387" s="59">
        <v>2.36</v>
      </c>
      <c r="S387" s="59">
        <v>1</v>
      </c>
      <c r="T387" s="59">
        <v>1</v>
      </c>
      <c r="U387" s="60">
        <v>0.33333299999999999</v>
      </c>
      <c r="V387" s="59">
        <v>1</v>
      </c>
      <c r="W387" s="59">
        <v>0</v>
      </c>
      <c r="X387" s="59" t="s">
        <v>55</v>
      </c>
      <c r="Y387" s="79" t="s">
        <v>36</v>
      </c>
      <c r="Z387" s="64" t="s">
        <v>584</v>
      </c>
      <c r="AA387" s="80">
        <f t="shared" si="5"/>
        <v>0.42374400000000001</v>
      </c>
    </row>
    <row r="388" spans="1:27" ht="14.4" x14ac:dyDescent="0.3">
      <c r="A388" s="56">
        <v>45898</v>
      </c>
      <c r="B388" s="57">
        <v>45899</v>
      </c>
      <c r="C388" s="58" t="s">
        <v>27</v>
      </c>
      <c r="D388" s="58" t="s">
        <v>28</v>
      </c>
      <c r="E388" s="58" t="s">
        <v>29</v>
      </c>
      <c r="F388" s="58" t="s">
        <v>30</v>
      </c>
      <c r="G388" s="58" t="s">
        <v>31</v>
      </c>
      <c r="H388" s="58" t="s">
        <v>480</v>
      </c>
      <c r="I388" s="58" t="s">
        <v>32</v>
      </c>
      <c r="J388" s="58" t="s">
        <v>596</v>
      </c>
      <c r="K388" s="59">
        <v>2</v>
      </c>
      <c r="L388" s="59">
        <v>2</v>
      </c>
      <c r="M388" s="60">
        <v>1</v>
      </c>
      <c r="N388" s="59" t="s">
        <v>577</v>
      </c>
      <c r="O388" s="59" t="s">
        <v>352</v>
      </c>
      <c r="P388" s="59">
        <v>24.94</v>
      </c>
      <c r="Q388" s="60">
        <v>0.19125900000000001</v>
      </c>
      <c r="R388" s="59">
        <v>5.23</v>
      </c>
      <c r="S388" s="59">
        <v>1</v>
      </c>
      <c r="T388" s="59">
        <v>1</v>
      </c>
      <c r="U388" s="60">
        <v>0.5</v>
      </c>
      <c r="V388" s="59">
        <v>1</v>
      </c>
      <c r="W388" s="59">
        <v>0</v>
      </c>
      <c r="X388" s="59" t="s">
        <v>35</v>
      </c>
      <c r="Y388" s="79" t="s">
        <v>36</v>
      </c>
      <c r="Z388" s="64" t="s">
        <v>584</v>
      </c>
      <c r="AA388" s="80">
        <f t="shared" si="5"/>
        <v>0.19125900000000001</v>
      </c>
    </row>
    <row r="389" spans="1:27" ht="14.4" x14ac:dyDescent="0.3">
      <c r="A389" s="56">
        <v>45898</v>
      </c>
      <c r="B389" s="57">
        <v>45898</v>
      </c>
      <c r="C389" s="58" t="s">
        <v>27</v>
      </c>
      <c r="D389" s="58" t="s">
        <v>28</v>
      </c>
      <c r="E389" s="58" t="s">
        <v>29</v>
      </c>
      <c r="F389" s="58" t="s">
        <v>30</v>
      </c>
      <c r="G389" s="58" t="s">
        <v>31</v>
      </c>
      <c r="H389" s="58" t="s">
        <v>268</v>
      </c>
      <c r="I389" s="58" t="s">
        <v>32</v>
      </c>
      <c r="J389" s="58" t="s">
        <v>597</v>
      </c>
      <c r="K389" s="59">
        <v>1</v>
      </c>
      <c r="L389" s="59">
        <v>1</v>
      </c>
      <c r="M389" s="60">
        <v>1</v>
      </c>
      <c r="N389" s="59" t="s">
        <v>598</v>
      </c>
      <c r="O389" s="59" t="s">
        <v>598</v>
      </c>
      <c r="P389" s="59">
        <v>24.94</v>
      </c>
      <c r="Q389" s="60">
        <v>0.102245</v>
      </c>
      <c r="R389" s="59">
        <v>9.7799999999999994</v>
      </c>
      <c r="S389" s="59">
        <v>1</v>
      </c>
      <c r="T389" s="59">
        <v>1</v>
      </c>
      <c r="U389" s="60">
        <v>1</v>
      </c>
      <c r="V389" s="59">
        <v>1</v>
      </c>
      <c r="W389" s="59">
        <v>0</v>
      </c>
      <c r="X389" s="59" t="s">
        <v>35</v>
      </c>
      <c r="Y389" s="79" t="s">
        <v>36</v>
      </c>
      <c r="Z389" s="64" t="s">
        <v>584</v>
      </c>
      <c r="AA389" s="80">
        <f t="shared" si="5"/>
        <v>0.102245</v>
      </c>
    </row>
    <row r="390" spans="1:27" ht="14.4" x14ac:dyDescent="0.3">
      <c r="A390" s="56">
        <v>45898</v>
      </c>
      <c r="B390" s="57">
        <v>45898</v>
      </c>
      <c r="C390" s="58" t="s">
        <v>27</v>
      </c>
      <c r="D390" s="58" t="s">
        <v>28</v>
      </c>
      <c r="E390" s="58" t="s">
        <v>71</v>
      </c>
      <c r="F390" s="58" t="s">
        <v>72</v>
      </c>
      <c r="G390" s="58" t="s">
        <v>31</v>
      </c>
      <c r="H390" s="58" t="s">
        <v>51</v>
      </c>
      <c r="I390" s="58" t="s">
        <v>52</v>
      </c>
      <c r="J390" s="58" t="s">
        <v>599</v>
      </c>
      <c r="K390" s="59">
        <v>5</v>
      </c>
      <c r="L390" s="59">
        <v>1</v>
      </c>
      <c r="M390" s="60">
        <v>0.2</v>
      </c>
      <c r="N390" s="59" t="s">
        <v>484</v>
      </c>
      <c r="O390" s="59" t="s">
        <v>484</v>
      </c>
      <c r="P390" s="59">
        <v>24.94</v>
      </c>
      <c r="Q390" s="60">
        <v>9.8236000000000004E-2</v>
      </c>
      <c r="R390" s="59">
        <v>10.18</v>
      </c>
      <c r="S390" s="59">
        <v>1</v>
      </c>
      <c r="T390" s="59">
        <v>1</v>
      </c>
      <c r="U390" s="60">
        <v>1</v>
      </c>
      <c r="V390" s="59">
        <v>1</v>
      </c>
      <c r="W390" s="59">
        <v>0</v>
      </c>
      <c r="X390" s="59" t="s">
        <v>35</v>
      </c>
      <c r="Y390" s="79" t="s">
        <v>36</v>
      </c>
      <c r="Z390" s="64" t="s">
        <v>584</v>
      </c>
      <c r="AA390" s="80">
        <f t="shared" si="5"/>
        <v>9.8236000000000004E-2</v>
      </c>
    </row>
    <row r="391" spans="1:27" ht="14.4" x14ac:dyDescent="0.3">
      <c r="A391" s="56">
        <v>45898</v>
      </c>
      <c r="B391" s="57">
        <v>45898</v>
      </c>
      <c r="C391" s="58" t="s">
        <v>40</v>
      </c>
      <c r="D391" s="58" t="s">
        <v>28</v>
      </c>
      <c r="E391" s="58" t="s">
        <v>41</v>
      </c>
      <c r="F391" s="58" t="s">
        <v>42</v>
      </c>
      <c r="G391" s="58" t="s">
        <v>31</v>
      </c>
      <c r="H391" s="58" t="s">
        <v>43</v>
      </c>
      <c r="I391" s="58" t="s">
        <v>44</v>
      </c>
      <c r="J391" s="58" t="s">
        <v>600</v>
      </c>
      <c r="K391" s="59">
        <v>2</v>
      </c>
      <c r="L391" s="59">
        <v>1</v>
      </c>
      <c r="M391" s="60">
        <v>0.5</v>
      </c>
      <c r="N391" s="59" t="s">
        <v>75</v>
      </c>
      <c r="O391" s="59" t="s">
        <v>75</v>
      </c>
      <c r="P391" s="59">
        <v>24.94</v>
      </c>
      <c r="Q391" s="60">
        <v>0.144346</v>
      </c>
      <c r="R391" s="59">
        <v>6.93</v>
      </c>
      <c r="S391" s="59">
        <v>1</v>
      </c>
      <c r="T391" s="59">
        <v>1</v>
      </c>
      <c r="U391" s="60">
        <v>1</v>
      </c>
      <c r="V391" s="59">
        <v>1</v>
      </c>
      <c r="W391" s="59">
        <v>0</v>
      </c>
      <c r="X391" s="59" t="s">
        <v>35</v>
      </c>
      <c r="Y391" s="79" t="s">
        <v>36</v>
      </c>
      <c r="Z391" s="64" t="s">
        <v>584</v>
      </c>
      <c r="AA391" s="80">
        <f t="shared" si="5"/>
        <v>0.144346</v>
      </c>
    </row>
    <row r="392" spans="1:27" ht="14.4" x14ac:dyDescent="0.3">
      <c r="A392" s="56">
        <v>45897</v>
      </c>
      <c r="B392" s="57">
        <v>45897</v>
      </c>
      <c r="C392" s="58" t="s">
        <v>48</v>
      </c>
      <c r="D392" s="58" t="s">
        <v>28</v>
      </c>
      <c r="E392" s="58" t="s">
        <v>49</v>
      </c>
      <c r="F392" s="58" t="s">
        <v>50</v>
      </c>
      <c r="G392" s="58" t="s">
        <v>31</v>
      </c>
      <c r="H392" s="58" t="s">
        <v>51</v>
      </c>
      <c r="I392" s="58" t="s">
        <v>52</v>
      </c>
      <c r="J392" s="58" t="s">
        <v>601</v>
      </c>
      <c r="K392" s="59">
        <v>10</v>
      </c>
      <c r="L392" s="59">
        <v>1</v>
      </c>
      <c r="M392" s="60">
        <v>0.1</v>
      </c>
      <c r="N392" s="59" t="s">
        <v>602</v>
      </c>
      <c r="O392" s="59" t="s">
        <v>602</v>
      </c>
      <c r="P392" s="59">
        <v>21.95</v>
      </c>
      <c r="Q392" s="60">
        <v>8.3826999999999999E-2</v>
      </c>
      <c r="R392" s="59">
        <v>11.93</v>
      </c>
      <c r="S392" s="59">
        <v>1</v>
      </c>
      <c r="T392" s="59">
        <v>1</v>
      </c>
      <c r="U392" s="60">
        <v>1</v>
      </c>
      <c r="V392" s="59">
        <v>1</v>
      </c>
      <c r="W392" s="59">
        <v>0</v>
      </c>
      <c r="X392" s="59" t="s">
        <v>603</v>
      </c>
      <c r="Y392" s="79" t="s">
        <v>36</v>
      </c>
      <c r="Z392" s="64" t="s">
        <v>584</v>
      </c>
      <c r="AA392" s="80">
        <f t="shared" si="5"/>
        <v>8.3826999999999999E-2</v>
      </c>
    </row>
    <row r="393" spans="1:27" ht="14.4" x14ac:dyDescent="0.3">
      <c r="A393" s="56">
        <v>45897</v>
      </c>
      <c r="B393" s="57">
        <v>45897</v>
      </c>
      <c r="C393" s="58" t="s">
        <v>40</v>
      </c>
      <c r="D393" s="58" t="s">
        <v>28</v>
      </c>
      <c r="E393" s="58" t="s">
        <v>41</v>
      </c>
      <c r="F393" s="58" t="s">
        <v>42</v>
      </c>
      <c r="G393" s="58" t="s">
        <v>31</v>
      </c>
      <c r="H393" s="58" t="s">
        <v>604</v>
      </c>
      <c r="I393" s="58" t="s">
        <v>44</v>
      </c>
      <c r="J393" s="58" t="s">
        <v>605</v>
      </c>
      <c r="K393" s="59">
        <v>3</v>
      </c>
      <c r="L393" s="59">
        <v>1</v>
      </c>
      <c r="M393" s="60">
        <v>0.33333299999999999</v>
      </c>
      <c r="N393" s="59" t="s">
        <v>90</v>
      </c>
      <c r="O393" s="59" t="s">
        <v>90</v>
      </c>
      <c r="P393" s="59">
        <v>24.94</v>
      </c>
      <c r="Q393" s="60">
        <v>0.13672799999999999</v>
      </c>
      <c r="R393" s="59">
        <v>7.31</v>
      </c>
      <c r="S393" s="59">
        <v>1</v>
      </c>
      <c r="T393" s="59">
        <v>1</v>
      </c>
      <c r="U393" s="60">
        <v>1</v>
      </c>
      <c r="V393" s="59">
        <v>1</v>
      </c>
      <c r="W393" s="59">
        <v>0</v>
      </c>
      <c r="X393" s="59" t="s">
        <v>35</v>
      </c>
      <c r="Y393" s="79" t="s">
        <v>36</v>
      </c>
      <c r="Z393" s="64" t="s">
        <v>584</v>
      </c>
      <c r="AA393" s="80">
        <f t="shared" si="5"/>
        <v>0.13672799999999999</v>
      </c>
    </row>
    <row r="394" spans="1:27" ht="14.4" x14ac:dyDescent="0.3">
      <c r="A394" s="56">
        <v>45897</v>
      </c>
      <c r="B394" s="57">
        <v>45897</v>
      </c>
      <c r="C394" s="58" t="s">
        <v>27</v>
      </c>
      <c r="D394" s="58" t="s">
        <v>28</v>
      </c>
      <c r="E394" s="58" t="s">
        <v>29</v>
      </c>
      <c r="F394" s="58" t="s">
        <v>30</v>
      </c>
      <c r="G394" s="58" t="s">
        <v>31</v>
      </c>
      <c r="H394" s="58" t="s">
        <v>145</v>
      </c>
      <c r="I394" s="58" t="s">
        <v>32</v>
      </c>
      <c r="J394" s="58" t="s">
        <v>404</v>
      </c>
      <c r="K394" s="59">
        <v>3</v>
      </c>
      <c r="L394" s="59">
        <v>1</v>
      </c>
      <c r="M394" s="60">
        <v>0.33333299999999999</v>
      </c>
      <c r="N394" s="59" t="s">
        <v>606</v>
      </c>
      <c r="O394" s="59" t="s">
        <v>606</v>
      </c>
      <c r="P394" s="59">
        <v>24.94</v>
      </c>
      <c r="Q394" s="60">
        <v>0.118284</v>
      </c>
      <c r="R394" s="59">
        <v>8.4499999999999993</v>
      </c>
      <c r="S394" s="59">
        <v>1</v>
      </c>
      <c r="T394" s="59">
        <v>1</v>
      </c>
      <c r="U394" s="60">
        <v>1</v>
      </c>
      <c r="V394" s="59">
        <v>1</v>
      </c>
      <c r="W394" s="59">
        <v>0</v>
      </c>
      <c r="X394" s="59" t="s">
        <v>35</v>
      </c>
      <c r="Y394" s="79" t="s">
        <v>36</v>
      </c>
      <c r="Z394" s="64" t="s">
        <v>584</v>
      </c>
      <c r="AA394" s="80">
        <f t="shared" si="5"/>
        <v>0.118284</v>
      </c>
    </row>
    <row r="395" spans="1:27" ht="14.4" x14ac:dyDescent="0.3">
      <c r="A395" s="56">
        <v>45897</v>
      </c>
      <c r="B395" s="57">
        <v>45897</v>
      </c>
      <c r="C395" s="58" t="s">
        <v>27</v>
      </c>
      <c r="D395" s="58" t="s">
        <v>28</v>
      </c>
      <c r="E395" s="58" t="s">
        <v>71</v>
      </c>
      <c r="F395" s="58" t="s">
        <v>72</v>
      </c>
      <c r="G395" s="58" t="s">
        <v>31</v>
      </c>
      <c r="H395" s="58" t="s">
        <v>51</v>
      </c>
      <c r="I395" s="58" t="s">
        <v>52</v>
      </c>
      <c r="J395" s="58" t="s">
        <v>477</v>
      </c>
      <c r="K395" s="59">
        <v>1</v>
      </c>
      <c r="L395" s="59">
        <v>1</v>
      </c>
      <c r="M395" s="60">
        <v>1</v>
      </c>
      <c r="N395" s="59" t="s">
        <v>181</v>
      </c>
      <c r="O395" s="59" t="s">
        <v>181</v>
      </c>
      <c r="P395" s="59">
        <v>24.94</v>
      </c>
      <c r="Q395" s="60">
        <v>0.100241</v>
      </c>
      <c r="R395" s="59">
        <v>9.98</v>
      </c>
      <c r="S395" s="59">
        <v>1</v>
      </c>
      <c r="T395" s="59">
        <v>1</v>
      </c>
      <c r="U395" s="60">
        <v>1</v>
      </c>
      <c r="V395" s="59">
        <v>1</v>
      </c>
      <c r="W395" s="59">
        <v>0</v>
      </c>
      <c r="X395" s="59" t="s">
        <v>35</v>
      </c>
      <c r="Y395" s="79" t="s">
        <v>36</v>
      </c>
      <c r="Z395" s="64" t="s">
        <v>584</v>
      </c>
      <c r="AA395" s="80">
        <f t="shared" si="5"/>
        <v>0.100241</v>
      </c>
    </row>
    <row r="396" spans="1:27" ht="14.4" x14ac:dyDescent="0.3">
      <c r="A396" s="56">
        <v>45897</v>
      </c>
      <c r="B396" s="57">
        <v>45897</v>
      </c>
      <c r="C396" s="58" t="s">
        <v>494</v>
      </c>
      <c r="D396" s="58" t="s">
        <v>28</v>
      </c>
      <c r="E396" s="58" t="s">
        <v>495</v>
      </c>
      <c r="F396" s="58" t="s">
        <v>496</v>
      </c>
      <c r="G396" s="58" t="s">
        <v>31</v>
      </c>
      <c r="H396" s="58" t="s">
        <v>51</v>
      </c>
      <c r="I396" s="58" t="s">
        <v>52</v>
      </c>
      <c r="J396" s="58" t="s">
        <v>607</v>
      </c>
      <c r="K396" s="59">
        <v>1</v>
      </c>
      <c r="L396" s="59">
        <v>1</v>
      </c>
      <c r="M396" s="60">
        <v>1</v>
      </c>
      <c r="N396" s="59" t="s">
        <v>104</v>
      </c>
      <c r="O396" s="59" t="s">
        <v>104</v>
      </c>
      <c r="P396" s="59">
        <v>29.99</v>
      </c>
      <c r="Q396" s="60">
        <v>0.124041</v>
      </c>
      <c r="R396" s="59">
        <v>8.06</v>
      </c>
      <c r="S396" s="59">
        <v>1</v>
      </c>
      <c r="T396" s="59">
        <v>1</v>
      </c>
      <c r="U396" s="60">
        <v>1</v>
      </c>
      <c r="V396" s="59">
        <v>1</v>
      </c>
      <c r="W396" s="59">
        <v>0</v>
      </c>
      <c r="X396" s="59" t="s">
        <v>498</v>
      </c>
      <c r="Y396" s="79" t="s">
        <v>36</v>
      </c>
      <c r="Z396" s="64" t="s">
        <v>584</v>
      </c>
      <c r="AA396" s="80">
        <f t="shared" si="5"/>
        <v>0.124041</v>
      </c>
    </row>
    <row r="397" spans="1:27" ht="14.4" x14ac:dyDescent="0.3">
      <c r="A397" s="56">
        <v>45897</v>
      </c>
      <c r="B397" s="57">
        <v>45897</v>
      </c>
      <c r="C397" s="58" t="s">
        <v>27</v>
      </c>
      <c r="D397" s="58" t="s">
        <v>28</v>
      </c>
      <c r="E397" s="58" t="s">
        <v>71</v>
      </c>
      <c r="F397" s="58" t="s">
        <v>72</v>
      </c>
      <c r="G397" s="58" t="s">
        <v>31</v>
      </c>
      <c r="H397" s="58" t="s">
        <v>51</v>
      </c>
      <c r="I397" s="58" t="s">
        <v>52</v>
      </c>
      <c r="J397" s="58" t="s">
        <v>608</v>
      </c>
      <c r="K397" s="59">
        <v>1</v>
      </c>
      <c r="L397" s="59">
        <v>1</v>
      </c>
      <c r="M397" s="60">
        <v>1</v>
      </c>
      <c r="N397" s="59" t="s">
        <v>571</v>
      </c>
      <c r="O397" s="59" t="s">
        <v>571</v>
      </c>
      <c r="P397" s="59">
        <v>24.94</v>
      </c>
      <c r="Q397" s="60">
        <v>0.14033699999999999</v>
      </c>
      <c r="R397" s="59">
        <v>7.13</v>
      </c>
      <c r="S397" s="59">
        <v>1</v>
      </c>
      <c r="T397" s="59">
        <v>1</v>
      </c>
      <c r="U397" s="60">
        <v>1</v>
      </c>
      <c r="V397" s="59">
        <v>1</v>
      </c>
      <c r="W397" s="59">
        <v>0</v>
      </c>
      <c r="X397" s="59" t="s">
        <v>35</v>
      </c>
      <c r="Y397" s="79" t="s">
        <v>36</v>
      </c>
      <c r="Z397" s="64" t="s">
        <v>584</v>
      </c>
      <c r="AA397" s="80">
        <f t="shared" si="5"/>
        <v>0.14033699999999999</v>
      </c>
    </row>
    <row r="398" spans="1:27" ht="14.4" x14ac:dyDescent="0.3">
      <c r="A398" s="56">
        <v>45896</v>
      </c>
      <c r="B398" s="57">
        <v>45896</v>
      </c>
      <c r="C398" s="58" t="s">
        <v>27</v>
      </c>
      <c r="D398" s="58" t="s">
        <v>28</v>
      </c>
      <c r="E398" s="58" t="s">
        <v>71</v>
      </c>
      <c r="F398" s="58" t="s">
        <v>72</v>
      </c>
      <c r="G398" s="58" t="s">
        <v>31</v>
      </c>
      <c r="H398" s="58" t="s">
        <v>73</v>
      </c>
      <c r="I398" s="58" t="s">
        <v>52</v>
      </c>
      <c r="J398" s="58" t="s">
        <v>330</v>
      </c>
      <c r="K398" s="59">
        <v>1</v>
      </c>
      <c r="L398" s="59">
        <v>1</v>
      </c>
      <c r="M398" s="60">
        <v>1</v>
      </c>
      <c r="N398" s="59" t="s">
        <v>114</v>
      </c>
      <c r="O398" s="59" t="s">
        <v>114</v>
      </c>
      <c r="P398" s="59">
        <v>24.94</v>
      </c>
      <c r="Q398" s="60">
        <v>0.13352</v>
      </c>
      <c r="R398" s="59">
        <v>7.49</v>
      </c>
      <c r="S398" s="59">
        <v>1</v>
      </c>
      <c r="T398" s="59">
        <v>1</v>
      </c>
      <c r="U398" s="60">
        <v>1</v>
      </c>
      <c r="V398" s="59">
        <v>1</v>
      </c>
      <c r="W398" s="59">
        <v>0</v>
      </c>
      <c r="X398" s="59" t="s">
        <v>35</v>
      </c>
      <c r="Y398" s="79" t="s">
        <v>36</v>
      </c>
      <c r="Z398" s="64" t="s">
        <v>584</v>
      </c>
      <c r="AA398" s="80">
        <f t="shared" si="5"/>
        <v>0.13352</v>
      </c>
    </row>
    <row r="399" spans="1:27" ht="14.4" x14ac:dyDescent="0.3">
      <c r="A399" s="56">
        <v>45896</v>
      </c>
      <c r="B399" s="57">
        <v>45899</v>
      </c>
      <c r="C399" s="58" t="s">
        <v>27</v>
      </c>
      <c r="D399" s="58" t="s">
        <v>28</v>
      </c>
      <c r="E399" s="58" t="s">
        <v>56</v>
      </c>
      <c r="F399" s="58" t="s">
        <v>57</v>
      </c>
      <c r="G399" s="58" t="s">
        <v>31</v>
      </c>
      <c r="H399" s="65" t="e">
        <f>+maca +root</f>
        <v>#NAME?</v>
      </c>
      <c r="I399" s="58" t="s">
        <v>32</v>
      </c>
      <c r="J399" s="58" t="s">
        <v>119</v>
      </c>
      <c r="K399" s="59">
        <v>1930</v>
      </c>
      <c r="L399" s="59">
        <v>24</v>
      </c>
      <c r="M399" s="60">
        <v>1.2435E-2</v>
      </c>
      <c r="N399" s="59" t="s">
        <v>609</v>
      </c>
      <c r="O399" s="59" t="s">
        <v>610</v>
      </c>
      <c r="P399" s="59">
        <v>99.76</v>
      </c>
      <c r="Q399" s="60">
        <v>0.71110700000000004</v>
      </c>
      <c r="R399" s="59">
        <v>1.41</v>
      </c>
      <c r="S399" s="59">
        <v>4</v>
      </c>
      <c r="T399" s="59">
        <v>4</v>
      </c>
      <c r="U399" s="60">
        <v>0.16666700000000001</v>
      </c>
      <c r="V399" s="59">
        <v>4</v>
      </c>
      <c r="W399" s="59">
        <v>0</v>
      </c>
      <c r="X399" s="59" t="s">
        <v>47</v>
      </c>
      <c r="Y399" s="79" t="s">
        <v>36</v>
      </c>
      <c r="Z399" s="64" t="s">
        <v>584</v>
      </c>
      <c r="AA399" s="80">
        <f t="shared" si="5"/>
        <v>0.71110700000000004</v>
      </c>
    </row>
    <row r="400" spans="1:27" ht="14.4" x14ac:dyDescent="0.3">
      <c r="A400" s="56">
        <v>45896</v>
      </c>
      <c r="B400" s="57">
        <v>45896</v>
      </c>
      <c r="C400" s="58" t="s">
        <v>27</v>
      </c>
      <c r="D400" s="58" t="s">
        <v>28</v>
      </c>
      <c r="E400" s="58" t="s">
        <v>71</v>
      </c>
      <c r="F400" s="58" t="s">
        <v>72</v>
      </c>
      <c r="G400" s="58" t="s">
        <v>31</v>
      </c>
      <c r="H400" s="58" t="s">
        <v>51</v>
      </c>
      <c r="I400" s="58" t="s">
        <v>52</v>
      </c>
      <c r="J400" s="58" t="s">
        <v>611</v>
      </c>
      <c r="K400" s="59">
        <v>2</v>
      </c>
      <c r="L400" s="59">
        <v>1</v>
      </c>
      <c r="M400" s="60">
        <v>0.5</v>
      </c>
      <c r="N400" s="59" t="s">
        <v>612</v>
      </c>
      <c r="O400" s="59" t="s">
        <v>612</v>
      </c>
      <c r="P400" s="59">
        <v>24.94</v>
      </c>
      <c r="Q400" s="60">
        <v>9.1419E-2</v>
      </c>
      <c r="R400" s="59">
        <v>10.94</v>
      </c>
      <c r="S400" s="59">
        <v>1</v>
      </c>
      <c r="T400" s="59">
        <v>1</v>
      </c>
      <c r="U400" s="60">
        <v>1</v>
      </c>
      <c r="V400" s="59">
        <v>1</v>
      </c>
      <c r="W400" s="59">
        <v>0</v>
      </c>
      <c r="X400" s="59" t="s">
        <v>35</v>
      </c>
      <c r="Y400" s="79" t="s">
        <v>36</v>
      </c>
      <c r="Z400" s="64" t="s">
        <v>584</v>
      </c>
      <c r="AA400" s="80">
        <f t="shared" si="5"/>
        <v>9.1419E-2</v>
      </c>
    </row>
    <row r="401" spans="1:27" ht="14.4" x14ac:dyDescent="0.3">
      <c r="A401" s="56">
        <v>45895</v>
      </c>
      <c r="B401" s="57">
        <v>45895</v>
      </c>
      <c r="C401" s="58" t="s">
        <v>143</v>
      </c>
      <c r="D401" s="58" t="s">
        <v>28</v>
      </c>
      <c r="E401" s="58" t="s">
        <v>144</v>
      </c>
      <c r="F401" s="58" t="s">
        <v>32</v>
      </c>
      <c r="G401" s="58" t="s">
        <v>31</v>
      </c>
      <c r="H401" s="58" t="s">
        <v>30</v>
      </c>
      <c r="I401" s="58" t="s">
        <v>44</v>
      </c>
      <c r="J401" s="58" t="s">
        <v>159</v>
      </c>
      <c r="K401" s="59">
        <v>3</v>
      </c>
      <c r="L401" s="59">
        <v>1</v>
      </c>
      <c r="M401" s="60">
        <v>0.33333299999999999</v>
      </c>
      <c r="N401" s="59" t="s">
        <v>217</v>
      </c>
      <c r="O401" s="59" t="s">
        <v>217</v>
      </c>
      <c r="P401" s="59">
        <v>24.94</v>
      </c>
      <c r="Q401" s="60">
        <v>7.2974999999999998E-2</v>
      </c>
      <c r="R401" s="59">
        <v>13.7</v>
      </c>
      <c r="S401" s="59">
        <v>1</v>
      </c>
      <c r="T401" s="59">
        <v>1</v>
      </c>
      <c r="U401" s="60">
        <v>1</v>
      </c>
      <c r="V401" s="59">
        <v>1</v>
      </c>
      <c r="W401" s="59">
        <v>0</v>
      </c>
      <c r="X401" s="59" t="s">
        <v>35</v>
      </c>
      <c r="Y401" s="79" t="s">
        <v>36</v>
      </c>
      <c r="Z401" s="64" t="s">
        <v>584</v>
      </c>
      <c r="AA401" s="80">
        <f t="shared" si="5"/>
        <v>7.2974999999999998E-2</v>
      </c>
    </row>
    <row r="402" spans="1:27" ht="14.4" x14ac:dyDescent="0.3">
      <c r="A402" s="56">
        <v>45895</v>
      </c>
      <c r="B402" s="57">
        <v>45898</v>
      </c>
      <c r="C402" s="58" t="s">
        <v>40</v>
      </c>
      <c r="D402" s="58" t="s">
        <v>28</v>
      </c>
      <c r="E402" s="58" t="s">
        <v>41</v>
      </c>
      <c r="F402" s="58" t="s">
        <v>42</v>
      </c>
      <c r="G402" s="58" t="s">
        <v>31</v>
      </c>
      <c r="H402" s="58" t="s">
        <v>43</v>
      </c>
      <c r="I402" s="58" t="s">
        <v>44</v>
      </c>
      <c r="J402" s="58" t="s">
        <v>613</v>
      </c>
      <c r="K402" s="59">
        <v>4</v>
      </c>
      <c r="L402" s="59">
        <v>3</v>
      </c>
      <c r="M402" s="60">
        <v>0.75</v>
      </c>
      <c r="N402" s="59" t="s">
        <v>316</v>
      </c>
      <c r="O402" s="59" t="s">
        <v>614</v>
      </c>
      <c r="P402" s="59">
        <v>24.94</v>
      </c>
      <c r="Q402" s="60">
        <v>0.34121899999999999</v>
      </c>
      <c r="R402" s="59">
        <v>2.93</v>
      </c>
      <c r="S402" s="59">
        <v>1</v>
      </c>
      <c r="T402" s="59">
        <v>1</v>
      </c>
      <c r="U402" s="60">
        <v>0.33333299999999999</v>
      </c>
      <c r="V402" s="59">
        <v>1</v>
      </c>
      <c r="W402" s="59">
        <v>0</v>
      </c>
      <c r="X402" s="59" t="s">
        <v>35</v>
      </c>
      <c r="Y402" s="79" t="s">
        <v>36</v>
      </c>
      <c r="Z402" s="64" t="s">
        <v>584</v>
      </c>
      <c r="AA402" s="80">
        <f t="shared" si="5"/>
        <v>0.34121899999999999</v>
      </c>
    </row>
    <row r="403" spans="1:27" ht="14.4" x14ac:dyDescent="0.3">
      <c r="A403" s="56">
        <v>45895</v>
      </c>
      <c r="B403" s="57">
        <v>45895</v>
      </c>
      <c r="C403" s="58" t="s">
        <v>48</v>
      </c>
      <c r="D403" s="58" t="s">
        <v>28</v>
      </c>
      <c r="E403" s="58" t="s">
        <v>62</v>
      </c>
      <c r="F403" s="58" t="s">
        <v>63</v>
      </c>
      <c r="G403" s="58" t="s">
        <v>31</v>
      </c>
      <c r="H403" s="58" t="s">
        <v>372</v>
      </c>
      <c r="I403" s="58" t="s">
        <v>65</v>
      </c>
      <c r="J403" s="58" t="s">
        <v>507</v>
      </c>
      <c r="K403" s="59">
        <v>3</v>
      </c>
      <c r="L403" s="59">
        <v>1</v>
      </c>
      <c r="M403" s="60">
        <v>0.33333299999999999</v>
      </c>
      <c r="N403" s="59" t="s">
        <v>336</v>
      </c>
      <c r="O403" s="59" t="s">
        <v>336</v>
      </c>
      <c r="P403" s="59">
        <v>21.95</v>
      </c>
      <c r="Q403" s="60">
        <v>0.15262000000000001</v>
      </c>
      <c r="R403" s="59">
        <v>6.55</v>
      </c>
      <c r="S403" s="59">
        <v>1</v>
      </c>
      <c r="T403" s="59">
        <v>1</v>
      </c>
      <c r="U403" s="60">
        <v>1</v>
      </c>
      <c r="V403" s="59">
        <v>1</v>
      </c>
      <c r="W403" s="59">
        <v>0</v>
      </c>
      <c r="X403" s="59" t="s">
        <v>603</v>
      </c>
      <c r="Y403" s="79" t="s">
        <v>36</v>
      </c>
      <c r="Z403" s="64" t="s">
        <v>584</v>
      </c>
      <c r="AA403" s="80">
        <f t="shared" si="5"/>
        <v>0.15262000000000001</v>
      </c>
    </row>
    <row r="404" spans="1:27" ht="14.4" x14ac:dyDescent="0.3">
      <c r="A404" s="56">
        <v>45895</v>
      </c>
      <c r="B404" s="57">
        <v>45895</v>
      </c>
      <c r="C404" s="58" t="s">
        <v>85</v>
      </c>
      <c r="D404" s="58" t="s">
        <v>28</v>
      </c>
      <c r="E404" s="58" t="s">
        <v>108</v>
      </c>
      <c r="F404" s="58" t="s">
        <v>109</v>
      </c>
      <c r="G404" s="58" t="s">
        <v>31</v>
      </c>
      <c r="H404" s="58" t="s">
        <v>110</v>
      </c>
      <c r="I404" s="58" t="s">
        <v>44</v>
      </c>
      <c r="J404" s="58" t="s">
        <v>615</v>
      </c>
      <c r="K404" s="59">
        <v>1</v>
      </c>
      <c r="L404" s="59">
        <v>1</v>
      </c>
      <c r="M404" s="60">
        <v>1</v>
      </c>
      <c r="N404" s="59" t="s">
        <v>217</v>
      </c>
      <c r="O404" s="59" t="s">
        <v>217</v>
      </c>
      <c r="P404" s="59">
        <v>21.95</v>
      </c>
      <c r="Q404" s="60">
        <v>8.2916000000000004E-2</v>
      </c>
      <c r="R404" s="59">
        <v>12.06</v>
      </c>
      <c r="S404" s="59">
        <v>1</v>
      </c>
      <c r="T404" s="59">
        <v>1</v>
      </c>
      <c r="U404" s="60">
        <v>1</v>
      </c>
      <c r="V404" s="59">
        <v>1</v>
      </c>
      <c r="W404" s="59">
        <v>0</v>
      </c>
      <c r="X404" s="59" t="s">
        <v>603</v>
      </c>
      <c r="Y404" s="79" t="s">
        <v>36</v>
      </c>
      <c r="Z404" s="64" t="s">
        <v>584</v>
      </c>
      <c r="AA404" s="80">
        <f t="shared" si="5"/>
        <v>8.2916000000000004E-2</v>
      </c>
    </row>
    <row r="405" spans="1:27" ht="14.4" x14ac:dyDescent="0.3">
      <c r="A405" s="56">
        <v>45894</v>
      </c>
      <c r="B405" s="57">
        <v>45894</v>
      </c>
      <c r="C405" s="58" t="s">
        <v>48</v>
      </c>
      <c r="D405" s="58" t="s">
        <v>28</v>
      </c>
      <c r="E405" s="58" t="s">
        <v>49</v>
      </c>
      <c r="F405" s="58" t="s">
        <v>50</v>
      </c>
      <c r="G405" s="58" t="s">
        <v>31</v>
      </c>
      <c r="H405" s="58" t="s">
        <v>51</v>
      </c>
      <c r="I405" s="58" t="s">
        <v>52</v>
      </c>
      <c r="J405" s="58" t="s">
        <v>616</v>
      </c>
      <c r="K405" s="59">
        <v>1</v>
      </c>
      <c r="L405" s="59">
        <v>1</v>
      </c>
      <c r="M405" s="60">
        <v>1</v>
      </c>
      <c r="N405" s="59" t="s">
        <v>435</v>
      </c>
      <c r="O405" s="59" t="s">
        <v>435</v>
      </c>
      <c r="P405" s="59">
        <v>21.95</v>
      </c>
      <c r="Q405" s="60">
        <v>9.0204999999999994E-2</v>
      </c>
      <c r="R405" s="59">
        <v>11.09</v>
      </c>
      <c r="S405" s="59">
        <v>1</v>
      </c>
      <c r="T405" s="59">
        <v>1</v>
      </c>
      <c r="U405" s="60">
        <v>1</v>
      </c>
      <c r="V405" s="59">
        <v>1</v>
      </c>
      <c r="W405" s="59">
        <v>0</v>
      </c>
      <c r="X405" s="59" t="s">
        <v>603</v>
      </c>
      <c r="Y405" s="79" t="s">
        <v>36</v>
      </c>
      <c r="Z405" s="64" t="s">
        <v>584</v>
      </c>
      <c r="AA405" s="80">
        <f t="shared" si="5"/>
        <v>9.0204999999999994E-2</v>
      </c>
    </row>
    <row r="406" spans="1:27" ht="14.4" x14ac:dyDescent="0.3">
      <c r="A406" s="56">
        <v>45894</v>
      </c>
      <c r="B406" s="57">
        <v>45895</v>
      </c>
      <c r="C406" s="58" t="s">
        <v>27</v>
      </c>
      <c r="D406" s="58" t="s">
        <v>28</v>
      </c>
      <c r="E406" s="58" t="s">
        <v>71</v>
      </c>
      <c r="F406" s="58" t="s">
        <v>72</v>
      </c>
      <c r="G406" s="58" t="s">
        <v>31</v>
      </c>
      <c r="H406" s="58" t="s">
        <v>73</v>
      </c>
      <c r="I406" s="58" t="s">
        <v>52</v>
      </c>
      <c r="J406" s="58" t="s">
        <v>617</v>
      </c>
      <c r="K406" s="59">
        <v>5</v>
      </c>
      <c r="L406" s="59">
        <v>3</v>
      </c>
      <c r="M406" s="60">
        <v>0.6</v>
      </c>
      <c r="N406" s="59" t="s">
        <v>618</v>
      </c>
      <c r="O406" s="59" t="s">
        <v>619</v>
      </c>
      <c r="P406" s="59">
        <v>24.94</v>
      </c>
      <c r="Q406" s="60">
        <v>0.423817</v>
      </c>
      <c r="R406" s="59">
        <v>2.36</v>
      </c>
      <c r="S406" s="59">
        <v>1</v>
      </c>
      <c r="T406" s="59">
        <v>1</v>
      </c>
      <c r="U406" s="60">
        <v>0.33333299999999999</v>
      </c>
      <c r="V406" s="59">
        <v>1</v>
      </c>
      <c r="W406" s="59">
        <v>0</v>
      </c>
      <c r="X406" s="59" t="s">
        <v>35</v>
      </c>
      <c r="Y406" s="79" t="s">
        <v>36</v>
      </c>
      <c r="Z406" s="64" t="s">
        <v>584</v>
      </c>
      <c r="AA406" s="80">
        <f t="shared" si="5"/>
        <v>0.423817</v>
      </c>
    </row>
    <row r="407" spans="1:27" ht="14.4" x14ac:dyDescent="0.3">
      <c r="A407" s="56">
        <v>45893</v>
      </c>
      <c r="B407" s="57">
        <v>45899</v>
      </c>
      <c r="C407" s="58" t="s">
        <v>27</v>
      </c>
      <c r="D407" s="58" t="s">
        <v>28</v>
      </c>
      <c r="E407" s="58" t="s">
        <v>29</v>
      </c>
      <c r="F407" s="58" t="s">
        <v>30</v>
      </c>
      <c r="G407" s="58" t="s">
        <v>31</v>
      </c>
      <c r="H407" s="58" t="s">
        <v>30</v>
      </c>
      <c r="I407" s="58" t="s">
        <v>32</v>
      </c>
      <c r="J407" s="58" t="s">
        <v>30</v>
      </c>
      <c r="K407" s="59">
        <v>418</v>
      </c>
      <c r="L407" s="59">
        <v>7</v>
      </c>
      <c r="M407" s="60">
        <v>1.6746E-2</v>
      </c>
      <c r="N407" s="59" t="s">
        <v>620</v>
      </c>
      <c r="O407" s="59" t="s">
        <v>621</v>
      </c>
      <c r="P407" s="59">
        <v>74.819999999999993</v>
      </c>
      <c r="Q407" s="60">
        <v>0.26035799999999998</v>
      </c>
      <c r="R407" s="59">
        <v>3.84</v>
      </c>
      <c r="S407" s="59">
        <v>3</v>
      </c>
      <c r="T407" s="59">
        <v>3</v>
      </c>
      <c r="U407" s="60">
        <v>0.42857099999999998</v>
      </c>
      <c r="V407" s="59">
        <v>3</v>
      </c>
      <c r="W407" s="59">
        <v>0</v>
      </c>
      <c r="X407" s="59" t="s">
        <v>93</v>
      </c>
      <c r="Y407" s="79" t="s">
        <v>36</v>
      </c>
      <c r="Z407" s="64" t="s">
        <v>622</v>
      </c>
      <c r="AA407" s="80">
        <f t="shared" si="5"/>
        <v>0.26035799999999998</v>
      </c>
    </row>
    <row r="408" spans="1:27" ht="14.4" x14ac:dyDescent="0.3">
      <c r="A408" s="56">
        <v>45893</v>
      </c>
      <c r="B408" s="57">
        <v>45899</v>
      </c>
      <c r="C408" s="58" t="s">
        <v>27</v>
      </c>
      <c r="D408" s="58" t="s">
        <v>28</v>
      </c>
      <c r="E408" s="58" t="s">
        <v>71</v>
      </c>
      <c r="F408" s="58" t="s">
        <v>72</v>
      </c>
      <c r="G408" s="58" t="s">
        <v>31</v>
      </c>
      <c r="H408" s="58" t="s">
        <v>73</v>
      </c>
      <c r="I408" s="58" t="s">
        <v>52</v>
      </c>
      <c r="J408" s="58" t="s">
        <v>159</v>
      </c>
      <c r="K408" s="59">
        <v>11</v>
      </c>
      <c r="L408" s="59">
        <v>2</v>
      </c>
      <c r="M408" s="60">
        <v>0.18181800000000001</v>
      </c>
      <c r="N408" s="59" t="s">
        <v>114</v>
      </c>
      <c r="O408" s="59" t="s">
        <v>623</v>
      </c>
      <c r="P408" s="59">
        <v>49.88</v>
      </c>
      <c r="Q408" s="60">
        <v>0.13352</v>
      </c>
      <c r="R408" s="59">
        <v>7.49</v>
      </c>
      <c r="S408" s="59">
        <v>1</v>
      </c>
      <c r="T408" s="59">
        <v>2</v>
      </c>
      <c r="U408" s="60">
        <v>0.5</v>
      </c>
      <c r="V408" s="59">
        <v>2</v>
      </c>
      <c r="W408" s="59">
        <v>0</v>
      </c>
      <c r="X408" s="59" t="s">
        <v>78</v>
      </c>
      <c r="Y408" s="79" t="s">
        <v>36</v>
      </c>
      <c r="Z408" s="64" t="s">
        <v>622</v>
      </c>
      <c r="AA408" s="80">
        <f t="shared" si="5"/>
        <v>0.13352</v>
      </c>
    </row>
    <row r="409" spans="1:27" ht="14.4" x14ac:dyDescent="0.3">
      <c r="A409" s="56">
        <v>45893</v>
      </c>
      <c r="B409" s="57">
        <v>45899</v>
      </c>
      <c r="C409" s="58" t="s">
        <v>48</v>
      </c>
      <c r="D409" s="58" t="s">
        <v>28</v>
      </c>
      <c r="E409" s="58" t="s">
        <v>62</v>
      </c>
      <c r="F409" s="58" t="s">
        <v>63</v>
      </c>
      <c r="G409" s="58" t="s">
        <v>31</v>
      </c>
      <c r="H409" s="58" t="s">
        <v>68</v>
      </c>
      <c r="I409" s="58" t="s">
        <v>65</v>
      </c>
      <c r="J409" s="58" t="s">
        <v>68</v>
      </c>
      <c r="K409" s="59">
        <v>77</v>
      </c>
      <c r="L409" s="59">
        <v>3</v>
      </c>
      <c r="M409" s="60">
        <v>3.8961000000000003E-2</v>
      </c>
      <c r="N409" s="59" t="s">
        <v>519</v>
      </c>
      <c r="O409" s="59" t="s">
        <v>624</v>
      </c>
      <c r="P409" s="59">
        <v>21.9</v>
      </c>
      <c r="Q409" s="60">
        <v>0.55662100000000003</v>
      </c>
      <c r="R409" s="59">
        <v>1.8</v>
      </c>
      <c r="S409" s="59">
        <v>1</v>
      </c>
      <c r="T409" s="59">
        <v>1</v>
      </c>
      <c r="U409" s="60">
        <v>0.33333299999999999</v>
      </c>
      <c r="V409" s="59">
        <v>1</v>
      </c>
      <c r="W409" s="59">
        <v>0</v>
      </c>
      <c r="X409" s="59" t="s">
        <v>55</v>
      </c>
      <c r="Y409" s="79" t="s">
        <v>36</v>
      </c>
      <c r="Z409" s="64" t="s">
        <v>622</v>
      </c>
      <c r="AA409" s="80">
        <f t="shared" si="5"/>
        <v>0.55662100000000003</v>
      </c>
    </row>
    <row r="410" spans="1:27" ht="14.4" x14ac:dyDescent="0.3">
      <c r="A410" s="56">
        <v>45893</v>
      </c>
      <c r="B410" s="57">
        <v>45895</v>
      </c>
      <c r="C410" s="58" t="s">
        <v>27</v>
      </c>
      <c r="D410" s="58" t="s">
        <v>28</v>
      </c>
      <c r="E410" s="58" t="s">
        <v>29</v>
      </c>
      <c r="F410" s="58" t="s">
        <v>30</v>
      </c>
      <c r="G410" s="58" t="s">
        <v>31</v>
      </c>
      <c r="H410" s="58" t="s">
        <v>145</v>
      </c>
      <c r="I410" s="58" t="s">
        <v>32</v>
      </c>
      <c r="J410" s="58" t="s">
        <v>183</v>
      </c>
      <c r="K410" s="59">
        <v>22</v>
      </c>
      <c r="L410" s="59">
        <v>4</v>
      </c>
      <c r="M410" s="60">
        <v>0.18181800000000001</v>
      </c>
      <c r="N410" s="59" t="s">
        <v>102</v>
      </c>
      <c r="O410" s="59" t="s">
        <v>625</v>
      </c>
      <c r="P410" s="59">
        <v>24.94</v>
      </c>
      <c r="Q410" s="60">
        <v>0.43825199999999997</v>
      </c>
      <c r="R410" s="59">
        <v>2.2799999999999998</v>
      </c>
      <c r="S410" s="59">
        <v>1</v>
      </c>
      <c r="T410" s="59">
        <v>1</v>
      </c>
      <c r="U410" s="60">
        <v>0.25</v>
      </c>
      <c r="V410" s="59">
        <v>1</v>
      </c>
      <c r="W410" s="59">
        <v>0</v>
      </c>
      <c r="X410" s="59" t="s">
        <v>35</v>
      </c>
      <c r="Y410" s="79" t="s">
        <v>36</v>
      </c>
      <c r="Z410" s="64" t="s">
        <v>622</v>
      </c>
      <c r="AA410" s="80">
        <f t="shared" si="5"/>
        <v>0.43825199999999997</v>
      </c>
    </row>
    <row r="411" spans="1:27" ht="14.4" x14ac:dyDescent="0.3">
      <c r="A411" s="56">
        <v>45893</v>
      </c>
      <c r="B411" s="57">
        <v>45899</v>
      </c>
      <c r="C411" s="58" t="s">
        <v>40</v>
      </c>
      <c r="D411" s="58" t="s">
        <v>28</v>
      </c>
      <c r="E411" s="58" t="s">
        <v>41</v>
      </c>
      <c r="F411" s="58" t="s">
        <v>42</v>
      </c>
      <c r="G411" s="58" t="s">
        <v>31</v>
      </c>
      <c r="H411" s="58" t="s">
        <v>43</v>
      </c>
      <c r="I411" s="58" t="s">
        <v>44</v>
      </c>
      <c r="J411" s="58" t="s">
        <v>43</v>
      </c>
      <c r="K411" s="59">
        <v>1552</v>
      </c>
      <c r="L411" s="59">
        <v>16</v>
      </c>
      <c r="M411" s="60">
        <v>1.0309E-2</v>
      </c>
      <c r="N411" s="59" t="s">
        <v>606</v>
      </c>
      <c r="O411" s="59" t="s">
        <v>626</v>
      </c>
      <c r="P411" s="59">
        <v>74.819999999999993</v>
      </c>
      <c r="Q411" s="60">
        <v>0.63164900000000002</v>
      </c>
      <c r="R411" s="59">
        <v>1.58</v>
      </c>
      <c r="S411" s="59">
        <v>3</v>
      </c>
      <c r="T411" s="59">
        <v>3</v>
      </c>
      <c r="U411" s="60">
        <v>0.1875</v>
      </c>
      <c r="V411" s="59">
        <v>3</v>
      </c>
      <c r="W411" s="59">
        <v>0</v>
      </c>
      <c r="X411" s="59" t="s">
        <v>93</v>
      </c>
      <c r="Y411" s="79" t="s">
        <v>36</v>
      </c>
      <c r="Z411" s="64" t="s">
        <v>622</v>
      </c>
      <c r="AA411" s="80">
        <f t="shared" si="5"/>
        <v>0.63164900000000002</v>
      </c>
    </row>
    <row r="412" spans="1:27" ht="14.4" x14ac:dyDescent="0.3">
      <c r="A412" s="56">
        <v>45893</v>
      </c>
      <c r="B412" s="57">
        <v>45899</v>
      </c>
      <c r="C412" s="58" t="s">
        <v>27</v>
      </c>
      <c r="D412" s="58" t="s">
        <v>28</v>
      </c>
      <c r="E412" s="58" t="s">
        <v>71</v>
      </c>
      <c r="F412" s="58" t="s">
        <v>72</v>
      </c>
      <c r="G412" s="58" t="s">
        <v>31</v>
      </c>
      <c r="H412" s="58" t="s">
        <v>73</v>
      </c>
      <c r="I412" s="58" t="s">
        <v>52</v>
      </c>
      <c r="J412" s="58" t="s">
        <v>101</v>
      </c>
      <c r="K412" s="59">
        <v>1849</v>
      </c>
      <c r="L412" s="59">
        <v>14</v>
      </c>
      <c r="M412" s="60">
        <v>7.5719999999999997E-3</v>
      </c>
      <c r="N412" s="59" t="s">
        <v>271</v>
      </c>
      <c r="O412" s="59" t="s">
        <v>627</v>
      </c>
      <c r="P412" s="59">
        <v>24.94</v>
      </c>
      <c r="Q412" s="60">
        <v>1.6038490000000001</v>
      </c>
      <c r="R412" s="59">
        <v>0.62</v>
      </c>
      <c r="S412" s="59">
        <v>1</v>
      </c>
      <c r="T412" s="59">
        <v>1</v>
      </c>
      <c r="U412" s="60">
        <v>7.1429000000000006E-2</v>
      </c>
      <c r="V412" s="59">
        <v>1</v>
      </c>
      <c r="W412" s="59">
        <v>0</v>
      </c>
      <c r="X412" s="59" t="s">
        <v>35</v>
      </c>
      <c r="Y412" s="79" t="s">
        <v>36</v>
      </c>
      <c r="Z412" s="64" t="s">
        <v>622</v>
      </c>
      <c r="AA412" s="80">
        <f t="shared" si="5"/>
        <v>1.6038490000000001</v>
      </c>
    </row>
    <row r="413" spans="1:27" ht="14.4" x14ac:dyDescent="0.3">
      <c r="A413" s="56">
        <v>45893</v>
      </c>
      <c r="B413" s="57">
        <v>45897</v>
      </c>
      <c r="C413" s="58" t="s">
        <v>27</v>
      </c>
      <c r="D413" s="58" t="s">
        <v>28</v>
      </c>
      <c r="E413" s="58" t="s">
        <v>71</v>
      </c>
      <c r="F413" s="58" t="s">
        <v>72</v>
      </c>
      <c r="G413" s="58" t="s">
        <v>31</v>
      </c>
      <c r="H413" s="58" t="s">
        <v>73</v>
      </c>
      <c r="I413" s="58" t="s">
        <v>52</v>
      </c>
      <c r="J413" s="58" t="s">
        <v>140</v>
      </c>
      <c r="K413" s="59">
        <v>22</v>
      </c>
      <c r="L413" s="59">
        <v>2</v>
      </c>
      <c r="M413" s="60">
        <v>9.0909000000000004E-2</v>
      </c>
      <c r="N413" s="59" t="s">
        <v>114</v>
      </c>
      <c r="O413" s="59" t="s">
        <v>623</v>
      </c>
      <c r="P413" s="59">
        <v>24.94</v>
      </c>
      <c r="Q413" s="60">
        <v>0.26704099999999997</v>
      </c>
      <c r="R413" s="59">
        <v>3.74</v>
      </c>
      <c r="S413" s="59">
        <v>1</v>
      </c>
      <c r="T413" s="59">
        <v>1</v>
      </c>
      <c r="U413" s="60">
        <v>0.5</v>
      </c>
      <c r="V413" s="59">
        <v>1</v>
      </c>
      <c r="W413" s="59">
        <v>0</v>
      </c>
      <c r="X413" s="59" t="s">
        <v>35</v>
      </c>
      <c r="Y413" s="79" t="s">
        <v>36</v>
      </c>
      <c r="Z413" s="64" t="s">
        <v>622</v>
      </c>
      <c r="AA413" s="80">
        <f t="shared" si="5"/>
        <v>0.26704099999999997</v>
      </c>
    </row>
    <row r="414" spans="1:27" ht="14.4" x14ac:dyDescent="0.3">
      <c r="A414" s="56">
        <v>45893</v>
      </c>
      <c r="B414" s="57">
        <v>45898</v>
      </c>
      <c r="C414" s="58" t="s">
        <v>85</v>
      </c>
      <c r="D414" s="58" t="s">
        <v>28</v>
      </c>
      <c r="E414" s="58" t="s">
        <v>86</v>
      </c>
      <c r="F414" s="58" t="s">
        <v>87</v>
      </c>
      <c r="G414" s="58" t="s">
        <v>31</v>
      </c>
      <c r="H414" s="58" t="s">
        <v>87</v>
      </c>
      <c r="I414" s="58" t="s">
        <v>44</v>
      </c>
      <c r="J414" s="58" t="s">
        <v>87</v>
      </c>
      <c r="K414" s="59">
        <v>48</v>
      </c>
      <c r="L414" s="59">
        <v>5</v>
      </c>
      <c r="M414" s="60">
        <v>0.104167</v>
      </c>
      <c r="N414" s="59" t="s">
        <v>628</v>
      </c>
      <c r="O414" s="59" t="s">
        <v>629</v>
      </c>
      <c r="P414" s="59">
        <v>21.9</v>
      </c>
      <c r="Q414" s="60">
        <v>0.74885800000000002</v>
      </c>
      <c r="R414" s="59">
        <v>1.34</v>
      </c>
      <c r="S414" s="59">
        <v>1</v>
      </c>
      <c r="T414" s="59">
        <v>1</v>
      </c>
      <c r="U414" s="60">
        <v>0.2</v>
      </c>
      <c r="V414" s="59">
        <v>1</v>
      </c>
      <c r="W414" s="59">
        <v>0</v>
      </c>
      <c r="X414" s="59" t="s">
        <v>55</v>
      </c>
      <c r="Y414" s="79" t="s">
        <v>36</v>
      </c>
      <c r="Z414" s="64" t="s">
        <v>622</v>
      </c>
      <c r="AA414" s="80">
        <f t="shared" si="5"/>
        <v>0.74885800000000002</v>
      </c>
    </row>
    <row r="415" spans="1:27" ht="14.4" x14ac:dyDescent="0.3">
      <c r="A415" s="56">
        <v>45893</v>
      </c>
      <c r="B415" s="57">
        <v>45896</v>
      </c>
      <c r="C415" s="58" t="s">
        <v>48</v>
      </c>
      <c r="D415" s="58" t="s">
        <v>28</v>
      </c>
      <c r="E415" s="58" t="s">
        <v>225</v>
      </c>
      <c r="F415" s="58" t="s">
        <v>226</v>
      </c>
      <c r="G415" s="58" t="s">
        <v>31</v>
      </c>
      <c r="H415" s="58" t="s">
        <v>372</v>
      </c>
      <c r="I415" s="58" t="s">
        <v>32</v>
      </c>
      <c r="J415" s="58" t="s">
        <v>171</v>
      </c>
      <c r="K415" s="59">
        <v>12</v>
      </c>
      <c r="L415" s="59">
        <v>3</v>
      </c>
      <c r="M415" s="60">
        <v>0.25</v>
      </c>
      <c r="N415" s="59" t="s">
        <v>114</v>
      </c>
      <c r="O415" s="59" t="s">
        <v>630</v>
      </c>
      <c r="P415" s="59">
        <v>21.95</v>
      </c>
      <c r="Q415" s="60">
        <v>0.45558100000000001</v>
      </c>
      <c r="R415" s="59">
        <v>2.2000000000000002</v>
      </c>
      <c r="S415" s="59">
        <v>1</v>
      </c>
      <c r="T415" s="59">
        <v>1</v>
      </c>
      <c r="U415" s="60">
        <v>0.33333299999999999</v>
      </c>
      <c r="V415" s="59">
        <v>1</v>
      </c>
      <c r="W415" s="59">
        <v>0</v>
      </c>
      <c r="X415" s="59" t="s">
        <v>603</v>
      </c>
      <c r="Y415" s="79" t="s">
        <v>36</v>
      </c>
      <c r="Z415" s="64" t="s">
        <v>622</v>
      </c>
      <c r="AA415" s="80">
        <f t="shared" si="5"/>
        <v>0.45558100000000001</v>
      </c>
    </row>
    <row r="416" spans="1:27" ht="14.4" x14ac:dyDescent="0.3">
      <c r="A416" s="56">
        <v>45891</v>
      </c>
      <c r="B416" s="57">
        <v>45891</v>
      </c>
      <c r="C416" s="58" t="s">
        <v>48</v>
      </c>
      <c r="D416" s="58" t="s">
        <v>28</v>
      </c>
      <c r="E416" s="58" t="s">
        <v>49</v>
      </c>
      <c r="F416" s="58" t="s">
        <v>50</v>
      </c>
      <c r="G416" s="58" t="s">
        <v>31</v>
      </c>
      <c r="H416" s="58" t="s">
        <v>51</v>
      </c>
      <c r="I416" s="58" t="s">
        <v>52</v>
      </c>
      <c r="J416" s="58" t="s">
        <v>631</v>
      </c>
      <c r="K416" s="59">
        <v>2</v>
      </c>
      <c r="L416" s="59">
        <v>1</v>
      </c>
      <c r="M416" s="60">
        <v>0.5</v>
      </c>
      <c r="N416" s="59" t="s">
        <v>236</v>
      </c>
      <c r="O416" s="59" t="s">
        <v>236</v>
      </c>
      <c r="P416" s="59">
        <v>21.95</v>
      </c>
      <c r="Q416" s="60">
        <v>9.1116000000000003E-2</v>
      </c>
      <c r="R416" s="59">
        <v>10.98</v>
      </c>
      <c r="S416" s="59">
        <v>1</v>
      </c>
      <c r="T416" s="59">
        <v>1</v>
      </c>
      <c r="U416" s="60">
        <v>1</v>
      </c>
      <c r="V416" s="59">
        <v>1</v>
      </c>
      <c r="W416" s="59">
        <v>0</v>
      </c>
      <c r="X416" s="59" t="s">
        <v>603</v>
      </c>
      <c r="Y416" s="79" t="s">
        <v>36</v>
      </c>
      <c r="Z416" s="64" t="s">
        <v>622</v>
      </c>
      <c r="AA416" s="80">
        <f t="shared" si="5"/>
        <v>9.1116000000000003E-2</v>
      </c>
    </row>
    <row r="417" spans="1:27" ht="14.4" x14ac:dyDescent="0.3">
      <c r="A417" s="69">
        <v>45890</v>
      </c>
      <c r="B417" s="70">
        <v>45890</v>
      </c>
      <c r="C417" s="71" t="s">
        <v>48</v>
      </c>
      <c r="D417" s="71" t="s">
        <v>28</v>
      </c>
      <c r="E417" s="71" t="s">
        <v>49</v>
      </c>
      <c r="F417" s="71" t="s">
        <v>50</v>
      </c>
      <c r="G417" s="71" t="s">
        <v>31</v>
      </c>
      <c r="H417" s="71" t="s">
        <v>51</v>
      </c>
      <c r="I417" s="71" t="s">
        <v>52</v>
      </c>
      <c r="J417" s="71" t="s">
        <v>632</v>
      </c>
      <c r="K417" s="72">
        <v>9</v>
      </c>
      <c r="L417" s="72">
        <v>1</v>
      </c>
      <c r="M417" s="73">
        <v>0.111111</v>
      </c>
      <c r="N417" s="72" t="s">
        <v>236</v>
      </c>
      <c r="O417" s="72" t="s">
        <v>236</v>
      </c>
      <c r="P417" s="72">
        <v>21.95</v>
      </c>
      <c r="Q417" s="73">
        <v>9.1116000000000003E-2</v>
      </c>
      <c r="R417" s="72">
        <v>10.98</v>
      </c>
      <c r="S417" s="72">
        <v>1</v>
      </c>
      <c r="T417" s="72">
        <v>1</v>
      </c>
      <c r="U417" s="73">
        <v>1</v>
      </c>
      <c r="V417" s="72">
        <v>1</v>
      </c>
      <c r="W417" s="72">
        <v>0</v>
      </c>
      <c r="X417" s="72" t="s">
        <v>603</v>
      </c>
      <c r="Y417" s="83" t="s">
        <v>36</v>
      </c>
      <c r="Z417" s="64" t="s">
        <v>622</v>
      </c>
      <c r="AA417" s="80">
        <f t="shared" si="5"/>
        <v>9.1116000000000003E-2</v>
      </c>
    </row>
    <row r="418" spans="1:27" ht="14.4" x14ac:dyDescent="0.3">
      <c r="A418" s="56">
        <v>45889</v>
      </c>
      <c r="B418" s="57">
        <v>45889</v>
      </c>
      <c r="C418" s="58" t="s">
        <v>494</v>
      </c>
      <c r="D418" s="58" t="s">
        <v>28</v>
      </c>
      <c r="E418" s="58" t="s">
        <v>495</v>
      </c>
      <c r="F418" s="58" t="s">
        <v>496</v>
      </c>
      <c r="G418" s="58" t="s">
        <v>31</v>
      </c>
      <c r="H418" s="58" t="s">
        <v>51</v>
      </c>
      <c r="I418" s="58" t="s">
        <v>52</v>
      </c>
      <c r="J418" s="58" t="s">
        <v>633</v>
      </c>
      <c r="K418" s="59">
        <v>1</v>
      </c>
      <c r="L418" s="59">
        <v>1</v>
      </c>
      <c r="M418" s="60">
        <v>1</v>
      </c>
      <c r="N418" s="59" t="s">
        <v>262</v>
      </c>
      <c r="O418" s="59" t="s">
        <v>262</v>
      </c>
      <c r="P418" s="59">
        <v>29.99</v>
      </c>
      <c r="Q418" s="60">
        <v>0.10803599999999999</v>
      </c>
      <c r="R418" s="59">
        <v>9.26</v>
      </c>
      <c r="S418" s="59">
        <v>1</v>
      </c>
      <c r="T418" s="59">
        <v>1</v>
      </c>
      <c r="U418" s="60">
        <v>1</v>
      </c>
      <c r="V418" s="59">
        <v>1</v>
      </c>
      <c r="W418" s="59">
        <v>0</v>
      </c>
      <c r="X418" s="59" t="s">
        <v>498</v>
      </c>
      <c r="Y418" s="79" t="s">
        <v>36</v>
      </c>
      <c r="Z418" s="64" t="s">
        <v>622</v>
      </c>
      <c r="AA418" s="80">
        <f t="shared" si="5"/>
        <v>0.10803599999999999</v>
      </c>
    </row>
    <row r="419" spans="1:27" ht="14.4" x14ac:dyDescent="0.3">
      <c r="A419" s="56">
        <v>45889</v>
      </c>
      <c r="B419" s="57">
        <v>45889</v>
      </c>
      <c r="C419" s="58" t="s">
        <v>48</v>
      </c>
      <c r="D419" s="58" t="s">
        <v>28</v>
      </c>
      <c r="E419" s="58" t="s">
        <v>62</v>
      </c>
      <c r="F419" s="58" t="s">
        <v>63</v>
      </c>
      <c r="G419" s="58" t="s">
        <v>31</v>
      </c>
      <c r="H419" s="58" t="s">
        <v>64</v>
      </c>
      <c r="I419" s="58" t="s">
        <v>65</v>
      </c>
      <c r="J419" s="58" t="s">
        <v>579</v>
      </c>
      <c r="K419" s="59">
        <v>15</v>
      </c>
      <c r="L419" s="59">
        <v>1</v>
      </c>
      <c r="M419" s="60">
        <v>6.6667000000000004E-2</v>
      </c>
      <c r="N419" s="59" t="s">
        <v>422</v>
      </c>
      <c r="O419" s="59" t="s">
        <v>422</v>
      </c>
      <c r="P419" s="59">
        <v>21.95</v>
      </c>
      <c r="Q419" s="60">
        <v>0.25877</v>
      </c>
      <c r="R419" s="59">
        <v>3.86</v>
      </c>
      <c r="S419" s="59">
        <v>1</v>
      </c>
      <c r="T419" s="59">
        <v>1</v>
      </c>
      <c r="U419" s="60">
        <v>1</v>
      </c>
      <c r="V419" s="59">
        <v>1</v>
      </c>
      <c r="W419" s="59">
        <v>0</v>
      </c>
      <c r="X419" s="59" t="s">
        <v>603</v>
      </c>
      <c r="Y419" s="79" t="s">
        <v>36</v>
      </c>
      <c r="Z419" s="64" t="s">
        <v>622</v>
      </c>
      <c r="AA419" s="80">
        <f t="shared" si="5"/>
        <v>0.25877</v>
      </c>
    </row>
    <row r="420" spans="1:27" ht="14.4" x14ac:dyDescent="0.3">
      <c r="A420" s="56">
        <v>45889</v>
      </c>
      <c r="B420" s="57">
        <v>45892</v>
      </c>
      <c r="C420" s="58" t="s">
        <v>48</v>
      </c>
      <c r="D420" s="58" t="s">
        <v>28</v>
      </c>
      <c r="E420" s="58" t="s">
        <v>634</v>
      </c>
      <c r="F420" s="58" t="s">
        <v>635</v>
      </c>
      <c r="G420" s="58" t="s">
        <v>31</v>
      </c>
      <c r="H420" s="58" t="s">
        <v>636</v>
      </c>
      <c r="I420" s="58" t="s">
        <v>65</v>
      </c>
      <c r="J420" s="58" t="s">
        <v>153</v>
      </c>
      <c r="K420" s="59">
        <v>4899</v>
      </c>
      <c r="L420" s="59">
        <v>23</v>
      </c>
      <c r="M420" s="60">
        <v>4.6950000000000004E-3</v>
      </c>
      <c r="N420" s="59" t="s">
        <v>637</v>
      </c>
      <c r="O420" s="59" t="s">
        <v>638</v>
      </c>
      <c r="P420" s="59">
        <v>65.849999999999994</v>
      </c>
      <c r="Q420" s="60">
        <v>1.3436600000000001</v>
      </c>
      <c r="R420" s="59">
        <v>0.74</v>
      </c>
      <c r="S420" s="59">
        <v>2</v>
      </c>
      <c r="T420" s="59">
        <v>3</v>
      </c>
      <c r="U420" s="60">
        <v>8.6957000000000007E-2</v>
      </c>
      <c r="V420" s="59">
        <v>3</v>
      </c>
      <c r="W420" s="59">
        <v>0</v>
      </c>
      <c r="X420" s="59" t="s">
        <v>639</v>
      </c>
      <c r="Y420" s="79" t="s">
        <v>36</v>
      </c>
      <c r="Z420" s="64" t="s">
        <v>622</v>
      </c>
      <c r="AA420" s="80">
        <f t="shared" si="5"/>
        <v>1.3436600000000001</v>
      </c>
    </row>
    <row r="421" spans="1:27" ht="14.4" x14ac:dyDescent="0.3">
      <c r="A421" s="56">
        <v>45889</v>
      </c>
      <c r="B421" s="57">
        <v>45889</v>
      </c>
      <c r="C421" s="58" t="s">
        <v>143</v>
      </c>
      <c r="D421" s="58" t="s">
        <v>28</v>
      </c>
      <c r="E421" s="58" t="s">
        <v>144</v>
      </c>
      <c r="F421" s="58" t="s">
        <v>32</v>
      </c>
      <c r="G421" s="58" t="s">
        <v>31</v>
      </c>
      <c r="H421" s="58" t="s">
        <v>640</v>
      </c>
      <c r="I421" s="58" t="s">
        <v>44</v>
      </c>
      <c r="J421" s="58" t="s">
        <v>641</v>
      </c>
      <c r="K421" s="59">
        <v>9</v>
      </c>
      <c r="L421" s="59">
        <v>1</v>
      </c>
      <c r="M421" s="60">
        <v>0.111111</v>
      </c>
      <c r="N421" s="59" t="s">
        <v>642</v>
      </c>
      <c r="O421" s="59" t="s">
        <v>642</v>
      </c>
      <c r="P421" s="59">
        <v>24.94</v>
      </c>
      <c r="Q421" s="60">
        <v>7.2170000000000003E-3</v>
      </c>
      <c r="R421" s="59">
        <v>138.56</v>
      </c>
      <c r="S421" s="59">
        <v>1</v>
      </c>
      <c r="T421" s="59">
        <v>1</v>
      </c>
      <c r="U421" s="60">
        <v>1</v>
      </c>
      <c r="V421" s="59">
        <v>1</v>
      </c>
      <c r="W421" s="59">
        <v>0</v>
      </c>
      <c r="X421" s="59" t="s">
        <v>35</v>
      </c>
      <c r="Y421" s="79" t="s">
        <v>36</v>
      </c>
      <c r="Z421" s="64" t="s">
        <v>622</v>
      </c>
      <c r="AA421" s="80">
        <f t="shared" si="5"/>
        <v>7.2170000000000003E-3</v>
      </c>
    </row>
    <row r="422" spans="1:27" ht="14.4" x14ac:dyDescent="0.3">
      <c r="A422" s="56">
        <v>45889</v>
      </c>
      <c r="B422" s="57">
        <v>45889</v>
      </c>
      <c r="C422" s="58" t="s">
        <v>48</v>
      </c>
      <c r="D422" s="58" t="s">
        <v>28</v>
      </c>
      <c r="E422" s="58" t="s">
        <v>49</v>
      </c>
      <c r="F422" s="58" t="s">
        <v>50</v>
      </c>
      <c r="G422" s="58" t="s">
        <v>31</v>
      </c>
      <c r="H422" s="58" t="s">
        <v>51</v>
      </c>
      <c r="I422" s="58" t="s">
        <v>52</v>
      </c>
      <c r="J422" s="58" t="s">
        <v>643</v>
      </c>
      <c r="K422" s="59">
        <v>1</v>
      </c>
      <c r="L422" s="59">
        <v>1</v>
      </c>
      <c r="M422" s="60">
        <v>1</v>
      </c>
      <c r="N422" s="59" t="s">
        <v>236</v>
      </c>
      <c r="O422" s="59" t="s">
        <v>236</v>
      </c>
      <c r="P422" s="59">
        <v>21.95</v>
      </c>
      <c r="Q422" s="60">
        <v>9.1116000000000003E-2</v>
      </c>
      <c r="R422" s="59">
        <v>10.98</v>
      </c>
      <c r="S422" s="59">
        <v>1</v>
      </c>
      <c r="T422" s="59">
        <v>1</v>
      </c>
      <c r="U422" s="60">
        <v>1</v>
      </c>
      <c r="V422" s="59">
        <v>1</v>
      </c>
      <c r="W422" s="59">
        <v>0</v>
      </c>
      <c r="X422" s="59" t="s">
        <v>603</v>
      </c>
      <c r="Y422" s="79" t="s">
        <v>36</v>
      </c>
      <c r="Z422" s="64" t="s">
        <v>622</v>
      </c>
      <c r="AA422" s="80">
        <f t="shared" si="5"/>
        <v>9.1116000000000003E-2</v>
      </c>
    </row>
    <row r="423" spans="1:27" ht="14.4" x14ac:dyDescent="0.3">
      <c r="A423" s="56">
        <v>45888</v>
      </c>
      <c r="B423" s="57">
        <v>45888</v>
      </c>
      <c r="C423" s="58" t="s">
        <v>27</v>
      </c>
      <c r="D423" s="58" t="s">
        <v>28</v>
      </c>
      <c r="E423" s="58" t="s">
        <v>29</v>
      </c>
      <c r="F423" s="58" t="s">
        <v>30</v>
      </c>
      <c r="G423" s="58" t="s">
        <v>31</v>
      </c>
      <c r="H423" s="58" t="s">
        <v>644</v>
      </c>
      <c r="I423" s="58" t="s">
        <v>32</v>
      </c>
      <c r="J423" s="58" t="s">
        <v>645</v>
      </c>
      <c r="K423" s="59">
        <v>8</v>
      </c>
      <c r="L423" s="59">
        <v>1</v>
      </c>
      <c r="M423" s="60">
        <v>0.125</v>
      </c>
      <c r="N423" s="59" t="s">
        <v>598</v>
      </c>
      <c r="O423" s="59" t="s">
        <v>598</v>
      </c>
      <c r="P423" s="59">
        <v>24.94</v>
      </c>
      <c r="Q423" s="60">
        <v>0.102245</v>
      </c>
      <c r="R423" s="59">
        <v>9.7799999999999994</v>
      </c>
      <c r="S423" s="59">
        <v>1</v>
      </c>
      <c r="T423" s="59">
        <v>1</v>
      </c>
      <c r="U423" s="60">
        <v>1</v>
      </c>
      <c r="V423" s="59">
        <v>1</v>
      </c>
      <c r="W423" s="59">
        <v>0</v>
      </c>
      <c r="X423" s="59" t="s">
        <v>35</v>
      </c>
      <c r="Y423" s="79" t="s">
        <v>36</v>
      </c>
      <c r="Z423" s="64" t="s">
        <v>622</v>
      </c>
      <c r="AA423" s="80">
        <f t="shared" si="5"/>
        <v>0.102245</v>
      </c>
    </row>
    <row r="424" spans="1:27" ht="14.4" x14ac:dyDescent="0.3">
      <c r="A424" s="56">
        <v>45888</v>
      </c>
      <c r="B424" s="57">
        <v>45889</v>
      </c>
      <c r="C424" s="58" t="s">
        <v>48</v>
      </c>
      <c r="D424" s="58" t="s">
        <v>28</v>
      </c>
      <c r="E424" s="58" t="s">
        <v>225</v>
      </c>
      <c r="F424" s="58" t="s">
        <v>226</v>
      </c>
      <c r="G424" s="58" t="s">
        <v>31</v>
      </c>
      <c r="H424" s="58" t="s">
        <v>88</v>
      </c>
      <c r="I424" s="58" t="s">
        <v>32</v>
      </c>
      <c r="J424" s="58" t="s">
        <v>130</v>
      </c>
      <c r="K424" s="59">
        <v>14</v>
      </c>
      <c r="L424" s="59">
        <v>2</v>
      </c>
      <c r="M424" s="60">
        <v>0.14285700000000001</v>
      </c>
      <c r="N424" s="59" t="s">
        <v>646</v>
      </c>
      <c r="O424" s="59" t="s">
        <v>647</v>
      </c>
      <c r="P424" s="59">
        <v>21.95</v>
      </c>
      <c r="Q424" s="60">
        <v>0.39134400000000003</v>
      </c>
      <c r="R424" s="59">
        <v>2.56</v>
      </c>
      <c r="S424" s="59">
        <v>1</v>
      </c>
      <c r="T424" s="59">
        <v>1</v>
      </c>
      <c r="U424" s="60">
        <v>0.5</v>
      </c>
      <c r="V424" s="59">
        <v>1</v>
      </c>
      <c r="W424" s="59">
        <v>0</v>
      </c>
      <c r="X424" s="59" t="s">
        <v>603</v>
      </c>
      <c r="Y424" s="79" t="s">
        <v>36</v>
      </c>
      <c r="Z424" s="64" t="s">
        <v>622</v>
      </c>
      <c r="AA424" s="80">
        <f t="shared" si="5"/>
        <v>0.39134400000000003</v>
      </c>
    </row>
    <row r="425" spans="1:27" ht="14.4" x14ac:dyDescent="0.3">
      <c r="A425" s="56">
        <v>45888</v>
      </c>
      <c r="B425" s="57">
        <v>45892</v>
      </c>
      <c r="C425" s="58" t="s">
        <v>48</v>
      </c>
      <c r="D425" s="58" t="s">
        <v>28</v>
      </c>
      <c r="E425" s="58" t="s">
        <v>62</v>
      </c>
      <c r="F425" s="58" t="s">
        <v>63</v>
      </c>
      <c r="G425" s="58" t="s">
        <v>31</v>
      </c>
      <c r="H425" s="58" t="s">
        <v>68</v>
      </c>
      <c r="I425" s="58" t="s">
        <v>65</v>
      </c>
      <c r="J425" s="58" t="s">
        <v>68</v>
      </c>
      <c r="K425" s="59">
        <v>103</v>
      </c>
      <c r="L425" s="59">
        <v>5</v>
      </c>
      <c r="M425" s="60">
        <v>4.8543999999999997E-2</v>
      </c>
      <c r="N425" s="59" t="s">
        <v>648</v>
      </c>
      <c r="O425" s="59" t="s">
        <v>649</v>
      </c>
      <c r="P425" s="59">
        <v>21.95</v>
      </c>
      <c r="Q425" s="60">
        <v>0.84601400000000004</v>
      </c>
      <c r="R425" s="59">
        <v>1.18</v>
      </c>
      <c r="S425" s="59">
        <v>1</v>
      </c>
      <c r="T425" s="59">
        <v>1</v>
      </c>
      <c r="U425" s="60">
        <v>0.2</v>
      </c>
      <c r="V425" s="59">
        <v>1</v>
      </c>
      <c r="W425" s="59">
        <v>0</v>
      </c>
      <c r="X425" s="59" t="s">
        <v>603</v>
      </c>
      <c r="Y425" s="79" t="s">
        <v>36</v>
      </c>
      <c r="Z425" s="64" t="s">
        <v>622</v>
      </c>
      <c r="AA425" s="80">
        <f t="shared" si="5"/>
        <v>0.84601400000000004</v>
      </c>
    </row>
    <row r="426" spans="1:27" ht="14.4" x14ac:dyDescent="0.3">
      <c r="A426" s="56">
        <v>45888</v>
      </c>
      <c r="B426" s="57">
        <v>45888</v>
      </c>
      <c r="C426" s="58" t="s">
        <v>48</v>
      </c>
      <c r="D426" s="58" t="s">
        <v>28</v>
      </c>
      <c r="E426" s="58" t="s">
        <v>446</v>
      </c>
      <c r="F426" s="58" t="s">
        <v>447</v>
      </c>
      <c r="G426" s="58" t="s">
        <v>31</v>
      </c>
      <c r="H426" s="58" t="s">
        <v>448</v>
      </c>
      <c r="I426" s="58" t="s">
        <v>44</v>
      </c>
      <c r="J426" s="58" t="s">
        <v>650</v>
      </c>
      <c r="K426" s="59">
        <v>2</v>
      </c>
      <c r="L426" s="59">
        <v>1</v>
      </c>
      <c r="M426" s="60">
        <v>0.5</v>
      </c>
      <c r="N426" s="59" t="s">
        <v>269</v>
      </c>
      <c r="O426" s="59" t="s">
        <v>269</v>
      </c>
      <c r="P426" s="59">
        <v>21.95</v>
      </c>
      <c r="Q426" s="60">
        <v>0.140319</v>
      </c>
      <c r="R426" s="59">
        <v>7.13</v>
      </c>
      <c r="S426" s="59">
        <v>1</v>
      </c>
      <c r="T426" s="59">
        <v>1</v>
      </c>
      <c r="U426" s="60">
        <v>1</v>
      </c>
      <c r="V426" s="59">
        <v>1</v>
      </c>
      <c r="W426" s="59">
        <v>0</v>
      </c>
      <c r="X426" s="59" t="s">
        <v>603</v>
      </c>
      <c r="Y426" s="79" t="s">
        <v>36</v>
      </c>
      <c r="Z426" s="64" t="s">
        <v>622</v>
      </c>
      <c r="AA426" s="80">
        <f t="shared" si="5"/>
        <v>0.140319</v>
      </c>
    </row>
    <row r="427" spans="1:27" ht="14.4" x14ac:dyDescent="0.3">
      <c r="A427" s="56">
        <v>45888</v>
      </c>
      <c r="B427" s="57">
        <v>45888</v>
      </c>
      <c r="C427" s="58" t="s">
        <v>494</v>
      </c>
      <c r="D427" s="58" t="s">
        <v>28</v>
      </c>
      <c r="E427" s="58" t="s">
        <v>495</v>
      </c>
      <c r="F427" s="58" t="s">
        <v>496</v>
      </c>
      <c r="G427" s="58" t="s">
        <v>31</v>
      </c>
      <c r="H427" s="58" t="s">
        <v>51</v>
      </c>
      <c r="I427" s="58" t="s">
        <v>52</v>
      </c>
      <c r="J427" s="58" t="s">
        <v>651</v>
      </c>
      <c r="K427" s="59">
        <v>1</v>
      </c>
      <c r="L427" s="59">
        <v>1</v>
      </c>
      <c r="M427" s="60">
        <v>1</v>
      </c>
      <c r="N427" s="59" t="s">
        <v>104</v>
      </c>
      <c r="O427" s="59" t="s">
        <v>104</v>
      </c>
      <c r="P427" s="59">
        <v>29.99</v>
      </c>
      <c r="Q427" s="60">
        <v>0.124041</v>
      </c>
      <c r="R427" s="59">
        <v>8.06</v>
      </c>
      <c r="S427" s="59">
        <v>1</v>
      </c>
      <c r="T427" s="59">
        <v>1</v>
      </c>
      <c r="U427" s="60">
        <v>1</v>
      </c>
      <c r="V427" s="59">
        <v>1</v>
      </c>
      <c r="W427" s="59">
        <v>0</v>
      </c>
      <c r="X427" s="59" t="s">
        <v>498</v>
      </c>
      <c r="Y427" s="79" t="s">
        <v>36</v>
      </c>
      <c r="Z427" s="64" t="s">
        <v>622</v>
      </c>
      <c r="AA427" s="80">
        <f t="shared" si="5"/>
        <v>0.124041</v>
      </c>
    </row>
    <row r="428" spans="1:27" ht="14.4" x14ac:dyDescent="0.3">
      <c r="A428" s="56">
        <v>45888</v>
      </c>
      <c r="B428" s="57">
        <v>45888</v>
      </c>
      <c r="C428" s="58" t="s">
        <v>27</v>
      </c>
      <c r="D428" s="58" t="s">
        <v>28</v>
      </c>
      <c r="E428" s="58" t="s">
        <v>56</v>
      </c>
      <c r="F428" s="58" t="s">
        <v>57</v>
      </c>
      <c r="G428" s="58" t="s">
        <v>31</v>
      </c>
      <c r="H428" s="65" t="e">
        <f>+maca +root</f>
        <v>#NAME?</v>
      </c>
      <c r="I428" s="58" t="s">
        <v>32</v>
      </c>
      <c r="J428" s="58" t="s">
        <v>652</v>
      </c>
      <c r="K428" s="59">
        <v>1</v>
      </c>
      <c r="L428" s="59">
        <v>1</v>
      </c>
      <c r="M428" s="60">
        <v>1</v>
      </c>
      <c r="N428" s="59" t="s">
        <v>653</v>
      </c>
      <c r="O428" s="59" t="s">
        <v>653</v>
      </c>
      <c r="P428" s="59">
        <v>24.94</v>
      </c>
      <c r="Q428" s="60">
        <v>0.106656</v>
      </c>
      <c r="R428" s="59">
        <v>9.3800000000000008</v>
      </c>
      <c r="S428" s="59">
        <v>1</v>
      </c>
      <c r="T428" s="59">
        <v>1</v>
      </c>
      <c r="U428" s="60">
        <v>1</v>
      </c>
      <c r="V428" s="59">
        <v>1</v>
      </c>
      <c r="W428" s="59">
        <v>0</v>
      </c>
      <c r="X428" s="59" t="s">
        <v>35</v>
      </c>
      <c r="Y428" s="79" t="s">
        <v>36</v>
      </c>
      <c r="Z428" s="64" t="s">
        <v>622</v>
      </c>
      <c r="AA428" s="80">
        <f t="shared" si="5"/>
        <v>0.106656</v>
      </c>
    </row>
    <row r="429" spans="1:27" ht="14.4" x14ac:dyDescent="0.3">
      <c r="A429" s="56">
        <v>45888</v>
      </c>
      <c r="B429" s="57">
        <v>45888</v>
      </c>
      <c r="C429" s="58" t="s">
        <v>27</v>
      </c>
      <c r="D429" s="58" t="s">
        <v>28</v>
      </c>
      <c r="E429" s="58" t="s">
        <v>71</v>
      </c>
      <c r="F429" s="58" t="s">
        <v>72</v>
      </c>
      <c r="G429" s="58" t="s">
        <v>31</v>
      </c>
      <c r="H429" s="58" t="s">
        <v>73</v>
      </c>
      <c r="I429" s="58" t="s">
        <v>52</v>
      </c>
      <c r="J429" s="58" t="s">
        <v>654</v>
      </c>
      <c r="K429" s="59">
        <v>2</v>
      </c>
      <c r="L429" s="59">
        <v>1</v>
      </c>
      <c r="M429" s="60">
        <v>0.5</v>
      </c>
      <c r="N429" s="59" t="s">
        <v>114</v>
      </c>
      <c r="O429" s="59" t="s">
        <v>114</v>
      </c>
      <c r="P429" s="59">
        <v>24.94</v>
      </c>
      <c r="Q429" s="60">
        <v>0.13352</v>
      </c>
      <c r="R429" s="59">
        <v>7.49</v>
      </c>
      <c r="S429" s="59">
        <v>1</v>
      </c>
      <c r="T429" s="59">
        <v>1</v>
      </c>
      <c r="U429" s="60">
        <v>1</v>
      </c>
      <c r="V429" s="59">
        <v>1</v>
      </c>
      <c r="W429" s="59">
        <v>0</v>
      </c>
      <c r="X429" s="59" t="s">
        <v>35</v>
      </c>
      <c r="Y429" s="79" t="s">
        <v>36</v>
      </c>
      <c r="Z429" s="64" t="s">
        <v>622</v>
      </c>
      <c r="AA429" s="80">
        <f t="shared" si="5"/>
        <v>0.13352</v>
      </c>
    </row>
    <row r="430" spans="1:27" ht="14.4" x14ac:dyDescent="0.3">
      <c r="A430" s="56">
        <v>45888</v>
      </c>
      <c r="B430" s="57">
        <v>45888</v>
      </c>
      <c r="C430" s="58" t="s">
        <v>27</v>
      </c>
      <c r="D430" s="58" t="s">
        <v>28</v>
      </c>
      <c r="E430" s="58" t="s">
        <v>71</v>
      </c>
      <c r="F430" s="58" t="s">
        <v>72</v>
      </c>
      <c r="G430" s="58" t="s">
        <v>31</v>
      </c>
      <c r="H430" s="58" t="s">
        <v>51</v>
      </c>
      <c r="I430" s="58" t="s">
        <v>52</v>
      </c>
      <c r="J430" s="58" t="s">
        <v>655</v>
      </c>
      <c r="K430" s="59">
        <v>5</v>
      </c>
      <c r="L430" s="59">
        <v>1</v>
      </c>
      <c r="M430" s="60">
        <v>0.2</v>
      </c>
      <c r="N430" s="59" t="s">
        <v>656</v>
      </c>
      <c r="O430" s="59" t="s">
        <v>656</v>
      </c>
      <c r="P430" s="59">
        <v>24.94</v>
      </c>
      <c r="Q430" s="60">
        <v>8.7009000000000003E-2</v>
      </c>
      <c r="R430" s="59">
        <v>11.49</v>
      </c>
      <c r="S430" s="59">
        <v>1</v>
      </c>
      <c r="T430" s="59">
        <v>1</v>
      </c>
      <c r="U430" s="60">
        <v>1</v>
      </c>
      <c r="V430" s="59">
        <v>1</v>
      </c>
      <c r="W430" s="59">
        <v>0</v>
      </c>
      <c r="X430" s="59" t="s">
        <v>35</v>
      </c>
      <c r="Y430" s="79" t="s">
        <v>36</v>
      </c>
      <c r="Z430" s="64" t="s">
        <v>622</v>
      </c>
      <c r="AA430" s="80">
        <f t="shared" si="5"/>
        <v>8.7009000000000003E-2</v>
      </c>
    </row>
    <row r="431" spans="1:27" ht="14.4" x14ac:dyDescent="0.3">
      <c r="A431" s="56">
        <v>45887</v>
      </c>
      <c r="B431" s="57">
        <v>45887</v>
      </c>
      <c r="C431" s="58" t="s">
        <v>143</v>
      </c>
      <c r="D431" s="58" t="s">
        <v>28</v>
      </c>
      <c r="E431" s="58" t="s">
        <v>144</v>
      </c>
      <c r="F431" s="58" t="s">
        <v>32</v>
      </c>
      <c r="G431" s="58" t="s">
        <v>31</v>
      </c>
      <c r="H431" s="58" t="s">
        <v>119</v>
      </c>
      <c r="I431" s="58" t="s">
        <v>32</v>
      </c>
      <c r="J431" s="58" t="s">
        <v>657</v>
      </c>
      <c r="K431" s="59">
        <v>1</v>
      </c>
      <c r="L431" s="59">
        <v>1</v>
      </c>
      <c r="M431" s="60">
        <v>1</v>
      </c>
      <c r="N431" s="59" t="s">
        <v>175</v>
      </c>
      <c r="O431" s="59" t="s">
        <v>175</v>
      </c>
      <c r="P431" s="59">
        <v>24.94</v>
      </c>
      <c r="Q431" s="60">
        <v>3.0473E-2</v>
      </c>
      <c r="R431" s="59">
        <v>32.82</v>
      </c>
      <c r="S431" s="59">
        <v>1</v>
      </c>
      <c r="T431" s="59">
        <v>1</v>
      </c>
      <c r="U431" s="60">
        <v>1</v>
      </c>
      <c r="V431" s="59">
        <v>1</v>
      </c>
      <c r="W431" s="59">
        <v>0</v>
      </c>
      <c r="X431" s="59" t="s">
        <v>35</v>
      </c>
      <c r="Y431" s="79" t="s">
        <v>36</v>
      </c>
      <c r="Z431" s="64" t="s">
        <v>622</v>
      </c>
      <c r="AA431" s="80">
        <f t="shared" si="5"/>
        <v>3.0473E-2</v>
      </c>
    </row>
    <row r="432" spans="1:27" ht="14.4" x14ac:dyDescent="0.3">
      <c r="A432" s="56">
        <v>45887</v>
      </c>
      <c r="B432" s="57">
        <v>45887</v>
      </c>
      <c r="C432" s="58" t="s">
        <v>27</v>
      </c>
      <c r="D432" s="58" t="s">
        <v>28</v>
      </c>
      <c r="E432" s="58" t="s">
        <v>71</v>
      </c>
      <c r="F432" s="58" t="s">
        <v>72</v>
      </c>
      <c r="G432" s="58" t="s">
        <v>31</v>
      </c>
      <c r="H432" s="58" t="s">
        <v>51</v>
      </c>
      <c r="I432" s="58" t="s">
        <v>52</v>
      </c>
      <c r="J432" s="58" t="s">
        <v>658</v>
      </c>
      <c r="K432" s="59">
        <v>1</v>
      </c>
      <c r="L432" s="59">
        <v>1</v>
      </c>
      <c r="M432" s="60">
        <v>1</v>
      </c>
      <c r="N432" s="59" t="s">
        <v>571</v>
      </c>
      <c r="O432" s="59" t="s">
        <v>571</v>
      </c>
      <c r="P432" s="59">
        <v>24.94</v>
      </c>
      <c r="Q432" s="60">
        <v>0.14033699999999999</v>
      </c>
      <c r="R432" s="59">
        <v>7.13</v>
      </c>
      <c r="S432" s="59">
        <v>1</v>
      </c>
      <c r="T432" s="59">
        <v>1</v>
      </c>
      <c r="U432" s="60">
        <v>1</v>
      </c>
      <c r="V432" s="59">
        <v>1</v>
      </c>
      <c r="W432" s="59">
        <v>0</v>
      </c>
      <c r="X432" s="59" t="s">
        <v>35</v>
      </c>
      <c r="Y432" s="79" t="s">
        <v>36</v>
      </c>
      <c r="Z432" s="64" t="s">
        <v>622</v>
      </c>
      <c r="AA432" s="80">
        <f t="shared" si="5"/>
        <v>0.14033699999999999</v>
      </c>
    </row>
    <row r="433" spans="1:27" ht="14.4" x14ac:dyDescent="0.3">
      <c r="A433" s="56">
        <v>45887</v>
      </c>
      <c r="B433" s="57">
        <v>45892</v>
      </c>
      <c r="C433" s="58" t="s">
        <v>27</v>
      </c>
      <c r="D433" s="58" t="s">
        <v>28</v>
      </c>
      <c r="E433" s="58" t="s">
        <v>71</v>
      </c>
      <c r="F433" s="58" t="s">
        <v>72</v>
      </c>
      <c r="G433" s="58" t="s">
        <v>31</v>
      </c>
      <c r="H433" s="58" t="s">
        <v>73</v>
      </c>
      <c r="I433" s="58" t="s">
        <v>52</v>
      </c>
      <c r="J433" s="58" t="s">
        <v>101</v>
      </c>
      <c r="K433" s="59">
        <v>1090</v>
      </c>
      <c r="L433" s="59">
        <v>10</v>
      </c>
      <c r="M433" s="60">
        <v>9.1739999999999999E-3</v>
      </c>
      <c r="N433" s="59" t="s">
        <v>100</v>
      </c>
      <c r="O433" s="59" t="s">
        <v>659</v>
      </c>
      <c r="P433" s="59">
        <v>124.7</v>
      </c>
      <c r="Q433" s="60">
        <v>0.29125899999999999</v>
      </c>
      <c r="R433" s="59">
        <v>3.43</v>
      </c>
      <c r="S433" s="59">
        <v>4</v>
      </c>
      <c r="T433" s="59">
        <v>5</v>
      </c>
      <c r="U433" s="60">
        <v>0.4</v>
      </c>
      <c r="V433" s="59">
        <v>5</v>
      </c>
      <c r="W433" s="59">
        <v>0</v>
      </c>
      <c r="X433" s="59" t="s">
        <v>548</v>
      </c>
      <c r="Y433" s="79" t="s">
        <v>36</v>
      </c>
      <c r="Z433" s="64" t="s">
        <v>622</v>
      </c>
      <c r="AA433" s="80">
        <f t="shared" si="5"/>
        <v>0.29125899999999999</v>
      </c>
    </row>
    <row r="434" spans="1:27" ht="14.4" x14ac:dyDescent="0.3">
      <c r="A434" s="56">
        <v>45887</v>
      </c>
      <c r="B434" s="57">
        <v>45887</v>
      </c>
      <c r="C434" s="58" t="s">
        <v>27</v>
      </c>
      <c r="D434" s="58" t="s">
        <v>28</v>
      </c>
      <c r="E434" s="58" t="s">
        <v>71</v>
      </c>
      <c r="F434" s="58" t="s">
        <v>72</v>
      </c>
      <c r="G434" s="58" t="s">
        <v>31</v>
      </c>
      <c r="H434" s="58" t="s">
        <v>73</v>
      </c>
      <c r="I434" s="58" t="s">
        <v>52</v>
      </c>
      <c r="J434" s="58" t="s">
        <v>660</v>
      </c>
      <c r="K434" s="59">
        <v>2</v>
      </c>
      <c r="L434" s="59">
        <v>1</v>
      </c>
      <c r="M434" s="60">
        <v>0.5</v>
      </c>
      <c r="N434" s="59" t="s">
        <v>653</v>
      </c>
      <c r="O434" s="59" t="s">
        <v>653</v>
      </c>
      <c r="P434" s="59">
        <v>24.94</v>
      </c>
      <c r="Q434" s="60">
        <v>0.106656</v>
      </c>
      <c r="R434" s="59">
        <v>9.3800000000000008</v>
      </c>
      <c r="S434" s="59">
        <v>1</v>
      </c>
      <c r="T434" s="59">
        <v>1</v>
      </c>
      <c r="U434" s="60">
        <v>1</v>
      </c>
      <c r="V434" s="59">
        <v>1</v>
      </c>
      <c r="W434" s="59">
        <v>0</v>
      </c>
      <c r="X434" s="59" t="s">
        <v>35</v>
      </c>
      <c r="Y434" s="79" t="s">
        <v>36</v>
      </c>
      <c r="Z434" s="64" t="s">
        <v>622</v>
      </c>
      <c r="AA434" s="80">
        <f t="shared" si="5"/>
        <v>0.106656</v>
      </c>
    </row>
    <row r="435" spans="1:27" ht="14.4" x14ac:dyDescent="0.3">
      <c r="A435" s="56">
        <v>45887</v>
      </c>
      <c r="B435" s="57">
        <v>45891</v>
      </c>
      <c r="C435" s="58" t="s">
        <v>48</v>
      </c>
      <c r="D435" s="58" t="s">
        <v>28</v>
      </c>
      <c r="E435" s="58" t="s">
        <v>233</v>
      </c>
      <c r="F435" s="58" t="s">
        <v>234</v>
      </c>
      <c r="G435" s="58" t="s">
        <v>31</v>
      </c>
      <c r="H435" s="65" t="s">
        <v>917</v>
      </c>
      <c r="I435" s="58" t="s">
        <v>32</v>
      </c>
      <c r="J435" s="58" t="s">
        <v>450</v>
      </c>
      <c r="K435" s="59">
        <v>38</v>
      </c>
      <c r="L435" s="59">
        <v>4</v>
      </c>
      <c r="M435" s="60">
        <v>0.105263</v>
      </c>
      <c r="N435" s="59" t="s">
        <v>549</v>
      </c>
      <c r="O435" s="59" t="s">
        <v>661</v>
      </c>
      <c r="P435" s="59">
        <v>43.9</v>
      </c>
      <c r="Q435" s="60">
        <v>0.301595</v>
      </c>
      <c r="R435" s="59">
        <v>3.32</v>
      </c>
      <c r="S435" s="59">
        <v>2</v>
      </c>
      <c r="T435" s="59">
        <v>2</v>
      </c>
      <c r="U435" s="60">
        <v>0.5</v>
      </c>
      <c r="V435" s="59">
        <v>2</v>
      </c>
      <c r="W435" s="59">
        <v>0</v>
      </c>
      <c r="X435" s="59" t="s">
        <v>662</v>
      </c>
      <c r="Y435" s="79" t="s">
        <v>36</v>
      </c>
      <c r="Z435" s="64" t="s">
        <v>622</v>
      </c>
      <c r="AA435" s="80">
        <f t="shared" si="5"/>
        <v>0.301595</v>
      </c>
    </row>
    <row r="436" spans="1:27" ht="14.4" x14ac:dyDescent="0.3">
      <c r="A436" s="56">
        <v>45887</v>
      </c>
      <c r="B436" s="57">
        <v>45891</v>
      </c>
      <c r="C436" s="58" t="s">
        <v>85</v>
      </c>
      <c r="D436" s="58" t="s">
        <v>28</v>
      </c>
      <c r="E436" s="58" t="s">
        <v>86</v>
      </c>
      <c r="F436" s="58" t="s">
        <v>87</v>
      </c>
      <c r="G436" s="58" t="s">
        <v>31</v>
      </c>
      <c r="H436" s="58" t="s">
        <v>88</v>
      </c>
      <c r="I436" s="58" t="s">
        <v>44</v>
      </c>
      <c r="J436" s="58" t="s">
        <v>88</v>
      </c>
      <c r="K436" s="59">
        <v>20</v>
      </c>
      <c r="L436" s="59">
        <v>5</v>
      </c>
      <c r="M436" s="60">
        <v>0.25</v>
      </c>
      <c r="N436" s="59" t="s">
        <v>663</v>
      </c>
      <c r="O436" s="59" t="s">
        <v>664</v>
      </c>
      <c r="P436" s="59">
        <v>43.9</v>
      </c>
      <c r="Q436" s="60">
        <v>0.36264200000000002</v>
      </c>
      <c r="R436" s="59">
        <v>2.76</v>
      </c>
      <c r="S436" s="59">
        <v>2</v>
      </c>
      <c r="T436" s="59">
        <v>2</v>
      </c>
      <c r="U436" s="60">
        <v>0.4</v>
      </c>
      <c r="V436" s="59">
        <v>2</v>
      </c>
      <c r="W436" s="59">
        <v>0</v>
      </c>
      <c r="X436" s="59" t="s">
        <v>662</v>
      </c>
      <c r="Y436" s="79" t="s">
        <v>36</v>
      </c>
      <c r="Z436" s="64" t="s">
        <v>622</v>
      </c>
      <c r="AA436" s="80">
        <f t="shared" si="5"/>
        <v>0.36264200000000002</v>
      </c>
    </row>
    <row r="437" spans="1:27" ht="14.4" x14ac:dyDescent="0.3">
      <c r="A437" s="56">
        <v>45887</v>
      </c>
      <c r="B437" s="57">
        <v>45891</v>
      </c>
      <c r="C437" s="58" t="s">
        <v>48</v>
      </c>
      <c r="D437" s="58" t="s">
        <v>28</v>
      </c>
      <c r="E437" s="58" t="s">
        <v>62</v>
      </c>
      <c r="F437" s="58" t="s">
        <v>63</v>
      </c>
      <c r="G437" s="58" t="s">
        <v>31</v>
      </c>
      <c r="H437" s="58" t="s">
        <v>64</v>
      </c>
      <c r="I437" s="58" t="s">
        <v>65</v>
      </c>
      <c r="J437" s="58" t="s">
        <v>64</v>
      </c>
      <c r="K437" s="59">
        <v>104</v>
      </c>
      <c r="L437" s="59">
        <v>5</v>
      </c>
      <c r="M437" s="60">
        <v>4.8077000000000002E-2</v>
      </c>
      <c r="N437" s="59" t="s">
        <v>665</v>
      </c>
      <c r="O437" s="59" t="s">
        <v>666</v>
      </c>
      <c r="P437" s="59">
        <v>43.9</v>
      </c>
      <c r="Q437" s="60">
        <v>0.62163999999999997</v>
      </c>
      <c r="R437" s="59">
        <v>1.61</v>
      </c>
      <c r="S437" s="59">
        <v>2</v>
      </c>
      <c r="T437" s="59">
        <v>2</v>
      </c>
      <c r="U437" s="60">
        <v>0.4</v>
      </c>
      <c r="V437" s="59">
        <v>2</v>
      </c>
      <c r="W437" s="59">
        <v>0</v>
      </c>
      <c r="X437" s="59" t="s">
        <v>662</v>
      </c>
      <c r="Y437" s="79" t="s">
        <v>36</v>
      </c>
      <c r="Z437" s="64" t="s">
        <v>622</v>
      </c>
      <c r="AA437" s="80">
        <f t="shared" si="5"/>
        <v>0.62163999999999997</v>
      </c>
    </row>
    <row r="438" spans="1:27" ht="14.4" x14ac:dyDescent="0.3">
      <c r="A438" s="56">
        <v>45886</v>
      </c>
      <c r="B438" s="57">
        <v>45892</v>
      </c>
      <c r="C438" s="58" t="s">
        <v>27</v>
      </c>
      <c r="D438" s="58" t="s">
        <v>28</v>
      </c>
      <c r="E438" s="58" t="s">
        <v>29</v>
      </c>
      <c r="F438" s="58" t="s">
        <v>30</v>
      </c>
      <c r="G438" s="58" t="s">
        <v>31</v>
      </c>
      <c r="H438" s="58" t="s">
        <v>30</v>
      </c>
      <c r="I438" s="58" t="s">
        <v>32</v>
      </c>
      <c r="J438" s="58" t="s">
        <v>30</v>
      </c>
      <c r="K438" s="59">
        <v>640</v>
      </c>
      <c r="L438" s="59">
        <v>10</v>
      </c>
      <c r="M438" s="60">
        <v>1.5625E-2</v>
      </c>
      <c r="N438" s="59" t="s">
        <v>571</v>
      </c>
      <c r="O438" s="59" t="s">
        <v>667</v>
      </c>
      <c r="P438" s="59">
        <v>74.819999999999993</v>
      </c>
      <c r="Q438" s="60">
        <v>0.46752199999999999</v>
      </c>
      <c r="R438" s="59">
        <v>2.14</v>
      </c>
      <c r="S438" s="59">
        <v>3</v>
      </c>
      <c r="T438" s="59">
        <v>3</v>
      </c>
      <c r="U438" s="60">
        <v>0.3</v>
      </c>
      <c r="V438" s="59">
        <v>3</v>
      </c>
      <c r="W438" s="59">
        <v>0</v>
      </c>
      <c r="X438" s="59" t="s">
        <v>93</v>
      </c>
      <c r="Y438" s="79" t="s">
        <v>36</v>
      </c>
      <c r="Z438" s="64" t="s">
        <v>668</v>
      </c>
      <c r="AA438" s="80">
        <f t="shared" si="5"/>
        <v>0.46752199999999999</v>
      </c>
    </row>
    <row r="439" spans="1:27" ht="14.4" x14ac:dyDescent="0.3">
      <c r="A439" s="56">
        <v>45886</v>
      </c>
      <c r="B439" s="57">
        <v>45888</v>
      </c>
      <c r="C439" s="58" t="s">
        <v>105</v>
      </c>
      <c r="D439" s="58" t="s">
        <v>28</v>
      </c>
      <c r="E439" s="58" t="s">
        <v>669</v>
      </c>
      <c r="F439" s="58" t="s">
        <v>30</v>
      </c>
      <c r="G439" s="58" t="s">
        <v>31</v>
      </c>
      <c r="H439" s="58" t="s">
        <v>30</v>
      </c>
      <c r="I439" s="58" t="s">
        <v>65</v>
      </c>
      <c r="J439" s="58" t="s">
        <v>30</v>
      </c>
      <c r="K439" s="59">
        <v>126</v>
      </c>
      <c r="L439" s="59">
        <v>4</v>
      </c>
      <c r="M439" s="60">
        <v>3.1746000000000003E-2</v>
      </c>
      <c r="N439" s="59" t="s">
        <v>149</v>
      </c>
      <c r="O439" s="59" t="s">
        <v>670</v>
      </c>
      <c r="P439" s="59">
        <v>24.94</v>
      </c>
      <c r="Q439" s="60">
        <v>0.48997600000000002</v>
      </c>
      <c r="R439" s="59">
        <v>2.04</v>
      </c>
      <c r="S439" s="59">
        <v>1</v>
      </c>
      <c r="T439" s="59">
        <v>1</v>
      </c>
      <c r="U439" s="60">
        <v>0.25</v>
      </c>
      <c r="V439" s="59">
        <v>1</v>
      </c>
      <c r="W439" s="59">
        <v>0</v>
      </c>
      <c r="X439" s="59" t="s">
        <v>35</v>
      </c>
      <c r="Y439" s="79" t="s">
        <v>36</v>
      </c>
      <c r="Z439" s="64" t="s">
        <v>668</v>
      </c>
      <c r="AA439" s="80">
        <f t="shared" si="5"/>
        <v>0.48997600000000002</v>
      </c>
    </row>
    <row r="440" spans="1:27" ht="14.4" x14ac:dyDescent="0.3">
      <c r="A440" s="56">
        <v>45886</v>
      </c>
      <c r="B440" s="57">
        <v>45886</v>
      </c>
      <c r="C440" s="58" t="s">
        <v>27</v>
      </c>
      <c r="D440" s="58" t="s">
        <v>28</v>
      </c>
      <c r="E440" s="58" t="s">
        <v>71</v>
      </c>
      <c r="F440" s="58" t="s">
        <v>72</v>
      </c>
      <c r="G440" s="58" t="s">
        <v>31</v>
      </c>
      <c r="H440" s="58" t="s">
        <v>51</v>
      </c>
      <c r="I440" s="58" t="s">
        <v>52</v>
      </c>
      <c r="J440" s="58" t="s">
        <v>74</v>
      </c>
      <c r="K440" s="59">
        <v>2</v>
      </c>
      <c r="L440" s="59">
        <v>1</v>
      </c>
      <c r="M440" s="60">
        <v>0.5</v>
      </c>
      <c r="N440" s="59" t="s">
        <v>571</v>
      </c>
      <c r="O440" s="59" t="s">
        <v>571</v>
      </c>
      <c r="P440" s="59">
        <v>24.94</v>
      </c>
      <c r="Q440" s="60">
        <v>0.14033699999999999</v>
      </c>
      <c r="R440" s="59">
        <v>7.13</v>
      </c>
      <c r="S440" s="59">
        <v>1</v>
      </c>
      <c r="T440" s="59">
        <v>1</v>
      </c>
      <c r="U440" s="60">
        <v>1</v>
      </c>
      <c r="V440" s="59">
        <v>1</v>
      </c>
      <c r="W440" s="59">
        <v>0</v>
      </c>
      <c r="X440" s="59" t="s">
        <v>35</v>
      </c>
      <c r="Y440" s="79" t="s">
        <v>36</v>
      </c>
      <c r="Z440" s="64" t="s">
        <v>668</v>
      </c>
      <c r="AA440" s="80">
        <f t="shared" si="5"/>
        <v>0.14033699999999999</v>
      </c>
    </row>
    <row r="441" spans="1:27" ht="14.4" x14ac:dyDescent="0.3">
      <c r="A441" s="56">
        <v>45886</v>
      </c>
      <c r="B441" s="57">
        <v>45892</v>
      </c>
      <c r="C441" s="58" t="s">
        <v>143</v>
      </c>
      <c r="D441" s="58" t="s">
        <v>28</v>
      </c>
      <c r="E441" s="58" t="s">
        <v>144</v>
      </c>
      <c r="F441" s="58" t="s">
        <v>32</v>
      </c>
      <c r="G441" s="58" t="s">
        <v>31</v>
      </c>
      <c r="H441" s="58" t="s">
        <v>30</v>
      </c>
      <c r="I441" s="58" t="s">
        <v>44</v>
      </c>
      <c r="J441" s="58" t="s">
        <v>145</v>
      </c>
      <c r="K441" s="59">
        <v>469</v>
      </c>
      <c r="L441" s="59">
        <v>4</v>
      </c>
      <c r="M441" s="60">
        <v>8.5290000000000001E-3</v>
      </c>
      <c r="N441" s="59" t="s">
        <v>671</v>
      </c>
      <c r="O441" s="59" t="s">
        <v>672</v>
      </c>
      <c r="P441" s="59">
        <v>24.94</v>
      </c>
      <c r="Q441" s="60">
        <v>0.209703</v>
      </c>
      <c r="R441" s="59">
        <v>4.7699999999999996</v>
      </c>
      <c r="S441" s="59">
        <v>1</v>
      </c>
      <c r="T441" s="59">
        <v>1</v>
      </c>
      <c r="U441" s="60">
        <v>0.25</v>
      </c>
      <c r="V441" s="59">
        <v>1</v>
      </c>
      <c r="W441" s="59">
        <v>0</v>
      </c>
      <c r="X441" s="59" t="s">
        <v>35</v>
      </c>
      <c r="Y441" s="79" t="s">
        <v>36</v>
      </c>
      <c r="Z441" s="64" t="s">
        <v>668</v>
      </c>
      <c r="AA441" s="80">
        <f t="shared" si="5"/>
        <v>0.209703</v>
      </c>
    </row>
    <row r="442" spans="1:27" ht="14.4" x14ac:dyDescent="0.3">
      <c r="A442" s="56">
        <v>45886</v>
      </c>
      <c r="B442" s="57">
        <v>45886</v>
      </c>
      <c r="C442" s="58" t="s">
        <v>27</v>
      </c>
      <c r="D442" s="58" t="s">
        <v>28</v>
      </c>
      <c r="E442" s="58" t="s">
        <v>29</v>
      </c>
      <c r="F442" s="58" t="s">
        <v>30</v>
      </c>
      <c r="G442" s="58" t="s">
        <v>31</v>
      </c>
      <c r="H442" s="58" t="s">
        <v>145</v>
      </c>
      <c r="I442" s="58" t="s">
        <v>32</v>
      </c>
      <c r="J442" s="58" t="s">
        <v>404</v>
      </c>
      <c r="K442" s="59">
        <v>1</v>
      </c>
      <c r="L442" s="59">
        <v>1</v>
      </c>
      <c r="M442" s="60">
        <v>1</v>
      </c>
      <c r="N442" s="59" t="s">
        <v>606</v>
      </c>
      <c r="O442" s="59" t="s">
        <v>606</v>
      </c>
      <c r="P442" s="59">
        <v>24.94</v>
      </c>
      <c r="Q442" s="60">
        <v>0.118284</v>
      </c>
      <c r="R442" s="59">
        <v>8.4499999999999993</v>
      </c>
      <c r="S442" s="59">
        <v>1</v>
      </c>
      <c r="T442" s="59">
        <v>1</v>
      </c>
      <c r="U442" s="60">
        <v>1</v>
      </c>
      <c r="V442" s="59">
        <v>1</v>
      </c>
      <c r="W442" s="59">
        <v>0</v>
      </c>
      <c r="X442" s="59" t="s">
        <v>35</v>
      </c>
      <c r="Y442" s="79" t="s">
        <v>36</v>
      </c>
      <c r="Z442" s="64" t="s">
        <v>668</v>
      </c>
      <c r="AA442" s="80">
        <f t="shared" si="5"/>
        <v>0.118284</v>
      </c>
    </row>
    <row r="443" spans="1:27" ht="14.4" x14ac:dyDescent="0.3">
      <c r="A443" s="56">
        <v>45886</v>
      </c>
      <c r="B443" s="57">
        <v>45888</v>
      </c>
      <c r="C443" s="58" t="s">
        <v>105</v>
      </c>
      <c r="D443" s="58" t="s">
        <v>28</v>
      </c>
      <c r="E443" s="58" t="s">
        <v>117</v>
      </c>
      <c r="F443" s="58" t="s">
        <v>118</v>
      </c>
      <c r="G443" s="58" t="s">
        <v>31</v>
      </c>
      <c r="H443" s="58" t="s">
        <v>119</v>
      </c>
      <c r="I443" s="58" t="s">
        <v>65</v>
      </c>
      <c r="J443" s="58" t="s">
        <v>119</v>
      </c>
      <c r="K443" s="59">
        <v>400</v>
      </c>
      <c r="L443" s="59">
        <v>14</v>
      </c>
      <c r="M443" s="60">
        <v>3.5000000000000003E-2</v>
      </c>
      <c r="N443" s="59" t="s">
        <v>673</v>
      </c>
      <c r="O443" s="59" t="s">
        <v>674</v>
      </c>
      <c r="P443" s="59">
        <v>24.94</v>
      </c>
      <c r="Q443" s="60">
        <v>1.32518</v>
      </c>
      <c r="R443" s="59">
        <v>0.75</v>
      </c>
      <c r="S443" s="59">
        <v>1</v>
      </c>
      <c r="T443" s="59">
        <v>1</v>
      </c>
      <c r="U443" s="60">
        <v>7.1429000000000006E-2</v>
      </c>
      <c r="V443" s="59">
        <v>1</v>
      </c>
      <c r="W443" s="59">
        <v>0</v>
      </c>
      <c r="X443" s="59" t="s">
        <v>35</v>
      </c>
      <c r="Y443" s="79" t="s">
        <v>36</v>
      </c>
      <c r="Z443" s="64" t="s">
        <v>668</v>
      </c>
      <c r="AA443" s="80">
        <f t="shared" si="5"/>
        <v>1.32518</v>
      </c>
    </row>
    <row r="444" spans="1:27" ht="14.4" x14ac:dyDescent="0.3">
      <c r="A444" s="56">
        <v>45886</v>
      </c>
      <c r="B444" s="57">
        <v>45890</v>
      </c>
      <c r="C444" s="58" t="s">
        <v>27</v>
      </c>
      <c r="D444" s="58" t="s">
        <v>28</v>
      </c>
      <c r="E444" s="58" t="s">
        <v>56</v>
      </c>
      <c r="F444" s="58" t="s">
        <v>57</v>
      </c>
      <c r="G444" s="58" t="s">
        <v>31</v>
      </c>
      <c r="H444" s="65" t="e">
        <f>+maca +root</f>
        <v>#NAME?</v>
      </c>
      <c r="I444" s="58" t="s">
        <v>32</v>
      </c>
      <c r="J444" s="58" t="s">
        <v>119</v>
      </c>
      <c r="K444" s="59">
        <v>3421</v>
      </c>
      <c r="L444" s="59">
        <v>34</v>
      </c>
      <c r="M444" s="60">
        <v>9.9389999999999999E-3</v>
      </c>
      <c r="N444" s="59" t="s">
        <v>675</v>
      </c>
      <c r="O444" s="59" t="s">
        <v>676</v>
      </c>
      <c r="P444" s="59">
        <v>124.7</v>
      </c>
      <c r="Q444" s="60">
        <v>0.752606</v>
      </c>
      <c r="R444" s="59">
        <v>1.33</v>
      </c>
      <c r="S444" s="59">
        <v>5</v>
      </c>
      <c r="T444" s="59">
        <v>5</v>
      </c>
      <c r="U444" s="60">
        <v>0.147059</v>
      </c>
      <c r="V444" s="59">
        <v>5</v>
      </c>
      <c r="W444" s="59">
        <v>0</v>
      </c>
      <c r="X444" s="59" t="s">
        <v>548</v>
      </c>
      <c r="Y444" s="79" t="s">
        <v>36</v>
      </c>
      <c r="Z444" s="64" t="s">
        <v>668</v>
      </c>
      <c r="AA444" s="80">
        <f t="shared" si="5"/>
        <v>0.752606</v>
      </c>
    </row>
    <row r="445" spans="1:27" ht="14.4" x14ac:dyDescent="0.3">
      <c r="A445" s="56">
        <v>45886</v>
      </c>
      <c r="B445" s="57">
        <v>45888</v>
      </c>
      <c r="C445" s="58" t="s">
        <v>40</v>
      </c>
      <c r="D445" s="58" t="s">
        <v>28</v>
      </c>
      <c r="E445" s="58" t="s">
        <v>41</v>
      </c>
      <c r="F445" s="58" t="s">
        <v>42</v>
      </c>
      <c r="G445" s="58" t="s">
        <v>31</v>
      </c>
      <c r="H445" s="58" t="s">
        <v>43</v>
      </c>
      <c r="I445" s="58" t="s">
        <v>44</v>
      </c>
      <c r="J445" s="58" t="s">
        <v>60</v>
      </c>
      <c r="K445" s="59">
        <v>12</v>
      </c>
      <c r="L445" s="59">
        <v>2</v>
      </c>
      <c r="M445" s="60">
        <v>0.16666700000000001</v>
      </c>
      <c r="N445" s="59" t="s">
        <v>126</v>
      </c>
      <c r="O445" s="59" t="s">
        <v>677</v>
      </c>
      <c r="P445" s="59">
        <v>24.94</v>
      </c>
      <c r="Q445" s="60">
        <v>0.26222899999999999</v>
      </c>
      <c r="R445" s="59">
        <v>3.81</v>
      </c>
      <c r="S445" s="59">
        <v>1</v>
      </c>
      <c r="T445" s="59">
        <v>1</v>
      </c>
      <c r="U445" s="60">
        <v>0.5</v>
      </c>
      <c r="V445" s="59">
        <v>1</v>
      </c>
      <c r="W445" s="59">
        <v>0</v>
      </c>
      <c r="X445" s="59" t="s">
        <v>35</v>
      </c>
      <c r="Y445" s="79" t="s">
        <v>36</v>
      </c>
      <c r="Z445" s="64" t="s">
        <v>668</v>
      </c>
      <c r="AA445" s="80">
        <f t="shared" si="5"/>
        <v>0.26222899999999999</v>
      </c>
    </row>
    <row r="446" spans="1:27" ht="14.4" x14ac:dyDescent="0.3">
      <c r="A446" s="56">
        <v>45886</v>
      </c>
      <c r="B446" s="57">
        <v>45892</v>
      </c>
      <c r="C446" s="58" t="s">
        <v>40</v>
      </c>
      <c r="D446" s="58" t="s">
        <v>28</v>
      </c>
      <c r="E446" s="58" t="s">
        <v>41</v>
      </c>
      <c r="F446" s="58" t="s">
        <v>42</v>
      </c>
      <c r="G446" s="58" t="s">
        <v>31</v>
      </c>
      <c r="H446" s="58" t="s">
        <v>43</v>
      </c>
      <c r="I446" s="58" t="s">
        <v>44</v>
      </c>
      <c r="J446" s="58" t="s">
        <v>43</v>
      </c>
      <c r="K446" s="59">
        <v>214</v>
      </c>
      <c r="L446" s="59">
        <v>5</v>
      </c>
      <c r="M446" s="60">
        <v>2.3363999999999999E-2</v>
      </c>
      <c r="N446" s="59" t="s">
        <v>675</v>
      </c>
      <c r="O446" s="59" t="s">
        <v>678</v>
      </c>
      <c r="P446" s="59">
        <v>97.32</v>
      </c>
      <c r="Q446" s="60">
        <v>0.14169699999999999</v>
      </c>
      <c r="R446" s="59">
        <v>7.06</v>
      </c>
      <c r="S446" s="59">
        <v>4</v>
      </c>
      <c r="T446" s="59">
        <v>4</v>
      </c>
      <c r="U446" s="60">
        <v>0.8</v>
      </c>
      <c r="V446" s="59">
        <v>4</v>
      </c>
      <c r="W446" s="59">
        <v>0</v>
      </c>
      <c r="X446" s="59" t="s">
        <v>463</v>
      </c>
      <c r="Y446" s="79" t="s">
        <v>36</v>
      </c>
      <c r="Z446" s="64" t="s">
        <v>668</v>
      </c>
      <c r="AA446" s="80">
        <f t="shared" si="5"/>
        <v>0.14169699999999999</v>
      </c>
    </row>
    <row r="447" spans="1:27" ht="14.4" x14ac:dyDescent="0.3">
      <c r="A447" s="56">
        <v>45886</v>
      </c>
      <c r="B447" s="57">
        <v>45886</v>
      </c>
      <c r="C447" s="58" t="s">
        <v>143</v>
      </c>
      <c r="D447" s="58" t="s">
        <v>28</v>
      </c>
      <c r="E447" s="58" t="s">
        <v>144</v>
      </c>
      <c r="F447" s="58" t="s">
        <v>32</v>
      </c>
      <c r="G447" s="58" t="s">
        <v>31</v>
      </c>
      <c r="H447" s="58" t="s">
        <v>30</v>
      </c>
      <c r="I447" s="58" t="s">
        <v>44</v>
      </c>
      <c r="J447" s="58" t="s">
        <v>679</v>
      </c>
      <c r="K447" s="59">
        <v>33</v>
      </c>
      <c r="L447" s="59">
        <v>1</v>
      </c>
      <c r="M447" s="60">
        <v>3.0303E-2</v>
      </c>
      <c r="N447" s="59" t="s">
        <v>196</v>
      </c>
      <c r="O447" s="59" t="s">
        <v>196</v>
      </c>
      <c r="P447" s="59">
        <v>24.94</v>
      </c>
      <c r="Q447" s="60">
        <v>5.4531000000000003E-2</v>
      </c>
      <c r="R447" s="59">
        <v>18.34</v>
      </c>
      <c r="S447" s="59">
        <v>1</v>
      </c>
      <c r="T447" s="59">
        <v>1</v>
      </c>
      <c r="U447" s="60">
        <v>1</v>
      </c>
      <c r="V447" s="59">
        <v>1</v>
      </c>
      <c r="W447" s="59">
        <v>0</v>
      </c>
      <c r="X447" s="59" t="s">
        <v>35</v>
      </c>
      <c r="Y447" s="79" t="s">
        <v>36</v>
      </c>
      <c r="Z447" s="64" t="s">
        <v>668</v>
      </c>
      <c r="AA447" s="80">
        <f t="shared" si="5"/>
        <v>5.4531000000000003E-2</v>
      </c>
    </row>
    <row r="448" spans="1:27" ht="14.4" x14ac:dyDescent="0.3">
      <c r="A448" s="56">
        <v>45886</v>
      </c>
      <c r="B448" s="57">
        <v>45886</v>
      </c>
      <c r="C448" s="58" t="s">
        <v>27</v>
      </c>
      <c r="D448" s="58" t="s">
        <v>28</v>
      </c>
      <c r="E448" s="58" t="s">
        <v>71</v>
      </c>
      <c r="F448" s="58" t="s">
        <v>72</v>
      </c>
      <c r="G448" s="58" t="s">
        <v>31</v>
      </c>
      <c r="H448" s="58" t="s">
        <v>51</v>
      </c>
      <c r="I448" s="58" t="s">
        <v>52</v>
      </c>
      <c r="J448" s="58" t="s">
        <v>680</v>
      </c>
      <c r="K448" s="59">
        <v>1</v>
      </c>
      <c r="L448" s="59">
        <v>1</v>
      </c>
      <c r="M448" s="60">
        <v>1</v>
      </c>
      <c r="N448" s="59" t="s">
        <v>181</v>
      </c>
      <c r="O448" s="59" t="s">
        <v>181</v>
      </c>
      <c r="P448" s="59">
        <v>49.88</v>
      </c>
      <c r="Q448" s="60">
        <v>5.0119999999999998E-2</v>
      </c>
      <c r="R448" s="59">
        <v>19.95</v>
      </c>
      <c r="S448" s="59">
        <v>2</v>
      </c>
      <c r="T448" s="59">
        <v>2</v>
      </c>
      <c r="U448" s="60">
        <v>2</v>
      </c>
      <c r="V448" s="59">
        <v>2</v>
      </c>
      <c r="W448" s="59">
        <v>0</v>
      </c>
      <c r="X448" s="59" t="s">
        <v>78</v>
      </c>
      <c r="Y448" s="79" t="s">
        <v>36</v>
      </c>
      <c r="Z448" s="64" t="s">
        <v>668</v>
      </c>
      <c r="AA448" s="80">
        <f t="shared" si="5"/>
        <v>5.0119999999999998E-2</v>
      </c>
    </row>
    <row r="449" spans="1:27" ht="14.4" x14ac:dyDescent="0.3">
      <c r="A449" s="56">
        <v>45886</v>
      </c>
      <c r="B449" s="57">
        <v>45888</v>
      </c>
      <c r="C449" s="58" t="s">
        <v>85</v>
      </c>
      <c r="D449" s="58" t="s">
        <v>28</v>
      </c>
      <c r="E449" s="58" t="s">
        <v>86</v>
      </c>
      <c r="F449" s="58" t="s">
        <v>87</v>
      </c>
      <c r="G449" s="58" t="s">
        <v>31</v>
      </c>
      <c r="H449" s="58" t="s">
        <v>88</v>
      </c>
      <c r="I449" s="58" t="s">
        <v>44</v>
      </c>
      <c r="J449" s="58" t="s">
        <v>89</v>
      </c>
      <c r="K449" s="59">
        <v>34</v>
      </c>
      <c r="L449" s="59">
        <v>2</v>
      </c>
      <c r="M449" s="60">
        <v>5.8824000000000001E-2</v>
      </c>
      <c r="N449" s="59" t="s">
        <v>122</v>
      </c>
      <c r="O449" s="59" t="s">
        <v>681</v>
      </c>
      <c r="P449" s="59">
        <v>21.95</v>
      </c>
      <c r="Q449" s="60">
        <v>0.33211800000000002</v>
      </c>
      <c r="R449" s="59">
        <v>3.01</v>
      </c>
      <c r="S449" s="59">
        <v>1</v>
      </c>
      <c r="T449" s="59">
        <v>1</v>
      </c>
      <c r="U449" s="60">
        <v>0.5</v>
      </c>
      <c r="V449" s="59">
        <v>1</v>
      </c>
      <c r="W449" s="59">
        <v>0</v>
      </c>
      <c r="X449" s="59" t="s">
        <v>603</v>
      </c>
      <c r="Y449" s="79" t="s">
        <v>36</v>
      </c>
      <c r="Z449" s="64" t="s">
        <v>668</v>
      </c>
      <c r="AA449" s="80">
        <f t="shared" si="5"/>
        <v>0.33211800000000002</v>
      </c>
    </row>
    <row r="450" spans="1:27" ht="14.4" x14ac:dyDescent="0.3">
      <c r="A450" s="56">
        <v>45886</v>
      </c>
      <c r="B450" s="57">
        <v>45886</v>
      </c>
      <c r="C450" s="58" t="s">
        <v>48</v>
      </c>
      <c r="D450" s="58" t="s">
        <v>28</v>
      </c>
      <c r="E450" s="58" t="s">
        <v>225</v>
      </c>
      <c r="F450" s="58" t="s">
        <v>226</v>
      </c>
      <c r="G450" s="58" t="s">
        <v>31</v>
      </c>
      <c r="H450" s="58" t="s">
        <v>372</v>
      </c>
      <c r="I450" s="58" t="s">
        <v>32</v>
      </c>
      <c r="J450" s="58" t="s">
        <v>171</v>
      </c>
      <c r="K450" s="59">
        <v>2</v>
      </c>
      <c r="L450" s="59">
        <v>1</v>
      </c>
      <c r="M450" s="60">
        <v>0.5</v>
      </c>
      <c r="N450" s="59" t="s">
        <v>682</v>
      </c>
      <c r="O450" s="59" t="s">
        <v>682</v>
      </c>
      <c r="P450" s="59">
        <v>21.95</v>
      </c>
      <c r="Q450" s="60">
        <v>9.2938000000000007E-2</v>
      </c>
      <c r="R450" s="59">
        <v>10.76</v>
      </c>
      <c r="S450" s="59">
        <v>1</v>
      </c>
      <c r="T450" s="59">
        <v>1</v>
      </c>
      <c r="U450" s="60">
        <v>1</v>
      </c>
      <c r="V450" s="59">
        <v>1</v>
      </c>
      <c r="W450" s="59">
        <v>0</v>
      </c>
      <c r="X450" s="59" t="s">
        <v>603</v>
      </c>
      <c r="Y450" s="79" t="s">
        <v>36</v>
      </c>
      <c r="Z450" s="64" t="s">
        <v>668</v>
      </c>
      <c r="AA450" s="80">
        <f t="shared" si="5"/>
        <v>9.2938000000000007E-2</v>
      </c>
    </row>
    <row r="451" spans="1:27" ht="14.4" x14ac:dyDescent="0.3">
      <c r="A451" s="56">
        <v>45886</v>
      </c>
      <c r="B451" s="57">
        <v>45886</v>
      </c>
      <c r="C451" s="58" t="s">
        <v>48</v>
      </c>
      <c r="D451" s="58" t="s">
        <v>28</v>
      </c>
      <c r="E451" s="58" t="s">
        <v>62</v>
      </c>
      <c r="F451" s="58" t="s">
        <v>63</v>
      </c>
      <c r="G451" s="58" t="s">
        <v>31</v>
      </c>
      <c r="H451" s="58" t="s">
        <v>168</v>
      </c>
      <c r="I451" s="58" t="s">
        <v>65</v>
      </c>
      <c r="J451" s="58" t="s">
        <v>168</v>
      </c>
      <c r="K451" s="59">
        <v>3</v>
      </c>
      <c r="L451" s="59">
        <v>2</v>
      </c>
      <c r="M451" s="60">
        <v>0.66666700000000001</v>
      </c>
      <c r="N451" s="59" t="s">
        <v>61</v>
      </c>
      <c r="O451" s="59" t="s">
        <v>683</v>
      </c>
      <c r="P451" s="59">
        <v>21.95</v>
      </c>
      <c r="Q451" s="60">
        <v>0.24373600000000001</v>
      </c>
      <c r="R451" s="59">
        <v>4.0999999999999996</v>
      </c>
      <c r="S451" s="59">
        <v>1</v>
      </c>
      <c r="T451" s="59">
        <v>1</v>
      </c>
      <c r="U451" s="60">
        <v>0.5</v>
      </c>
      <c r="V451" s="59">
        <v>1</v>
      </c>
      <c r="W451" s="59">
        <v>0</v>
      </c>
      <c r="X451" s="59" t="s">
        <v>603</v>
      </c>
      <c r="Y451" s="79" t="s">
        <v>36</v>
      </c>
      <c r="Z451" s="64" t="s">
        <v>668</v>
      </c>
      <c r="AA451" s="80">
        <f t="shared" si="5"/>
        <v>0.24373600000000001</v>
      </c>
    </row>
    <row r="452" spans="1:27" ht="14.4" x14ac:dyDescent="0.3">
      <c r="A452" s="56">
        <v>45885</v>
      </c>
      <c r="B452" s="57">
        <v>45885</v>
      </c>
      <c r="C452" s="58" t="s">
        <v>27</v>
      </c>
      <c r="D452" s="58" t="s">
        <v>28</v>
      </c>
      <c r="E452" s="58" t="s">
        <v>71</v>
      </c>
      <c r="F452" s="58" t="s">
        <v>72</v>
      </c>
      <c r="G452" s="58" t="s">
        <v>31</v>
      </c>
      <c r="H452" s="58" t="s">
        <v>73</v>
      </c>
      <c r="I452" s="58" t="s">
        <v>52</v>
      </c>
      <c r="J452" s="58" t="s">
        <v>684</v>
      </c>
      <c r="K452" s="59">
        <v>2</v>
      </c>
      <c r="L452" s="59">
        <v>1</v>
      </c>
      <c r="M452" s="60">
        <v>0.5</v>
      </c>
      <c r="N452" s="59" t="s">
        <v>685</v>
      </c>
      <c r="O452" s="59" t="s">
        <v>685</v>
      </c>
      <c r="P452" s="59">
        <v>24.94</v>
      </c>
      <c r="Q452" s="60">
        <v>8.6608000000000004E-2</v>
      </c>
      <c r="R452" s="59">
        <v>11.55</v>
      </c>
      <c r="S452" s="59">
        <v>1</v>
      </c>
      <c r="T452" s="59">
        <v>1</v>
      </c>
      <c r="U452" s="60">
        <v>1</v>
      </c>
      <c r="V452" s="59">
        <v>1</v>
      </c>
      <c r="W452" s="59">
        <v>0</v>
      </c>
      <c r="X452" s="59" t="s">
        <v>35</v>
      </c>
      <c r="Y452" s="79" t="s">
        <v>36</v>
      </c>
      <c r="Z452" s="64" t="s">
        <v>668</v>
      </c>
      <c r="AA452" s="80">
        <f t="shared" si="5"/>
        <v>8.6608000000000004E-2</v>
      </c>
    </row>
    <row r="453" spans="1:27" ht="14.4" x14ac:dyDescent="0.3">
      <c r="A453" s="69">
        <v>45885</v>
      </c>
      <c r="B453" s="70">
        <v>45885</v>
      </c>
      <c r="C453" s="71" t="s">
        <v>40</v>
      </c>
      <c r="D453" s="71" t="s">
        <v>28</v>
      </c>
      <c r="E453" s="71" t="s">
        <v>41</v>
      </c>
      <c r="F453" s="71" t="s">
        <v>42</v>
      </c>
      <c r="G453" s="71" t="s">
        <v>31</v>
      </c>
      <c r="H453" s="71" t="s">
        <v>43</v>
      </c>
      <c r="I453" s="71" t="s">
        <v>44</v>
      </c>
      <c r="J453" s="71" t="s">
        <v>686</v>
      </c>
      <c r="K453" s="72">
        <v>2</v>
      </c>
      <c r="L453" s="72">
        <v>1</v>
      </c>
      <c r="M453" s="73">
        <v>0.5</v>
      </c>
      <c r="N453" s="72" t="s">
        <v>126</v>
      </c>
      <c r="O453" s="72" t="s">
        <v>126</v>
      </c>
      <c r="P453" s="72">
        <v>24.94</v>
      </c>
      <c r="Q453" s="73">
        <v>0.13111500000000001</v>
      </c>
      <c r="R453" s="72">
        <v>7.63</v>
      </c>
      <c r="S453" s="72">
        <v>1</v>
      </c>
      <c r="T453" s="72">
        <v>1</v>
      </c>
      <c r="U453" s="73">
        <v>1</v>
      </c>
      <c r="V453" s="72">
        <v>1</v>
      </c>
      <c r="W453" s="72">
        <v>0</v>
      </c>
      <c r="X453" s="72" t="s">
        <v>35</v>
      </c>
      <c r="Y453" s="83" t="s">
        <v>36</v>
      </c>
      <c r="Z453" s="64" t="s">
        <v>668</v>
      </c>
      <c r="AA453" s="80">
        <f t="shared" si="5"/>
        <v>0.13111500000000001</v>
      </c>
    </row>
    <row r="454" spans="1:27" ht="14.4" x14ac:dyDescent="0.3">
      <c r="A454" s="56">
        <v>45885</v>
      </c>
      <c r="B454" s="57">
        <v>45885</v>
      </c>
      <c r="C454" s="58" t="s">
        <v>48</v>
      </c>
      <c r="D454" s="58" t="s">
        <v>28</v>
      </c>
      <c r="E454" s="58" t="s">
        <v>62</v>
      </c>
      <c r="F454" s="58" t="s">
        <v>63</v>
      </c>
      <c r="G454" s="58" t="s">
        <v>31</v>
      </c>
      <c r="H454" s="58" t="s">
        <v>372</v>
      </c>
      <c r="I454" s="58" t="s">
        <v>65</v>
      </c>
      <c r="J454" s="58" t="s">
        <v>507</v>
      </c>
      <c r="K454" s="59">
        <v>19</v>
      </c>
      <c r="L454" s="59">
        <v>2</v>
      </c>
      <c r="M454" s="60">
        <v>0.105263</v>
      </c>
      <c r="N454" s="59" t="s">
        <v>468</v>
      </c>
      <c r="O454" s="59" t="s">
        <v>687</v>
      </c>
      <c r="P454" s="59">
        <v>21.95</v>
      </c>
      <c r="Q454" s="60">
        <v>0.40592299999999998</v>
      </c>
      <c r="R454" s="59">
        <v>2.46</v>
      </c>
      <c r="S454" s="59">
        <v>1</v>
      </c>
      <c r="T454" s="59">
        <v>1</v>
      </c>
      <c r="U454" s="60">
        <v>0.5</v>
      </c>
      <c r="V454" s="59">
        <v>1</v>
      </c>
      <c r="W454" s="59">
        <v>0</v>
      </c>
      <c r="X454" s="59" t="s">
        <v>603</v>
      </c>
      <c r="Y454" s="79" t="s">
        <v>36</v>
      </c>
      <c r="Z454" s="64" t="s">
        <v>668</v>
      </c>
      <c r="AA454" s="80">
        <f t="shared" si="5"/>
        <v>0.40592299999999998</v>
      </c>
    </row>
    <row r="455" spans="1:27" ht="14.4" x14ac:dyDescent="0.3">
      <c r="A455" s="56">
        <v>45885</v>
      </c>
      <c r="B455" s="57">
        <v>45885</v>
      </c>
      <c r="C455" s="58" t="s">
        <v>27</v>
      </c>
      <c r="D455" s="58" t="s">
        <v>28</v>
      </c>
      <c r="E455" s="58" t="s">
        <v>29</v>
      </c>
      <c r="F455" s="58" t="s">
        <v>30</v>
      </c>
      <c r="G455" s="58" t="s">
        <v>31</v>
      </c>
      <c r="H455" s="58" t="s">
        <v>30</v>
      </c>
      <c r="I455" s="58" t="s">
        <v>32</v>
      </c>
      <c r="J455" s="58" t="s">
        <v>688</v>
      </c>
      <c r="K455" s="59">
        <v>3</v>
      </c>
      <c r="L455" s="59">
        <v>1</v>
      </c>
      <c r="M455" s="60">
        <v>0.33333299999999999</v>
      </c>
      <c r="N455" s="59" t="s">
        <v>598</v>
      </c>
      <c r="O455" s="59" t="s">
        <v>598</v>
      </c>
      <c r="P455" s="59">
        <v>24.94</v>
      </c>
      <c r="Q455" s="60">
        <v>0.102245</v>
      </c>
      <c r="R455" s="59">
        <v>9.7799999999999994</v>
      </c>
      <c r="S455" s="59">
        <v>1</v>
      </c>
      <c r="T455" s="59">
        <v>1</v>
      </c>
      <c r="U455" s="60">
        <v>1</v>
      </c>
      <c r="V455" s="59">
        <v>1</v>
      </c>
      <c r="W455" s="59">
        <v>0</v>
      </c>
      <c r="X455" s="59" t="s">
        <v>35</v>
      </c>
      <c r="Y455" s="79" t="s">
        <v>36</v>
      </c>
      <c r="Z455" s="64" t="s">
        <v>668</v>
      </c>
      <c r="AA455" s="80">
        <f t="shared" si="5"/>
        <v>0.102245</v>
      </c>
    </row>
    <row r="456" spans="1:27" ht="14.4" x14ac:dyDescent="0.3">
      <c r="A456" s="56">
        <v>45884</v>
      </c>
      <c r="B456" s="57">
        <v>45884</v>
      </c>
      <c r="C456" s="58" t="s">
        <v>27</v>
      </c>
      <c r="D456" s="58" t="s">
        <v>28</v>
      </c>
      <c r="E456" s="58" t="s">
        <v>71</v>
      </c>
      <c r="F456" s="58" t="s">
        <v>72</v>
      </c>
      <c r="G456" s="58" t="s">
        <v>31</v>
      </c>
      <c r="H456" s="58" t="s">
        <v>51</v>
      </c>
      <c r="I456" s="58" t="s">
        <v>52</v>
      </c>
      <c r="J456" s="58" t="s">
        <v>145</v>
      </c>
      <c r="K456" s="59">
        <v>35</v>
      </c>
      <c r="L456" s="59">
        <v>1</v>
      </c>
      <c r="M456" s="60">
        <v>2.8570999999999999E-2</v>
      </c>
      <c r="N456" s="59" t="s">
        <v>689</v>
      </c>
      <c r="O456" s="59" t="s">
        <v>689</v>
      </c>
      <c r="P456" s="59">
        <v>24.94</v>
      </c>
      <c r="Q456" s="60">
        <v>9.0617000000000003E-2</v>
      </c>
      <c r="R456" s="59">
        <v>11.04</v>
      </c>
      <c r="S456" s="59">
        <v>1</v>
      </c>
      <c r="T456" s="59">
        <v>1</v>
      </c>
      <c r="U456" s="60">
        <v>1</v>
      </c>
      <c r="V456" s="59">
        <v>1</v>
      </c>
      <c r="W456" s="59">
        <v>0</v>
      </c>
      <c r="X456" s="59" t="s">
        <v>35</v>
      </c>
      <c r="Y456" s="79" t="s">
        <v>36</v>
      </c>
      <c r="Z456" s="64" t="s">
        <v>668</v>
      </c>
      <c r="AA456" s="80">
        <f t="shared" si="5"/>
        <v>9.0617000000000003E-2</v>
      </c>
    </row>
    <row r="457" spans="1:27" ht="14.4" x14ac:dyDescent="0.3">
      <c r="A457" s="56">
        <v>45884</v>
      </c>
      <c r="B457" s="57">
        <v>45884</v>
      </c>
      <c r="C457" s="58" t="s">
        <v>494</v>
      </c>
      <c r="D457" s="58" t="s">
        <v>28</v>
      </c>
      <c r="E457" s="58" t="s">
        <v>495</v>
      </c>
      <c r="F457" s="58" t="s">
        <v>496</v>
      </c>
      <c r="G457" s="58" t="s">
        <v>31</v>
      </c>
      <c r="H457" s="58" t="s">
        <v>51</v>
      </c>
      <c r="I457" s="58" t="s">
        <v>52</v>
      </c>
      <c r="J457" s="58" t="s">
        <v>690</v>
      </c>
      <c r="K457" s="59">
        <v>1</v>
      </c>
      <c r="L457" s="59">
        <v>1</v>
      </c>
      <c r="M457" s="60">
        <v>1</v>
      </c>
      <c r="N457" s="59" t="s">
        <v>262</v>
      </c>
      <c r="O457" s="59" t="s">
        <v>262</v>
      </c>
      <c r="P457" s="59">
        <v>29.99</v>
      </c>
      <c r="Q457" s="60">
        <v>0.10803599999999999</v>
      </c>
      <c r="R457" s="59">
        <v>9.26</v>
      </c>
      <c r="S457" s="59">
        <v>1</v>
      </c>
      <c r="T457" s="59">
        <v>1</v>
      </c>
      <c r="U457" s="60">
        <v>1</v>
      </c>
      <c r="V457" s="59">
        <v>1</v>
      </c>
      <c r="W457" s="59">
        <v>0</v>
      </c>
      <c r="X457" s="59" t="s">
        <v>498</v>
      </c>
      <c r="Y457" s="79" t="s">
        <v>36</v>
      </c>
      <c r="Z457" s="64" t="s">
        <v>668</v>
      </c>
      <c r="AA457" s="80">
        <f t="shared" si="5"/>
        <v>0.10803599999999999</v>
      </c>
    </row>
    <row r="458" spans="1:27" ht="14.4" x14ac:dyDescent="0.3">
      <c r="A458" s="56">
        <v>45884</v>
      </c>
      <c r="B458" s="57">
        <v>45884</v>
      </c>
      <c r="C458" s="58" t="s">
        <v>27</v>
      </c>
      <c r="D458" s="58" t="s">
        <v>28</v>
      </c>
      <c r="E458" s="58" t="s">
        <v>56</v>
      </c>
      <c r="F458" s="58" t="s">
        <v>57</v>
      </c>
      <c r="G458" s="58" t="s">
        <v>31</v>
      </c>
      <c r="H458" s="65" t="e">
        <f>+maca +root</f>
        <v>#NAME?</v>
      </c>
      <c r="I458" s="58" t="s">
        <v>32</v>
      </c>
      <c r="J458" s="58" t="s">
        <v>691</v>
      </c>
      <c r="K458" s="59">
        <v>3</v>
      </c>
      <c r="L458" s="59">
        <v>1</v>
      </c>
      <c r="M458" s="60">
        <v>0.33333299999999999</v>
      </c>
      <c r="N458" s="59" t="s">
        <v>297</v>
      </c>
      <c r="O458" s="59" t="s">
        <v>297</v>
      </c>
      <c r="P458" s="59">
        <v>24.94</v>
      </c>
      <c r="Q458" s="60">
        <v>8.7410000000000002E-2</v>
      </c>
      <c r="R458" s="59">
        <v>11.44</v>
      </c>
      <c r="S458" s="59">
        <v>1</v>
      </c>
      <c r="T458" s="59">
        <v>1</v>
      </c>
      <c r="U458" s="60">
        <v>1</v>
      </c>
      <c r="V458" s="59">
        <v>1</v>
      </c>
      <c r="W458" s="59">
        <v>0</v>
      </c>
      <c r="X458" s="59" t="s">
        <v>35</v>
      </c>
      <c r="Y458" s="79" t="s">
        <v>36</v>
      </c>
      <c r="Z458" s="64" t="s">
        <v>668</v>
      </c>
      <c r="AA458" s="80">
        <f t="shared" si="5"/>
        <v>8.7410000000000002E-2</v>
      </c>
    </row>
    <row r="459" spans="1:27" ht="14.4" x14ac:dyDescent="0.3">
      <c r="A459" s="56">
        <v>45884</v>
      </c>
      <c r="B459" s="57">
        <v>45884</v>
      </c>
      <c r="C459" s="58" t="s">
        <v>48</v>
      </c>
      <c r="D459" s="58" t="s">
        <v>28</v>
      </c>
      <c r="E459" s="58" t="s">
        <v>49</v>
      </c>
      <c r="F459" s="58" t="s">
        <v>50</v>
      </c>
      <c r="G459" s="58" t="s">
        <v>31</v>
      </c>
      <c r="H459" s="58" t="s">
        <v>51</v>
      </c>
      <c r="I459" s="58" t="s">
        <v>52</v>
      </c>
      <c r="J459" s="58" t="s">
        <v>692</v>
      </c>
      <c r="K459" s="59">
        <v>2</v>
      </c>
      <c r="L459" s="59">
        <v>1</v>
      </c>
      <c r="M459" s="60">
        <v>0.5</v>
      </c>
      <c r="N459" s="59" t="s">
        <v>236</v>
      </c>
      <c r="O459" s="59" t="s">
        <v>236</v>
      </c>
      <c r="P459" s="59">
        <v>21.95</v>
      </c>
      <c r="Q459" s="60">
        <v>9.1116000000000003E-2</v>
      </c>
      <c r="R459" s="59">
        <v>10.98</v>
      </c>
      <c r="S459" s="59">
        <v>1</v>
      </c>
      <c r="T459" s="59">
        <v>1</v>
      </c>
      <c r="U459" s="60">
        <v>1</v>
      </c>
      <c r="V459" s="59">
        <v>1</v>
      </c>
      <c r="W459" s="59">
        <v>0</v>
      </c>
      <c r="X459" s="59" t="s">
        <v>603</v>
      </c>
      <c r="Y459" s="79" t="s">
        <v>36</v>
      </c>
      <c r="Z459" s="64" t="s">
        <v>668</v>
      </c>
      <c r="AA459" s="80">
        <f t="shared" si="5"/>
        <v>9.1116000000000003E-2</v>
      </c>
    </row>
    <row r="460" spans="1:27" ht="14.4" x14ac:dyDescent="0.3">
      <c r="A460" s="56">
        <v>45884</v>
      </c>
      <c r="B460" s="57">
        <v>45884</v>
      </c>
      <c r="C460" s="58" t="s">
        <v>48</v>
      </c>
      <c r="D460" s="58" t="s">
        <v>28</v>
      </c>
      <c r="E460" s="58" t="s">
        <v>49</v>
      </c>
      <c r="F460" s="58" t="s">
        <v>50</v>
      </c>
      <c r="G460" s="58" t="s">
        <v>31</v>
      </c>
      <c r="H460" s="58" t="s">
        <v>51</v>
      </c>
      <c r="I460" s="58" t="s">
        <v>52</v>
      </c>
      <c r="J460" s="58" t="s">
        <v>693</v>
      </c>
      <c r="K460" s="59">
        <v>3</v>
      </c>
      <c r="L460" s="59">
        <v>1</v>
      </c>
      <c r="M460" s="60">
        <v>0.33333299999999999</v>
      </c>
      <c r="N460" s="59" t="s">
        <v>236</v>
      </c>
      <c r="O460" s="59" t="s">
        <v>236</v>
      </c>
      <c r="P460" s="59">
        <v>21.95</v>
      </c>
      <c r="Q460" s="60">
        <v>9.1116000000000003E-2</v>
      </c>
      <c r="R460" s="59">
        <v>10.98</v>
      </c>
      <c r="S460" s="59">
        <v>1</v>
      </c>
      <c r="T460" s="59">
        <v>1</v>
      </c>
      <c r="U460" s="60">
        <v>1</v>
      </c>
      <c r="V460" s="59">
        <v>1</v>
      </c>
      <c r="W460" s="59">
        <v>0</v>
      </c>
      <c r="X460" s="59" t="s">
        <v>603</v>
      </c>
      <c r="Y460" s="79" t="s">
        <v>36</v>
      </c>
      <c r="Z460" s="64" t="s">
        <v>668</v>
      </c>
      <c r="AA460" s="80">
        <f t="shared" si="5"/>
        <v>9.1116000000000003E-2</v>
      </c>
    </row>
    <row r="461" spans="1:27" ht="14.4" x14ac:dyDescent="0.3">
      <c r="A461" s="56">
        <v>45884</v>
      </c>
      <c r="B461" s="57">
        <v>45884</v>
      </c>
      <c r="C461" s="58" t="s">
        <v>494</v>
      </c>
      <c r="D461" s="58" t="s">
        <v>28</v>
      </c>
      <c r="E461" s="58" t="s">
        <v>495</v>
      </c>
      <c r="F461" s="58" t="s">
        <v>496</v>
      </c>
      <c r="G461" s="58" t="s">
        <v>31</v>
      </c>
      <c r="H461" s="58" t="s">
        <v>51</v>
      </c>
      <c r="I461" s="58" t="s">
        <v>52</v>
      </c>
      <c r="J461" s="58" t="s">
        <v>694</v>
      </c>
      <c r="K461" s="59">
        <v>1</v>
      </c>
      <c r="L461" s="59">
        <v>1</v>
      </c>
      <c r="M461" s="60">
        <v>1</v>
      </c>
      <c r="N461" s="59" t="s">
        <v>371</v>
      </c>
      <c r="O461" s="59" t="s">
        <v>371</v>
      </c>
      <c r="P461" s="59">
        <v>29.99</v>
      </c>
      <c r="Q461" s="60">
        <v>0.105368</v>
      </c>
      <c r="R461" s="59">
        <v>9.49</v>
      </c>
      <c r="S461" s="59">
        <v>1</v>
      </c>
      <c r="T461" s="59">
        <v>1</v>
      </c>
      <c r="U461" s="60">
        <v>1</v>
      </c>
      <c r="V461" s="59">
        <v>1</v>
      </c>
      <c r="W461" s="59">
        <v>0</v>
      </c>
      <c r="X461" s="59" t="s">
        <v>498</v>
      </c>
      <c r="Y461" s="79" t="s">
        <v>36</v>
      </c>
      <c r="Z461" s="64" t="s">
        <v>668</v>
      </c>
      <c r="AA461" s="80">
        <f t="shared" si="5"/>
        <v>0.105368</v>
      </c>
    </row>
    <row r="462" spans="1:27" ht="14.4" x14ac:dyDescent="0.3">
      <c r="A462" s="56">
        <v>45883</v>
      </c>
      <c r="B462" s="57">
        <v>45883</v>
      </c>
      <c r="C462" s="58" t="s">
        <v>27</v>
      </c>
      <c r="D462" s="58" t="s">
        <v>28</v>
      </c>
      <c r="E462" s="58" t="s">
        <v>29</v>
      </c>
      <c r="F462" s="58" t="s">
        <v>30</v>
      </c>
      <c r="G462" s="58" t="s">
        <v>31</v>
      </c>
      <c r="H462" s="58" t="s">
        <v>480</v>
      </c>
      <c r="I462" s="58" t="s">
        <v>32</v>
      </c>
      <c r="J462" s="58" t="s">
        <v>162</v>
      </c>
      <c r="K462" s="59">
        <v>9</v>
      </c>
      <c r="L462" s="59">
        <v>1</v>
      </c>
      <c r="M462" s="60">
        <v>0.111111</v>
      </c>
      <c r="N462" s="59" t="s">
        <v>606</v>
      </c>
      <c r="O462" s="59" t="s">
        <v>606</v>
      </c>
      <c r="P462" s="59">
        <v>24.94</v>
      </c>
      <c r="Q462" s="60">
        <v>0.118284</v>
      </c>
      <c r="R462" s="59">
        <v>8.4499999999999993</v>
      </c>
      <c r="S462" s="59">
        <v>1</v>
      </c>
      <c r="T462" s="59">
        <v>1</v>
      </c>
      <c r="U462" s="60">
        <v>1</v>
      </c>
      <c r="V462" s="59">
        <v>1</v>
      </c>
      <c r="W462" s="59">
        <v>0</v>
      </c>
      <c r="X462" s="59" t="s">
        <v>35</v>
      </c>
      <c r="Y462" s="79" t="s">
        <v>36</v>
      </c>
      <c r="Z462" s="64" t="s">
        <v>668</v>
      </c>
      <c r="AA462" s="80">
        <f t="shared" si="5"/>
        <v>0.118284</v>
      </c>
    </row>
    <row r="463" spans="1:27" ht="14.4" x14ac:dyDescent="0.3">
      <c r="A463" s="56">
        <v>45883</v>
      </c>
      <c r="B463" s="57">
        <v>45883</v>
      </c>
      <c r="C463" s="58" t="s">
        <v>40</v>
      </c>
      <c r="D463" s="58" t="s">
        <v>28</v>
      </c>
      <c r="E463" s="58" t="s">
        <v>41</v>
      </c>
      <c r="F463" s="58" t="s">
        <v>42</v>
      </c>
      <c r="G463" s="58" t="s">
        <v>31</v>
      </c>
      <c r="H463" s="58" t="s">
        <v>695</v>
      </c>
      <c r="I463" s="58" t="s">
        <v>44</v>
      </c>
      <c r="J463" s="58" t="s">
        <v>695</v>
      </c>
      <c r="K463" s="59">
        <v>1</v>
      </c>
      <c r="L463" s="59">
        <v>1</v>
      </c>
      <c r="M463" s="60">
        <v>1</v>
      </c>
      <c r="N463" s="59" t="s">
        <v>282</v>
      </c>
      <c r="O463" s="59" t="s">
        <v>282</v>
      </c>
      <c r="P463" s="59">
        <v>24.94</v>
      </c>
      <c r="Q463" s="60">
        <v>0.13231799999999999</v>
      </c>
      <c r="R463" s="59">
        <v>7.56</v>
      </c>
      <c r="S463" s="59">
        <v>1</v>
      </c>
      <c r="T463" s="59">
        <v>1</v>
      </c>
      <c r="U463" s="60">
        <v>1</v>
      </c>
      <c r="V463" s="59">
        <v>1</v>
      </c>
      <c r="W463" s="59">
        <v>0</v>
      </c>
      <c r="X463" s="59" t="s">
        <v>35</v>
      </c>
      <c r="Y463" s="79" t="s">
        <v>36</v>
      </c>
      <c r="Z463" s="64" t="s">
        <v>668</v>
      </c>
      <c r="AA463" s="80">
        <f t="shared" si="5"/>
        <v>0.13231799999999999</v>
      </c>
    </row>
    <row r="464" spans="1:27" ht="14.4" x14ac:dyDescent="0.3">
      <c r="A464" s="56">
        <v>45883</v>
      </c>
      <c r="B464" s="57">
        <v>45883</v>
      </c>
      <c r="C464" s="58" t="s">
        <v>494</v>
      </c>
      <c r="D464" s="58" t="s">
        <v>28</v>
      </c>
      <c r="E464" s="58" t="s">
        <v>495</v>
      </c>
      <c r="F464" s="58" t="s">
        <v>496</v>
      </c>
      <c r="G464" s="58" t="s">
        <v>31</v>
      </c>
      <c r="H464" s="58" t="s">
        <v>51</v>
      </c>
      <c r="I464" s="58" t="s">
        <v>52</v>
      </c>
      <c r="J464" s="58" t="s">
        <v>696</v>
      </c>
      <c r="K464" s="59">
        <v>1</v>
      </c>
      <c r="L464" s="59">
        <v>1</v>
      </c>
      <c r="M464" s="60">
        <v>1</v>
      </c>
      <c r="N464" s="59" t="s">
        <v>355</v>
      </c>
      <c r="O464" s="59" t="s">
        <v>355</v>
      </c>
      <c r="P464" s="59">
        <v>59.98</v>
      </c>
      <c r="Q464" s="60">
        <v>3.0009999999999998E-2</v>
      </c>
      <c r="R464" s="59">
        <v>33.32</v>
      </c>
      <c r="S464" s="59">
        <v>2</v>
      </c>
      <c r="T464" s="59">
        <v>2</v>
      </c>
      <c r="U464" s="60">
        <v>2</v>
      </c>
      <c r="V464" s="59">
        <v>2</v>
      </c>
      <c r="W464" s="59">
        <v>0</v>
      </c>
      <c r="X464" s="59" t="s">
        <v>697</v>
      </c>
      <c r="Y464" s="79" t="s">
        <v>36</v>
      </c>
      <c r="Z464" s="64" t="s">
        <v>668</v>
      </c>
      <c r="AA464" s="80">
        <f t="shared" si="5"/>
        <v>3.0009999999999998E-2</v>
      </c>
    </row>
    <row r="465" spans="1:27" ht="14.4" x14ac:dyDescent="0.3">
      <c r="A465" s="56">
        <v>45883</v>
      </c>
      <c r="B465" s="57">
        <v>45883</v>
      </c>
      <c r="C465" s="58" t="s">
        <v>85</v>
      </c>
      <c r="D465" s="58" t="s">
        <v>28</v>
      </c>
      <c r="E465" s="58" t="s">
        <v>108</v>
      </c>
      <c r="F465" s="58" t="s">
        <v>109</v>
      </c>
      <c r="G465" s="58" t="s">
        <v>31</v>
      </c>
      <c r="H465" s="58" t="s">
        <v>110</v>
      </c>
      <c r="I465" s="58" t="s">
        <v>44</v>
      </c>
      <c r="J465" s="58" t="s">
        <v>698</v>
      </c>
      <c r="K465" s="59">
        <v>2</v>
      </c>
      <c r="L465" s="59">
        <v>1</v>
      </c>
      <c r="M465" s="60">
        <v>0.5</v>
      </c>
      <c r="N465" s="59" t="s">
        <v>699</v>
      </c>
      <c r="O465" s="59" t="s">
        <v>699</v>
      </c>
      <c r="P465" s="59">
        <v>29.99</v>
      </c>
      <c r="Q465" s="60">
        <v>3.0676999999999999E-2</v>
      </c>
      <c r="R465" s="59">
        <v>32.6</v>
      </c>
      <c r="S465" s="59">
        <v>1</v>
      </c>
      <c r="T465" s="59">
        <v>1</v>
      </c>
      <c r="U465" s="60">
        <v>1</v>
      </c>
      <c r="V465" s="59">
        <v>1</v>
      </c>
      <c r="W465" s="59">
        <v>0</v>
      </c>
      <c r="X465" s="59" t="s">
        <v>498</v>
      </c>
      <c r="Y465" s="79" t="s">
        <v>36</v>
      </c>
      <c r="Z465" s="64" t="s">
        <v>668</v>
      </c>
      <c r="AA465" s="80">
        <f t="shared" si="5"/>
        <v>3.0676999999999999E-2</v>
      </c>
    </row>
    <row r="466" spans="1:27" ht="14.4" x14ac:dyDescent="0.3">
      <c r="A466" s="56">
        <v>45883</v>
      </c>
      <c r="B466" s="57">
        <v>45883</v>
      </c>
      <c r="C466" s="58" t="s">
        <v>27</v>
      </c>
      <c r="D466" s="58" t="s">
        <v>28</v>
      </c>
      <c r="E466" s="58" t="s">
        <v>71</v>
      </c>
      <c r="F466" s="58" t="s">
        <v>72</v>
      </c>
      <c r="G466" s="58" t="s">
        <v>31</v>
      </c>
      <c r="H466" s="58" t="s">
        <v>73</v>
      </c>
      <c r="I466" s="58" t="s">
        <v>52</v>
      </c>
      <c r="J466" s="58" t="s">
        <v>700</v>
      </c>
      <c r="K466" s="59">
        <v>2</v>
      </c>
      <c r="L466" s="59">
        <v>1</v>
      </c>
      <c r="M466" s="60">
        <v>0.5</v>
      </c>
      <c r="N466" s="59" t="s">
        <v>598</v>
      </c>
      <c r="O466" s="59" t="s">
        <v>598</v>
      </c>
      <c r="P466" s="59">
        <v>24.94</v>
      </c>
      <c r="Q466" s="60">
        <v>0.102245</v>
      </c>
      <c r="R466" s="59">
        <v>9.7799999999999994</v>
      </c>
      <c r="S466" s="59">
        <v>1</v>
      </c>
      <c r="T466" s="59">
        <v>1</v>
      </c>
      <c r="U466" s="60">
        <v>1</v>
      </c>
      <c r="V466" s="59">
        <v>1</v>
      </c>
      <c r="W466" s="59">
        <v>0</v>
      </c>
      <c r="X466" s="59" t="s">
        <v>35</v>
      </c>
      <c r="Y466" s="79" t="s">
        <v>36</v>
      </c>
      <c r="Z466" s="64" t="s">
        <v>668</v>
      </c>
      <c r="AA466" s="80">
        <f t="shared" si="5"/>
        <v>0.102245</v>
      </c>
    </row>
    <row r="467" spans="1:27" ht="14.4" x14ac:dyDescent="0.3">
      <c r="A467" s="56">
        <v>45883</v>
      </c>
      <c r="B467" s="57">
        <v>45883</v>
      </c>
      <c r="C467" s="58" t="s">
        <v>27</v>
      </c>
      <c r="D467" s="58" t="s">
        <v>28</v>
      </c>
      <c r="E467" s="58" t="s">
        <v>71</v>
      </c>
      <c r="F467" s="58" t="s">
        <v>72</v>
      </c>
      <c r="G467" s="58" t="s">
        <v>31</v>
      </c>
      <c r="H467" s="58" t="s">
        <v>73</v>
      </c>
      <c r="I467" s="58" t="s">
        <v>52</v>
      </c>
      <c r="J467" s="58" t="s">
        <v>701</v>
      </c>
      <c r="K467" s="59">
        <v>3</v>
      </c>
      <c r="L467" s="59">
        <v>1</v>
      </c>
      <c r="M467" s="60">
        <v>0.33333299999999999</v>
      </c>
      <c r="N467" s="59" t="s">
        <v>702</v>
      </c>
      <c r="O467" s="59" t="s">
        <v>702</v>
      </c>
      <c r="P467" s="59">
        <v>24.94</v>
      </c>
      <c r="Q467" s="60">
        <v>0.12830800000000001</v>
      </c>
      <c r="R467" s="59">
        <v>7.79</v>
      </c>
      <c r="S467" s="59">
        <v>1</v>
      </c>
      <c r="T467" s="59">
        <v>1</v>
      </c>
      <c r="U467" s="60">
        <v>1</v>
      </c>
      <c r="V467" s="59">
        <v>1</v>
      </c>
      <c r="W467" s="59">
        <v>0</v>
      </c>
      <c r="X467" s="59" t="s">
        <v>35</v>
      </c>
      <c r="Y467" s="79" t="s">
        <v>36</v>
      </c>
      <c r="Z467" s="64" t="s">
        <v>668</v>
      </c>
      <c r="AA467" s="80">
        <f t="shared" si="5"/>
        <v>0.12830800000000001</v>
      </c>
    </row>
    <row r="468" spans="1:27" ht="14.4" x14ac:dyDescent="0.3">
      <c r="A468" s="56">
        <v>45883</v>
      </c>
      <c r="B468" s="57">
        <v>45883</v>
      </c>
      <c r="C468" s="58" t="s">
        <v>27</v>
      </c>
      <c r="D468" s="58" t="s">
        <v>28</v>
      </c>
      <c r="E468" s="58" t="s">
        <v>71</v>
      </c>
      <c r="F468" s="58" t="s">
        <v>72</v>
      </c>
      <c r="G468" s="58" t="s">
        <v>31</v>
      </c>
      <c r="H468" s="58" t="s">
        <v>73</v>
      </c>
      <c r="I468" s="58" t="s">
        <v>52</v>
      </c>
      <c r="J468" s="58" t="s">
        <v>703</v>
      </c>
      <c r="K468" s="59">
        <v>4</v>
      </c>
      <c r="L468" s="59">
        <v>1</v>
      </c>
      <c r="M468" s="60">
        <v>0.25</v>
      </c>
      <c r="N468" s="59" t="s">
        <v>704</v>
      </c>
      <c r="O468" s="59" t="s">
        <v>704</v>
      </c>
      <c r="P468" s="59">
        <v>24.94</v>
      </c>
      <c r="Q468" s="60">
        <v>0.121091</v>
      </c>
      <c r="R468" s="59">
        <v>8.26</v>
      </c>
      <c r="S468" s="59">
        <v>1</v>
      </c>
      <c r="T468" s="59">
        <v>1</v>
      </c>
      <c r="U468" s="60">
        <v>1</v>
      </c>
      <c r="V468" s="59">
        <v>1</v>
      </c>
      <c r="W468" s="59">
        <v>0</v>
      </c>
      <c r="X468" s="59" t="s">
        <v>35</v>
      </c>
      <c r="Y468" s="79" t="s">
        <v>36</v>
      </c>
      <c r="Z468" s="64" t="s">
        <v>668</v>
      </c>
      <c r="AA468" s="80">
        <f t="shared" si="5"/>
        <v>0.121091</v>
      </c>
    </row>
    <row r="469" spans="1:27" ht="14.4" x14ac:dyDescent="0.3">
      <c r="A469" s="56">
        <v>45883</v>
      </c>
      <c r="B469" s="57">
        <v>45883</v>
      </c>
      <c r="C469" s="58" t="s">
        <v>27</v>
      </c>
      <c r="D469" s="58" t="s">
        <v>28</v>
      </c>
      <c r="E469" s="58" t="s">
        <v>71</v>
      </c>
      <c r="F469" s="58" t="s">
        <v>72</v>
      </c>
      <c r="G469" s="58" t="s">
        <v>31</v>
      </c>
      <c r="H469" s="58" t="s">
        <v>51</v>
      </c>
      <c r="I469" s="58" t="s">
        <v>52</v>
      </c>
      <c r="J469" s="58" t="s">
        <v>599</v>
      </c>
      <c r="K469" s="59">
        <v>9</v>
      </c>
      <c r="L469" s="59">
        <v>2</v>
      </c>
      <c r="M469" s="60">
        <v>0.222222</v>
      </c>
      <c r="N469" s="59" t="s">
        <v>181</v>
      </c>
      <c r="O469" s="59" t="s">
        <v>556</v>
      </c>
      <c r="P469" s="59">
        <v>24.94</v>
      </c>
      <c r="Q469" s="60">
        <v>0.20048099999999999</v>
      </c>
      <c r="R469" s="59">
        <v>4.99</v>
      </c>
      <c r="S469" s="59">
        <v>1</v>
      </c>
      <c r="T469" s="59">
        <v>1</v>
      </c>
      <c r="U469" s="60">
        <v>0.5</v>
      </c>
      <c r="V469" s="59">
        <v>1</v>
      </c>
      <c r="W469" s="59">
        <v>0</v>
      </c>
      <c r="X469" s="59" t="s">
        <v>35</v>
      </c>
      <c r="Y469" s="79" t="s">
        <v>36</v>
      </c>
      <c r="Z469" s="64" t="s">
        <v>668</v>
      </c>
      <c r="AA469" s="80">
        <f t="shared" si="5"/>
        <v>0.20048099999999999</v>
      </c>
    </row>
    <row r="470" spans="1:27" ht="14.4" x14ac:dyDescent="0.3">
      <c r="A470" s="56">
        <v>45883</v>
      </c>
      <c r="B470" s="57">
        <v>45883</v>
      </c>
      <c r="C470" s="58" t="s">
        <v>48</v>
      </c>
      <c r="D470" s="58" t="s">
        <v>28</v>
      </c>
      <c r="E470" s="58" t="s">
        <v>49</v>
      </c>
      <c r="F470" s="58" t="s">
        <v>50</v>
      </c>
      <c r="G470" s="58" t="s">
        <v>31</v>
      </c>
      <c r="H470" s="58" t="s">
        <v>51</v>
      </c>
      <c r="I470" s="58" t="s">
        <v>52</v>
      </c>
      <c r="J470" s="58" t="s">
        <v>705</v>
      </c>
      <c r="K470" s="59">
        <v>3</v>
      </c>
      <c r="L470" s="59">
        <v>1</v>
      </c>
      <c r="M470" s="60">
        <v>0.33333299999999999</v>
      </c>
      <c r="N470" s="59" t="s">
        <v>236</v>
      </c>
      <c r="O470" s="59" t="s">
        <v>236</v>
      </c>
      <c r="P470" s="59">
        <v>21.95</v>
      </c>
      <c r="Q470" s="60">
        <v>9.1116000000000003E-2</v>
      </c>
      <c r="R470" s="59">
        <v>10.98</v>
      </c>
      <c r="S470" s="59">
        <v>1</v>
      </c>
      <c r="T470" s="59">
        <v>1</v>
      </c>
      <c r="U470" s="60">
        <v>1</v>
      </c>
      <c r="V470" s="59">
        <v>1</v>
      </c>
      <c r="W470" s="59">
        <v>0</v>
      </c>
      <c r="X470" s="59" t="s">
        <v>603</v>
      </c>
      <c r="Y470" s="79" t="s">
        <v>36</v>
      </c>
      <c r="Z470" s="64" t="s">
        <v>668</v>
      </c>
      <c r="AA470" s="80">
        <f t="shared" si="5"/>
        <v>9.1116000000000003E-2</v>
      </c>
    </row>
    <row r="471" spans="1:27" ht="14.4" x14ac:dyDescent="0.3">
      <c r="A471" s="56">
        <v>45883</v>
      </c>
      <c r="B471" s="57">
        <v>45883</v>
      </c>
      <c r="C471" s="58" t="s">
        <v>48</v>
      </c>
      <c r="D471" s="58" t="s">
        <v>28</v>
      </c>
      <c r="E471" s="58" t="s">
        <v>49</v>
      </c>
      <c r="F471" s="58" t="s">
        <v>50</v>
      </c>
      <c r="G471" s="58" t="s">
        <v>31</v>
      </c>
      <c r="H471" s="58" t="s">
        <v>51</v>
      </c>
      <c r="I471" s="58" t="s">
        <v>52</v>
      </c>
      <c r="J471" s="58" t="s">
        <v>706</v>
      </c>
      <c r="K471" s="59">
        <v>6</v>
      </c>
      <c r="L471" s="59">
        <v>1</v>
      </c>
      <c r="M471" s="60">
        <v>0.16666700000000001</v>
      </c>
      <c r="N471" s="59" t="s">
        <v>707</v>
      </c>
      <c r="O471" s="59" t="s">
        <v>707</v>
      </c>
      <c r="P471" s="59">
        <v>21.95</v>
      </c>
      <c r="Q471" s="60">
        <v>6.3325999999999993E-2</v>
      </c>
      <c r="R471" s="59">
        <v>15.79</v>
      </c>
      <c r="S471" s="59">
        <v>1</v>
      </c>
      <c r="T471" s="59">
        <v>1</v>
      </c>
      <c r="U471" s="60">
        <v>1</v>
      </c>
      <c r="V471" s="59">
        <v>1</v>
      </c>
      <c r="W471" s="59">
        <v>0</v>
      </c>
      <c r="X471" s="59" t="s">
        <v>603</v>
      </c>
      <c r="Y471" s="79" t="s">
        <v>36</v>
      </c>
      <c r="Z471" s="64" t="s">
        <v>668</v>
      </c>
      <c r="AA471" s="80">
        <f t="shared" si="5"/>
        <v>6.3325999999999993E-2</v>
      </c>
    </row>
    <row r="472" spans="1:27" ht="14.4" x14ac:dyDescent="0.3">
      <c r="A472" s="56">
        <v>45882</v>
      </c>
      <c r="B472" s="57">
        <v>45882</v>
      </c>
      <c r="C472" s="58" t="s">
        <v>143</v>
      </c>
      <c r="D472" s="58" t="s">
        <v>28</v>
      </c>
      <c r="E472" s="58" t="s">
        <v>144</v>
      </c>
      <c r="F472" s="58" t="s">
        <v>32</v>
      </c>
      <c r="G472" s="58" t="s">
        <v>31</v>
      </c>
      <c r="H472" s="58" t="s">
        <v>30</v>
      </c>
      <c r="I472" s="58" t="s">
        <v>44</v>
      </c>
      <c r="J472" s="58" t="s">
        <v>708</v>
      </c>
      <c r="K472" s="59">
        <v>14</v>
      </c>
      <c r="L472" s="59">
        <v>1</v>
      </c>
      <c r="M472" s="60">
        <v>7.1429000000000006E-2</v>
      </c>
      <c r="N472" s="59" t="s">
        <v>431</v>
      </c>
      <c r="O472" s="59" t="s">
        <v>431</v>
      </c>
      <c r="P472" s="59">
        <v>24.94</v>
      </c>
      <c r="Q472" s="60">
        <v>2.6062999999999999E-2</v>
      </c>
      <c r="R472" s="59">
        <v>38.369999999999997</v>
      </c>
      <c r="S472" s="59">
        <v>1</v>
      </c>
      <c r="T472" s="59">
        <v>1</v>
      </c>
      <c r="U472" s="60">
        <v>1</v>
      </c>
      <c r="V472" s="59">
        <v>1</v>
      </c>
      <c r="W472" s="59">
        <v>0</v>
      </c>
      <c r="X472" s="59" t="s">
        <v>35</v>
      </c>
      <c r="Y472" s="79" t="s">
        <v>36</v>
      </c>
      <c r="Z472" s="64" t="s">
        <v>668</v>
      </c>
      <c r="AA472" s="80">
        <f t="shared" si="5"/>
        <v>2.6062999999999999E-2</v>
      </c>
    </row>
    <row r="473" spans="1:27" ht="14.4" x14ac:dyDescent="0.3">
      <c r="A473" s="56">
        <v>45882</v>
      </c>
      <c r="B473" s="57">
        <v>45883</v>
      </c>
      <c r="C473" s="58" t="s">
        <v>85</v>
      </c>
      <c r="D473" s="58" t="s">
        <v>28</v>
      </c>
      <c r="E473" s="58" t="s">
        <v>108</v>
      </c>
      <c r="F473" s="58" t="s">
        <v>109</v>
      </c>
      <c r="G473" s="58" t="s">
        <v>31</v>
      </c>
      <c r="H473" s="58" t="s">
        <v>110</v>
      </c>
      <c r="I473" s="58" t="s">
        <v>44</v>
      </c>
      <c r="J473" s="58" t="s">
        <v>709</v>
      </c>
      <c r="K473" s="59">
        <v>6</v>
      </c>
      <c r="L473" s="59">
        <v>2</v>
      </c>
      <c r="M473" s="60">
        <v>0.33333299999999999</v>
      </c>
      <c r="N473" s="59" t="s">
        <v>710</v>
      </c>
      <c r="O473" s="59" t="s">
        <v>711</v>
      </c>
      <c r="P473" s="59">
        <v>24.94</v>
      </c>
      <c r="Q473" s="60">
        <v>0.198877</v>
      </c>
      <c r="R473" s="59">
        <v>5.03</v>
      </c>
      <c r="S473" s="59">
        <v>1</v>
      </c>
      <c r="T473" s="59">
        <v>1</v>
      </c>
      <c r="U473" s="60">
        <v>0.5</v>
      </c>
      <c r="V473" s="59">
        <v>1</v>
      </c>
      <c r="W473" s="59">
        <v>0</v>
      </c>
      <c r="X473" s="59" t="s">
        <v>35</v>
      </c>
      <c r="Y473" s="79" t="s">
        <v>36</v>
      </c>
      <c r="Z473" s="64" t="s">
        <v>668</v>
      </c>
      <c r="AA473" s="80">
        <f t="shared" si="5"/>
        <v>0.198877</v>
      </c>
    </row>
    <row r="474" spans="1:27" ht="14.4" x14ac:dyDescent="0.3">
      <c r="A474" s="56">
        <v>45882</v>
      </c>
      <c r="B474" s="57">
        <v>45882</v>
      </c>
      <c r="C474" s="58" t="s">
        <v>27</v>
      </c>
      <c r="D474" s="58" t="s">
        <v>28</v>
      </c>
      <c r="E474" s="58" t="s">
        <v>71</v>
      </c>
      <c r="F474" s="58" t="s">
        <v>72</v>
      </c>
      <c r="G474" s="58" t="s">
        <v>31</v>
      </c>
      <c r="H474" s="58" t="s">
        <v>51</v>
      </c>
      <c r="I474" s="58" t="s">
        <v>52</v>
      </c>
      <c r="J474" s="58" t="s">
        <v>712</v>
      </c>
      <c r="K474" s="59">
        <v>2</v>
      </c>
      <c r="L474" s="59">
        <v>1</v>
      </c>
      <c r="M474" s="60">
        <v>0.5</v>
      </c>
      <c r="N474" s="59" t="s">
        <v>559</v>
      </c>
      <c r="O474" s="59" t="s">
        <v>559</v>
      </c>
      <c r="P474" s="59">
        <v>24.94</v>
      </c>
      <c r="Q474" s="60">
        <v>6.4956E-2</v>
      </c>
      <c r="R474" s="59">
        <v>15.4</v>
      </c>
      <c r="S474" s="59">
        <v>1</v>
      </c>
      <c r="T474" s="59">
        <v>1</v>
      </c>
      <c r="U474" s="60">
        <v>1</v>
      </c>
      <c r="V474" s="59">
        <v>1</v>
      </c>
      <c r="W474" s="59">
        <v>0</v>
      </c>
      <c r="X474" s="59" t="s">
        <v>35</v>
      </c>
      <c r="Y474" s="79" t="s">
        <v>36</v>
      </c>
      <c r="Z474" s="64" t="s">
        <v>668</v>
      </c>
      <c r="AA474" s="80">
        <f t="shared" si="5"/>
        <v>6.4956E-2</v>
      </c>
    </row>
    <row r="475" spans="1:27" ht="14.4" x14ac:dyDescent="0.3">
      <c r="A475" s="56">
        <v>45882</v>
      </c>
      <c r="B475" s="57">
        <v>45882</v>
      </c>
      <c r="C475" s="58" t="s">
        <v>27</v>
      </c>
      <c r="D475" s="58" t="s">
        <v>28</v>
      </c>
      <c r="E475" s="58" t="s">
        <v>71</v>
      </c>
      <c r="F475" s="58" t="s">
        <v>72</v>
      </c>
      <c r="G475" s="58" t="s">
        <v>31</v>
      </c>
      <c r="H475" s="58" t="s">
        <v>73</v>
      </c>
      <c r="I475" s="58" t="s">
        <v>52</v>
      </c>
      <c r="J475" s="58" t="s">
        <v>140</v>
      </c>
      <c r="K475" s="59">
        <v>13</v>
      </c>
      <c r="L475" s="59">
        <v>2</v>
      </c>
      <c r="M475" s="60">
        <v>0.15384600000000001</v>
      </c>
      <c r="N475" s="59" t="s">
        <v>663</v>
      </c>
      <c r="O475" s="59" t="s">
        <v>713</v>
      </c>
      <c r="P475" s="59">
        <v>24.94</v>
      </c>
      <c r="Q475" s="60">
        <v>0.25461099999999998</v>
      </c>
      <c r="R475" s="59">
        <v>3.93</v>
      </c>
      <c r="S475" s="59">
        <v>1</v>
      </c>
      <c r="T475" s="59">
        <v>1</v>
      </c>
      <c r="U475" s="60">
        <v>0.5</v>
      </c>
      <c r="V475" s="59">
        <v>1</v>
      </c>
      <c r="W475" s="59">
        <v>0</v>
      </c>
      <c r="X475" s="59" t="s">
        <v>35</v>
      </c>
      <c r="Y475" s="79" t="s">
        <v>36</v>
      </c>
      <c r="Z475" s="64" t="s">
        <v>668</v>
      </c>
      <c r="AA475" s="80">
        <f t="shared" si="5"/>
        <v>0.25461099999999998</v>
      </c>
    </row>
    <row r="476" spans="1:27" ht="14.4" x14ac:dyDescent="0.3">
      <c r="A476" s="56">
        <v>45881</v>
      </c>
      <c r="B476" s="57">
        <v>45881</v>
      </c>
      <c r="C476" s="58" t="s">
        <v>48</v>
      </c>
      <c r="D476" s="58" t="s">
        <v>28</v>
      </c>
      <c r="E476" s="58" t="s">
        <v>225</v>
      </c>
      <c r="F476" s="58" t="s">
        <v>226</v>
      </c>
      <c r="G476" s="58" t="s">
        <v>31</v>
      </c>
      <c r="H476" s="58" t="s">
        <v>88</v>
      </c>
      <c r="I476" s="58" t="s">
        <v>32</v>
      </c>
      <c r="J476" s="58" t="s">
        <v>130</v>
      </c>
      <c r="K476" s="59">
        <v>4</v>
      </c>
      <c r="L476" s="59">
        <v>1</v>
      </c>
      <c r="M476" s="60">
        <v>0.25</v>
      </c>
      <c r="N476" s="59" t="s">
        <v>519</v>
      </c>
      <c r="O476" s="59" t="s">
        <v>519</v>
      </c>
      <c r="P476" s="59">
        <v>21.95</v>
      </c>
      <c r="Q476" s="60">
        <v>0.18496599999999999</v>
      </c>
      <c r="R476" s="59">
        <v>5.41</v>
      </c>
      <c r="S476" s="59">
        <v>1</v>
      </c>
      <c r="T476" s="59">
        <v>1</v>
      </c>
      <c r="U476" s="60">
        <v>1</v>
      </c>
      <c r="V476" s="59">
        <v>1</v>
      </c>
      <c r="W476" s="59">
        <v>0</v>
      </c>
      <c r="X476" s="59" t="s">
        <v>603</v>
      </c>
      <c r="Y476" s="79" t="s">
        <v>36</v>
      </c>
      <c r="Z476" s="64" t="s">
        <v>668</v>
      </c>
      <c r="AA476" s="80">
        <f t="shared" si="5"/>
        <v>0.18496599999999999</v>
      </c>
    </row>
    <row r="477" spans="1:27" ht="14.4" x14ac:dyDescent="0.3">
      <c r="A477" s="56">
        <v>45881</v>
      </c>
      <c r="B477" s="57">
        <v>45885</v>
      </c>
      <c r="C477" s="58" t="s">
        <v>48</v>
      </c>
      <c r="D477" s="58" t="s">
        <v>28</v>
      </c>
      <c r="E477" s="58" t="s">
        <v>49</v>
      </c>
      <c r="F477" s="58" t="s">
        <v>50</v>
      </c>
      <c r="G477" s="58" t="s">
        <v>31</v>
      </c>
      <c r="H477" s="58" t="s">
        <v>51</v>
      </c>
      <c r="I477" s="58" t="s">
        <v>52</v>
      </c>
      <c r="J477" s="58" t="s">
        <v>714</v>
      </c>
      <c r="K477" s="59">
        <v>110</v>
      </c>
      <c r="L477" s="59">
        <v>3</v>
      </c>
      <c r="M477" s="60">
        <v>2.7272999999999999E-2</v>
      </c>
      <c r="N477" s="59" t="s">
        <v>715</v>
      </c>
      <c r="O477" s="59" t="s">
        <v>716</v>
      </c>
      <c r="P477" s="59">
        <v>21.95</v>
      </c>
      <c r="Q477" s="60">
        <v>0.244647</v>
      </c>
      <c r="R477" s="59">
        <v>4.09</v>
      </c>
      <c r="S477" s="59">
        <v>1</v>
      </c>
      <c r="T477" s="59">
        <v>1</v>
      </c>
      <c r="U477" s="60">
        <v>0.33333299999999999</v>
      </c>
      <c r="V477" s="59">
        <v>1</v>
      </c>
      <c r="W477" s="59">
        <v>0</v>
      </c>
      <c r="X477" s="59" t="s">
        <v>603</v>
      </c>
      <c r="Y477" s="79" t="s">
        <v>36</v>
      </c>
      <c r="Z477" s="64" t="s">
        <v>668</v>
      </c>
      <c r="AA477" s="80">
        <f t="shared" si="5"/>
        <v>0.244647</v>
      </c>
    </row>
    <row r="478" spans="1:27" ht="14.4" x14ac:dyDescent="0.3">
      <c r="A478" s="56">
        <v>45881</v>
      </c>
      <c r="B478" s="57">
        <v>45881</v>
      </c>
      <c r="C478" s="58" t="s">
        <v>27</v>
      </c>
      <c r="D478" s="58" t="s">
        <v>28</v>
      </c>
      <c r="E478" s="58" t="s">
        <v>71</v>
      </c>
      <c r="F478" s="58" t="s">
        <v>72</v>
      </c>
      <c r="G478" s="58" t="s">
        <v>31</v>
      </c>
      <c r="H478" s="58" t="s">
        <v>51</v>
      </c>
      <c r="I478" s="58" t="s">
        <v>52</v>
      </c>
      <c r="J478" s="58" t="s">
        <v>717</v>
      </c>
      <c r="K478" s="59">
        <v>1</v>
      </c>
      <c r="L478" s="59">
        <v>1</v>
      </c>
      <c r="M478" s="60">
        <v>1</v>
      </c>
      <c r="N478" s="59" t="s">
        <v>181</v>
      </c>
      <c r="O478" s="59" t="s">
        <v>181</v>
      </c>
      <c r="P478" s="59">
        <v>24.94</v>
      </c>
      <c r="Q478" s="60">
        <v>0.100241</v>
      </c>
      <c r="R478" s="59">
        <v>9.98</v>
      </c>
      <c r="S478" s="59">
        <v>1</v>
      </c>
      <c r="T478" s="59">
        <v>1</v>
      </c>
      <c r="U478" s="60">
        <v>1</v>
      </c>
      <c r="V478" s="59">
        <v>1</v>
      </c>
      <c r="W478" s="59">
        <v>0</v>
      </c>
      <c r="X478" s="59" t="s">
        <v>35</v>
      </c>
      <c r="Y478" s="79" t="s">
        <v>36</v>
      </c>
      <c r="Z478" s="64" t="s">
        <v>668</v>
      </c>
      <c r="AA478" s="80">
        <f t="shared" si="5"/>
        <v>0.100241</v>
      </c>
    </row>
    <row r="479" spans="1:27" ht="14.4" x14ac:dyDescent="0.3">
      <c r="A479" s="56">
        <v>45881</v>
      </c>
      <c r="B479" s="57">
        <v>45881</v>
      </c>
      <c r="C479" s="58" t="s">
        <v>143</v>
      </c>
      <c r="D479" s="58" t="s">
        <v>28</v>
      </c>
      <c r="E479" s="58" t="s">
        <v>144</v>
      </c>
      <c r="F479" s="58" t="s">
        <v>32</v>
      </c>
      <c r="G479" s="58" t="s">
        <v>31</v>
      </c>
      <c r="H479" s="58" t="s">
        <v>119</v>
      </c>
      <c r="I479" s="58" t="s">
        <v>44</v>
      </c>
      <c r="J479" s="58" t="s">
        <v>119</v>
      </c>
      <c r="K479" s="59">
        <v>73</v>
      </c>
      <c r="L479" s="59">
        <v>2</v>
      </c>
      <c r="M479" s="60">
        <v>2.7397000000000001E-2</v>
      </c>
      <c r="N479" s="59" t="s">
        <v>718</v>
      </c>
      <c r="O479" s="59" t="s">
        <v>280</v>
      </c>
      <c r="P479" s="59">
        <v>24.94</v>
      </c>
      <c r="Q479" s="60">
        <v>1.6840000000000001E-2</v>
      </c>
      <c r="R479" s="59">
        <v>59.38</v>
      </c>
      <c r="S479" s="59">
        <v>1</v>
      </c>
      <c r="T479" s="59">
        <v>1</v>
      </c>
      <c r="U479" s="60">
        <v>0.5</v>
      </c>
      <c r="V479" s="59">
        <v>1</v>
      </c>
      <c r="W479" s="59">
        <v>0</v>
      </c>
      <c r="X479" s="59" t="s">
        <v>35</v>
      </c>
      <c r="Y479" s="79" t="s">
        <v>36</v>
      </c>
      <c r="Z479" s="64" t="s">
        <v>668</v>
      </c>
      <c r="AA479" s="80">
        <f t="shared" si="5"/>
        <v>1.6840000000000001E-2</v>
      </c>
    </row>
    <row r="480" spans="1:27" ht="14.4" x14ac:dyDescent="0.3">
      <c r="A480" s="56">
        <v>45881</v>
      </c>
      <c r="B480" s="57">
        <v>45882</v>
      </c>
      <c r="C480" s="58" t="s">
        <v>48</v>
      </c>
      <c r="D480" s="58" t="s">
        <v>28</v>
      </c>
      <c r="E480" s="58" t="s">
        <v>225</v>
      </c>
      <c r="F480" s="58" t="s">
        <v>226</v>
      </c>
      <c r="G480" s="58" t="s">
        <v>31</v>
      </c>
      <c r="H480" s="58" t="s">
        <v>372</v>
      </c>
      <c r="I480" s="58" t="s">
        <v>32</v>
      </c>
      <c r="J480" s="58" t="s">
        <v>443</v>
      </c>
      <c r="K480" s="59">
        <v>3</v>
      </c>
      <c r="L480" s="59">
        <v>2</v>
      </c>
      <c r="M480" s="60">
        <v>0.66666700000000001</v>
      </c>
      <c r="N480" s="59" t="s">
        <v>120</v>
      </c>
      <c r="O480" s="59" t="s">
        <v>719</v>
      </c>
      <c r="P480" s="59">
        <v>21.95</v>
      </c>
      <c r="Q480" s="60">
        <v>0.28200500000000001</v>
      </c>
      <c r="R480" s="59">
        <v>3.55</v>
      </c>
      <c r="S480" s="59">
        <v>1</v>
      </c>
      <c r="T480" s="59">
        <v>1</v>
      </c>
      <c r="U480" s="60">
        <v>0.5</v>
      </c>
      <c r="V480" s="59">
        <v>1</v>
      </c>
      <c r="W480" s="59">
        <v>0</v>
      </c>
      <c r="X480" s="59" t="s">
        <v>603</v>
      </c>
      <c r="Y480" s="79" t="s">
        <v>36</v>
      </c>
      <c r="Z480" s="64" t="s">
        <v>668</v>
      </c>
      <c r="AA480" s="80">
        <f t="shared" si="5"/>
        <v>0.28200500000000001</v>
      </c>
    </row>
    <row r="481" spans="1:27" ht="14.4" x14ac:dyDescent="0.3">
      <c r="A481" s="69">
        <v>45881</v>
      </c>
      <c r="B481" s="70">
        <v>45882</v>
      </c>
      <c r="C481" s="71" t="s">
        <v>48</v>
      </c>
      <c r="D481" s="71" t="s">
        <v>28</v>
      </c>
      <c r="E481" s="71" t="s">
        <v>233</v>
      </c>
      <c r="F481" s="71" t="s">
        <v>234</v>
      </c>
      <c r="G481" s="71" t="s">
        <v>31</v>
      </c>
      <c r="H481" s="71" t="s">
        <v>223</v>
      </c>
      <c r="I481" s="71" t="s">
        <v>32</v>
      </c>
      <c r="J481" s="71" t="s">
        <v>720</v>
      </c>
      <c r="K481" s="72">
        <v>405</v>
      </c>
      <c r="L481" s="72">
        <v>3</v>
      </c>
      <c r="M481" s="73">
        <v>7.4070000000000004E-3</v>
      </c>
      <c r="N481" s="72" t="s">
        <v>663</v>
      </c>
      <c r="O481" s="72" t="s">
        <v>721</v>
      </c>
      <c r="P481" s="72">
        <v>21.95</v>
      </c>
      <c r="Q481" s="73">
        <v>0.43462400000000001</v>
      </c>
      <c r="R481" s="72">
        <v>2.2999999999999998</v>
      </c>
      <c r="S481" s="72">
        <v>1</v>
      </c>
      <c r="T481" s="72">
        <v>1</v>
      </c>
      <c r="U481" s="73">
        <v>0.33333299999999999</v>
      </c>
      <c r="V481" s="72">
        <v>1</v>
      </c>
      <c r="W481" s="72">
        <v>0</v>
      </c>
      <c r="X481" s="72" t="s">
        <v>603</v>
      </c>
      <c r="Y481" s="83" t="s">
        <v>36</v>
      </c>
      <c r="Z481" s="64" t="s">
        <v>668</v>
      </c>
      <c r="AA481" s="80">
        <f t="shared" si="5"/>
        <v>0.43462400000000001</v>
      </c>
    </row>
    <row r="482" spans="1:27" ht="14.4" x14ac:dyDescent="0.3">
      <c r="A482" s="56">
        <v>45880</v>
      </c>
      <c r="B482" s="57">
        <v>45885</v>
      </c>
      <c r="C482" s="58" t="s">
        <v>105</v>
      </c>
      <c r="D482" s="58" t="s">
        <v>28</v>
      </c>
      <c r="E482" s="58" t="s">
        <v>669</v>
      </c>
      <c r="F482" s="58" t="s">
        <v>30</v>
      </c>
      <c r="G482" s="58" t="s">
        <v>31</v>
      </c>
      <c r="H482" s="58" t="s">
        <v>30</v>
      </c>
      <c r="I482" s="58" t="s">
        <v>65</v>
      </c>
      <c r="J482" s="58" t="s">
        <v>30</v>
      </c>
      <c r="K482" s="59">
        <v>293</v>
      </c>
      <c r="L482" s="59">
        <v>6</v>
      </c>
      <c r="M482" s="60">
        <v>2.0478E-2</v>
      </c>
      <c r="N482" s="59" t="s">
        <v>184</v>
      </c>
      <c r="O482" s="59" t="s">
        <v>722</v>
      </c>
      <c r="P482" s="59">
        <v>49.88</v>
      </c>
      <c r="Q482" s="60">
        <v>0.36166799999999999</v>
      </c>
      <c r="R482" s="59">
        <v>2.76</v>
      </c>
      <c r="S482" s="59">
        <v>2</v>
      </c>
      <c r="T482" s="59">
        <v>2</v>
      </c>
      <c r="U482" s="60">
        <v>0.33333299999999999</v>
      </c>
      <c r="V482" s="59">
        <v>2</v>
      </c>
      <c r="W482" s="59">
        <v>0</v>
      </c>
      <c r="X482" s="59" t="s">
        <v>78</v>
      </c>
      <c r="Y482" s="79" t="s">
        <v>36</v>
      </c>
      <c r="Z482" s="64" t="s">
        <v>668</v>
      </c>
      <c r="AA482" s="80">
        <f t="shared" si="5"/>
        <v>0.36166799999999999</v>
      </c>
    </row>
    <row r="483" spans="1:27" ht="14.4" x14ac:dyDescent="0.3">
      <c r="A483" s="56">
        <v>45880</v>
      </c>
      <c r="B483" s="57">
        <v>45880</v>
      </c>
      <c r="C483" s="58" t="s">
        <v>48</v>
      </c>
      <c r="D483" s="58" t="s">
        <v>28</v>
      </c>
      <c r="E483" s="58" t="s">
        <v>49</v>
      </c>
      <c r="F483" s="58" t="s">
        <v>50</v>
      </c>
      <c r="G483" s="58" t="s">
        <v>31</v>
      </c>
      <c r="H483" s="58" t="s">
        <v>51</v>
      </c>
      <c r="I483" s="58" t="s">
        <v>52</v>
      </c>
      <c r="J483" s="58" t="s">
        <v>723</v>
      </c>
      <c r="K483" s="59">
        <v>6</v>
      </c>
      <c r="L483" s="59">
        <v>1</v>
      </c>
      <c r="M483" s="60">
        <v>0.16666700000000001</v>
      </c>
      <c r="N483" s="59" t="s">
        <v>236</v>
      </c>
      <c r="O483" s="59" t="s">
        <v>236</v>
      </c>
      <c r="P483" s="59">
        <v>21.95</v>
      </c>
      <c r="Q483" s="60">
        <v>9.1116000000000003E-2</v>
      </c>
      <c r="R483" s="59">
        <v>10.98</v>
      </c>
      <c r="S483" s="59">
        <v>1</v>
      </c>
      <c r="T483" s="59">
        <v>1</v>
      </c>
      <c r="U483" s="60">
        <v>1</v>
      </c>
      <c r="V483" s="59">
        <v>1</v>
      </c>
      <c r="W483" s="59">
        <v>0</v>
      </c>
      <c r="X483" s="59" t="s">
        <v>603</v>
      </c>
      <c r="Y483" s="79" t="s">
        <v>36</v>
      </c>
      <c r="Z483" s="64" t="s">
        <v>668</v>
      </c>
      <c r="AA483" s="80">
        <f t="shared" si="5"/>
        <v>9.1116000000000003E-2</v>
      </c>
    </row>
    <row r="484" spans="1:27" ht="14.4" x14ac:dyDescent="0.3">
      <c r="A484" s="56">
        <v>45880</v>
      </c>
      <c r="B484" s="57">
        <v>45882</v>
      </c>
      <c r="C484" s="58" t="s">
        <v>27</v>
      </c>
      <c r="D484" s="58" t="s">
        <v>28</v>
      </c>
      <c r="E484" s="58" t="s">
        <v>71</v>
      </c>
      <c r="F484" s="58" t="s">
        <v>72</v>
      </c>
      <c r="G484" s="58" t="s">
        <v>31</v>
      </c>
      <c r="H484" s="58" t="s">
        <v>73</v>
      </c>
      <c r="I484" s="58" t="s">
        <v>52</v>
      </c>
      <c r="J484" s="58" t="s">
        <v>74</v>
      </c>
      <c r="K484" s="59">
        <v>27</v>
      </c>
      <c r="L484" s="59">
        <v>4</v>
      </c>
      <c r="M484" s="60">
        <v>0.148148</v>
      </c>
      <c r="N484" s="59" t="s">
        <v>120</v>
      </c>
      <c r="O484" s="59" t="s">
        <v>724</v>
      </c>
      <c r="P484" s="59">
        <v>24.94</v>
      </c>
      <c r="Q484" s="60">
        <v>0.49639100000000003</v>
      </c>
      <c r="R484" s="59">
        <v>2.0099999999999998</v>
      </c>
      <c r="S484" s="59">
        <v>1</v>
      </c>
      <c r="T484" s="59">
        <v>1</v>
      </c>
      <c r="U484" s="60">
        <v>0.25</v>
      </c>
      <c r="V484" s="59">
        <v>1</v>
      </c>
      <c r="W484" s="59">
        <v>0</v>
      </c>
      <c r="X484" s="59" t="s">
        <v>35</v>
      </c>
      <c r="Y484" s="79" t="s">
        <v>36</v>
      </c>
      <c r="Z484" s="64" t="s">
        <v>668</v>
      </c>
      <c r="AA484" s="80">
        <f t="shared" si="5"/>
        <v>0.49639100000000003</v>
      </c>
    </row>
    <row r="485" spans="1:27" ht="14.4" x14ac:dyDescent="0.3">
      <c r="A485" s="56">
        <v>45880</v>
      </c>
      <c r="B485" s="57">
        <v>45880</v>
      </c>
      <c r="C485" s="58" t="s">
        <v>143</v>
      </c>
      <c r="D485" s="58" t="s">
        <v>28</v>
      </c>
      <c r="E485" s="58" t="s">
        <v>144</v>
      </c>
      <c r="F485" s="58" t="s">
        <v>32</v>
      </c>
      <c r="G485" s="58" t="s">
        <v>31</v>
      </c>
      <c r="H485" s="58" t="s">
        <v>119</v>
      </c>
      <c r="I485" s="58" t="s">
        <v>32</v>
      </c>
      <c r="J485" s="58" t="s">
        <v>725</v>
      </c>
      <c r="K485" s="59">
        <v>1</v>
      </c>
      <c r="L485" s="59">
        <v>1</v>
      </c>
      <c r="M485" s="60">
        <v>1</v>
      </c>
      <c r="N485" s="59" t="s">
        <v>726</v>
      </c>
      <c r="O485" s="59" t="s">
        <v>726</v>
      </c>
      <c r="P485" s="59">
        <v>24.94</v>
      </c>
      <c r="Q485" s="60">
        <v>1.4034E-2</v>
      </c>
      <c r="R485" s="59">
        <v>71.260000000000005</v>
      </c>
      <c r="S485" s="59">
        <v>1</v>
      </c>
      <c r="T485" s="59">
        <v>1</v>
      </c>
      <c r="U485" s="60">
        <v>1</v>
      </c>
      <c r="V485" s="59">
        <v>1</v>
      </c>
      <c r="W485" s="59">
        <v>0</v>
      </c>
      <c r="X485" s="59" t="s">
        <v>35</v>
      </c>
      <c r="Y485" s="79" t="s">
        <v>36</v>
      </c>
      <c r="Z485" s="64" t="s">
        <v>668</v>
      </c>
      <c r="AA485" s="80">
        <f t="shared" si="5"/>
        <v>1.4034E-2</v>
      </c>
    </row>
    <row r="486" spans="1:27" ht="14.4" x14ac:dyDescent="0.3">
      <c r="A486" s="56">
        <v>45880</v>
      </c>
      <c r="B486" s="57">
        <v>45884</v>
      </c>
      <c r="C486" s="58" t="s">
        <v>143</v>
      </c>
      <c r="D486" s="58" t="s">
        <v>28</v>
      </c>
      <c r="E486" s="58" t="s">
        <v>144</v>
      </c>
      <c r="F486" s="58" t="s">
        <v>32</v>
      </c>
      <c r="G486" s="58" t="s">
        <v>31</v>
      </c>
      <c r="H486" s="58" t="s">
        <v>173</v>
      </c>
      <c r="I486" s="58" t="s">
        <v>65</v>
      </c>
      <c r="J486" s="58" t="s">
        <v>173</v>
      </c>
      <c r="K486" s="59">
        <v>275</v>
      </c>
      <c r="L486" s="59">
        <v>6</v>
      </c>
      <c r="M486" s="60">
        <v>2.1818000000000001E-2</v>
      </c>
      <c r="N486" s="59" t="s">
        <v>727</v>
      </c>
      <c r="O486" s="59" t="s">
        <v>728</v>
      </c>
      <c r="P486" s="59">
        <v>49.88</v>
      </c>
      <c r="Q486" s="60">
        <v>8.2999000000000003E-2</v>
      </c>
      <c r="R486" s="59">
        <v>12.05</v>
      </c>
      <c r="S486" s="59">
        <v>2</v>
      </c>
      <c r="T486" s="59">
        <v>2</v>
      </c>
      <c r="U486" s="60">
        <v>0.33333299999999999</v>
      </c>
      <c r="V486" s="59">
        <v>2</v>
      </c>
      <c r="W486" s="59">
        <v>0</v>
      </c>
      <c r="X486" s="59" t="s">
        <v>78</v>
      </c>
      <c r="Y486" s="79" t="s">
        <v>36</v>
      </c>
      <c r="Z486" s="64" t="s">
        <v>668</v>
      </c>
      <c r="AA486" s="80">
        <f t="shared" si="5"/>
        <v>8.2999000000000003E-2</v>
      </c>
    </row>
    <row r="487" spans="1:27" ht="14.4" x14ac:dyDescent="0.3">
      <c r="A487" s="56">
        <v>45880</v>
      </c>
      <c r="B487" s="57">
        <v>45885</v>
      </c>
      <c r="C487" s="58" t="s">
        <v>40</v>
      </c>
      <c r="D487" s="58" t="s">
        <v>28</v>
      </c>
      <c r="E487" s="58" t="s">
        <v>41</v>
      </c>
      <c r="F487" s="58" t="s">
        <v>42</v>
      </c>
      <c r="G487" s="58" t="s">
        <v>31</v>
      </c>
      <c r="H487" s="58" t="s">
        <v>43</v>
      </c>
      <c r="I487" s="58" t="s">
        <v>44</v>
      </c>
      <c r="J487" s="58" t="s">
        <v>264</v>
      </c>
      <c r="K487" s="59">
        <v>4</v>
      </c>
      <c r="L487" s="59">
        <v>2</v>
      </c>
      <c r="M487" s="60">
        <v>0.5</v>
      </c>
      <c r="N487" s="59" t="s">
        <v>124</v>
      </c>
      <c r="O487" s="59" t="s">
        <v>729</v>
      </c>
      <c r="P487" s="59">
        <v>24.94</v>
      </c>
      <c r="Q487" s="60">
        <v>0.210505</v>
      </c>
      <c r="R487" s="59">
        <v>4.75</v>
      </c>
      <c r="S487" s="59">
        <v>1</v>
      </c>
      <c r="T487" s="59">
        <v>1</v>
      </c>
      <c r="U487" s="60">
        <v>0.5</v>
      </c>
      <c r="V487" s="59">
        <v>1</v>
      </c>
      <c r="W487" s="59">
        <v>0</v>
      </c>
      <c r="X487" s="59" t="s">
        <v>35</v>
      </c>
      <c r="Y487" s="79" t="s">
        <v>36</v>
      </c>
      <c r="Z487" s="64" t="s">
        <v>668</v>
      </c>
      <c r="AA487" s="80">
        <f t="shared" si="5"/>
        <v>0.210505</v>
      </c>
    </row>
    <row r="488" spans="1:27" ht="14.4" x14ac:dyDescent="0.3">
      <c r="A488" s="56">
        <v>45880</v>
      </c>
      <c r="B488" s="57">
        <v>45881</v>
      </c>
      <c r="C488" s="58" t="s">
        <v>48</v>
      </c>
      <c r="D488" s="58" t="s">
        <v>28</v>
      </c>
      <c r="E488" s="58" t="s">
        <v>62</v>
      </c>
      <c r="F488" s="58" t="s">
        <v>63</v>
      </c>
      <c r="G488" s="58" t="s">
        <v>31</v>
      </c>
      <c r="H488" s="58" t="s">
        <v>372</v>
      </c>
      <c r="I488" s="58" t="s">
        <v>65</v>
      </c>
      <c r="J488" s="58" t="s">
        <v>372</v>
      </c>
      <c r="K488" s="59">
        <v>9</v>
      </c>
      <c r="L488" s="59">
        <v>2</v>
      </c>
      <c r="M488" s="60">
        <v>0.222222</v>
      </c>
      <c r="N488" s="59" t="s">
        <v>730</v>
      </c>
      <c r="O488" s="59" t="s">
        <v>731</v>
      </c>
      <c r="P488" s="59">
        <v>21.95</v>
      </c>
      <c r="Q488" s="60">
        <v>0.22095699999999999</v>
      </c>
      <c r="R488" s="59">
        <v>4.53</v>
      </c>
      <c r="S488" s="59">
        <v>1</v>
      </c>
      <c r="T488" s="59">
        <v>1</v>
      </c>
      <c r="U488" s="60">
        <v>0.5</v>
      </c>
      <c r="V488" s="59">
        <v>1</v>
      </c>
      <c r="W488" s="59">
        <v>0</v>
      </c>
      <c r="X488" s="59" t="s">
        <v>603</v>
      </c>
      <c r="Y488" s="79" t="s">
        <v>36</v>
      </c>
      <c r="Z488" s="64" t="s">
        <v>668</v>
      </c>
      <c r="AA488" s="80">
        <f t="shared" si="5"/>
        <v>0.22095699999999999</v>
      </c>
    </row>
    <row r="489" spans="1:27" ht="14.4" x14ac:dyDescent="0.3">
      <c r="A489" s="56">
        <v>45880</v>
      </c>
      <c r="B489" s="57">
        <v>45883</v>
      </c>
      <c r="C489" s="58" t="s">
        <v>85</v>
      </c>
      <c r="D489" s="58" t="s">
        <v>28</v>
      </c>
      <c r="E489" s="58" t="s">
        <v>86</v>
      </c>
      <c r="F489" s="58" t="s">
        <v>87</v>
      </c>
      <c r="G489" s="58" t="s">
        <v>31</v>
      </c>
      <c r="H489" s="58" t="s">
        <v>87</v>
      </c>
      <c r="I489" s="58" t="s">
        <v>44</v>
      </c>
      <c r="J489" s="58" t="s">
        <v>87</v>
      </c>
      <c r="K489" s="59">
        <v>20</v>
      </c>
      <c r="L489" s="59">
        <v>2</v>
      </c>
      <c r="M489" s="60">
        <v>0.1</v>
      </c>
      <c r="N489" s="59" t="s">
        <v>326</v>
      </c>
      <c r="O489" s="59" t="s">
        <v>732</v>
      </c>
      <c r="P489" s="59">
        <v>21.95</v>
      </c>
      <c r="Q489" s="60">
        <v>0.297039</v>
      </c>
      <c r="R489" s="59">
        <v>3.37</v>
      </c>
      <c r="S489" s="59">
        <v>1</v>
      </c>
      <c r="T489" s="59">
        <v>1</v>
      </c>
      <c r="U489" s="60">
        <v>0.5</v>
      </c>
      <c r="V489" s="59">
        <v>1</v>
      </c>
      <c r="W489" s="59">
        <v>0</v>
      </c>
      <c r="X489" s="59" t="s">
        <v>603</v>
      </c>
      <c r="Y489" s="79" t="s">
        <v>36</v>
      </c>
      <c r="Z489" s="64" t="s">
        <v>668</v>
      </c>
      <c r="AA489" s="80">
        <f t="shared" si="5"/>
        <v>0.297039</v>
      </c>
    </row>
    <row r="490" spans="1:27" ht="14.4" x14ac:dyDescent="0.3">
      <c r="A490" s="56">
        <v>45880</v>
      </c>
      <c r="B490" s="57">
        <v>45880</v>
      </c>
      <c r="C490" s="58" t="s">
        <v>85</v>
      </c>
      <c r="D490" s="58" t="s">
        <v>28</v>
      </c>
      <c r="E490" s="58" t="s">
        <v>86</v>
      </c>
      <c r="F490" s="58" t="s">
        <v>87</v>
      </c>
      <c r="G490" s="58" t="s">
        <v>31</v>
      </c>
      <c r="H490" s="58" t="s">
        <v>87</v>
      </c>
      <c r="I490" s="58" t="s">
        <v>44</v>
      </c>
      <c r="J490" s="58" t="s">
        <v>88</v>
      </c>
      <c r="K490" s="59">
        <v>1</v>
      </c>
      <c r="L490" s="59">
        <v>1</v>
      </c>
      <c r="M490" s="60">
        <v>1</v>
      </c>
      <c r="N490" s="59" t="s">
        <v>484</v>
      </c>
      <c r="O490" s="59" t="s">
        <v>484</v>
      </c>
      <c r="P490" s="59">
        <v>21.95</v>
      </c>
      <c r="Q490" s="60">
        <v>0.11161699999999999</v>
      </c>
      <c r="R490" s="59">
        <v>8.9600000000000009</v>
      </c>
      <c r="S490" s="59">
        <v>1</v>
      </c>
      <c r="T490" s="59">
        <v>1</v>
      </c>
      <c r="U490" s="60">
        <v>1</v>
      </c>
      <c r="V490" s="59">
        <v>1</v>
      </c>
      <c r="W490" s="59">
        <v>0</v>
      </c>
      <c r="X490" s="59" t="s">
        <v>603</v>
      </c>
      <c r="Y490" s="79" t="s">
        <v>36</v>
      </c>
      <c r="Z490" s="64" t="s">
        <v>668</v>
      </c>
      <c r="AA490" s="80">
        <f t="shared" si="5"/>
        <v>0.11161699999999999</v>
      </c>
    </row>
    <row r="491" spans="1:27" ht="14.4" x14ac:dyDescent="0.3">
      <c r="A491" s="56">
        <v>45879</v>
      </c>
      <c r="B491" s="57">
        <v>45879</v>
      </c>
      <c r="C491" s="58" t="s">
        <v>27</v>
      </c>
      <c r="D491" s="58" t="s">
        <v>28</v>
      </c>
      <c r="E491" s="58" t="s">
        <v>56</v>
      </c>
      <c r="F491" s="58" t="s">
        <v>57</v>
      </c>
      <c r="G491" s="58" t="s">
        <v>31</v>
      </c>
      <c r="H491" s="65" t="e">
        <f>+maca +root</f>
        <v>#NAME?</v>
      </c>
      <c r="I491" s="58" t="s">
        <v>32</v>
      </c>
      <c r="J491" s="58" t="s">
        <v>159</v>
      </c>
      <c r="K491" s="59">
        <v>21</v>
      </c>
      <c r="L491" s="59">
        <v>1</v>
      </c>
      <c r="M491" s="60">
        <v>4.7619000000000002E-2</v>
      </c>
      <c r="N491" s="59" t="s">
        <v>733</v>
      </c>
      <c r="O491" s="59" t="s">
        <v>733</v>
      </c>
      <c r="P491" s="59">
        <v>24.94</v>
      </c>
      <c r="Q491" s="60">
        <v>0.15356900000000001</v>
      </c>
      <c r="R491" s="59">
        <v>6.51</v>
      </c>
      <c r="S491" s="59">
        <v>1</v>
      </c>
      <c r="T491" s="59">
        <v>1</v>
      </c>
      <c r="U491" s="60">
        <v>1</v>
      </c>
      <c r="V491" s="59">
        <v>1</v>
      </c>
      <c r="W491" s="59">
        <v>0</v>
      </c>
      <c r="X491" s="59" t="s">
        <v>35</v>
      </c>
      <c r="Y491" s="79" t="s">
        <v>36</v>
      </c>
      <c r="Z491" s="64" t="s">
        <v>734</v>
      </c>
      <c r="AA491" s="80">
        <f t="shared" si="5"/>
        <v>0.15356900000000001</v>
      </c>
    </row>
    <row r="492" spans="1:27" ht="14.4" x14ac:dyDescent="0.3">
      <c r="A492" s="56">
        <v>45879</v>
      </c>
      <c r="B492" s="57">
        <v>45879</v>
      </c>
      <c r="C492" s="58" t="s">
        <v>27</v>
      </c>
      <c r="D492" s="58" t="s">
        <v>28</v>
      </c>
      <c r="E492" s="58" t="s">
        <v>71</v>
      </c>
      <c r="F492" s="58" t="s">
        <v>72</v>
      </c>
      <c r="G492" s="58" t="s">
        <v>31</v>
      </c>
      <c r="H492" s="58" t="s">
        <v>73</v>
      </c>
      <c r="I492" s="58" t="s">
        <v>52</v>
      </c>
      <c r="J492" s="58" t="s">
        <v>735</v>
      </c>
      <c r="K492" s="59">
        <v>2</v>
      </c>
      <c r="L492" s="59">
        <v>1</v>
      </c>
      <c r="M492" s="60">
        <v>0.5</v>
      </c>
      <c r="N492" s="59" t="s">
        <v>704</v>
      </c>
      <c r="O492" s="59" t="s">
        <v>704</v>
      </c>
      <c r="P492" s="59">
        <v>24.94</v>
      </c>
      <c r="Q492" s="60">
        <v>0.121091</v>
      </c>
      <c r="R492" s="59">
        <v>8.26</v>
      </c>
      <c r="S492" s="59">
        <v>1</v>
      </c>
      <c r="T492" s="59">
        <v>1</v>
      </c>
      <c r="U492" s="60">
        <v>1</v>
      </c>
      <c r="V492" s="59">
        <v>1</v>
      </c>
      <c r="W492" s="59">
        <v>0</v>
      </c>
      <c r="X492" s="59" t="s">
        <v>35</v>
      </c>
      <c r="Y492" s="79" t="s">
        <v>36</v>
      </c>
      <c r="Z492" s="64" t="s">
        <v>734</v>
      </c>
      <c r="AA492" s="80">
        <f t="shared" si="5"/>
        <v>0.121091</v>
      </c>
    </row>
    <row r="493" spans="1:27" ht="14.4" x14ac:dyDescent="0.3">
      <c r="A493" s="56">
        <v>45879</v>
      </c>
      <c r="B493" s="57">
        <v>45884</v>
      </c>
      <c r="C493" s="58" t="s">
        <v>27</v>
      </c>
      <c r="D493" s="58" t="s">
        <v>28</v>
      </c>
      <c r="E493" s="58" t="s">
        <v>71</v>
      </c>
      <c r="F493" s="58" t="s">
        <v>72</v>
      </c>
      <c r="G493" s="58" t="s">
        <v>31</v>
      </c>
      <c r="H493" s="58" t="s">
        <v>73</v>
      </c>
      <c r="I493" s="58" t="s">
        <v>52</v>
      </c>
      <c r="J493" s="58" t="s">
        <v>162</v>
      </c>
      <c r="K493" s="59">
        <v>114</v>
      </c>
      <c r="L493" s="59">
        <v>4</v>
      </c>
      <c r="M493" s="60">
        <v>3.5088000000000001E-2</v>
      </c>
      <c r="N493" s="59" t="s">
        <v>736</v>
      </c>
      <c r="O493" s="59" t="s">
        <v>737</v>
      </c>
      <c r="P493" s="59">
        <v>24.94</v>
      </c>
      <c r="Q493" s="60">
        <v>0.516038</v>
      </c>
      <c r="R493" s="59">
        <v>1.94</v>
      </c>
      <c r="S493" s="59">
        <v>1</v>
      </c>
      <c r="T493" s="59">
        <v>1</v>
      </c>
      <c r="U493" s="60">
        <v>0.25</v>
      </c>
      <c r="V493" s="59">
        <v>1</v>
      </c>
      <c r="W493" s="59">
        <v>0</v>
      </c>
      <c r="X493" s="59" t="s">
        <v>35</v>
      </c>
      <c r="Y493" s="79" t="s">
        <v>36</v>
      </c>
      <c r="Z493" s="64" t="s">
        <v>734</v>
      </c>
      <c r="AA493" s="80">
        <f t="shared" si="5"/>
        <v>0.516038</v>
      </c>
    </row>
    <row r="494" spans="1:27" ht="14.4" x14ac:dyDescent="0.3">
      <c r="A494" s="56">
        <v>45879</v>
      </c>
      <c r="B494" s="57">
        <v>45884</v>
      </c>
      <c r="C494" s="58" t="s">
        <v>27</v>
      </c>
      <c r="D494" s="58" t="s">
        <v>28</v>
      </c>
      <c r="E494" s="58" t="s">
        <v>29</v>
      </c>
      <c r="F494" s="58" t="s">
        <v>30</v>
      </c>
      <c r="G494" s="58" t="s">
        <v>31</v>
      </c>
      <c r="H494" s="58" t="s">
        <v>145</v>
      </c>
      <c r="I494" s="58" t="s">
        <v>32</v>
      </c>
      <c r="J494" s="58" t="s">
        <v>183</v>
      </c>
      <c r="K494" s="59">
        <v>45</v>
      </c>
      <c r="L494" s="59">
        <v>5</v>
      </c>
      <c r="M494" s="60">
        <v>0.111111</v>
      </c>
      <c r="N494" s="59" t="s">
        <v>316</v>
      </c>
      <c r="O494" s="59" t="s">
        <v>515</v>
      </c>
      <c r="P494" s="59">
        <v>24.94</v>
      </c>
      <c r="Q494" s="60">
        <v>0.56976700000000002</v>
      </c>
      <c r="R494" s="59">
        <v>1.76</v>
      </c>
      <c r="S494" s="59">
        <v>1</v>
      </c>
      <c r="T494" s="59">
        <v>1</v>
      </c>
      <c r="U494" s="60">
        <v>0.2</v>
      </c>
      <c r="V494" s="59">
        <v>1</v>
      </c>
      <c r="W494" s="59">
        <v>0</v>
      </c>
      <c r="X494" s="59" t="s">
        <v>35</v>
      </c>
      <c r="Y494" s="79" t="s">
        <v>36</v>
      </c>
      <c r="Z494" s="64" t="s">
        <v>734</v>
      </c>
      <c r="AA494" s="80">
        <f t="shared" si="5"/>
        <v>0.56976700000000002</v>
      </c>
    </row>
    <row r="495" spans="1:27" ht="14.4" x14ac:dyDescent="0.3">
      <c r="A495" s="56">
        <v>45879</v>
      </c>
      <c r="B495" s="57">
        <v>45885</v>
      </c>
      <c r="C495" s="58" t="s">
        <v>105</v>
      </c>
      <c r="D495" s="58" t="s">
        <v>28</v>
      </c>
      <c r="E495" s="58" t="s">
        <v>117</v>
      </c>
      <c r="F495" s="58" t="s">
        <v>118</v>
      </c>
      <c r="G495" s="58" t="s">
        <v>31</v>
      </c>
      <c r="H495" s="58" t="s">
        <v>119</v>
      </c>
      <c r="I495" s="58" t="s">
        <v>65</v>
      </c>
      <c r="J495" s="58" t="s">
        <v>119</v>
      </c>
      <c r="K495" s="59">
        <v>884</v>
      </c>
      <c r="L495" s="59">
        <v>44</v>
      </c>
      <c r="M495" s="60">
        <v>4.9773999999999999E-2</v>
      </c>
      <c r="N495" s="59" t="s">
        <v>738</v>
      </c>
      <c r="O495" s="59" t="s">
        <v>739</v>
      </c>
      <c r="P495" s="59">
        <v>199.52</v>
      </c>
      <c r="Q495" s="60">
        <v>0.58350000000000002</v>
      </c>
      <c r="R495" s="59">
        <v>1.71</v>
      </c>
      <c r="S495" s="59">
        <v>8</v>
      </c>
      <c r="T495" s="59">
        <v>8</v>
      </c>
      <c r="U495" s="60">
        <v>0.18181800000000001</v>
      </c>
      <c r="V495" s="59">
        <v>8</v>
      </c>
      <c r="W495" s="59">
        <v>0</v>
      </c>
      <c r="X495" s="59" t="s">
        <v>531</v>
      </c>
      <c r="Y495" s="79" t="s">
        <v>36</v>
      </c>
      <c r="Z495" s="64" t="s">
        <v>734</v>
      </c>
      <c r="AA495" s="80">
        <f t="shared" si="5"/>
        <v>0.58350000000000002</v>
      </c>
    </row>
    <row r="496" spans="1:27" ht="14.4" x14ac:dyDescent="0.3">
      <c r="A496" s="56">
        <v>45879</v>
      </c>
      <c r="B496" s="57">
        <v>45885</v>
      </c>
      <c r="C496" s="58" t="s">
        <v>27</v>
      </c>
      <c r="D496" s="58" t="s">
        <v>28</v>
      </c>
      <c r="E496" s="58" t="s">
        <v>56</v>
      </c>
      <c r="F496" s="58" t="s">
        <v>57</v>
      </c>
      <c r="G496" s="58" t="s">
        <v>31</v>
      </c>
      <c r="H496" s="65" t="e">
        <f>+maca +root</f>
        <v>#NAME?</v>
      </c>
      <c r="I496" s="58" t="s">
        <v>32</v>
      </c>
      <c r="J496" s="58" t="s">
        <v>119</v>
      </c>
      <c r="K496" s="59">
        <v>5077</v>
      </c>
      <c r="L496" s="59">
        <v>61</v>
      </c>
      <c r="M496" s="60">
        <v>1.2015E-2</v>
      </c>
      <c r="N496" s="59" t="s">
        <v>740</v>
      </c>
      <c r="O496" s="59" t="s">
        <v>741</v>
      </c>
      <c r="P496" s="59">
        <v>149.63999999999999</v>
      </c>
      <c r="Q496" s="60">
        <v>0.99465400000000004</v>
      </c>
      <c r="R496" s="59">
        <v>1.01</v>
      </c>
      <c r="S496" s="59">
        <v>6</v>
      </c>
      <c r="T496" s="59">
        <v>6</v>
      </c>
      <c r="U496" s="60">
        <v>9.8361000000000004E-2</v>
      </c>
      <c r="V496" s="59">
        <v>6</v>
      </c>
      <c r="W496" s="59">
        <v>0</v>
      </c>
      <c r="X496" s="59" t="s">
        <v>272</v>
      </c>
      <c r="Y496" s="79" t="s">
        <v>36</v>
      </c>
      <c r="Z496" s="64" t="s">
        <v>734</v>
      </c>
      <c r="AA496" s="80">
        <f t="shared" si="5"/>
        <v>0.99465400000000004</v>
      </c>
    </row>
    <row r="497" spans="1:27" ht="14.4" x14ac:dyDescent="0.3">
      <c r="A497" s="56">
        <v>45879</v>
      </c>
      <c r="B497" s="57">
        <v>45879</v>
      </c>
      <c r="C497" s="58" t="s">
        <v>143</v>
      </c>
      <c r="D497" s="58" t="s">
        <v>28</v>
      </c>
      <c r="E497" s="58" t="s">
        <v>144</v>
      </c>
      <c r="F497" s="58" t="s">
        <v>32</v>
      </c>
      <c r="G497" s="58" t="s">
        <v>31</v>
      </c>
      <c r="H497" s="58" t="s">
        <v>30</v>
      </c>
      <c r="I497" s="58" t="s">
        <v>44</v>
      </c>
      <c r="J497" s="58" t="s">
        <v>421</v>
      </c>
      <c r="K497" s="59">
        <v>2</v>
      </c>
      <c r="L497" s="59">
        <v>1</v>
      </c>
      <c r="M497" s="60">
        <v>0.5</v>
      </c>
      <c r="N497" s="59" t="s">
        <v>217</v>
      </c>
      <c r="O497" s="59" t="s">
        <v>217</v>
      </c>
      <c r="P497" s="59">
        <v>24.94</v>
      </c>
      <c r="Q497" s="60">
        <v>7.2974999999999998E-2</v>
      </c>
      <c r="R497" s="59">
        <v>13.7</v>
      </c>
      <c r="S497" s="59">
        <v>1</v>
      </c>
      <c r="T497" s="59">
        <v>1</v>
      </c>
      <c r="U497" s="60">
        <v>1</v>
      </c>
      <c r="V497" s="59">
        <v>1</v>
      </c>
      <c r="W497" s="59">
        <v>0</v>
      </c>
      <c r="X497" s="59" t="s">
        <v>35</v>
      </c>
      <c r="Y497" s="79" t="s">
        <v>36</v>
      </c>
      <c r="Z497" s="64" t="s">
        <v>734</v>
      </c>
      <c r="AA497" s="80">
        <f t="shared" si="5"/>
        <v>7.2974999999999998E-2</v>
      </c>
    </row>
    <row r="498" spans="1:27" ht="14.4" x14ac:dyDescent="0.3">
      <c r="A498" s="56">
        <v>45879</v>
      </c>
      <c r="B498" s="57">
        <v>45885</v>
      </c>
      <c r="C498" s="58" t="s">
        <v>27</v>
      </c>
      <c r="D498" s="58" t="s">
        <v>28</v>
      </c>
      <c r="E498" s="58" t="s">
        <v>71</v>
      </c>
      <c r="F498" s="58" t="s">
        <v>72</v>
      </c>
      <c r="G498" s="58" t="s">
        <v>31</v>
      </c>
      <c r="H498" s="58" t="s">
        <v>73</v>
      </c>
      <c r="I498" s="58" t="s">
        <v>52</v>
      </c>
      <c r="J498" s="58" t="s">
        <v>43</v>
      </c>
      <c r="K498" s="59">
        <v>304</v>
      </c>
      <c r="L498" s="59">
        <v>7</v>
      </c>
      <c r="M498" s="60">
        <v>2.3026000000000001E-2</v>
      </c>
      <c r="N498" s="59" t="s">
        <v>663</v>
      </c>
      <c r="O498" s="59" t="s">
        <v>742</v>
      </c>
      <c r="P498" s="59">
        <v>49.88</v>
      </c>
      <c r="Q498" s="60">
        <v>0.44627099999999997</v>
      </c>
      <c r="R498" s="59">
        <v>2.2400000000000002</v>
      </c>
      <c r="S498" s="59">
        <v>2</v>
      </c>
      <c r="T498" s="59">
        <v>2</v>
      </c>
      <c r="U498" s="60">
        <v>0.28571400000000002</v>
      </c>
      <c r="V498" s="59">
        <v>2</v>
      </c>
      <c r="W498" s="59">
        <v>0</v>
      </c>
      <c r="X498" s="59" t="s">
        <v>78</v>
      </c>
      <c r="Y498" s="79" t="s">
        <v>36</v>
      </c>
      <c r="Z498" s="64" t="s">
        <v>734</v>
      </c>
      <c r="AA498" s="80">
        <f t="shared" si="5"/>
        <v>0.44627099999999997</v>
      </c>
    </row>
    <row r="499" spans="1:27" ht="14.4" x14ac:dyDescent="0.3">
      <c r="A499" s="56">
        <v>45879</v>
      </c>
      <c r="B499" s="57">
        <v>45884</v>
      </c>
      <c r="C499" s="58" t="s">
        <v>40</v>
      </c>
      <c r="D499" s="58" t="s">
        <v>28</v>
      </c>
      <c r="E499" s="58" t="s">
        <v>41</v>
      </c>
      <c r="F499" s="58" t="s">
        <v>42</v>
      </c>
      <c r="G499" s="58" t="s">
        <v>31</v>
      </c>
      <c r="H499" s="58" t="s">
        <v>43</v>
      </c>
      <c r="I499" s="58" t="s">
        <v>44</v>
      </c>
      <c r="J499" s="58" t="s">
        <v>43</v>
      </c>
      <c r="K499" s="59">
        <v>398</v>
      </c>
      <c r="L499" s="59">
        <v>15</v>
      </c>
      <c r="M499" s="60">
        <v>3.7687999999999999E-2</v>
      </c>
      <c r="N499" s="59" t="s">
        <v>251</v>
      </c>
      <c r="O499" s="59" t="s">
        <v>743</v>
      </c>
      <c r="P499" s="59">
        <v>49.88</v>
      </c>
      <c r="Q499" s="60">
        <v>0.95208499999999996</v>
      </c>
      <c r="R499" s="59">
        <v>1.05</v>
      </c>
      <c r="S499" s="59">
        <v>2</v>
      </c>
      <c r="T499" s="59">
        <v>2</v>
      </c>
      <c r="U499" s="60">
        <v>0.13333300000000001</v>
      </c>
      <c r="V499" s="59">
        <v>2</v>
      </c>
      <c r="W499" s="59">
        <v>0</v>
      </c>
      <c r="X499" s="59" t="s">
        <v>78</v>
      </c>
      <c r="Y499" s="79" t="s">
        <v>36</v>
      </c>
      <c r="Z499" s="64" t="s">
        <v>734</v>
      </c>
      <c r="AA499" s="80">
        <f t="shared" si="5"/>
        <v>0.95208499999999996</v>
      </c>
    </row>
    <row r="500" spans="1:27" ht="14.4" x14ac:dyDescent="0.3">
      <c r="A500" s="56">
        <v>45879</v>
      </c>
      <c r="B500" s="57">
        <v>45879</v>
      </c>
      <c r="C500" s="58" t="s">
        <v>40</v>
      </c>
      <c r="D500" s="58" t="s">
        <v>28</v>
      </c>
      <c r="E500" s="58" t="s">
        <v>41</v>
      </c>
      <c r="F500" s="58" t="s">
        <v>42</v>
      </c>
      <c r="G500" s="58" t="s">
        <v>31</v>
      </c>
      <c r="H500" s="58" t="s">
        <v>43</v>
      </c>
      <c r="I500" s="58" t="s">
        <v>44</v>
      </c>
      <c r="J500" s="58" t="s">
        <v>744</v>
      </c>
      <c r="K500" s="59">
        <v>1</v>
      </c>
      <c r="L500" s="59">
        <v>1</v>
      </c>
      <c r="M500" s="60">
        <v>1</v>
      </c>
      <c r="N500" s="59" t="s">
        <v>139</v>
      </c>
      <c r="O500" s="59" t="s">
        <v>139</v>
      </c>
      <c r="P500" s="59">
        <v>24.94</v>
      </c>
      <c r="Q500" s="60">
        <v>8.3400000000000002E-2</v>
      </c>
      <c r="R500" s="59">
        <v>11.99</v>
      </c>
      <c r="S500" s="59">
        <v>1</v>
      </c>
      <c r="T500" s="59">
        <v>1</v>
      </c>
      <c r="U500" s="60">
        <v>1</v>
      </c>
      <c r="V500" s="59">
        <v>1</v>
      </c>
      <c r="W500" s="59">
        <v>0</v>
      </c>
      <c r="X500" s="59" t="s">
        <v>35</v>
      </c>
      <c r="Y500" s="79" t="s">
        <v>36</v>
      </c>
      <c r="Z500" s="64" t="s">
        <v>734</v>
      </c>
      <c r="AA500" s="80">
        <f t="shared" si="5"/>
        <v>8.3400000000000002E-2</v>
      </c>
    </row>
    <row r="501" spans="1:27" ht="14.4" x14ac:dyDescent="0.3">
      <c r="A501" s="56">
        <v>45879</v>
      </c>
      <c r="B501" s="57">
        <v>45885</v>
      </c>
      <c r="C501" s="58" t="s">
        <v>27</v>
      </c>
      <c r="D501" s="58" t="s">
        <v>28</v>
      </c>
      <c r="E501" s="58" t="s">
        <v>71</v>
      </c>
      <c r="F501" s="58" t="s">
        <v>72</v>
      </c>
      <c r="G501" s="58" t="s">
        <v>31</v>
      </c>
      <c r="H501" s="58" t="s">
        <v>73</v>
      </c>
      <c r="I501" s="58" t="s">
        <v>52</v>
      </c>
      <c r="J501" s="58" t="s">
        <v>617</v>
      </c>
      <c r="K501" s="59">
        <v>5</v>
      </c>
      <c r="L501" s="59">
        <v>4</v>
      </c>
      <c r="M501" s="60">
        <v>0.8</v>
      </c>
      <c r="N501" s="59" t="s">
        <v>244</v>
      </c>
      <c r="O501" s="59" t="s">
        <v>745</v>
      </c>
      <c r="P501" s="59">
        <v>24.94</v>
      </c>
      <c r="Q501" s="60">
        <v>0.51764200000000005</v>
      </c>
      <c r="R501" s="59">
        <v>1.93</v>
      </c>
      <c r="S501" s="59">
        <v>1</v>
      </c>
      <c r="T501" s="59">
        <v>1</v>
      </c>
      <c r="U501" s="60">
        <v>0.25</v>
      </c>
      <c r="V501" s="59">
        <v>1</v>
      </c>
      <c r="W501" s="59">
        <v>0</v>
      </c>
      <c r="X501" s="59" t="s">
        <v>35</v>
      </c>
      <c r="Y501" s="79" t="s">
        <v>36</v>
      </c>
      <c r="Z501" s="64" t="s">
        <v>734</v>
      </c>
      <c r="AA501" s="80">
        <f t="shared" si="5"/>
        <v>0.51764200000000005</v>
      </c>
    </row>
    <row r="502" spans="1:27" ht="14.4" x14ac:dyDescent="0.3">
      <c r="A502" s="56">
        <v>45879</v>
      </c>
      <c r="B502" s="57">
        <v>45885</v>
      </c>
      <c r="C502" s="58" t="s">
        <v>27</v>
      </c>
      <c r="D502" s="58" t="s">
        <v>28</v>
      </c>
      <c r="E502" s="58" t="s">
        <v>71</v>
      </c>
      <c r="F502" s="58" t="s">
        <v>72</v>
      </c>
      <c r="G502" s="58" t="s">
        <v>31</v>
      </c>
      <c r="H502" s="58" t="s">
        <v>73</v>
      </c>
      <c r="I502" s="58" t="s">
        <v>52</v>
      </c>
      <c r="J502" s="58" t="s">
        <v>101</v>
      </c>
      <c r="K502" s="59">
        <v>1819</v>
      </c>
      <c r="L502" s="59">
        <v>18</v>
      </c>
      <c r="M502" s="60">
        <v>9.8960000000000003E-3</v>
      </c>
      <c r="N502" s="59" t="s">
        <v>571</v>
      </c>
      <c r="O502" s="59" t="s">
        <v>746</v>
      </c>
      <c r="P502" s="59">
        <v>144.76</v>
      </c>
      <c r="Q502" s="60">
        <v>0.43499599999999999</v>
      </c>
      <c r="R502" s="59">
        <v>2.2999999999999998</v>
      </c>
      <c r="S502" s="59">
        <v>5</v>
      </c>
      <c r="T502" s="59">
        <v>6</v>
      </c>
      <c r="U502" s="60">
        <v>0.27777800000000002</v>
      </c>
      <c r="V502" s="59">
        <v>6</v>
      </c>
      <c r="W502" s="59">
        <v>0</v>
      </c>
      <c r="X502" s="59" t="s">
        <v>747</v>
      </c>
      <c r="Y502" s="79" t="s">
        <v>36</v>
      </c>
      <c r="Z502" s="64" t="s">
        <v>734</v>
      </c>
      <c r="AA502" s="80">
        <f t="shared" si="5"/>
        <v>0.43499599999999999</v>
      </c>
    </row>
    <row r="503" spans="1:27" ht="14.4" x14ac:dyDescent="0.3">
      <c r="A503" s="56">
        <v>45879</v>
      </c>
      <c r="B503" s="57">
        <v>45885</v>
      </c>
      <c r="C503" s="58" t="s">
        <v>27</v>
      </c>
      <c r="D503" s="58" t="s">
        <v>28</v>
      </c>
      <c r="E503" s="58" t="s">
        <v>56</v>
      </c>
      <c r="F503" s="58" t="s">
        <v>57</v>
      </c>
      <c r="G503" s="58" t="s">
        <v>31</v>
      </c>
      <c r="H503" s="65" t="e">
        <f>+maca +root</f>
        <v>#NAME?</v>
      </c>
      <c r="I503" s="58" t="s">
        <v>32</v>
      </c>
      <c r="J503" s="58" t="s">
        <v>351</v>
      </c>
      <c r="K503" s="59">
        <v>1132</v>
      </c>
      <c r="L503" s="59">
        <v>9</v>
      </c>
      <c r="M503" s="60">
        <v>7.9509999999999997E-3</v>
      </c>
      <c r="N503" s="59" t="s">
        <v>748</v>
      </c>
      <c r="O503" s="59" t="s">
        <v>749</v>
      </c>
      <c r="P503" s="59">
        <v>49.88</v>
      </c>
      <c r="Q503" s="60">
        <v>0.41499599999999998</v>
      </c>
      <c r="R503" s="59">
        <v>2.41</v>
      </c>
      <c r="S503" s="59">
        <v>2</v>
      </c>
      <c r="T503" s="59">
        <v>2</v>
      </c>
      <c r="U503" s="60">
        <v>0.222222</v>
      </c>
      <c r="V503" s="59">
        <v>2</v>
      </c>
      <c r="W503" s="59">
        <v>0</v>
      </c>
      <c r="X503" s="59" t="s">
        <v>78</v>
      </c>
      <c r="Y503" s="79" t="s">
        <v>36</v>
      </c>
      <c r="Z503" s="64" t="s">
        <v>734</v>
      </c>
      <c r="AA503" s="80">
        <f t="shared" si="5"/>
        <v>0.41499599999999998</v>
      </c>
    </row>
    <row r="504" spans="1:27" ht="14.4" x14ac:dyDescent="0.3">
      <c r="A504" s="56">
        <v>45879</v>
      </c>
      <c r="B504" s="57">
        <v>45879</v>
      </c>
      <c r="C504" s="58" t="s">
        <v>48</v>
      </c>
      <c r="D504" s="58" t="s">
        <v>28</v>
      </c>
      <c r="E504" s="58" t="s">
        <v>446</v>
      </c>
      <c r="F504" s="58" t="s">
        <v>447</v>
      </c>
      <c r="G504" s="58" t="s">
        <v>31</v>
      </c>
      <c r="H504" s="58" t="s">
        <v>448</v>
      </c>
      <c r="I504" s="58" t="s">
        <v>44</v>
      </c>
      <c r="J504" s="58" t="s">
        <v>750</v>
      </c>
      <c r="K504" s="59">
        <v>7</v>
      </c>
      <c r="L504" s="59">
        <v>1</v>
      </c>
      <c r="M504" s="60">
        <v>0.14285700000000001</v>
      </c>
      <c r="N504" s="59" t="s">
        <v>309</v>
      </c>
      <c r="O504" s="59" t="s">
        <v>309</v>
      </c>
      <c r="P504" s="59">
        <v>21.95</v>
      </c>
      <c r="Q504" s="60">
        <v>0.16856499999999999</v>
      </c>
      <c r="R504" s="59">
        <v>5.93</v>
      </c>
      <c r="S504" s="59">
        <v>1</v>
      </c>
      <c r="T504" s="59">
        <v>1</v>
      </c>
      <c r="U504" s="60">
        <v>1</v>
      </c>
      <c r="V504" s="59">
        <v>1</v>
      </c>
      <c r="W504" s="59">
        <v>0</v>
      </c>
      <c r="X504" s="59" t="s">
        <v>603</v>
      </c>
      <c r="Y504" s="79" t="s">
        <v>36</v>
      </c>
      <c r="Z504" s="64" t="s">
        <v>734</v>
      </c>
      <c r="AA504" s="80">
        <f t="shared" si="5"/>
        <v>0.16856499999999999</v>
      </c>
    </row>
    <row r="505" spans="1:27" ht="14.4" x14ac:dyDescent="0.3">
      <c r="A505" s="77">
        <v>45878</v>
      </c>
      <c r="B505" s="78">
        <v>45878</v>
      </c>
      <c r="C505" s="58" t="s">
        <v>143</v>
      </c>
      <c r="D505" s="58" t="s">
        <v>28</v>
      </c>
      <c r="E505" s="58" t="s">
        <v>144</v>
      </c>
      <c r="F505" s="58" t="s">
        <v>32</v>
      </c>
      <c r="G505" s="58" t="s">
        <v>31</v>
      </c>
      <c r="H505" s="58" t="s">
        <v>30</v>
      </c>
      <c r="I505" s="58" t="s">
        <v>44</v>
      </c>
      <c r="J505" s="58" t="s">
        <v>159</v>
      </c>
      <c r="K505" s="59">
        <v>121</v>
      </c>
      <c r="L505" s="59">
        <v>4</v>
      </c>
      <c r="M505" s="60">
        <v>3.3057999999999997E-2</v>
      </c>
      <c r="N505" s="59" t="s">
        <v>751</v>
      </c>
      <c r="O505" s="59" t="s">
        <v>271</v>
      </c>
      <c r="P505" s="59">
        <v>49.88</v>
      </c>
      <c r="Q505" s="60">
        <v>5.7338E-2</v>
      </c>
      <c r="R505" s="59">
        <v>17.440000000000001</v>
      </c>
      <c r="S505" s="59">
        <v>2</v>
      </c>
      <c r="T505" s="59">
        <v>2</v>
      </c>
      <c r="U505" s="60">
        <v>0.5</v>
      </c>
      <c r="V505" s="59">
        <v>2</v>
      </c>
      <c r="W505" s="59">
        <v>0</v>
      </c>
      <c r="X505" s="59" t="s">
        <v>78</v>
      </c>
      <c r="Y505" s="79" t="s">
        <v>36</v>
      </c>
      <c r="Z505" s="64" t="s">
        <v>734</v>
      </c>
      <c r="AA505" s="80">
        <f t="shared" si="5"/>
        <v>5.7338E-2</v>
      </c>
    </row>
    <row r="506" spans="1:27" ht="14.4" x14ac:dyDescent="0.3">
      <c r="A506" s="77">
        <v>45878</v>
      </c>
      <c r="B506" s="78">
        <v>45878</v>
      </c>
      <c r="C506" s="58" t="s">
        <v>27</v>
      </c>
      <c r="D506" s="58" t="s">
        <v>28</v>
      </c>
      <c r="E506" s="58" t="s">
        <v>71</v>
      </c>
      <c r="F506" s="58" t="s">
        <v>72</v>
      </c>
      <c r="G506" s="58" t="s">
        <v>31</v>
      </c>
      <c r="H506" s="58" t="s">
        <v>51</v>
      </c>
      <c r="I506" s="58" t="s">
        <v>52</v>
      </c>
      <c r="J506" s="58" t="s">
        <v>752</v>
      </c>
      <c r="K506" s="59">
        <v>2</v>
      </c>
      <c r="L506" s="59">
        <v>1</v>
      </c>
      <c r="M506" s="60">
        <v>0.5</v>
      </c>
      <c r="N506" s="59" t="s">
        <v>571</v>
      </c>
      <c r="O506" s="59" t="s">
        <v>571</v>
      </c>
      <c r="P506" s="59">
        <v>24.94</v>
      </c>
      <c r="Q506" s="60">
        <v>0.14033699999999999</v>
      </c>
      <c r="R506" s="59">
        <v>7.13</v>
      </c>
      <c r="S506" s="59">
        <v>1</v>
      </c>
      <c r="T506" s="59">
        <v>1</v>
      </c>
      <c r="U506" s="60">
        <v>1</v>
      </c>
      <c r="V506" s="59">
        <v>1</v>
      </c>
      <c r="W506" s="59">
        <v>0</v>
      </c>
      <c r="X506" s="59" t="s">
        <v>35</v>
      </c>
      <c r="Y506" s="79" t="s">
        <v>36</v>
      </c>
      <c r="Z506" s="64" t="s">
        <v>734</v>
      </c>
      <c r="AA506" s="80">
        <f t="shared" si="5"/>
        <v>0.14033699999999999</v>
      </c>
    </row>
    <row r="507" spans="1:27" ht="14.4" x14ac:dyDescent="0.3">
      <c r="A507" s="77">
        <v>45878</v>
      </c>
      <c r="B507" s="78">
        <v>45878</v>
      </c>
      <c r="C507" s="58" t="s">
        <v>48</v>
      </c>
      <c r="D507" s="58" t="s">
        <v>28</v>
      </c>
      <c r="E507" s="58" t="s">
        <v>49</v>
      </c>
      <c r="F507" s="58" t="s">
        <v>50</v>
      </c>
      <c r="G507" s="58" t="s">
        <v>31</v>
      </c>
      <c r="H507" s="58" t="s">
        <v>51</v>
      </c>
      <c r="I507" s="58" t="s">
        <v>52</v>
      </c>
      <c r="J507" s="58" t="s">
        <v>753</v>
      </c>
      <c r="K507" s="59">
        <v>2</v>
      </c>
      <c r="L507" s="59">
        <v>1</v>
      </c>
      <c r="M507" s="60">
        <v>0.5</v>
      </c>
      <c r="N507" s="59" t="s">
        <v>236</v>
      </c>
      <c r="O507" s="59" t="s">
        <v>236</v>
      </c>
      <c r="P507" s="59">
        <v>21.95</v>
      </c>
      <c r="Q507" s="60">
        <v>9.1116000000000003E-2</v>
      </c>
      <c r="R507" s="59">
        <v>10.98</v>
      </c>
      <c r="S507" s="59">
        <v>1</v>
      </c>
      <c r="T507" s="59">
        <v>1</v>
      </c>
      <c r="U507" s="60">
        <v>1</v>
      </c>
      <c r="V507" s="59">
        <v>1</v>
      </c>
      <c r="W507" s="59">
        <v>0</v>
      </c>
      <c r="X507" s="59" t="s">
        <v>603</v>
      </c>
      <c r="Y507" s="79" t="s">
        <v>36</v>
      </c>
      <c r="Z507" s="64" t="s">
        <v>734</v>
      </c>
      <c r="AA507" s="80">
        <f t="shared" si="5"/>
        <v>9.1116000000000003E-2</v>
      </c>
    </row>
    <row r="508" spans="1:27" ht="14.4" x14ac:dyDescent="0.3">
      <c r="A508" s="77">
        <v>45878</v>
      </c>
      <c r="B508" s="78">
        <v>45878</v>
      </c>
      <c r="C508" s="58" t="s">
        <v>143</v>
      </c>
      <c r="D508" s="58" t="s">
        <v>28</v>
      </c>
      <c r="E508" s="58" t="s">
        <v>144</v>
      </c>
      <c r="F508" s="58" t="s">
        <v>32</v>
      </c>
      <c r="G508" s="58" t="s">
        <v>31</v>
      </c>
      <c r="H508" s="58" t="s">
        <v>30</v>
      </c>
      <c r="I508" s="58" t="s">
        <v>44</v>
      </c>
      <c r="J508" s="58" t="s">
        <v>754</v>
      </c>
      <c r="K508" s="59">
        <v>1</v>
      </c>
      <c r="L508" s="59">
        <v>1</v>
      </c>
      <c r="M508" s="60">
        <v>1</v>
      </c>
      <c r="N508" s="59" t="s">
        <v>217</v>
      </c>
      <c r="O508" s="59" t="s">
        <v>217</v>
      </c>
      <c r="P508" s="59">
        <v>24.94</v>
      </c>
      <c r="Q508" s="60">
        <v>7.2974999999999998E-2</v>
      </c>
      <c r="R508" s="59">
        <v>13.7</v>
      </c>
      <c r="S508" s="59">
        <v>1</v>
      </c>
      <c r="T508" s="59">
        <v>1</v>
      </c>
      <c r="U508" s="60">
        <v>1</v>
      </c>
      <c r="V508" s="59">
        <v>1</v>
      </c>
      <c r="W508" s="59">
        <v>0</v>
      </c>
      <c r="X508" s="59" t="s">
        <v>35</v>
      </c>
      <c r="Y508" s="79" t="s">
        <v>36</v>
      </c>
      <c r="Z508" s="64" t="s">
        <v>734</v>
      </c>
      <c r="AA508" s="80">
        <f t="shared" si="5"/>
        <v>7.2974999999999998E-2</v>
      </c>
    </row>
    <row r="509" spans="1:27" ht="14.4" x14ac:dyDescent="0.3">
      <c r="A509" s="77">
        <v>45877</v>
      </c>
      <c r="B509" s="78">
        <v>45878</v>
      </c>
      <c r="C509" s="58" t="s">
        <v>40</v>
      </c>
      <c r="D509" s="58" t="s">
        <v>28</v>
      </c>
      <c r="E509" s="58" t="s">
        <v>41</v>
      </c>
      <c r="F509" s="58" t="s">
        <v>42</v>
      </c>
      <c r="G509" s="58" t="s">
        <v>31</v>
      </c>
      <c r="H509" s="58" t="s">
        <v>695</v>
      </c>
      <c r="I509" s="58" t="s">
        <v>44</v>
      </c>
      <c r="J509" s="58" t="s">
        <v>695</v>
      </c>
      <c r="K509" s="59">
        <v>11</v>
      </c>
      <c r="L509" s="59">
        <v>2</v>
      </c>
      <c r="M509" s="60">
        <v>0.18181800000000001</v>
      </c>
      <c r="N509" s="59" t="s">
        <v>282</v>
      </c>
      <c r="O509" s="59" t="s">
        <v>755</v>
      </c>
      <c r="P509" s="59">
        <v>49.88</v>
      </c>
      <c r="Q509" s="60">
        <v>0.13231799999999999</v>
      </c>
      <c r="R509" s="59">
        <v>7.56</v>
      </c>
      <c r="S509" s="59">
        <v>2</v>
      </c>
      <c r="T509" s="59">
        <v>2</v>
      </c>
      <c r="U509" s="60">
        <v>1</v>
      </c>
      <c r="V509" s="59">
        <v>2</v>
      </c>
      <c r="W509" s="59">
        <v>0</v>
      </c>
      <c r="X509" s="59" t="s">
        <v>78</v>
      </c>
      <c r="Y509" s="79" t="s">
        <v>36</v>
      </c>
      <c r="Z509" s="64" t="s">
        <v>734</v>
      </c>
      <c r="AA509" s="80">
        <f t="shared" si="5"/>
        <v>0.13231799999999999</v>
      </c>
    </row>
    <row r="510" spans="1:27" ht="14.4" x14ac:dyDescent="0.3">
      <c r="A510" s="77">
        <v>45877</v>
      </c>
      <c r="B510" s="78">
        <v>45878</v>
      </c>
      <c r="C510" s="58" t="s">
        <v>48</v>
      </c>
      <c r="D510" s="58" t="s">
        <v>28</v>
      </c>
      <c r="E510" s="58" t="s">
        <v>62</v>
      </c>
      <c r="F510" s="58" t="s">
        <v>63</v>
      </c>
      <c r="G510" s="58" t="s">
        <v>31</v>
      </c>
      <c r="H510" s="58" t="s">
        <v>68</v>
      </c>
      <c r="I510" s="58" t="s">
        <v>65</v>
      </c>
      <c r="J510" s="58" t="s">
        <v>68</v>
      </c>
      <c r="K510" s="59">
        <v>47</v>
      </c>
      <c r="L510" s="59">
        <v>3</v>
      </c>
      <c r="M510" s="60">
        <v>6.3829999999999998E-2</v>
      </c>
      <c r="N510" s="59" t="s">
        <v>756</v>
      </c>
      <c r="O510" s="59" t="s">
        <v>757</v>
      </c>
      <c r="P510" s="59">
        <v>21.95</v>
      </c>
      <c r="Q510" s="60">
        <v>0.548064</v>
      </c>
      <c r="R510" s="59">
        <v>1.82</v>
      </c>
      <c r="S510" s="59">
        <v>1</v>
      </c>
      <c r="T510" s="59">
        <v>1</v>
      </c>
      <c r="U510" s="60">
        <v>0.33333299999999999</v>
      </c>
      <c r="V510" s="59">
        <v>1</v>
      </c>
      <c r="W510" s="59">
        <v>0</v>
      </c>
      <c r="X510" s="59" t="s">
        <v>603</v>
      </c>
      <c r="Y510" s="79" t="s">
        <v>36</v>
      </c>
      <c r="Z510" s="64" t="s">
        <v>734</v>
      </c>
      <c r="AA510" s="80">
        <f t="shared" si="5"/>
        <v>0.548064</v>
      </c>
    </row>
    <row r="511" spans="1:27" ht="14.4" x14ac:dyDescent="0.3">
      <c r="A511" s="77">
        <v>45877</v>
      </c>
      <c r="B511" s="78">
        <v>45877</v>
      </c>
      <c r="C511" s="58" t="s">
        <v>48</v>
      </c>
      <c r="D511" s="58" t="s">
        <v>28</v>
      </c>
      <c r="E511" s="58" t="s">
        <v>233</v>
      </c>
      <c r="F511" s="58" t="s">
        <v>234</v>
      </c>
      <c r="G511" s="58" t="s">
        <v>31</v>
      </c>
      <c r="H511" s="58" t="s">
        <v>357</v>
      </c>
      <c r="I511" s="58" t="s">
        <v>32</v>
      </c>
      <c r="J511" s="58" t="s">
        <v>758</v>
      </c>
      <c r="K511" s="59">
        <v>91</v>
      </c>
      <c r="L511" s="59">
        <v>1</v>
      </c>
      <c r="M511" s="60">
        <v>1.0989000000000001E-2</v>
      </c>
      <c r="N511" s="59" t="s">
        <v>519</v>
      </c>
      <c r="O511" s="59" t="s">
        <v>519</v>
      </c>
      <c r="P511" s="59">
        <v>43.9</v>
      </c>
      <c r="Q511" s="60">
        <v>9.2482999999999996E-2</v>
      </c>
      <c r="R511" s="59">
        <v>10.81</v>
      </c>
      <c r="S511" s="59">
        <v>2</v>
      </c>
      <c r="T511" s="59">
        <v>2</v>
      </c>
      <c r="U511" s="60">
        <v>2</v>
      </c>
      <c r="V511" s="59">
        <v>2</v>
      </c>
      <c r="W511" s="59">
        <v>0</v>
      </c>
      <c r="X511" s="59" t="s">
        <v>662</v>
      </c>
      <c r="Y511" s="79" t="s">
        <v>36</v>
      </c>
      <c r="Z511" s="64" t="s">
        <v>734</v>
      </c>
      <c r="AA511" s="80">
        <f t="shared" si="5"/>
        <v>9.2482999999999996E-2</v>
      </c>
    </row>
    <row r="512" spans="1:27" ht="14.4" x14ac:dyDescent="0.3">
      <c r="A512" s="77">
        <v>45876</v>
      </c>
      <c r="B512" s="78">
        <v>45876</v>
      </c>
      <c r="C512" s="58" t="s">
        <v>143</v>
      </c>
      <c r="D512" s="58" t="s">
        <v>28</v>
      </c>
      <c r="E512" s="58" t="s">
        <v>144</v>
      </c>
      <c r="F512" s="58" t="s">
        <v>32</v>
      </c>
      <c r="G512" s="58" t="s">
        <v>31</v>
      </c>
      <c r="H512" s="58" t="s">
        <v>30</v>
      </c>
      <c r="I512" s="58" t="s">
        <v>44</v>
      </c>
      <c r="J512" s="58" t="s">
        <v>759</v>
      </c>
      <c r="K512" s="59">
        <v>5</v>
      </c>
      <c r="L512" s="59">
        <v>1</v>
      </c>
      <c r="M512" s="60">
        <v>0.2</v>
      </c>
      <c r="N512" s="59" t="s">
        <v>217</v>
      </c>
      <c r="O512" s="59" t="s">
        <v>217</v>
      </c>
      <c r="P512" s="59">
        <v>24.94</v>
      </c>
      <c r="Q512" s="60">
        <v>7.2974999999999998E-2</v>
      </c>
      <c r="R512" s="59">
        <v>13.7</v>
      </c>
      <c r="S512" s="59">
        <v>1</v>
      </c>
      <c r="T512" s="59">
        <v>1</v>
      </c>
      <c r="U512" s="60">
        <v>1</v>
      </c>
      <c r="V512" s="59">
        <v>1</v>
      </c>
      <c r="W512" s="59">
        <v>0</v>
      </c>
      <c r="X512" s="59" t="s">
        <v>35</v>
      </c>
      <c r="Y512" s="79" t="s">
        <v>36</v>
      </c>
      <c r="Z512" s="64" t="s">
        <v>734</v>
      </c>
      <c r="AA512" s="80">
        <f t="shared" si="5"/>
        <v>7.2974999999999998E-2</v>
      </c>
    </row>
    <row r="513" spans="1:27" ht="14.4" x14ac:dyDescent="0.3">
      <c r="A513" s="81">
        <v>45876</v>
      </c>
      <c r="B513" s="82">
        <v>45876</v>
      </c>
      <c r="C513" s="71" t="s">
        <v>27</v>
      </c>
      <c r="D513" s="71" t="s">
        <v>28</v>
      </c>
      <c r="E513" s="71" t="s">
        <v>29</v>
      </c>
      <c r="F513" s="71" t="s">
        <v>30</v>
      </c>
      <c r="G513" s="71" t="s">
        <v>31</v>
      </c>
      <c r="H513" s="71" t="s">
        <v>760</v>
      </c>
      <c r="I513" s="71" t="s">
        <v>32</v>
      </c>
      <c r="J513" s="71" t="s">
        <v>761</v>
      </c>
      <c r="K513" s="72">
        <v>59</v>
      </c>
      <c r="L513" s="72">
        <v>1</v>
      </c>
      <c r="M513" s="73">
        <v>1.6948999999999999E-2</v>
      </c>
      <c r="N513" s="72" t="s">
        <v>352</v>
      </c>
      <c r="O513" s="72" t="s">
        <v>352</v>
      </c>
      <c r="P513" s="72">
        <v>24.94</v>
      </c>
      <c r="Q513" s="73">
        <v>0.19125900000000001</v>
      </c>
      <c r="R513" s="72">
        <v>5.23</v>
      </c>
      <c r="S513" s="72">
        <v>1</v>
      </c>
      <c r="T513" s="72">
        <v>1</v>
      </c>
      <c r="U513" s="73">
        <v>1</v>
      </c>
      <c r="V513" s="72">
        <v>1</v>
      </c>
      <c r="W513" s="72">
        <v>0</v>
      </c>
      <c r="X513" s="72" t="s">
        <v>35</v>
      </c>
      <c r="Y513" s="83" t="s">
        <v>36</v>
      </c>
      <c r="Z513" s="64" t="s">
        <v>734</v>
      </c>
      <c r="AA513" s="80">
        <f t="shared" si="5"/>
        <v>0.19125900000000001</v>
      </c>
    </row>
    <row r="514" spans="1:27" ht="14.4" x14ac:dyDescent="0.3">
      <c r="A514" s="81">
        <v>45876</v>
      </c>
      <c r="B514" s="82">
        <v>45876</v>
      </c>
      <c r="C514" s="71" t="s">
        <v>27</v>
      </c>
      <c r="D514" s="71" t="s">
        <v>28</v>
      </c>
      <c r="E514" s="71" t="s">
        <v>56</v>
      </c>
      <c r="F514" s="71" t="s">
        <v>57</v>
      </c>
      <c r="G514" s="71" t="s">
        <v>31</v>
      </c>
      <c r="H514" s="84" t="e">
        <f>+maca +root</f>
        <v>#NAME?</v>
      </c>
      <c r="I514" s="71" t="s">
        <v>32</v>
      </c>
      <c r="J514" s="71" t="s">
        <v>762</v>
      </c>
      <c r="K514" s="72">
        <v>2</v>
      </c>
      <c r="L514" s="72">
        <v>1</v>
      </c>
      <c r="M514" s="73">
        <v>0.5</v>
      </c>
      <c r="N514" s="72" t="s">
        <v>763</v>
      </c>
      <c r="O514" s="72" t="s">
        <v>763</v>
      </c>
      <c r="P514" s="72">
        <v>24.94</v>
      </c>
      <c r="Q514" s="73">
        <v>0.122294</v>
      </c>
      <c r="R514" s="72">
        <v>8.18</v>
      </c>
      <c r="S514" s="72">
        <v>1</v>
      </c>
      <c r="T514" s="72">
        <v>1</v>
      </c>
      <c r="U514" s="73">
        <v>1</v>
      </c>
      <c r="V514" s="72">
        <v>1</v>
      </c>
      <c r="W514" s="72">
        <v>0</v>
      </c>
      <c r="X514" s="72" t="s">
        <v>35</v>
      </c>
      <c r="Y514" s="83" t="s">
        <v>36</v>
      </c>
      <c r="Z514" s="64" t="s">
        <v>734</v>
      </c>
      <c r="AA514" s="80">
        <f t="shared" si="5"/>
        <v>0.122294</v>
      </c>
    </row>
    <row r="515" spans="1:27" ht="14.4" x14ac:dyDescent="0.3">
      <c r="A515" s="81">
        <v>45876</v>
      </c>
      <c r="B515" s="82">
        <v>45876</v>
      </c>
      <c r="C515" s="71" t="s">
        <v>494</v>
      </c>
      <c r="D515" s="71" t="s">
        <v>28</v>
      </c>
      <c r="E515" s="71" t="s">
        <v>495</v>
      </c>
      <c r="F515" s="71" t="s">
        <v>496</v>
      </c>
      <c r="G515" s="71" t="s">
        <v>31</v>
      </c>
      <c r="H515" s="71" t="s">
        <v>51</v>
      </c>
      <c r="I515" s="71" t="s">
        <v>52</v>
      </c>
      <c r="J515" s="71" t="s">
        <v>764</v>
      </c>
      <c r="K515" s="72">
        <v>1</v>
      </c>
      <c r="L515" s="72">
        <v>1</v>
      </c>
      <c r="M515" s="73">
        <v>1</v>
      </c>
      <c r="N515" s="72" t="s">
        <v>262</v>
      </c>
      <c r="O515" s="72" t="s">
        <v>262</v>
      </c>
      <c r="P515" s="72">
        <v>29.99</v>
      </c>
      <c r="Q515" s="73">
        <v>0.10803599999999999</v>
      </c>
      <c r="R515" s="72">
        <v>9.26</v>
      </c>
      <c r="S515" s="72">
        <v>1</v>
      </c>
      <c r="T515" s="72">
        <v>1</v>
      </c>
      <c r="U515" s="73">
        <v>1</v>
      </c>
      <c r="V515" s="72">
        <v>1</v>
      </c>
      <c r="W515" s="72">
        <v>0</v>
      </c>
      <c r="X515" s="72" t="s">
        <v>498</v>
      </c>
      <c r="Y515" s="83" t="s">
        <v>36</v>
      </c>
      <c r="Z515" s="64" t="s">
        <v>734</v>
      </c>
      <c r="AA515" s="80">
        <f t="shared" si="5"/>
        <v>0.10803599999999999</v>
      </c>
    </row>
    <row r="516" spans="1:27" ht="14.4" x14ac:dyDescent="0.3">
      <c r="A516" s="81">
        <v>45876</v>
      </c>
      <c r="B516" s="82">
        <v>45878</v>
      </c>
      <c r="C516" s="71" t="s">
        <v>85</v>
      </c>
      <c r="D516" s="71" t="s">
        <v>28</v>
      </c>
      <c r="E516" s="71" t="s">
        <v>86</v>
      </c>
      <c r="F516" s="71" t="s">
        <v>87</v>
      </c>
      <c r="G516" s="71" t="s">
        <v>31</v>
      </c>
      <c r="H516" s="71" t="s">
        <v>87</v>
      </c>
      <c r="I516" s="71" t="s">
        <v>44</v>
      </c>
      <c r="J516" s="71" t="s">
        <v>87</v>
      </c>
      <c r="K516" s="72">
        <v>16</v>
      </c>
      <c r="L516" s="72">
        <v>3</v>
      </c>
      <c r="M516" s="73">
        <v>0.1875</v>
      </c>
      <c r="N516" s="72" t="s">
        <v>244</v>
      </c>
      <c r="O516" s="72" t="s">
        <v>765</v>
      </c>
      <c r="P516" s="72">
        <v>65.849999999999994</v>
      </c>
      <c r="Q516" s="73">
        <v>0.14715300000000001</v>
      </c>
      <c r="R516" s="72">
        <v>6.8</v>
      </c>
      <c r="S516" s="72">
        <v>3</v>
      </c>
      <c r="T516" s="72">
        <v>3</v>
      </c>
      <c r="U516" s="73">
        <v>1</v>
      </c>
      <c r="V516" s="72">
        <v>3</v>
      </c>
      <c r="W516" s="72">
        <v>0</v>
      </c>
      <c r="X516" s="72" t="s">
        <v>639</v>
      </c>
      <c r="Y516" s="83" t="s">
        <v>36</v>
      </c>
      <c r="Z516" s="64" t="s">
        <v>734</v>
      </c>
      <c r="AA516" s="80">
        <f t="shared" si="5"/>
        <v>0.14715300000000001</v>
      </c>
    </row>
    <row r="517" spans="1:27" ht="14.4" x14ac:dyDescent="0.3">
      <c r="A517" s="81">
        <v>45875</v>
      </c>
      <c r="B517" s="82">
        <v>45875</v>
      </c>
      <c r="C517" s="71" t="s">
        <v>27</v>
      </c>
      <c r="D517" s="71" t="s">
        <v>28</v>
      </c>
      <c r="E517" s="71" t="s">
        <v>29</v>
      </c>
      <c r="F517" s="71" t="s">
        <v>30</v>
      </c>
      <c r="G517" s="71" t="s">
        <v>31</v>
      </c>
      <c r="H517" s="71" t="s">
        <v>30</v>
      </c>
      <c r="I517" s="71" t="s">
        <v>32</v>
      </c>
      <c r="J517" s="71" t="s">
        <v>766</v>
      </c>
      <c r="K517" s="72">
        <v>2</v>
      </c>
      <c r="L517" s="72">
        <v>1</v>
      </c>
      <c r="M517" s="73">
        <v>0.5</v>
      </c>
      <c r="N517" s="72" t="s">
        <v>217</v>
      </c>
      <c r="O517" s="72" t="s">
        <v>217</v>
      </c>
      <c r="P517" s="72">
        <v>24.94</v>
      </c>
      <c r="Q517" s="73">
        <v>7.2974999999999998E-2</v>
      </c>
      <c r="R517" s="72">
        <v>13.7</v>
      </c>
      <c r="S517" s="72">
        <v>1</v>
      </c>
      <c r="T517" s="72">
        <v>1</v>
      </c>
      <c r="U517" s="73">
        <v>1</v>
      </c>
      <c r="V517" s="72">
        <v>1</v>
      </c>
      <c r="W517" s="72">
        <v>0</v>
      </c>
      <c r="X517" s="72" t="s">
        <v>35</v>
      </c>
      <c r="Y517" s="83" t="s">
        <v>36</v>
      </c>
      <c r="Z517" s="64" t="s">
        <v>734</v>
      </c>
      <c r="AA517" s="80">
        <f t="shared" si="5"/>
        <v>7.2974999999999998E-2</v>
      </c>
    </row>
    <row r="518" spans="1:27" ht="14.4" x14ac:dyDescent="0.3">
      <c r="A518" s="81">
        <v>45875</v>
      </c>
      <c r="B518" s="82">
        <v>45875</v>
      </c>
      <c r="C518" s="71" t="s">
        <v>27</v>
      </c>
      <c r="D518" s="71" t="s">
        <v>28</v>
      </c>
      <c r="E518" s="71" t="s">
        <v>56</v>
      </c>
      <c r="F518" s="71" t="s">
        <v>57</v>
      </c>
      <c r="G518" s="71" t="s">
        <v>31</v>
      </c>
      <c r="H518" s="84" t="e">
        <f>+maca +root</f>
        <v>#NAME?</v>
      </c>
      <c r="I518" s="71" t="s">
        <v>32</v>
      </c>
      <c r="J518" s="71" t="s">
        <v>767</v>
      </c>
      <c r="K518" s="72">
        <v>28</v>
      </c>
      <c r="L518" s="72">
        <v>1</v>
      </c>
      <c r="M518" s="73">
        <v>3.5714000000000003E-2</v>
      </c>
      <c r="N518" s="72" t="s">
        <v>768</v>
      </c>
      <c r="O518" s="72" t="s">
        <v>768</v>
      </c>
      <c r="P518" s="72">
        <v>24.94</v>
      </c>
      <c r="Q518" s="73">
        <v>9.5028000000000001E-2</v>
      </c>
      <c r="R518" s="72">
        <v>10.52</v>
      </c>
      <c r="S518" s="72">
        <v>1</v>
      </c>
      <c r="T518" s="72">
        <v>1</v>
      </c>
      <c r="U518" s="73">
        <v>1</v>
      </c>
      <c r="V518" s="72">
        <v>1</v>
      </c>
      <c r="W518" s="72">
        <v>0</v>
      </c>
      <c r="X518" s="72" t="s">
        <v>35</v>
      </c>
      <c r="Y518" s="83" t="s">
        <v>36</v>
      </c>
      <c r="Z518" s="64" t="s">
        <v>734</v>
      </c>
      <c r="AA518" s="80">
        <f t="shared" si="5"/>
        <v>9.5028000000000001E-2</v>
      </c>
    </row>
    <row r="519" spans="1:27" ht="14.4" x14ac:dyDescent="0.3">
      <c r="A519" s="81">
        <v>45875</v>
      </c>
      <c r="B519" s="82">
        <v>45875</v>
      </c>
      <c r="C519" s="71" t="s">
        <v>40</v>
      </c>
      <c r="D519" s="71" t="s">
        <v>28</v>
      </c>
      <c r="E519" s="71" t="s">
        <v>41</v>
      </c>
      <c r="F519" s="71" t="s">
        <v>42</v>
      </c>
      <c r="G519" s="71" t="s">
        <v>31</v>
      </c>
      <c r="H519" s="71" t="s">
        <v>43</v>
      </c>
      <c r="I519" s="71" t="s">
        <v>44</v>
      </c>
      <c r="J519" s="71" t="s">
        <v>769</v>
      </c>
      <c r="K519" s="72">
        <v>3</v>
      </c>
      <c r="L519" s="72">
        <v>1</v>
      </c>
      <c r="M519" s="73">
        <v>0.33333299999999999</v>
      </c>
      <c r="N519" s="72" t="s">
        <v>126</v>
      </c>
      <c r="O519" s="72" t="s">
        <v>126</v>
      </c>
      <c r="P519" s="72">
        <v>24.94</v>
      </c>
      <c r="Q519" s="73">
        <v>0.13111500000000001</v>
      </c>
      <c r="R519" s="72">
        <v>7.63</v>
      </c>
      <c r="S519" s="72">
        <v>1</v>
      </c>
      <c r="T519" s="72">
        <v>1</v>
      </c>
      <c r="U519" s="73">
        <v>1</v>
      </c>
      <c r="V519" s="72">
        <v>1</v>
      </c>
      <c r="W519" s="72">
        <v>0</v>
      </c>
      <c r="X519" s="72" t="s">
        <v>35</v>
      </c>
      <c r="Y519" s="83" t="s">
        <v>36</v>
      </c>
      <c r="Z519" s="64" t="s">
        <v>734</v>
      </c>
      <c r="AA519" s="80">
        <f t="shared" si="5"/>
        <v>0.13111500000000001</v>
      </c>
    </row>
    <row r="520" spans="1:27" ht="14.4" x14ac:dyDescent="0.3">
      <c r="A520" s="81">
        <v>45875</v>
      </c>
      <c r="B520" s="82">
        <v>45878</v>
      </c>
      <c r="C520" s="71" t="s">
        <v>27</v>
      </c>
      <c r="D520" s="71" t="s">
        <v>28</v>
      </c>
      <c r="E520" s="71" t="s">
        <v>71</v>
      </c>
      <c r="F520" s="71" t="s">
        <v>72</v>
      </c>
      <c r="G520" s="71" t="s">
        <v>31</v>
      </c>
      <c r="H520" s="71" t="s">
        <v>51</v>
      </c>
      <c r="I520" s="71" t="s">
        <v>52</v>
      </c>
      <c r="J520" s="71" t="s">
        <v>306</v>
      </c>
      <c r="K520" s="72">
        <v>17</v>
      </c>
      <c r="L520" s="72">
        <v>3</v>
      </c>
      <c r="M520" s="73">
        <v>0.17647099999999999</v>
      </c>
      <c r="N520" s="72" t="s">
        <v>559</v>
      </c>
      <c r="O520" s="72" t="s">
        <v>770</v>
      </c>
      <c r="P520" s="72">
        <v>24.94</v>
      </c>
      <c r="Q520" s="73">
        <v>0.19486800000000001</v>
      </c>
      <c r="R520" s="72">
        <v>5.13</v>
      </c>
      <c r="S520" s="72">
        <v>1</v>
      </c>
      <c r="T520" s="72">
        <v>1</v>
      </c>
      <c r="U520" s="73">
        <v>0.33333299999999999</v>
      </c>
      <c r="V520" s="72">
        <v>1</v>
      </c>
      <c r="W520" s="72">
        <v>0</v>
      </c>
      <c r="X520" s="72" t="s">
        <v>35</v>
      </c>
      <c r="Y520" s="83" t="s">
        <v>36</v>
      </c>
      <c r="Z520" s="64" t="s">
        <v>734</v>
      </c>
      <c r="AA520" s="80">
        <f t="shared" si="5"/>
        <v>0.19486800000000001</v>
      </c>
    </row>
    <row r="521" spans="1:27" ht="14.4" x14ac:dyDescent="0.3">
      <c r="A521" s="81">
        <v>45875</v>
      </c>
      <c r="B521" s="82">
        <v>45878</v>
      </c>
      <c r="C521" s="71" t="s">
        <v>48</v>
      </c>
      <c r="D521" s="71" t="s">
        <v>28</v>
      </c>
      <c r="E521" s="71" t="s">
        <v>233</v>
      </c>
      <c r="F521" s="71" t="s">
        <v>234</v>
      </c>
      <c r="G521" s="71" t="s">
        <v>31</v>
      </c>
      <c r="H521" s="71" t="s">
        <v>153</v>
      </c>
      <c r="I521" s="71" t="s">
        <v>32</v>
      </c>
      <c r="J521" s="71" t="s">
        <v>771</v>
      </c>
      <c r="K521" s="72">
        <v>7</v>
      </c>
      <c r="L521" s="72">
        <v>2</v>
      </c>
      <c r="M521" s="73">
        <v>0.28571400000000002</v>
      </c>
      <c r="N521" s="72" t="s">
        <v>321</v>
      </c>
      <c r="O521" s="72" t="s">
        <v>772</v>
      </c>
      <c r="P521" s="72">
        <v>21.95</v>
      </c>
      <c r="Q521" s="73">
        <v>0.218223</v>
      </c>
      <c r="R521" s="72">
        <v>4.58</v>
      </c>
      <c r="S521" s="72">
        <v>1</v>
      </c>
      <c r="T521" s="72">
        <v>1</v>
      </c>
      <c r="U521" s="73">
        <v>0.5</v>
      </c>
      <c r="V521" s="72">
        <v>1</v>
      </c>
      <c r="W521" s="72">
        <v>0</v>
      </c>
      <c r="X521" s="72" t="s">
        <v>603</v>
      </c>
      <c r="Y521" s="83" t="s">
        <v>36</v>
      </c>
      <c r="Z521" s="64" t="s">
        <v>734</v>
      </c>
      <c r="AA521" s="80">
        <f t="shared" si="5"/>
        <v>0.218223</v>
      </c>
    </row>
    <row r="522" spans="1:27" ht="14.4" x14ac:dyDescent="0.3">
      <c r="A522" s="81">
        <v>45874</v>
      </c>
      <c r="B522" s="82">
        <v>45874</v>
      </c>
      <c r="C522" s="71" t="s">
        <v>40</v>
      </c>
      <c r="D522" s="71" t="s">
        <v>28</v>
      </c>
      <c r="E522" s="71" t="s">
        <v>41</v>
      </c>
      <c r="F522" s="71" t="s">
        <v>42</v>
      </c>
      <c r="G522" s="71" t="s">
        <v>31</v>
      </c>
      <c r="H522" s="71" t="s">
        <v>43</v>
      </c>
      <c r="I522" s="71" t="s">
        <v>44</v>
      </c>
      <c r="J522" s="71" t="s">
        <v>773</v>
      </c>
      <c r="K522" s="72">
        <v>1</v>
      </c>
      <c r="L522" s="72">
        <v>1</v>
      </c>
      <c r="M522" s="73">
        <v>1</v>
      </c>
      <c r="N522" s="72" t="s">
        <v>204</v>
      </c>
      <c r="O522" s="72" t="s">
        <v>204</v>
      </c>
      <c r="P522" s="72">
        <v>24.94</v>
      </c>
      <c r="Q522" s="73">
        <v>0.12590199999999999</v>
      </c>
      <c r="R522" s="72">
        <v>7.94</v>
      </c>
      <c r="S522" s="72">
        <v>1</v>
      </c>
      <c r="T522" s="72">
        <v>1</v>
      </c>
      <c r="U522" s="73">
        <v>1</v>
      </c>
      <c r="V522" s="72">
        <v>1</v>
      </c>
      <c r="W522" s="72">
        <v>0</v>
      </c>
      <c r="X522" s="72" t="s">
        <v>35</v>
      </c>
      <c r="Y522" s="83" t="s">
        <v>36</v>
      </c>
      <c r="Z522" s="64" t="s">
        <v>734</v>
      </c>
      <c r="AA522" s="80">
        <f t="shared" si="5"/>
        <v>0.12590199999999999</v>
      </c>
    </row>
    <row r="523" spans="1:27" ht="14.4" x14ac:dyDescent="0.3">
      <c r="A523" s="81">
        <v>45874</v>
      </c>
      <c r="B523" s="82">
        <v>45877</v>
      </c>
      <c r="C523" s="71" t="s">
        <v>27</v>
      </c>
      <c r="D523" s="71" t="s">
        <v>28</v>
      </c>
      <c r="E523" s="71" t="s">
        <v>71</v>
      </c>
      <c r="F523" s="71" t="s">
        <v>72</v>
      </c>
      <c r="G523" s="71" t="s">
        <v>31</v>
      </c>
      <c r="H523" s="71" t="s">
        <v>73</v>
      </c>
      <c r="I523" s="71" t="s">
        <v>52</v>
      </c>
      <c r="J523" s="71" t="s">
        <v>97</v>
      </c>
      <c r="K523" s="72">
        <v>23</v>
      </c>
      <c r="L523" s="72">
        <v>3</v>
      </c>
      <c r="M523" s="73">
        <v>0.130435</v>
      </c>
      <c r="N523" s="72" t="s">
        <v>774</v>
      </c>
      <c r="O523" s="72" t="s">
        <v>775</v>
      </c>
      <c r="P523" s="72">
        <v>24.94</v>
      </c>
      <c r="Q523" s="73">
        <v>0.45429000000000003</v>
      </c>
      <c r="R523" s="72">
        <v>2.2000000000000002</v>
      </c>
      <c r="S523" s="72">
        <v>1</v>
      </c>
      <c r="T523" s="72">
        <v>1</v>
      </c>
      <c r="U523" s="73">
        <v>0.33333299999999999</v>
      </c>
      <c r="V523" s="72">
        <v>1</v>
      </c>
      <c r="W523" s="72">
        <v>0</v>
      </c>
      <c r="X523" s="72" t="s">
        <v>35</v>
      </c>
      <c r="Y523" s="83" t="s">
        <v>36</v>
      </c>
      <c r="Z523" s="64" t="s">
        <v>734</v>
      </c>
      <c r="AA523" s="80">
        <f t="shared" si="5"/>
        <v>0.45429000000000003</v>
      </c>
    </row>
    <row r="524" spans="1:27" ht="14.4" x14ac:dyDescent="0.3">
      <c r="A524" s="81">
        <v>45874</v>
      </c>
      <c r="B524" s="82">
        <v>45874</v>
      </c>
      <c r="C524" s="71" t="s">
        <v>27</v>
      </c>
      <c r="D524" s="71" t="s">
        <v>28</v>
      </c>
      <c r="E524" s="71" t="s">
        <v>56</v>
      </c>
      <c r="F524" s="71" t="s">
        <v>57</v>
      </c>
      <c r="G524" s="71" t="s">
        <v>31</v>
      </c>
      <c r="H524" s="84" t="e">
        <f>+maca +root</f>
        <v>#NAME?</v>
      </c>
      <c r="I524" s="71" t="s">
        <v>32</v>
      </c>
      <c r="J524" s="71" t="s">
        <v>776</v>
      </c>
      <c r="K524" s="72">
        <v>3</v>
      </c>
      <c r="L524" s="72">
        <v>1</v>
      </c>
      <c r="M524" s="73">
        <v>0.33333299999999999</v>
      </c>
      <c r="N524" s="72" t="s">
        <v>777</v>
      </c>
      <c r="O524" s="72" t="s">
        <v>777</v>
      </c>
      <c r="P524" s="72">
        <v>24.94</v>
      </c>
      <c r="Q524" s="73">
        <v>0.105854</v>
      </c>
      <c r="R524" s="72">
        <v>9.4499999999999993</v>
      </c>
      <c r="S524" s="72">
        <v>1</v>
      </c>
      <c r="T524" s="72">
        <v>1</v>
      </c>
      <c r="U524" s="73">
        <v>1</v>
      </c>
      <c r="V524" s="72">
        <v>1</v>
      </c>
      <c r="W524" s="72">
        <v>0</v>
      </c>
      <c r="X524" s="72" t="s">
        <v>35</v>
      </c>
      <c r="Y524" s="83" t="s">
        <v>36</v>
      </c>
      <c r="Z524" s="64" t="s">
        <v>734</v>
      </c>
      <c r="AA524" s="80">
        <f t="shared" si="5"/>
        <v>0.105854</v>
      </c>
    </row>
    <row r="525" spans="1:27" ht="14.4" x14ac:dyDescent="0.3">
      <c r="A525" s="81">
        <v>45874</v>
      </c>
      <c r="B525" s="82">
        <v>45874</v>
      </c>
      <c r="C525" s="71" t="s">
        <v>27</v>
      </c>
      <c r="D525" s="71" t="s">
        <v>28</v>
      </c>
      <c r="E525" s="71" t="s">
        <v>71</v>
      </c>
      <c r="F525" s="71" t="s">
        <v>72</v>
      </c>
      <c r="G525" s="71" t="s">
        <v>31</v>
      </c>
      <c r="H525" s="71" t="s">
        <v>51</v>
      </c>
      <c r="I525" s="71" t="s">
        <v>52</v>
      </c>
      <c r="J525" s="71" t="s">
        <v>370</v>
      </c>
      <c r="K525" s="72">
        <v>12</v>
      </c>
      <c r="L525" s="72">
        <v>2</v>
      </c>
      <c r="M525" s="73">
        <v>0.16666700000000001</v>
      </c>
      <c r="N525" s="72" t="s">
        <v>99</v>
      </c>
      <c r="O525" s="72" t="s">
        <v>778</v>
      </c>
      <c r="P525" s="72">
        <v>24.94</v>
      </c>
      <c r="Q525" s="73">
        <v>0.190858</v>
      </c>
      <c r="R525" s="72">
        <v>5.24</v>
      </c>
      <c r="S525" s="72">
        <v>1</v>
      </c>
      <c r="T525" s="72">
        <v>1</v>
      </c>
      <c r="U525" s="73">
        <v>0.5</v>
      </c>
      <c r="V525" s="72">
        <v>1</v>
      </c>
      <c r="W525" s="72">
        <v>0</v>
      </c>
      <c r="X525" s="72" t="s">
        <v>35</v>
      </c>
      <c r="Y525" s="83" t="s">
        <v>36</v>
      </c>
      <c r="Z525" s="64" t="s">
        <v>734</v>
      </c>
      <c r="AA525" s="80">
        <f t="shared" si="5"/>
        <v>0.190858</v>
      </c>
    </row>
    <row r="526" spans="1:27" ht="14.4" x14ac:dyDescent="0.3">
      <c r="A526" s="81">
        <v>45874</v>
      </c>
      <c r="B526" s="82">
        <v>45874</v>
      </c>
      <c r="C526" s="71" t="s">
        <v>27</v>
      </c>
      <c r="D526" s="71" t="s">
        <v>28</v>
      </c>
      <c r="E526" s="71" t="s">
        <v>29</v>
      </c>
      <c r="F526" s="71" t="s">
        <v>30</v>
      </c>
      <c r="G526" s="71" t="s">
        <v>31</v>
      </c>
      <c r="H526" s="71" t="s">
        <v>30</v>
      </c>
      <c r="I526" s="71" t="s">
        <v>32</v>
      </c>
      <c r="J526" s="71" t="s">
        <v>164</v>
      </c>
      <c r="K526" s="72">
        <v>1</v>
      </c>
      <c r="L526" s="72">
        <v>1</v>
      </c>
      <c r="M526" s="73">
        <v>1</v>
      </c>
      <c r="N526" s="72" t="s">
        <v>606</v>
      </c>
      <c r="O526" s="72" t="s">
        <v>606</v>
      </c>
      <c r="P526" s="72">
        <v>24.94</v>
      </c>
      <c r="Q526" s="73">
        <v>0.118284</v>
      </c>
      <c r="R526" s="72">
        <v>8.4499999999999993</v>
      </c>
      <c r="S526" s="72">
        <v>1</v>
      </c>
      <c r="T526" s="72">
        <v>1</v>
      </c>
      <c r="U526" s="73">
        <v>1</v>
      </c>
      <c r="V526" s="72">
        <v>1</v>
      </c>
      <c r="W526" s="72">
        <v>0</v>
      </c>
      <c r="X526" s="72" t="s">
        <v>35</v>
      </c>
      <c r="Y526" s="83" t="s">
        <v>36</v>
      </c>
      <c r="Z526" s="64" t="s">
        <v>734</v>
      </c>
      <c r="AA526" s="80">
        <f t="shared" si="5"/>
        <v>0.118284</v>
      </c>
    </row>
    <row r="527" spans="1:27" ht="14.4" x14ac:dyDescent="0.3">
      <c r="A527" s="81">
        <v>45874</v>
      </c>
      <c r="B527" s="82">
        <v>45874</v>
      </c>
      <c r="C527" s="71" t="s">
        <v>48</v>
      </c>
      <c r="D527" s="71" t="s">
        <v>28</v>
      </c>
      <c r="E527" s="71" t="s">
        <v>446</v>
      </c>
      <c r="F527" s="71" t="s">
        <v>447</v>
      </c>
      <c r="G527" s="71" t="s">
        <v>31</v>
      </c>
      <c r="H527" s="71" t="s">
        <v>779</v>
      </c>
      <c r="I527" s="71" t="s">
        <v>44</v>
      </c>
      <c r="J527" s="71" t="s">
        <v>780</v>
      </c>
      <c r="K527" s="72">
        <v>3</v>
      </c>
      <c r="L527" s="72">
        <v>1</v>
      </c>
      <c r="M527" s="73">
        <v>0.33333299999999999</v>
      </c>
      <c r="N527" s="72" t="s">
        <v>124</v>
      </c>
      <c r="O527" s="72" t="s">
        <v>124</v>
      </c>
      <c r="P527" s="72">
        <v>21.95</v>
      </c>
      <c r="Q527" s="73">
        <v>0.11981799999999999</v>
      </c>
      <c r="R527" s="72">
        <v>8.35</v>
      </c>
      <c r="S527" s="72">
        <v>1</v>
      </c>
      <c r="T527" s="72">
        <v>1</v>
      </c>
      <c r="U527" s="73">
        <v>1</v>
      </c>
      <c r="V527" s="72">
        <v>1</v>
      </c>
      <c r="W527" s="72">
        <v>0</v>
      </c>
      <c r="X527" s="72" t="s">
        <v>603</v>
      </c>
      <c r="Y527" s="83" t="s">
        <v>36</v>
      </c>
      <c r="Z527" s="64" t="s">
        <v>734</v>
      </c>
      <c r="AA527" s="80">
        <f t="shared" si="5"/>
        <v>0.11981799999999999</v>
      </c>
    </row>
    <row r="528" spans="1:27" ht="14.4" x14ac:dyDescent="0.3">
      <c r="A528" s="81">
        <v>45874</v>
      </c>
      <c r="B528" s="82">
        <v>45874</v>
      </c>
      <c r="C528" s="71" t="s">
        <v>27</v>
      </c>
      <c r="D528" s="71" t="s">
        <v>28</v>
      </c>
      <c r="E528" s="71" t="s">
        <v>29</v>
      </c>
      <c r="F528" s="71" t="s">
        <v>30</v>
      </c>
      <c r="G528" s="71" t="s">
        <v>31</v>
      </c>
      <c r="H528" s="71" t="s">
        <v>30</v>
      </c>
      <c r="I528" s="71" t="s">
        <v>32</v>
      </c>
      <c r="J528" s="71" t="s">
        <v>781</v>
      </c>
      <c r="K528" s="72">
        <v>7</v>
      </c>
      <c r="L528" s="72">
        <v>1</v>
      </c>
      <c r="M528" s="73">
        <v>0.14285700000000001</v>
      </c>
      <c r="N528" s="72" t="s">
        <v>385</v>
      </c>
      <c r="O528" s="72" t="s">
        <v>385</v>
      </c>
      <c r="P528" s="72">
        <v>24.94</v>
      </c>
      <c r="Q528" s="73">
        <v>0.110265</v>
      </c>
      <c r="R528" s="72">
        <v>9.07</v>
      </c>
      <c r="S528" s="72">
        <v>1</v>
      </c>
      <c r="T528" s="72">
        <v>1</v>
      </c>
      <c r="U528" s="73">
        <v>1</v>
      </c>
      <c r="V528" s="72">
        <v>1</v>
      </c>
      <c r="W528" s="72">
        <v>0</v>
      </c>
      <c r="X528" s="72" t="s">
        <v>35</v>
      </c>
      <c r="Y528" s="83" t="s">
        <v>36</v>
      </c>
      <c r="Z528" s="64" t="s">
        <v>734</v>
      </c>
      <c r="AA528" s="80">
        <f t="shared" si="5"/>
        <v>0.110265</v>
      </c>
    </row>
    <row r="529" spans="1:27" ht="14.4" x14ac:dyDescent="0.3">
      <c r="A529" s="81">
        <v>45874</v>
      </c>
      <c r="B529" s="82">
        <v>45877</v>
      </c>
      <c r="C529" s="71" t="s">
        <v>48</v>
      </c>
      <c r="D529" s="71" t="s">
        <v>28</v>
      </c>
      <c r="E529" s="71" t="s">
        <v>49</v>
      </c>
      <c r="F529" s="71" t="s">
        <v>50</v>
      </c>
      <c r="G529" s="71" t="s">
        <v>31</v>
      </c>
      <c r="H529" s="71" t="s">
        <v>51</v>
      </c>
      <c r="I529" s="71" t="s">
        <v>52</v>
      </c>
      <c r="J529" s="71" t="s">
        <v>782</v>
      </c>
      <c r="K529" s="72">
        <v>9</v>
      </c>
      <c r="L529" s="72">
        <v>2</v>
      </c>
      <c r="M529" s="73">
        <v>0.222222</v>
      </c>
      <c r="N529" s="72" t="s">
        <v>783</v>
      </c>
      <c r="O529" s="72" t="s">
        <v>784</v>
      </c>
      <c r="P529" s="72">
        <v>21.95</v>
      </c>
      <c r="Q529" s="73">
        <v>0.22004599999999999</v>
      </c>
      <c r="R529" s="72">
        <v>4.54</v>
      </c>
      <c r="S529" s="72">
        <v>1</v>
      </c>
      <c r="T529" s="72">
        <v>1</v>
      </c>
      <c r="U529" s="73">
        <v>0.5</v>
      </c>
      <c r="V529" s="72">
        <v>1</v>
      </c>
      <c r="W529" s="72">
        <v>0</v>
      </c>
      <c r="X529" s="72" t="s">
        <v>603</v>
      </c>
      <c r="Y529" s="83" t="s">
        <v>36</v>
      </c>
      <c r="Z529" s="64" t="s">
        <v>734</v>
      </c>
      <c r="AA529" s="80">
        <f t="shared" si="5"/>
        <v>0.22004599999999999</v>
      </c>
    </row>
    <row r="530" spans="1:27" ht="14.4" x14ac:dyDescent="0.3">
      <c r="A530" s="81">
        <v>45874</v>
      </c>
      <c r="B530" s="82">
        <v>45874</v>
      </c>
      <c r="C530" s="71" t="s">
        <v>48</v>
      </c>
      <c r="D530" s="71" t="s">
        <v>28</v>
      </c>
      <c r="E530" s="71" t="s">
        <v>233</v>
      </c>
      <c r="F530" s="71" t="s">
        <v>234</v>
      </c>
      <c r="G530" s="71" t="s">
        <v>31</v>
      </c>
      <c r="H530" s="71" t="s">
        <v>153</v>
      </c>
      <c r="I530" s="71" t="s">
        <v>32</v>
      </c>
      <c r="J530" s="71" t="s">
        <v>579</v>
      </c>
      <c r="K530" s="72">
        <v>1</v>
      </c>
      <c r="L530" s="72">
        <v>1</v>
      </c>
      <c r="M530" s="73">
        <v>1</v>
      </c>
      <c r="N530" s="72" t="s">
        <v>702</v>
      </c>
      <c r="O530" s="72" t="s">
        <v>702</v>
      </c>
      <c r="P530" s="72">
        <v>24.95</v>
      </c>
      <c r="Q530" s="73">
        <v>0.12825700000000001</v>
      </c>
      <c r="R530" s="72">
        <v>7.8</v>
      </c>
      <c r="S530" s="72">
        <v>1</v>
      </c>
      <c r="T530" s="72">
        <v>1</v>
      </c>
      <c r="U530" s="73">
        <v>1</v>
      </c>
      <c r="V530" s="72">
        <v>1</v>
      </c>
      <c r="W530" s="72">
        <v>0</v>
      </c>
      <c r="X530" s="72" t="s">
        <v>785</v>
      </c>
      <c r="Y530" s="83" t="s">
        <v>36</v>
      </c>
      <c r="Z530" s="64" t="s">
        <v>734</v>
      </c>
      <c r="AA530" s="80">
        <f t="shared" si="5"/>
        <v>0.12825700000000001</v>
      </c>
    </row>
    <row r="531" spans="1:27" ht="14.4" x14ac:dyDescent="0.3">
      <c r="A531" s="81">
        <v>45873</v>
      </c>
      <c r="B531" s="82">
        <v>45877</v>
      </c>
      <c r="C531" s="71" t="s">
        <v>27</v>
      </c>
      <c r="D531" s="71" t="s">
        <v>28</v>
      </c>
      <c r="E531" s="71" t="s">
        <v>29</v>
      </c>
      <c r="F531" s="71" t="s">
        <v>30</v>
      </c>
      <c r="G531" s="71" t="s">
        <v>31</v>
      </c>
      <c r="H531" s="71" t="s">
        <v>30</v>
      </c>
      <c r="I531" s="71" t="s">
        <v>32</v>
      </c>
      <c r="J531" s="71" t="s">
        <v>786</v>
      </c>
      <c r="K531" s="72">
        <v>9</v>
      </c>
      <c r="L531" s="72">
        <v>4</v>
      </c>
      <c r="M531" s="73">
        <v>0.44444400000000001</v>
      </c>
      <c r="N531" s="72" t="s">
        <v>99</v>
      </c>
      <c r="O531" s="72" t="s">
        <v>787</v>
      </c>
      <c r="P531" s="72">
        <v>24.94</v>
      </c>
      <c r="Q531" s="73">
        <v>0.38131500000000002</v>
      </c>
      <c r="R531" s="72">
        <v>2.62</v>
      </c>
      <c r="S531" s="72">
        <v>1</v>
      </c>
      <c r="T531" s="72">
        <v>1</v>
      </c>
      <c r="U531" s="73">
        <v>0.25</v>
      </c>
      <c r="V531" s="72">
        <v>1</v>
      </c>
      <c r="W531" s="72">
        <v>0</v>
      </c>
      <c r="X531" s="72" t="s">
        <v>35</v>
      </c>
      <c r="Y531" s="83" t="s">
        <v>36</v>
      </c>
      <c r="Z531" s="64" t="s">
        <v>734</v>
      </c>
      <c r="AA531" s="80">
        <f t="shared" si="5"/>
        <v>0.38131500000000002</v>
      </c>
    </row>
    <row r="532" spans="1:27" ht="14.4" x14ac:dyDescent="0.3">
      <c r="A532" s="81">
        <v>45873</v>
      </c>
      <c r="B532" s="82">
        <v>45877</v>
      </c>
      <c r="C532" s="71" t="s">
        <v>85</v>
      </c>
      <c r="D532" s="71" t="s">
        <v>28</v>
      </c>
      <c r="E532" s="71" t="s">
        <v>108</v>
      </c>
      <c r="F532" s="71" t="s">
        <v>109</v>
      </c>
      <c r="G532" s="71" t="s">
        <v>31</v>
      </c>
      <c r="H532" s="71" t="s">
        <v>110</v>
      </c>
      <c r="I532" s="71" t="s">
        <v>44</v>
      </c>
      <c r="J532" s="71" t="s">
        <v>698</v>
      </c>
      <c r="K532" s="72">
        <v>3</v>
      </c>
      <c r="L532" s="72">
        <v>2</v>
      </c>
      <c r="M532" s="73">
        <v>0.66666700000000001</v>
      </c>
      <c r="N532" s="72" t="s">
        <v>788</v>
      </c>
      <c r="O532" s="72" t="s">
        <v>321</v>
      </c>
      <c r="P532" s="72">
        <v>29.99</v>
      </c>
      <c r="Q532" s="73">
        <v>8.0027000000000001E-2</v>
      </c>
      <c r="R532" s="72">
        <v>12.5</v>
      </c>
      <c r="S532" s="72">
        <v>1</v>
      </c>
      <c r="T532" s="72">
        <v>1</v>
      </c>
      <c r="U532" s="73">
        <v>0.5</v>
      </c>
      <c r="V532" s="72">
        <v>1</v>
      </c>
      <c r="W532" s="72">
        <v>0</v>
      </c>
      <c r="X532" s="72" t="s">
        <v>498</v>
      </c>
      <c r="Y532" s="83" t="s">
        <v>36</v>
      </c>
      <c r="Z532" s="64" t="s">
        <v>734</v>
      </c>
      <c r="AA532" s="80">
        <f t="shared" si="5"/>
        <v>8.0027000000000001E-2</v>
      </c>
    </row>
    <row r="533" spans="1:27" ht="14.4" x14ac:dyDescent="0.3">
      <c r="A533" s="81">
        <v>45873</v>
      </c>
      <c r="B533" s="82">
        <v>45878</v>
      </c>
      <c r="C533" s="71" t="s">
        <v>40</v>
      </c>
      <c r="D533" s="71" t="s">
        <v>28</v>
      </c>
      <c r="E533" s="71" t="s">
        <v>41</v>
      </c>
      <c r="F533" s="71" t="s">
        <v>42</v>
      </c>
      <c r="G533" s="71" t="s">
        <v>31</v>
      </c>
      <c r="H533" s="71" t="s">
        <v>43</v>
      </c>
      <c r="I533" s="71" t="s">
        <v>44</v>
      </c>
      <c r="J533" s="71" t="s">
        <v>60</v>
      </c>
      <c r="K533" s="72">
        <v>39</v>
      </c>
      <c r="L533" s="72">
        <v>6</v>
      </c>
      <c r="M533" s="73">
        <v>0.15384600000000001</v>
      </c>
      <c r="N533" s="72" t="s">
        <v>549</v>
      </c>
      <c r="O533" s="72" t="s">
        <v>789</v>
      </c>
      <c r="P533" s="72">
        <v>24.94</v>
      </c>
      <c r="Q533" s="73">
        <v>0.79510800000000004</v>
      </c>
      <c r="R533" s="72">
        <v>1.26</v>
      </c>
      <c r="S533" s="72">
        <v>1</v>
      </c>
      <c r="T533" s="72">
        <v>1</v>
      </c>
      <c r="U533" s="73">
        <v>0.16666700000000001</v>
      </c>
      <c r="V533" s="72">
        <v>1</v>
      </c>
      <c r="W533" s="72">
        <v>0</v>
      </c>
      <c r="X533" s="72" t="s">
        <v>35</v>
      </c>
      <c r="Y533" s="83" t="s">
        <v>36</v>
      </c>
      <c r="Z533" s="64" t="s">
        <v>734</v>
      </c>
      <c r="AA533" s="80">
        <f t="shared" si="5"/>
        <v>0.79510800000000004</v>
      </c>
    </row>
    <row r="534" spans="1:27" ht="14.4" x14ac:dyDescent="0.3">
      <c r="A534" s="81">
        <v>45873</v>
      </c>
      <c r="B534" s="82">
        <v>45877</v>
      </c>
      <c r="C534" s="71" t="s">
        <v>40</v>
      </c>
      <c r="D534" s="71" t="s">
        <v>28</v>
      </c>
      <c r="E534" s="71" t="s">
        <v>41</v>
      </c>
      <c r="F534" s="71" t="s">
        <v>42</v>
      </c>
      <c r="G534" s="71" t="s">
        <v>31</v>
      </c>
      <c r="H534" s="71" t="s">
        <v>43</v>
      </c>
      <c r="I534" s="71" t="s">
        <v>44</v>
      </c>
      <c r="J534" s="71" t="s">
        <v>43</v>
      </c>
      <c r="K534" s="72">
        <v>210</v>
      </c>
      <c r="L534" s="72">
        <v>7</v>
      </c>
      <c r="M534" s="73">
        <v>3.3333000000000002E-2</v>
      </c>
      <c r="N534" s="72" t="s">
        <v>210</v>
      </c>
      <c r="O534" s="72" t="s">
        <v>790</v>
      </c>
      <c r="P534" s="72">
        <v>74.819999999999993</v>
      </c>
      <c r="Q534" s="73">
        <v>0.294574</v>
      </c>
      <c r="R534" s="72">
        <v>3.39</v>
      </c>
      <c r="S534" s="72">
        <v>3</v>
      </c>
      <c r="T534" s="72">
        <v>3</v>
      </c>
      <c r="U534" s="73">
        <v>0.42857099999999998</v>
      </c>
      <c r="V534" s="72">
        <v>3</v>
      </c>
      <c r="W534" s="72">
        <v>0</v>
      </c>
      <c r="X534" s="72" t="s">
        <v>93</v>
      </c>
      <c r="Y534" s="83" t="s">
        <v>36</v>
      </c>
      <c r="Z534" s="64" t="s">
        <v>734</v>
      </c>
      <c r="AA534" s="80">
        <f t="shared" si="5"/>
        <v>0.294574</v>
      </c>
    </row>
    <row r="535" spans="1:27" ht="14.4" x14ac:dyDescent="0.3">
      <c r="A535" s="81">
        <v>45873</v>
      </c>
      <c r="B535" s="82">
        <v>45876</v>
      </c>
      <c r="C535" s="71" t="s">
        <v>27</v>
      </c>
      <c r="D535" s="71" t="s">
        <v>28</v>
      </c>
      <c r="E535" s="71" t="s">
        <v>71</v>
      </c>
      <c r="F535" s="71" t="s">
        <v>72</v>
      </c>
      <c r="G535" s="71" t="s">
        <v>31</v>
      </c>
      <c r="H535" s="71" t="s">
        <v>73</v>
      </c>
      <c r="I535" s="71" t="s">
        <v>52</v>
      </c>
      <c r="J535" s="71" t="s">
        <v>617</v>
      </c>
      <c r="K535" s="72">
        <v>3</v>
      </c>
      <c r="L535" s="72">
        <v>2</v>
      </c>
      <c r="M535" s="73">
        <v>0.66666700000000001</v>
      </c>
      <c r="N535" s="72" t="s">
        <v>367</v>
      </c>
      <c r="O535" s="72" t="s">
        <v>791</v>
      </c>
      <c r="P535" s="72">
        <v>24.94</v>
      </c>
      <c r="Q535" s="73">
        <v>0.257017</v>
      </c>
      <c r="R535" s="72">
        <v>3.89</v>
      </c>
      <c r="S535" s="72">
        <v>1</v>
      </c>
      <c r="T535" s="72">
        <v>1</v>
      </c>
      <c r="U535" s="73">
        <v>0.5</v>
      </c>
      <c r="V535" s="72">
        <v>1</v>
      </c>
      <c r="W535" s="72">
        <v>0</v>
      </c>
      <c r="X535" s="72" t="s">
        <v>35</v>
      </c>
      <c r="Y535" s="83" t="s">
        <v>36</v>
      </c>
      <c r="Z535" s="64" t="s">
        <v>734</v>
      </c>
      <c r="AA535" s="80">
        <f t="shared" si="5"/>
        <v>0.257017</v>
      </c>
    </row>
    <row r="536" spans="1:27" ht="14.4" x14ac:dyDescent="0.3">
      <c r="A536" s="81">
        <v>45873</v>
      </c>
      <c r="B536" s="82">
        <v>45873</v>
      </c>
      <c r="C536" s="71" t="s">
        <v>27</v>
      </c>
      <c r="D536" s="71" t="s">
        <v>28</v>
      </c>
      <c r="E536" s="71" t="s">
        <v>56</v>
      </c>
      <c r="F536" s="71" t="s">
        <v>57</v>
      </c>
      <c r="G536" s="71" t="s">
        <v>31</v>
      </c>
      <c r="H536" s="84" t="e">
        <f>+maca +root</f>
        <v>#NAME?</v>
      </c>
      <c r="I536" s="71" t="s">
        <v>32</v>
      </c>
      <c r="J536" s="71" t="s">
        <v>101</v>
      </c>
      <c r="K536" s="72">
        <v>875</v>
      </c>
      <c r="L536" s="72">
        <v>5</v>
      </c>
      <c r="M536" s="73">
        <v>5.7140000000000003E-3</v>
      </c>
      <c r="N536" s="72" t="s">
        <v>274</v>
      </c>
      <c r="O536" s="72" t="s">
        <v>792</v>
      </c>
      <c r="P536" s="72">
        <v>49.88</v>
      </c>
      <c r="Q536" s="73">
        <v>0.22734599999999999</v>
      </c>
      <c r="R536" s="72">
        <v>4.4000000000000004</v>
      </c>
      <c r="S536" s="72">
        <v>1</v>
      </c>
      <c r="T536" s="72">
        <v>2</v>
      </c>
      <c r="U536" s="73">
        <v>0.2</v>
      </c>
      <c r="V536" s="72">
        <v>2</v>
      </c>
      <c r="W536" s="72">
        <v>0</v>
      </c>
      <c r="X536" s="72" t="s">
        <v>78</v>
      </c>
      <c r="Y536" s="83" t="s">
        <v>36</v>
      </c>
      <c r="Z536" s="64" t="s">
        <v>734</v>
      </c>
      <c r="AA536" s="80">
        <f t="shared" si="5"/>
        <v>0.22734599999999999</v>
      </c>
    </row>
    <row r="537" spans="1:27" ht="14.4" x14ac:dyDescent="0.3">
      <c r="A537" s="81">
        <v>45873</v>
      </c>
      <c r="B537" s="82">
        <v>45873</v>
      </c>
      <c r="C537" s="71" t="s">
        <v>40</v>
      </c>
      <c r="D537" s="71" t="s">
        <v>28</v>
      </c>
      <c r="E537" s="71" t="s">
        <v>41</v>
      </c>
      <c r="F537" s="71" t="s">
        <v>42</v>
      </c>
      <c r="G537" s="71" t="s">
        <v>31</v>
      </c>
      <c r="H537" s="71" t="s">
        <v>43</v>
      </c>
      <c r="I537" s="71" t="s">
        <v>44</v>
      </c>
      <c r="J537" s="71" t="s">
        <v>793</v>
      </c>
      <c r="K537" s="72">
        <v>1</v>
      </c>
      <c r="L537" s="72">
        <v>1</v>
      </c>
      <c r="M537" s="73">
        <v>1</v>
      </c>
      <c r="N537" s="72" t="s">
        <v>126</v>
      </c>
      <c r="O537" s="72" t="s">
        <v>126</v>
      </c>
      <c r="P537" s="72">
        <v>24.94</v>
      </c>
      <c r="Q537" s="73">
        <v>0.13111500000000001</v>
      </c>
      <c r="R537" s="72">
        <v>7.63</v>
      </c>
      <c r="S537" s="72">
        <v>1</v>
      </c>
      <c r="T537" s="72">
        <v>1</v>
      </c>
      <c r="U537" s="73">
        <v>1</v>
      </c>
      <c r="V537" s="72">
        <v>1</v>
      </c>
      <c r="W537" s="72">
        <v>0</v>
      </c>
      <c r="X537" s="72" t="s">
        <v>35</v>
      </c>
      <c r="Y537" s="83" t="s">
        <v>36</v>
      </c>
      <c r="Z537" s="64" t="s">
        <v>734</v>
      </c>
      <c r="AA537" s="80">
        <f t="shared" si="5"/>
        <v>0.13111500000000001</v>
      </c>
    </row>
    <row r="538" spans="1:27" ht="14.4" x14ac:dyDescent="0.3">
      <c r="A538" s="81">
        <v>45873</v>
      </c>
      <c r="B538" s="82">
        <v>45873</v>
      </c>
      <c r="C538" s="71" t="s">
        <v>27</v>
      </c>
      <c r="D538" s="71" t="s">
        <v>28</v>
      </c>
      <c r="E538" s="71" t="s">
        <v>56</v>
      </c>
      <c r="F538" s="71" t="s">
        <v>57</v>
      </c>
      <c r="G538" s="71" t="s">
        <v>31</v>
      </c>
      <c r="H538" s="84" t="e">
        <f>+maca +root</f>
        <v>#NAME?</v>
      </c>
      <c r="I538" s="71" t="s">
        <v>32</v>
      </c>
      <c r="J538" s="71" t="s">
        <v>401</v>
      </c>
      <c r="K538" s="72">
        <v>1</v>
      </c>
      <c r="L538" s="72">
        <v>1</v>
      </c>
      <c r="M538" s="73">
        <v>1</v>
      </c>
      <c r="N538" s="72" t="s">
        <v>297</v>
      </c>
      <c r="O538" s="72" t="s">
        <v>297</v>
      </c>
      <c r="P538" s="72">
        <v>24.94</v>
      </c>
      <c r="Q538" s="73">
        <v>8.7410000000000002E-2</v>
      </c>
      <c r="R538" s="72">
        <v>11.44</v>
      </c>
      <c r="S538" s="72">
        <v>1</v>
      </c>
      <c r="T538" s="72">
        <v>1</v>
      </c>
      <c r="U538" s="73">
        <v>1</v>
      </c>
      <c r="V538" s="72">
        <v>1</v>
      </c>
      <c r="W538" s="72">
        <v>0</v>
      </c>
      <c r="X538" s="72" t="s">
        <v>35</v>
      </c>
      <c r="Y538" s="83" t="s">
        <v>36</v>
      </c>
      <c r="Z538" s="64" t="s">
        <v>734</v>
      </c>
      <c r="AA538" s="80">
        <f t="shared" si="5"/>
        <v>8.7410000000000002E-2</v>
      </c>
    </row>
    <row r="539" spans="1:27" ht="14.4" x14ac:dyDescent="0.3">
      <c r="A539" s="81">
        <v>45872</v>
      </c>
      <c r="B539" s="82">
        <v>45878</v>
      </c>
      <c r="C539" s="71" t="s">
        <v>27</v>
      </c>
      <c r="D539" s="71" t="s">
        <v>28</v>
      </c>
      <c r="E539" s="71" t="s">
        <v>29</v>
      </c>
      <c r="F539" s="71" t="s">
        <v>30</v>
      </c>
      <c r="G539" s="71" t="s">
        <v>31</v>
      </c>
      <c r="H539" s="71" t="s">
        <v>30</v>
      </c>
      <c r="I539" s="71" t="s">
        <v>32</v>
      </c>
      <c r="J539" s="71" t="s">
        <v>30</v>
      </c>
      <c r="K539" s="72">
        <v>781</v>
      </c>
      <c r="L539" s="72">
        <v>8</v>
      </c>
      <c r="M539" s="73">
        <v>1.0243E-2</v>
      </c>
      <c r="N539" s="72" t="s">
        <v>794</v>
      </c>
      <c r="O539" s="72" t="s">
        <v>795</v>
      </c>
      <c r="P539" s="72">
        <v>24.94</v>
      </c>
      <c r="Q539" s="73">
        <v>0.89855700000000005</v>
      </c>
      <c r="R539" s="72">
        <v>1.1100000000000001</v>
      </c>
      <c r="S539" s="72">
        <v>1</v>
      </c>
      <c r="T539" s="72">
        <v>1</v>
      </c>
      <c r="U539" s="73">
        <v>0.125</v>
      </c>
      <c r="V539" s="72">
        <v>1</v>
      </c>
      <c r="W539" s="72">
        <v>0</v>
      </c>
      <c r="X539" s="72" t="s">
        <v>35</v>
      </c>
      <c r="Y539" s="83" t="s">
        <v>36</v>
      </c>
      <c r="Z539" s="64" t="s">
        <v>796</v>
      </c>
      <c r="AA539" s="80">
        <f t="shared" si="5"/>
        <v>0.89855700000000005</v>
      </c>
    </row>
    <row r="540" spans="1:27" ht="14.4" x14ac:dyDescent="0.3">
      <c r="A540" s="81">
        <v>45872</v>
      </c>
      <c r="B540" s="82">
        <v>45876</v>
      </c>
      <c r="C540" s="71" t="s">
        <v>105</v>
      </c>
      <c r="D540" s="71" t="s">
        <v>28</v>
      </c>
      <c r="E540" s="71" t="s">
        <v>669</v>
      </c>
      <c r="F540" s="71" t="s">
        <v>30</v>
      </c>
      <c r="G540" s="71" t="s">
        <v>31</v>
      </c>
      <c r="H540" s="71" t="s">
        <v>30</v>
      </c>
      <c r="I540" s="71" t="s">
        <v>65</v>
      </c>
      <c r="J540" s="71" t="s">
        <v>30</v>
      </c>
      <c r="K540" s="72">
        <v>264</v>
      </c>
      <c r="L540" s="72">
        <v>7</v>
      </c>
      <c r="M540" s="73">
        <v>2.6515E-2</v>
      </c>
      <c r="N540" s="72" t="s">
        <v>240</v>
      </c>
      <c r="O540" s="72" t="s">
        <v>797</v>
      </c>
      <c r="P540" s="72">
        <v>74.819999999999993</v>
      </c>
      <c r="Q540" s="73">
        <v>0.253141</v>
      </c>
      <c r="R540" s="72">
        <v>3.95</v>
      </c>
      <c r="S540" s="72">
        <v>3</v>
      </c>
      <c r="T540" s="72">
        <v>3</v>
      </c>
      <c r="U540" s="73">
        <v>0.42857099999999998</v>
      </c>
      <c r="V540" s="72">
        <v>3</v>
      </c>
      <c r="W540" s="72">
        <v>0</v>
      </c>
      <c r="X540" s="72" t="s">
        <v>93</v>
      </c>
      <c r="Y540" s="83" t="s">
        <v>36</v>
      </c>
      <c r="Z540" s="64" t="s">
        <v>796</v>
      </c>
      <c r="AA540" s="80">
        <f t="shared" si="5"/>
        <v>0.253141</v>
      </c>
    </row>
    <row r="541" spans="1:27" ht="14.4" x14ac:dyDescent="0.3">
      <c r="A541" s="81">
        <v>45872</v>
      </c>
      <c r="B541" s="82">
        <v>45878</v>
      </c>
      <c r="C541" s="71" t="s">
        <v>27</v>
      </c>
      <c r="D541" s="71" t="s">
        <v>28</v>
      </c>
      <c r="E541" s="71" t="s">
        <v>71</v>
      </c>
      <c r="F541" s="71" t="s">
        <v>72</v>
      </c>
      <c r="G541" s="71" t="s">
        <v>31</v>
      </c>
      <c r="H541" s="71" t="s">
        <v>73</v>
      </c>
      <c r="I541" s="71" t="s">
        <v>52</v>
      </c>
      <c r="J541" s="71" t="s">
        <v>162</v>
      </c>
      <c r="K541" s="72">
        <v>251</v>
      </c>
      <c r="L541" s="72">
        <v>4</v>
      </c>
      <c r="M541" s="73">
        <v>1.5935999999999999E-2</v>
      </c>
      <c r="N541" s="72" t="s">
        <v>282</v>
      </c>
      <c r="O541" s="72" t="s">
        <v>798</v>
      </c>
      <c r="P541" s="72">
        <v>24.94</v>
      </c>
      <c r="Q541" s="73">
        <v>0.52846800000000005</v>
      </c>
      <c r="R541" s="72">
        <v>1.89</v>
      </c>
      <c r="S541" s="72">
        <v>1</v>
      </c>
      <c r="T541" s="72">
        <v>1</v>
      </c>
      <c r="U541" s="73">
        <v>0.25</v>
      </c>
      <c r="V541" s="72">
        <v>1</v>
      </c>
      <c r="W541" s="72">
        <v>0</v>
      </c>
      <c r="X541" s="72" t="s">
        <v>35</v>
      </c>
      <c r="Y541" s="83" t="s">
        <v>36</v>
      </c>
      <c r="Z541" s="64" t="s">
        <v>796</v>
      </c>
      <c r="AA541" s="80">
        <f t="shared" si="5"/>
        <v>0.52846800000000005</v>
      </c>
    </row>
    <row r="542" spans="1:27" ht="14.4" x14ac:dyDescent="0.3">
      <c r="A542" s="81">
        <v>45872</v>
      </c>
      <c r="B542" s="82">
        <v>45872</v>
      </c>
      <c r="C542" s="71" t="s">
        <v>27</v>
      </c>
      <c r="D542" s="71" t="s">
        <v>28</v>
      </c>
      <c r="E542" s="71" t="s">
        <v>71</v>
      </c>
      <c r="F542" s="71" t="s">
        <v>72</v>
      </c>
      <c r="G542" s="71" t="s">
        <v>31</v>
      </c>
      <c r="H542" s="71" t="s">
        <v>73</v>
      </c>
      <c r="I542" s="71" t="s">
        <v>52</v>
      </c>
      <c r="J542" s="71" t="s">
        <v>799</v>
      </c>
      <c r="K542" s="72">
        <v>102</v>
      </c>
      <c r="L542" s="72">
        <v>2</v>
      </c>
      <c r="M542" s="73">
        <v>1.9608E-2</v>
      </c>
      <c r="N542" s="72" t="s">
        <v>128</v>
      </c>
      <c r="O542" s="72" t="s">
        <v>800</v>
      </c>
      <c r="P542" s="72">
        <v>49.88</v>
      </c>
      <c r="Q542" s="73">
        <v>0.159383</v>
      </c>
      <c r="R542" s="72">
        <v>6.27</v>
      </c>
      <c r="S542" s="72">
        <v>2</v>
      </c>
      <c r="T542" s="72">
        <v>2</v>
      </c>
      <c r="U542" s="73">
        <v>1</v>
      </c>
      <c r="V542" s="72">
        <v>2</v>
      </c>
      <c r="W542" s="72">
        <v>0</v>
      </c>
      <c r="X542" s="72" t="s">
        <v>78</v>
      </c>
      <c r="Y542" s="83" t="s">
        <v>36</v>
      </c>
      <c r="Z542" s="64" t="s">
        <v>796</v>
      </c>
      <c r="AA542" s="80">
        <f t="shared" si="5"/>
        <v>0.159383</v>
      </c>
    </row>
    <row r="543" spans="1:27" ht="14.4" x14ac:dyDescent="0.3">
      <c r="A543" s="81">
        <v>45872</v>
      </c>
      <c r="B543" s="82">
        <v>45877</v>
      </c>
      <c r="C543" s="71" t="s">
        <v>27</v>
      </c>
      <c r="D543" s="71" t="s">
        <v>28</v>
      </c>
      <c r="E543" s="71" t="s">
        <v>71</v>
      </c>
      <c r="F543" s="71" t="s">
        <v>72</v>
      </c>
      <c r="G543" s="71" t="s">
        <v>31</v>
      </c>
      <c r="H543" s="71" t="s">
        <v>73</v>
      </c>
      <c r="I543" s="71" t="s">
        <v>52</v>
      </c>
      <c r="J543" s="71" t="s">
        <v>801</v>
      </c>
      <c r="K543" s="72">
        <v>36</v>
      </c>
      <c r="L543" s="72">
        <v>5</v>
      </c>
      <c r="M543" s="73">
        <v>0.13888900000000001</v>
      </c>
      <c r="N543" s="72" t="s">
        <v>248</v>
      </c>
      <c r="O543" s="72" t="s">
        <v>802</v>
      </c>
      <c r="P543" s="72">
        <v>49.88</v>
      </c>
      <c r="Q543" s="73">
        <v>0.30413000000000001</v>
      </c>
      <c r="R543" s="72">
        <v>3.29</v>
      </c>
      <c r="S543" s="72">
        <v>2</v>
      </c>
      <c r="T543" s="72">
        <v>2</v>
      </c>
      <c r="U543" s="73">
        <v>0.4</v>
      </c>
      <c r="V543" s="72">
        <v>2</v>
      </c>
      <c r="W543" s="72">
        <v>0</v>
      </c>
      <c r="X543" s="72" t="s">
        <v>78</v>
      </c>
      <c r="Y543" s="83" t="s">
        <v>36</v>
      </c>
      <c r="Z543" s="64" t="s">
        <v>796</v>
      </c>
      <c r="AA543" s="80">
        <f t="shared" si="5"/>
        <v>0.30413000000000001</v>
      </c>
    </row>
    <row r="544" spans="1:27" ht="14.4" x14ac:dyDescent="0.3">
      <c r="A544" s="81">
        <v>45872</v>
      </c>
      <c r="B544" s="82">
        <v>45878</v>
      </c>
      <c r="C544" s="71" t="s">
        <v>27</v>
      </c>
      <c r="D544" s="71" t="s">
        <v>28</v>
      </c>
      <c r="E544" s="71" t="s">
        <v>71</v>
      </c>
      <c r="F544" s="71" t="s">
        <v>72</v>
      </c>
      <c r="G544" s="71" t="s">
        <v>31</v>
      </c>
      <c r="H544" s="71" t="s">
        <v>73</v>
      </c>
      <c r="I544" s="71" t="s">
        <v>52</v>
      </c>
      <c r="J544" s="71" t="s">
        <v>803</v>
      </c>
      <c r="K544" s="72">
        <v>30</v>
      </c>
      <c r="L544" s="72">
        <v>5</v>
      </c>
      <c r="M544" s="73">
        <v>0.16666700000000001</v>
      </c>
      <c r="N544" s="72" t="s">
        <v>126</v>
      </c>
      <c r="O544" s="72" t="s">
        <v>804</v>
      </c>
      <c r="P544" s="72">
        <v>24.94</v>
      </c>
      <c r="Q544" s="73">
        <v>0.65637500000000004</v>
      </c>
      <c r="R544" s="72">
        <v>1.52</v>
      </c>
      <c r="S544" s="72">
        <v>1</v>
      </c>
      <c r="T544" s="72">
        <v>1</v>
      </c>
      <c r="U544" s="73">
        <v>0.2</v>
      </c>
      <c r="V544" s="72">
        <v>1</v>
      </c>
      <c r="W544" s="72">
        <v>0</v>
      </c>
      <c r="X544" s="72" t="s">
        <v>35</v>
      </c>
      <c r="Y544" s="83" t="s">
        <v>36</v>
      </c>
      <c r="Z544" s="64" t="s">
        <v>796</v>
      </c>
      <c r="AA544" s="80">
        <f t="shared" si="5"/>
        <v>0.65637500000000004</v>
      </c>
    </row>
    <row r="545" spans="1:27" ht="14.4" x14ac:dyDescent="0.3">
      <c r="A545" s="81">
        <v>45872</v>
      </c>
      <c r="B545" s="82">
        <v>45878</v>
      </c>
      <c r="C545" s="71" t="s">
        <v>105</v>
      </c>
      <c r="D545" s="71" t="s">
        <v>28</v>
      </c>
      <c r="E545" s="71" t="s">
        <v>117</v>
      </c>
      <c r="F545" s="71" t="s">
        <v>118</v>
      </c>
      <c r="G545" s="71" t="s">
        <v>31</v>
      </c>
      <c r="H545" s="71" t="s">
        <v>119</v>
      </c>
      <c r="I545" s="71" t="s">
        <v>65</v>
      </c>
      <c r="J545" s="71" t="s">
        <v>119</v>
      </c>
      <c r="K545" s="72">
        <v>753</v>
      </c>
      <c r="L545" s="72">
        <v>30</v>
      </c>
      <c r="M545" s="73">
        <v>3.9841000000000001E-2</v>
      </c>
      <c r="N545" s="72" t="s">
        <v>385</v>
      </c>
      <c r="O545" s="72" t="s">
        <v>805</v>
      </c>
      <c r="P545" s="72">
        <v>224.46</v>
      </c>
      <c r="Q545" s="73">
        <v>0.366925</v>
      </c>
      <c r="R545" s="72">
        <v>2.73</v>
      </c>
      <c r="S545" s="72">
        <v>9</v>
      </c>
      <c r="T545" s="72">
        <v>9</v>
      </c>
      <c r="U545" s="73">
        <v>0.3</v>
      </c>
      <c r="V545" s="72">
        <v>9</v>
      </c>
      <c r="W545" s="72">
        <v>0</v>
      </c>
      <c r="X545" s="72" t="s">
        <v>315</v>
      </c>
      <c r="Y545" s="83" t="s">
        <v>36</v>
      </c>
      <c r="Z545" s="64" t="s">
        <v>796</v>
      </c>
      <c r="AA545" s="80">
        <f t="shared" si="5"/>
        <v>0.366925</v>
      </c>
    </row>
    <row r="546" spans="1:27" ht="14.4" x14ac:dyDescent="0.3">
      <c r="A546" s="81">
        <v>45872</v>
      </c>
      <c r="B546" s="82">
        <v>45878</v>
      </c>
      <c r="C546" s="71" t="s">
        <v>27</v>
      </c>
      <c r="D546" s="71" t="s">
        <v>28</v>
      </c>
      <c r="E546" s="71" t="s">
        <v>56</v>
      </c>
      <c r="F546" s="71" t="s">
        <v>57</v>
      </c>
      <c r="G546" s="71" t="s">
        <v>31</v>
      </c>
      <c r="H546" s="84" t="e">
        <f>+maca +root</f>
        <v>#NAME?</v>
      </c>
      <c r="I546" s="71" t="s">
        <v>32</v>
      </c>
      <c r="J546" s="71" t="s">
        <v>119</v>
      </c>
      <c r="K546" s="72">
        <v>7560</v>
      </c>
      <c r="L546" s="72">
        <v>64</v>
      </c>
      <c r="M546" s="73">
        <v>8.4659999999999996E-3</v>
      </c>
      <c r="N546" s="72" t="s">
        <v>730</v>
      </c>
      <c r="O546" s="72" t="s">
        <v>806</v>
      </c>
      <c r="P546" s="72">
        <v>224.46</v>
      </c>
      <c r="Q546" s="73">
        <v>0.693442</v>
      </c>
      <c r="R546" s="72">
        <v>1.44</v>
      </c>
      <c r="S546" s="72">
        <v>9</v>
      </c>
      <c r="T546" s="72">
        <v>9</v>
      </c>
      <c r="U546" s="73">
        <v>0.140625</v>
      </c>
      <c r="V546" s="72">
        <v>9</v>
      </c>
      <c r="W546" s="72">
        <v>0</v>
      </c>
      <c r="X546" s="72" t="s">
        <v>315</v>
      </c>
      <c r="Y546" s="83" t="s">
        <v>36</v>
      </c>
      <c r="Z546" s="64" t="s">
        <v>796</v>
      </c>
      <c r="AA546" s="80">
        <f t="shared" si="5"/>
        <v>0.693442</v>
      </c>
    </row>
    <row r="547" spans="1:27" ht="14.4" x14ac:dyDescent="0.3">
      <c r="A547" s="81">
        <v>45872</v>
      </c>
      <c r="B547" s="82">
        <v>45872</v>
      </c>
      <c r="C547" s="71" t="s">
        <v>27</v>
      </c>
      <c r="D547" s="71" t="s">
        <v>28</v>
      </c>
      <c r="E547" s="71" t="s">
        <v>71</v>
      </c>
      <c r="F547" s="71" t="s">
        <v>72</v>
      </c>
      <c r="G547" s="71" t="s">
        <v>31</v>
      </c>
      <c r="H547" s="71" t="s">
        <v>73</v>
      </c>
      <c r="I547" s="71" t="s">
        <v>52</v>
      </c>
      <c r="J547" s="71" t="s">
        <v>43</v>
      </c>
      <c r="K547" s="72">
        <v>32</v>
      </c>
      <c r="L547" s="72">
        <v>2</v>
      </c>
      <c r="M547" s="73">
        <v>6.25E-2</v>
      </c>
      <c r="N547" s="72" t="s">
        <v>807</v>
      </c>
      <c r="O547" s="72" t="s">
        <v>808</v>
      </c>
      <c r="P547" s="72">
        <v>24.94</v>
      </c>
      <c r="Q547" s="73">
        <v>0.36647999999999997</v>
      </c>
      <c r="R547" s="72">
        <v>2.73</v>
      </c>
      <c r="S547" s="72">
        <v>1</v>
      </c>
      <c r="T547" s="72">
        <v>1</v>
      </c>
      <c r="U547" s="73">
        <v>0.5</v>
      </c>
      <c r="V547" s="72">
        <v>1</v>
      </c>
      <c r="W547" s="72">
        <v>0</v>
      </c>
      <c r="X547" s="72" t="s">
        <v>35</v>
      </c>
      <c r="Y547" s="83" t="s">
        <v>36</v>
      </c>
      <c r="Z547" s="64" t="s">
        <v>796</v>
      </c>
      <c r="AA547" s="80">
        <f t="shared" si="5"/>
        <v>0.36647999999999997</v>
      </c>
    </row>
    <row r="548" spans="1:27" ht="14.4" x14ac:dyDescent="0.3">
      <c r="A548" s="81">
        <v>45872</v>
      </c>
      <c r="B548" s="82">
        <v>45877</v>
      </c>
      <c r="C548" s="71" t="s">
        <v>27</v>
      </c>
      <c r="D548" s="71" t="s">
        <v>28</v>
      </c>
      <c r="E548" s="71" t="s">
        <v>71</v>
      </c>
      <c r="F548" s="71" t="s">
        <v>72</v>
      </c>
      <c r="G548" s="71" t="s">
        <v>31</v>
      </c>
      <c r="H548" s="71" t="s">
        <v>73</v>
      </c>
      <c r="I548" s="71" t="s">
        <v>52</v>
      </c>
      <c r="J548" s="71" t="s">
        <v>76</v>
      </c>
      <c r="K548" s="72">
        <v>89</v>
      </c>
      <c r="L548" s="72">
        <v>6</v>
      </c>
      <c r="M548" s="73">
        <v>6.7416000000000004E-2</v>
      </c>
      <c r="N548" s="72" t="s">
        <v>675</v>
      </c>
      <c r="O548" s="72" t="s">
        <v>809</v>
      </c>
      <c r="P548" s="72">
        <v>24.94</v>
      </c>
      <c r="Q548" s="73">
        <v>0.66439499999999996</v>
      </c>
      <c r="R548" s="72">
        <v>1.51</v>
      </c>
      <c r="S548" s="72">
        <v>1</v>
      </c>
      <c r="T548" s="72">
        <v>1</v>
      </c>
      <c r="U548" s="73">
        <v>0.16666700000000001</v>
      </c>
      <c r="V548" s="72">
        <v>1</v>
      </c>
      <c r="W548" s="72">
        <v>0</v>
      </c>
      <c r="X548" s="72" t="s">
        <v>35</v>
      </c>
      <c r="Y548" s="83" t="s">
        <v>36</v>
      </c>
      <c r="Z548" s="64" t="s">
        <v>796</v>
      </c>
      <c r="AA548" s="80">
        <f t="shared" si="5"/>
        <v>0.66439499999999996</v>
      </c>
    </row>
    <row r="549" spans="1:27" ht="14.4" x14ac:dyDescent="0.3">
      <c r="A549" s="81">
        <v>45872</v>
      </c>
      <c r="B549" s="82">
        <v>45877</v>
      </c>
      <c r="C549" s="71" t="s">
        <v>27</v>
      </c>
      <c r="D549" s="71" t="s">
        <v>28</v>
      </c>
      <c r="E549" s="71" t="s">
        <v>71</v>
      </c>
      <c r="F549" s="71" t="s">
        <v>72</v>
      </c>
      <c r="G549" s="71" t="s">
        <v>31</v>
      </c>
      <c r="H549" s="71" t="s">
        <v>73</v>
      </c>
      <c r="I549" s="71" t="s">
        <v>52</v>
      </c>
      <c r="J549" s="71" t="s">
        <v>101</v>
      </c>
      <c r="K549" s="72">
        <v>1336</v>
      </c>
      <c r="L549" s="72">
        <v>8</v>
      </c>
      <c r="M549" s="73">
        <v>5.9880000000000003E-3</v>
      </c>
      <c r="N549" s="72" t="s">
        <v>810</v>
      </c>
      <c r="O549" s="72" t="s">
        <v>811</v>
      </c>
      <c r="P549" s="72">
        <v>24.94</v>
      </c>
      <c r="Q549" s="73">
        <v>1.077386</v>
      </c>
      <c r="R549" s="72">
        <v>0.93</v>
      </c>
      <c r="S549" s="72">
        <v>1</v>
      </c>
      <c r="T549" s="72">
        <v>1</v>
      </c>
      <c r="U549" s="73">
        <v>0.125</v>
      </c>
      <c r="V549" s="72">
        <v>1</v>
      </c>
      <c r="W549" s="72">
        <v>0</v>
      </c>
      <c r="X549" s="72" t="s">
        <v>35</v>
      </c>
      <c r="Y549" s="83" t="s">
        <v>36</v>
      </c>
      <c r="Z549" s="64" t="s">
        <v>796</v>
      </c>
      <c r="AA549" s="80">
        <f t="shared" si="5"/>
        <v>1.077386</v>
      </c>
    </row>
    <row r="550" spans="1:27" ht="14.4" x14ac:dyDescent="0.3">
      <c r="A550" s="81">
        <v>45872</v>
      </c>
      <c r="B550" s="82">
        <v>45872</v>
      </c>
      <c r="C550" s="71" t="s">
        <v>27</v>
      </c>
      <c r="D550" s="71" t="s">
        <v>28</v>
      </c>
      <c r="E550" s="71" t="s">
        <v>71</v>
      </c>
      <c r="F550" s="71" t="s">
        <v>72</v>
      </c>
      <c r="G550" s="71" t="s">
        <v>31</v>
      </c>
      <c r="H550" s="71" t="s">
        <v>51</v>
      </c>
      <c r="I550" s="71" t="s">
        <v>52</v>
      </c>
      <c r="J550" s="71" t="s">
        <v>812</v>
      </c>
      <c r="K550" s="72">
        <v>2</v>
      </c>
      <c r="L550" s="72">
        <v>1</v>
      </c>
      <c r="M550" s="73">
        <v>0.5</v>
      </c>
      <c r="N550" s="72" t="s">
        <v>813</v>
      </c>
      <c r="O550" s="72" t="s">
        <v>813</v>
      </c>
      <c r="P550" s="72">
        <v>24.94</v>
      </c>
      <c r="Q550" s="73">
        <v>0.11627899999999999</v>
      </c>
      <c r="R550" s="72">
        <v>8.6</v>
      </c>
      <c r="S550" s="72">
        <v>1</v>
      </c>
      <c r="T550" s="72">
        <v>1</v>
      </c>
      <c r="U550" s="73">
        <v>1</v>
      </c>
      <c r="V550" s="72">
        <v>1</v>
      </c>
      <c r="W550" s="72">
        <v>0</v>
      </c>
      <c r="X550" s="72" t="s">
        <v>35</v>
      </c>
      <c r="Y550" s="83" t="s">
        <v>36</v>
      </c>
      <c r="Z550" s="64" t="s">
        <v>796</v>
      </c>
      <c r="AA550" s="80">
        <f t="shared" si="5"/>
        <v>0.11627899999999999</v>
      </c>
    </row>
    <row r="551" spans="1:27" ht="14.4" x14ac:dyDescent="0.3">
      <c r="A551" s="81">
        <v>45872</v>
      </c>
      <c r="B551" s="82">
        <v>45872</v>
      </c>
      <c r="C551" s="71" t="s">
        <v>27</v>
      </c>
      <c r="D551" s="71" t="s">
        <v>28</v>
      </c>
      <c r="E551" s="71" t="s">
        <v>56</v>
      </c>
      <c r="F551" s="71" t="s">
        <v>57</v>
      </c>
      <c r="G551" s="71" t="s">
        <v>31</v>
      </c>
      <c r="H551" s="84" t="e">
        <f>+maca +root</f>
        <v>#NAME?</v>
      </c>
      <c r="I551" s="71" t="s">
        <v>32</v>
      </c>
      <c r="J551" s="71" t="s">
        <v>814</v>
      </c>
      <c r="K551" s="72">
        <v>3</v>
      </c>
      <c r="L551" s="72">
        <v>1</v>
      </c>
      <c r="M551" s="73">
        <v>0.33333299999999999</v>
      </c>
      <c r="N551" s="72" t="s">
        <v>297</v>
      </c>
      <c r="O551" s="72" t="s">
        <v>297</v>
      </c>
      <c r="P551" s="72">
        <v>24.94</v>
      </c>
      <c r="Q551" s="73">
        <v>8.7410000000000002E-2</v>
      </c>
      <c r="R551" s="72">
        <v>11.44</v>
      </c>
      <c r="S551" s="72">
        <v>1</v>
      </c>
      <c r="T551" s="72">
        <v>1</v>
      </c>
      <c r="U551" s="73">
        <v>1</v>
      </c>
      <c r="V551" s="72">
        <v>1</v>
      </c>
      <c r="W551" s="72">
        <v>0</v>
      </c>
      <c r="X551" s="72" t="s">
        <v>35</v>
      </c>
      <c r="Y551" s="83" t="s">
        <v>36</v>
      </c>
      <c r="Z551" s="64" t="s">
        <v>796</v>
      </c>
      <c r="AA551" s="80">
        <f t="shared" si="5"/>
        <v>8.7410000000000002E-2</v>
      </c>
    </row>
    <row r="552" spans="1:27" ht="14.4" x14ac:dyDescent="0.3">
      <c r="A552" s="81">
        <v>45872</v>
      </c>
      <c r="B552" s="82">
        <v>45878</v>
      </c>
      <c r="C552" s="71" t="s">
        <v>85</v>
      </c>
      <c r="D552" s="71" t="s">
        <v>28</v>
      </c>
      <c r="E552" s="71" t="s">
        <v>86</v>
      </c>
      <c r="F552" s="71" t="s">
        <v>87</v>
      </c>
      <c r="G552" s="71" t="s">
        <v>31</v>
      </c>
      <c r="H552" s="71" t="s">
        <v>88</v>
      </c>
      <c r="I552" s="71" t="s">
        <v>44</v>
      </c>
      <c r="J552" s="71" t="s">
        <v>89</v>
      </c>
      <c r="K552" s="72">
        <v>65</v>
      </c>
      <c r="L552" s="72">
        <v>8</v>
      </c>
      <c r="M552" s="73">
        <v>0.12307700000000001</v>
      </c>
      <c r="N552" s="72" t="s">
        <v>704</v>
      </c>
      <c r="O552" s="72" t="s">
        <v>815</v>
      </c>
      <c r="P552" s="72">
        <v>24.95</v>
      </c>
      <c r="Q552" s="73">
        <v>0.96873699999999996</v>
      </c>
      <c r="R552" s="72">
        <v>1.03</v>
      </c>
      <c r="S552" s="72">
        <v>1</v>
      </c>
      <c r="T552" s="72">
        <v>1</v>
      </c>
      <c r="U552" s="73">
        <v>0.125</v>
      </c>
      <c r="V552" s="72">
        <v>1</v>
      </c>
      <c r="W552" s="72">
        <v>0</v>
      </c>
      <c r="X552" s="72" t="s">
        <v>785</v>
      </c>
      <c r="Y552" s="83" t="s">
        <v>36</v>
      </c>
      <c r="Z552" s="64" t="s">
        <v>796</v>
      </c>
      <c r="AA552" s="80">
        <f t="shared" si="5"/>
        <v>0.96873699999999996</v>
      </c>
    </row>
    <row r="553" spans="1:27" ht="14.4" x14ac:dyDescent="0.3">
      <c r="A553" s="81">
        <v>45872</v>
      </c>
      <c r="B553" s="82">
        <v>45873</v>
      </c>
      <c r="C553" s="71" t="s">
        <v>85</v>
      </c>
      <c r="D553" s="71" t="s">
        <v>28</v>
      </c>
      <c r="E553" s="71" t="s">
        <v>86</v>
      </c>
      <c r="F553" s="71" t="s">
        <v>87</v>
      </c>
      <c r="G553" s="71" t="s">
        <v>31</v>
      </c>
      <c r="H553" s="71" t="s">
        <v>88</v>
      </c>
      <c r="I553" s="71" t="s">
        <v>44</v>
      </c>
      <c r="J553" s="71" t="s">
        <v>88</v>
      </c>
      <c r="K553" s="72">
        <v>8</v>
      </c>
      <c r="L553" s="72">
        <v>2</v>
      </c>
      <c r="M553" s="73">
        <v>0.25</v>
      </c>
      <c r="N553" s="72" t="s">
        <v>369</v>
      </c>
      <c r="O553" s="72" t="s">
        <v>816</v>
      </c>
      <c r="P553" s="72">
        <v>24.95</v>
      </c>
      <c r="Q553" s="73">
        <v>0.271343</v>
      </c>
      <c r="R553" s="72">
        <v>3.69</v>
      </c>
      <c r="S553" s="72">
        <v>1</v>
      </c>
      <c r="T553" s="72">
        <v>1</v>
      </c>
      <c r="U553" s="73">
        <v>0.5</v>
      </c>
      <c r="V553" s="72">
        <v>1</v>
      </c>
      <c r="W553" s="72">
        <v>0</v>
      </c>
      <c r="X553" s="72" t="s">
        <v>785</v>
      </c>
      <c r="Y553" s="83" t="s">
        <v>36</v>
      </c>
      <c r="Z553" s="64" t="s">
        <v>796</v>
      </c>
      <c r="AA553" s="80">
        <f t="shared" si="5"/>
        <v>0.271343</v>
      </c>
    </row>
    <row r="554" spans="1:27" ht="14.4" x14ac:dyDescent="0.3">
      <c r="A554" s="81">
        <v>45872</v>
      </c>
      <c r="B554" s="82">
        <v>45872</v>
      </c>
      <c r="C554" s="71" t="s">
        <v>85</v>
      </c>
      <c r="D554" s="71" t="s">
        <v>28</v>
      </c>
      <c r="E554" s="71" t="s">
        <v>817</v>
      </c>
      <c r="F554" s="71" t="s">
        <v>818</v>
      </c>
      <c r="G554" s="71" t="s">
        <v>31</v>
      </c>
      <c r="H554" s="71" t="s">
        <v>357</v>
      </c>
      <c r="I554" s="71" t="s">
        <v>44</v>
      </c>
      <c r="J554" s="71" t="s">
        <v>357</v>
      </c>
      <c r="K554" s="72">
        <v>54</v>
      </c>
      <c r="L554" s="72">
        <v>3</v>
      </c>
      <c r="M554" s="73">
        <v>5.5556000000000001E-2</v>
      </c>
      <c r="N554" s="72" t="s">
        <v>819</v>
      </c>
      <c r="O554" s="72" t="s">
        <v>820</v>
      </c>
      <c r="P554" s="72">
        <v>24.95</v>
      </c>
      <c r="Q554" s="73">
        <v>0.55430900000000005</v>
      </c>
      <c r="R554" s="72">
        <v>1.8</v>
      </c>
      <c r="S554" s="72">
        <v>1</v>
      </c>
      <c r="T554" s="72">
        <v>1</v>
      </c>
      <c r="U554" s="73">
        <v>0.33333299999999999</v>
      </c>
      <c r="V554" s="72">
        <v>1</v>
      </c>
      <c r="W554" s="72">
        <v>0</v>
      </c>
      <c r="X554" s="72" t="s">
        <v>785</v>
      </c>
      <c r="Y554" s="83" t="s">
        <v>36</v>
      </c>
      <c r="Z554" s="64" t="s">
        <v>796</v>
      </c>
      <c r="AA554" s="80">
        <f t="shared" si="5"/>
        <v>0.55430900000000005</v>
      </c>
    </row>
    <row r="555" spans="1:27" ht="14.4" x14ac:dyDescent="0.3">
      <c r="A555" s="81">
        <v>45872</v>
      </c>
      <c r="B555" s="82">
        <v>45877</v>
      </c>
      <c r="C555" s="71" t="s">
        <v>48</v>
      </c>
      <c r="D555" s="71" t="s">
        <v>28</v>
      </c>
      <c r="E555" s="71" t="s">
        <v>62</v>
      </c>
      <c r="F555" s="71" t="s">
        <v>63</v>
      </c>
      <c r="G555" s="71" t="s">
        <v>31</v>
      </c>
      <c r="H555" s="71" t="s">
        <v>64</v>
      </c>
      <c r="I555" s="71" t="s">
        <v>65</v>
      </c>
      <c r="J555" s="71" t="s">
        <v>64</v>
      </c>
      <c r="K555" s="72">
        <v>24</v>
      </c>
      <c r="L555" s="72">
        <v>2</v>
      </c>
      <c r="M555" s="73">
        <v>8.3333000000000004E-2</v>
      </c>
      <c r="N555" s="72" t="s">
        <v>711</v>
      </c>
      <c r="O555" s="72" t="s">
        <v>821</v>
      </c>
      <c r="P555" s="72">
        <v>24.95</v>
      </c>
      <c r="Q555" s="73">
        <v>0.39719399999999999</v>
      </c>
      <c r="R555" s="72">
        <v>2.52</v>
      </c>
      <c r="S555" s="72">
        <v>1</v>
      </c>
      <c r="T555" s="72">
        <v>1</v>
      </c>
      <c r="U555" s="73">
        <v>0.5</v>
      </c>
      <c r="V555" s="72">
        <v>1</v>
      </c>
      <c r="W555" s="72">
        <v>0</v>
      </c>
      <c r="X555" s="72" t="s">
        <v>785</v>
      </c>
      <c r="Y555" s="83" t="s">
        <v>36</v>
      </c>
      <c r="Z555" s="64" t="s">
        <v>796</v>
      </c>
      <c r="AA555" s="80">
        <f t="shared" si="5"/>
        <v>0.39719399999999999</v>
      </c>
    </row>
    <row r="556" spans="1:27" ht="14.4" x14ac:dyDescent="0.3">
      <c r="A556" s="81">
        <v>45871</v>
      </c>
      <c r="B556" s="82">
        <v>45871</v>
      </c>
      <c r="C556" s="71" t="s">
        <v>48</v>
      </c>
      <c r="D556" s="71" t="s">
        <v>28</v>
      </c>
      <c r="E556" s="71" t="s">
        <v>225</v>
      </c>
      <c r="F556" s="71" t="s">
        <v>226</v>
      </c>
      <c r="G556" s="71" t="s">
        <v>31</v>
      </c>
      <c r="H556" s="71" t="s">
        <v>68</v>
      </c>
      <c r="I556" s="71" t="s">
        <v>32</v>
      </c>
      <c r="J556" s="71" t="s">
        <v>822</v>
      </c>
      <c r="K556" s="72">
        <v>1</v>
      </c>
      <c r="L556" s="72">
        <v>1</v>
      </c>
      <c r="M556" s="73">
        <v>1</v>
      </c>
      <c r="N556" s="72" t="s">
        <v>435</v>
      </c>
      <c r="O556" s="72" t="s">
        <v>435</v>
      </c>
      <c r="P556" s="72">
        <v>74.849999999999994</v>
      </c>
      <c r="Q556" s="73">
        <v>2.6453000000000001E-2</v>
      </c>
      <c r="R556" s="72">
        <v>37.799999999999997</v>
      </c>
      <c r="S556" s="72">
        <v>1</v>
      </c>
      <c r="T556" s="72">
        <v>3</v>
      </c>
      <c r="U556" s="84" t="s">
        <v>823</v>
      </c>
      <c r="V556" s="72">
        <v>3</v>
      </c>
      <c r="W556" s="72">
        <v>0</v>
      </c>
      <c r="X556" s="72" t="s">
        <v>824</v>
      </c>
      <c r="Y556" s="83" t="s">
        <v>36</v>
      </c>
      <c r="Z556" s="64" t="s">
        <v>796</v>
      </c>
      <c r="AA556" s="80">
        <f t="shared" si="5"/>
        <v>2.6453000000000001E-2</v>
      </c>
    </row>
    <row r="557" spans="1:27" ht="14.4" x14ac:dyDescent="0.3">
      <c r="A557" s="77">
        <v>45871</v>
      </c>
      <c r="B557" s="78">
        <v>45871</v>
      </c>
      <c r="C557" s="58" t="s">
        <v>27</v>
      </c>
      <c r="D557" s="58" t="s">
        <v>28</v>
      </c>
      <c r="E557" s="58" t="s">
        <v>71</v>
      </c>
      <c r="F557" s="58" t="s">
        <v>72</v>
      </c>
      <c r="G557" s="58" t="s">
        <v>31</v>
      </c>
      <c r="H557" s="58" t="s">
        <v>51</v>
      </c>
      <c r="I557" s="58" t="s">
        <v>52</v>
      </c>
      <c r="J557" s="58" t="s">
        <v>825</v>
      </c>
      <c r="K557" s="59">
        <v>4</v>
      </c>
      <c r="L557" s="59">
        <v>1</v>
      </c>
      <c r="M557" s="60">
        <v>0.25</v>
      </c>
      <c r="N557" s="59" t="s">
        <v>571</v>
      </c>
      <c r="O557" s="59" t="s">
        <v>571</v>
      </c>
      <c r="P557" s="59">
        <v>24.94</v>
      </c>
      <c r="Q557" s="60">
        <v>0.14033699999999999</v>
      </c>
      <c r="R557" s="59">
        <v>7.13</v>
      </c>
      <c r="S557" s="59">
        <v>1</v>
      </c>
      <c r="T557" s="59">
        <v>1</v>
      </c>
      <c r="U557" s="65" t="s">
        <v>823</v>
      </c>
      <c r="V557" s="59">
        <v>1</v>
      </c>
      <c r="W557" s="59">
        <v>0</v>
      </c>
      <c r="X557" s="59" t="s">
        <v>35</v>
      </c>
      <c r="Y557" s="79" t="s">
        <v>36</v>
      </c>
      <c r="Z557" s="64" t="s">
        <v>796</v>
      </c>
      <c r="AA557" s="80">
        <f t="shared" si="5"/>
        <v>0.14033699999999999</v>
      </c>
    </row>
    <row r="558" spans="1:27" ht="14.4" x14ac:dyDescent="0.3">
      <c r="A558" s="77">
        <v>45871</v>
      </c>
      <c r="B558" s="78">
        <v>45871</v>
      </c>
      <c r="C558" s="58" t="s">
        <v>27</v>
      </c>
      <c r="D558" s="58" t="s">
        <v>28</v>
      </c>
      <c r="E558" s="58" t="s">
        <v>56</v>
      </c>
      <c r="F558" s="58" t="s">
        <v>57</v>
      </c>
      <c r="G558" s="58" t="s">
        <v>31</v>
      </c>
      <c r="H558" s="65" t="e">
        <f>+maca +root</f>
        <v>#NAME?</v>
      </c>
      <c r="I558" s="58" t="s">
        <v>32</v>
      </c>
      <c r="J558" s="58" t="s">
        <v>826</v>
      </c>
      <c r="K558" s="59">
        <v>1</v>
      </c>
      <c r="L558" s="59">
        <v>1</v>
      </c>
      <c r="M558" s="60">
        <v>1</v>
      </c>
      <c r="N558" s="59" t="s">
        <v>777</v>
      </c>
      <c r="O558" s="59" t="s">
        <v>777</v>
      </c>
      <c r="P558" s="59">
        <v>24.94</v>
      </c>
      <c r="Q558" s="60">
        <v>0.105854</v>
      </c>
      <c r="R558" s="59">
        <v>9.4499999999999993</v>
      </c>
      <c r="S558" s="59">
        <v>1</v>
      </c>
      <c r="T558" s="59">
        <v>1</v>
      </c>
      <c r="U558" s="65" t="s">
        <v>823</v>
      </c>
      <c r="V558" s="59">
        <v>1</v>
      </c>
      <c r="W558" s="59">
        <v>0</v>
      </c>
      <c r="X558" s="59" t="s">
        <v>35</v>
      </c>
      <c r="Y558" s="79" t="s">
        <v>36</v>
      </c>
      <c r="Z558" s="64" t="s">
        <v>796</v>
      </c>
      <c r="AA558" s="80">
        <f t="shared" si="5"/>
        <v>0.105854</v>
      </c>
    </row>
    <row r="559" spans="1:27" ht="14.4" x14ac:dyDescent="0.3">
      <c r="A559" s="77">
        <v>45871</v>
      </c>
      <c r="B559" s="78">
        <v>45871</v>
      </c>
      <c r="C559" s="58" t="s">
        <v>27</v>
      </c>
      <c r="D559" s="58" t="s">
        <v>28</v>
      </c>
      <c r="E559" s="58" t="s">
        <v>29</v>
      </c>
      <c r="F559" s="58" t="s">
        <v>30</v>
      </c>
      <c r="G559" s="58" t="s">
        <v>31</v>
      </c>
      <c r="H559" s="58" t="s">
        <v>30</v>
      </c>
      <c r="I559" s="58" t="s">
        <v>32</v>
      </c>
      <c r="J559" s="58" t="s">
        <v>827</v>
      </c>
      <c r="K559" s="59">
        <v>1</v>
      </c>
      <c r="L559" s="59">
        <v>1</v>
      </c>
      <c r="M559" s="60">
        <v>1</v>
      </c>
      <c r="N559" s="59" t="s">
        <v>606</v>
      </c>
      <c r="O559" s="59" t="s">
        <v>606</v>
      </c>
      <c r="P559" s="59">
        <v>24.94</v>
      </c>
      <c r="Q559" s="60">
        <v>0.118284</v>
      </c>
      <c r="R559" s="59">
        <v>8.4499999999999993</v>
      </c>
      <c r="S559" s="59">
        <v>1</v>
      </c>
      <c r="T559" s="59">
        <v>1</v>
      </c>
      <c r="U559" s="65" t="s">
        <v>823</v>
      </c>
      <c r="V559" s="59">
        <v>1</v>
      </c>
      <c r="W559" s="59">
        <v>0</v>
      </c>
      <c r="X559" s="59" t="s">
        <v>35</v>
      </c>
      <c r="Y559" s="79" t="s">
        <v>36</v>
      </c>
      <c r="Z559" s="64" t="s">
        <v>796</v>
      </c>
      <c r="AA559" s="80">
        <f t="shared" si="5"/>
        <v>0.118284</v>
      </c>
    </row>
    <row r="560" spans="1:27" ht="14.4" x14ac:dyDescent="0.3">
      <c r="A560" s="77">
        <v>45871</v>
      </c>
      <c r="B560" s="78">
        <v>45871</v>
      </c>
      <c r="C560" s="58" t="s">
        <v>27</v>
      </c>
      <c r="D560" s="58" t="s">
        <v>28</v>
      </c>
      <c r="E560" s="58" t="s">
        <v>71</v>
      </c>
      <c r="F560" s="58" t="s">
        <v>72</v>
      </c>
      <c r="G560" s="58" t="s">
        <v>31</v>
      </c>
      <c r="H560" s="58" t="s">
        <v>51</v>
      </c>
      <c r="I560" s="58" t="s">
        <v>52</v>
      </c>
      <c r="J560" s="58" t="s">
        <v>828</v>
      </c>
      <c r="K560" s="59">
        <v>1</v>
      </c>
      <c r="L560" s="59">
        <v>1</v>
      </c>
      <c r="M560" s="60">
        <v>1</v>
      </c>
      <c r="N560" s="59" t="s">
        <v>559</v>
      </c>
      <c r="O560" s="59" t="s">
        <v>559</v>
      </c>
      <c r="P560" s="59">
        <v>49.88</v>
      </c>
      <c r="Q560" s="60">
        <v>3.2478E-2</v>
      </c>
      <c r="R560" s="59">
        <v>30.79</v>
      </c>
      <c r="S560" s="59">
        <v>1</v>
      </c>
      <c r="T560" s="59">
        <v>2</v>
      </c>
      <c r="U560" s="65" t="s">
        <v>823</v>
      </c>
      <c r="V560" s="59">
        <v>2</v>
      </c>
      <c r="W560" s="59">
        <v>0</v>
      </c>
      <c r="X560" s="59" t="s">
        <v>78</v>
      </c>
      <c r="Y560" s="79" t="s">
        <v>36</v>
      </c>
      <c r="Z560" s="64" t="s">
        <v>796</v>
      </c>
      <c r="AA560" s="80">
        <f t="shared" si="5"/>
        <v>3.2478E-2</v>
      </c>
    </row>
    <row r="561" spans="1:27" ht="14.4" x14ac:dyDescent="0.3">
      <c r="A561" s="77">
        <v>45870</v>
      </c>
      <c r="B561" s="78">
        <v>45870</v>
      </c>
      <c r="C561" s="58" t="s">
        <v>27</v>
      </c>
      <c r="D561" s="58" t="s">
        <v>28</v>
      </c>
      <c r="E561" s="58" t="s">
        <v>29</v>
      </c>
      <c r="F561" s="58" t="s">
        <v>30</v>
      </c>
      <c r="G561" s="58" t="s">
        <v>31</v>
      </c>
      <c r="H561" s="58" t="s">
        <v>30</v>
      </c>
      <c r="I561" s="58" t="s">
        <v>32</v>
      </c>
      <c r="J561" s="58" t="s">
        <v>829</v>
      </c>
      <c r="K561" s="59">
        <v>2</v>
      </c>
      <c r="L561" s="59">
        <v>1</v>
      </c>
      <c r="M561" s="60">
        <v>0.5</v>
      </c>
      <c r="N561" s="59" t="s">
        <v>540</v>
      </c>
      <c r="O561" s="59" t="s">
        <v>540</v>
      </c>
      <c r="P561" s="59">
        <v>24.94</v>
      </c>
      <c r="Q561" s="60">
        <v>0.16559699999999999</v>
      </c>
      <c r="R561" s="59">
        <v>6.04</v>
      </c>
      <c r="S561" s="59">
        <v>1</v>
      </c>
      <c r="T561" s="59">
        <v>1</v>
      </c>
      <c r="U561" s="65" t="s">
        <v>823</v>
      </c>
      <c r="V561" s="59">
        <v>1</v>
      </c>
      <c r="W561" s="59">
        <v>0</v>
      </c>
      <c r="X561" s="59" t="s">
        <v>35</v>
      </c>
      <c r="Y561" s="79" t="s">
        <v>36</v>
      </c>
      <c r="Z561" s="64" t="s">
        <v>796</v>
      </c>
      <c r="AA561" s="80">
        <f t="shared" si="5"/>
        <v>0.16559699999999999</v>
      </c>
    </row>
    <row r="562" spans="1:27" ht="14.4" x14ac:dyDescent="0.3">
      <c r="A562" s="77">
        <v>45870</v>
      </c>
      <c r="B562" s="78">
        <v>45870</v>
      </c>
      <c r="C562" s="58" t="s">
        <v>27</v>
      </c>
      <c r="D562" s="58" t="s">
        <v>28</v>
      </c>
      <c r="E562" s="58" t="s">
        <v>71</v>
      </c>
      <c r="F562" s="58" t="s">
        <v>72</v>
      </c>
      <c r="G562" s="58" t="s">
        <v>31</v>
      </c>
      <c r="H562" s="58" t="s">
        <v>51</v>
      </c>
      <c r="I562" s="58" t="s">
        <v>52</v>
      </c>
      <c r="J562" s="58" t="s">
        <v>830</v>
      </c>
      <c r="K562" s="59">
        <v>1</v>
      </c>
      <c r="L562" s="59">
        <v>1</v>
      </c>
      <c r="M562" s="60">
        <v>1</v>
      </c>
      <c r="N562" s="59" t="s">
        <v>433</v>
      </c>
      <c r="O562" s="59" t="s">
        <v>433</v>
      </c>
      <c r="P562" s="59">
        <v>24.94</v>
      </c>
      <c r="Q562" s="60">
        <v>9.9839999999999998E-2</v>
      </c>
      <c r="R562" s="59">
        <v>10.02</v>
      </c>
      <c r="S562" s="59">
        <v>1</v>
      </c>
      <c r="T562" s="59">
        <v>1</v>
      </c>
      <c r="U562" s="65" t="s">
        <v>823</v>
      </c>
      <c r="V562" s="59">
        <v>1</v>
      </c>
      <c r="W562" s="59">
        <v>0</v>
      </c>
      <c r="X562" s="59" t="s">
        <v>35</v>
      </c>
      <c r="Y562" s="79" t="s">
        <v>36</v>
      </c>
      <c r="Z562" s="64" t="s">
        <v>796</v>
      </c>
      <c r="AA562" s="80">
        <f t="shared" si="5"/>
        <v>9.9839999999999998E-2</v>
      </c>
    </row>
    <row r="563" spans="1:27" ht="14.4" x14ac:dyDescent="0.3">
      <c r="A563" s="77">
        <v>45870</v>
      </c>
      <c r="B563" s="78">
        <v>45870</v>
      </c>
      <c r="C563" s="58" t="s">
        <v>143</v>
      </c>
      <c r="D563" s="58" t="s">
        <v>28</v>
      </c>
      <c r="E563" s="58" t="s">
        <v>144</v>
      </c>
      <c r="F563" s="58" t="s">
        <v>32</v>
      </c>
      <c r="G563" s="58" t="s">
        <v>31</v>
      </c>
      <c r="H563" s="58" t="s">
        <v>30</v>
      </c>
      <c r="I563" s="58" t="s">
        <v>44</v>
      </c>
      <c r="J563" s="58" t="s">
        <v>831</v>
      </c>
      <c r="K563" s="59">
        <v>1</v>
      </c>
      <c r="L563" s="59">
        <v>1</v>
      </c>
      <c r="M563" s="60">
        <v>1</v>
      </c>
      <c r="N563" s="59" t="s">
        <v>196</v>
      </c>
      <c r="O563" s="59" t="s">
        <v>196</v>
      </c>
      <c r="P563" s="59">
        <v>24.94</v>
      </c>
      <c r="Q563" s="60">
        <v>5.4531000000000003E-2</v>
      </c>
      <c r="R563" s="59">
        <v>18.34</v>
      </c>
      <c r="S563" s="59">
        <v>1</v>
      </c>
      <c r="T563" s="59">
        <v>1</v>
      </c>
      <c r="U563" s="65" t="s">
        <v>823</v>
      </c>
      <c r="V563" s="59">
        <v>1</v>
      </c>
      <c r="W563" s="59">
        <v>0</v>
      </c>
      <c r="X563" s="59" t="s">
        <v>35</v>
      </c>
      <c r="Y563" s="79" t="s">
        <v>36</v>
      </c>
      <c r="Z563" s="64" t="s">
        <v>796</v>
      </c>
      <c r="AA563" s="80">
        <f t="shared" si="5"/>
        <v>5.4531000000000003E-2</v>
      </c>
    </row>
    <row r="564" spans="1:27" ht="14.4" x14ac:dyDescent="0.3">
      <c r="A564" s="56">
        <v>45869</v>
      </c>
      <c r="B564" s="57">
        <v>45869</v>
      </c>
      <c r="C564" s="58" t="s">
        <v>27</v>
      </c>
      <c r="D564" s="58" t="s">
        <v>28</v>
      </c>
      <c r="E564" s="58" t="s">
        <v>29</v>
      </c>
      <c r="F564" s="58" t="s">
        <v>30</v>
      </c>
      <c r="G564" s="58" t="s">
        <v>31</v>
      </c>
      <c r="H564" s="58" t="s">
        <v>30</v>
      </c>
      <c r="I564" s="58" t="s">
        <v>32</v>
      </c>
      <c r="J564" s="58" t="s">
        <v>832</v>
      </c>
      <c r="K564" s="59">
        <v>1</v>
      </c>
      <c r="L564" s="59">
        <v>1</v>
      </c>
      <c r="M564" s="60">
        <v>1</v>
      </c>
      <c r="N564" s="59" t="s">
        <v>606</v>
      </c>
      <c r="O564" s="59" t="s">
        <v>606</v>
      </c>
      <c r="P564" s="59">
        <v>24.94</v>
      </c>
      <c r="Q564" s="60">
        <v>0.118284</v>
      </c>
      <c r="R564" s="59">
        <v>8.4499999999999993</v>
      </c>
      <c r="S564" s="59">
        <v>1</v>
      </c>
      <c r="T564" s="59">
        <v>1</v>
      </c>
      <c r="U564" s="65" t="s">
        <v>823</v>
      </c>
      <c r="V564" s="59">
        <v>1</v>
      </c>
      <c r="W564" s="59">
        <v>0</v>
      </c>
      <c r="X564" s="59" t="s">
        <v>35</v>
      </c>
      <c r="Y564" s="79" t="s">
        <v>36</v>
      </c>
      <c r="Z564" s="64" t="s">
        <v>796</v>
      </c>
      <c r="AA564" s="80">
        <f t="shared" si="5"/>
        <v>0.118284</v>
      </c>
    </row>
    <row r="565" spans="1:27" ht="14.4" x14ac:dyDescent="0.3">
      <c r="A565" s="56">
        <v>45869</v>
      </c>
      <c r="B565" s="57">
        <v>45869</v>
      </c>
      <c r="C565" s="58" t="s">
        <v>27</v>
      </c>
      <c r="D565" s="58" t="s">
        <v>28</v>
      </c>
      <c r="E565" s="58" t="s">
        <v>71</v>
      </c>
      <c r="F565" s="58" t="s">
        <v>72</v>
      </c>
      <c r="G565" s="58" t="s">
        <v>31</v>
      </c>
      <c r="H565" s="58" t="s">
        <v>51</v>
      </c>
      <c r="I565" s="58" t="s">
        <v>52</v>
      </c>
      <c r="J565" s="58" t="s">
        <v>833</v>
      </c>
      <c r="K565" s="59">
        <v>1</v>
      </c>
      <c r="L565" s="59">
        <v>1</v>
      </c>
      <c r="M565" s="60">
        <v>1</v>
      </c>
      <c r="N565" s="59" t="s">
        <v>834</v>
      </c>
      <c r="O565" s="59" t="s">
        <v>834</v>
      </c>
      <c r="P565" s="59">
        <v>24.94</v>
      </c>
      <c r="Q565" s="60">
        <v>9.2621999999999996E-2</v>
      </c>
      <c r="R565" s="59">
        <v>10.8</v>
      </c>
      <c r="S565" s="59">
        <v>1</v>
      </c>
      <c r="T565" s="59">
        <v>1</v>
      </c>
      <c r="U565" s="65" t="s">
        <v>823</v>
      </c>
      <c r="V565" s="59">
        <v>1</v>
      </c>
      <c r="W565" s="59">
        <v>0</v>
      </c>
      <c r="X565" s="59" t="s">
        <v>35</v>
      </c>
      <c r="Y565" s="79" t="s">
        <v>36</v>
      </c>
      <c r="Z565" s="64" t="s">
        <v>796</v>
      </c>
      <c r="AA565" s="80">
        <f t="shared" si="5"/>
        <v>9.2621999999999996E-2</v>
      </c>
    </row>
    <row r="566" spans="1:27" ht="14.4" x14ac:dyDescent="0.3">
      <c r="A566" s="56">
        <v>45868</v>
      </c>
      <c r="B566" s="57">
        <v>45868</v>
      </c>
      <c r="C566" s="58" t="s">
        <v>27</v>
      </c>
      <c r="D566" s="58" t="s">
        <v>28</v>
      </c>
      <c r="E566" s="58" t="s">
        <v>71</v>
      </c>
      <c r="F566" s="58" t="s">
        <v>72</v>
      </c>
      <c r="G566" s="58" t="s">
        <v>31</v>
      </c>
      <c r="H566" s="58" t="s">
        <v>51</v>
      </c>
      <c r="I566" s="58" t="s">
        <v>52</v>
      </c>
      <c r="J566" s="58" t="s">
        <v>835</v>
      </c>
      <c r="K566" s="59">
        <v>2</v>
      </c>
      <c r="L566" s="59">
        <v>1</v>
      </c>
      <c r="M566" s="60">
        <v>0.5</v>
      </c>
      <c r="N566" s="59" t="s">
        <v>559</v>
      </c>
      <c r="O566" s="59" t="s">
        <v>559</v>
      </c>
      <c r="P566" s="59">
        <v>24.94</v>
      </c>
      <c r="Q566" s="60">
        <v>6.4956E-2</v>
      </c>
      <c r="R566" s="59">
        <v>15.4</v>
      </c>
      <c r="S566" s="59">
        <v>1</v>
      </c>
      <c r="T566" s="59">
        <v>1</v>
      </c>
      <c r="U566" s="65" t="s">
        <v>823</v>
      </c>
      <c r="V566" s="59">
        <v>1</v>
      </c>
      <c r="W566" s="59">
        <v>0</v>
      </c>
      <c r="X566" s="59" t="s">
        <v>35</v>
      </c>
      <c r="Y566" s="79" t="s">
        <v>36</v>
      </c>
      <c r="Z566" s="64" t="s">
        <v>796</v>
      </c>
      <c r="AA566" s="80">
        <f t="shared" si="5"/>
        <v>6.4956E-2</v>
      </c>
    </row>
    <row r="567" spans="1:27" ht="14.4" x14ac:dyDescent="0.3">
      <c r="A567" s="56">
        <v>45868</v>
      </c>
      <c r="B567" s="57">
        <v>45868</v>
      </c>
      <c r="C567" s="58" t="s">
        <v>27</v>
      </c>
      <c r="D567" s="58" t="s">
        <v>28</v>
      </c>
      <c r="E567" s="58" t="s">
        <v>71</v>
      </c>
      <c r="F567" s="58" t="s">
        <v>72</v>
      </c>
      <c r="G567" s="58" t="s">
        <v>31</v>
      </c>
      <c r="H567" s="58" t="s">
        <v>51</v>
      </c>
      <c r="I567" s="58" t="s">
        <v>52</v>
      </c>
      <c r="J567" s="58" t="s">
        <v>836</v>
      </c>
      <c r="K567" s="59">
        <v>3</v>
      </c>
      <c r="L567" s="59">
        <v>1</v>
      </c>
      <c r="M567" s="60">
        <v>0.33333299999999999</v>
      </c>
      <c r="N567" s="59" t="s">
        <v>837</v>
      </c>
      <c r="O567" s="59" t="s">
        <v>837</v>
      </c>
      <c r="P567" s="59">
        <v>24.94</v>
      </c>
      <c r="Q567" s="60">
        <v>5.4129999999999998E-2</v>
      </c>
      <c r="R567" s="59">
        <v>18.47</v>
      </c>
      <c r="S567" s="59">
        <v>1</v>
      </c>
      <c r="T567" s="59">
        <v>1</v>
      </c>
      <c r="U567" s="65" t="s">
        <v>823</v>
      </c>
      <c r="V567" s="59">
        <v>1</v>
      </c>
      <c r="W567" s="59">
        <v>0</v>
      </c>
      <c r="X567" s="59" t="s">
        <v>35</v>
      </c>
      <c r="Y567" s="79" t="s">
        <v>36</v>
      </c>
      <c r="Z567" s="64" t="s">
        <v>796</v>
      </c>
      <c r="AA567" s="80">
        <f t="shared" si="5"/>
        <v>5.4129999999999998E-2</v>
      </c>
    </row>
    <row r="568" spans="1:27" ht="14.4" x14ac:dyDescent="0.3">
      <c r="A568" s="56">
        <v>45868</v>
      </c>
      <c r="B568" s="78">
        <v>45871</v>
      </c>
      <c r="C568" s="58" t="s">
        <v>85</v>
      </c>
      <c r="D568" s="58" t="s">
        <v>28</v>
      </c>
      <c r="E568" s="58" t="s">
        <v>817</v>
      </c>
      <c r="F568" s="58" t="s">
        <v>818</v>
      </c>
      <c r="G568" s="58" t="s">
        <v>31</v>
      </c>
      <c r="H568" s="58" t="s">
        <v>357</v>
      </c>
      <c r="I568" s="58" t="s">
        <v>44</v>
      </c>
      <c r="J568" s="58" t="s">
        <v>357</v>
      </c>
      <c r="K568" s="59">
        <v>157</v>
      </c>
      <c r="L568" s="59">
        <v>7</v>
      </c>
      <c r="M568" s="60">
        <v>4.4586000000000001E-2</v>
      </c>
      <c r="N568" s="59" t="s">
        <v>838</v>
      </c>
      <c r="O568" s="59" t="s">
        <v>839</v>
      </c>
      <c r="P568" s="59">
        <v>24.95</v>
      </c>
      <c r="Q568" s="65" t="s">
        <v>823</v>
      </c>
      <c r="R568" s="59">
        <v>0.74</v>
      </c>
      <c r="S568" s="59">
        <v>1</v>
      </c>
      <c r="T568" s="59">
        <v>1</v>
      </c>
      <c r="U568" s="60">
        <v>0.14285700000000001</v>
      </c>
      <c r="V568" s="59">
        <v>1</v>
      </c>
      <c r="W568" s="59">
        <v>0</v>
      </c>
      <c r="X568" s="59" t="s">
        <v>785</v>
      </c>
      <c r="Y568" s="79" t="s">
        <v>36</v>
      </c>
      <c r="Z568" s="64" t="s">
        <v>796</v>
      </c>
      <c r="AA568" s="85" t="e">
        <f t="shared" si="5"/>
        <v>#N/A</v>
      </c>
    </row>
    <row r="569" spans="1:27" ht="14.4" x14ac:dyDescent="0.3">
      <c r="A569" s="56">
        <v>45868</v>
      </c>
      <c r="B569" s="78">
        <v>45871</v>
      </c>
      <c r="C569" s="58" t="s">
        <v>85</v>
      </c>
      <c r="D569" s="58" t="s">
        <v>28</v>
      </c>
      <c r="E569" s="58" t="s">
        <v>817</v>
      </c>
      <c r="F569" s="58" t="s">
        <v>818</v>
      </c>
      <c r="G569" s="58" t="s">
        <v>31</v>
      </c>
      <c r="H569" s="58" t="s">
        <v>357</v>
      </c>
      <c r="I569" s="58" t="s">
        <v>44</v>
      </c>
      <c r="J569" s="58" t="s">
        <v>840</v>
      </c>
      <c r="K569" s="59">
        <v>21</v>
      </c>
      <c r="L569" s="59">
        <v>4</v>
      </c>
      <c r="M569" s="60">
        <v>0.19047600000000001</v>
      </c>
      <c r="N569" s="59" t="s">
        <v>841</v>
      </c>
      <c r="O569" s="59" t="s">
        <v>842</v>
      </c>
      <c r="P569" s="59">
        <v>49.9</v>
      </c>
      <c r="Q569" s="60">
        <v>0.34969899999999998</v>
      </c>
      <c r="R569" s="59">
        <v>2.86</v>
      </c>
      <c r="S569" s="59">
        <v>1</v>
      </c>
      <c r="T569" s="59">
        <v>2</v>
      </c>
      <c r="U569" s="60">
        <v>0.25</v>
      </c>
      <c r="V569" s="59">
        <v>2</v>
      </c>
      <c r="W569" s="59">
        <v>0</v>
      </c>
      <c r="X569" s="59" t="s">
        <v>843</v>
      </c>
      <c r="Y569" s="79" t="s">
        <v>36</v>
      </c>
      <c r="Z569" s="64" t="s">
        <v>796</v>
      </c>
      <c r="AA569" s="80">
        <f t="shared" si="5"/>
        <v>0.34969899999999998</v>
      </c>
    </row>
    <row r="570" spans="1:27" ht="14.4" x14ac:dyDescent="0.3">
      <c r="A570" s="56">
        <v>45868</v>
      </c>
      <c r="B570" s="78">
        <v>45871</v>
      </c>
      <c r="C570" s="58" t="s">
        <v>48</v>
      </c>
      <c r="D570" s="58" t="s">
        <v>28</v>
      </c>
      <c r="E570" s="58" t="s">
        <v>233</v>
      </c>
      <c r="F570" s="58" t="s">
        <v>234</v>
      </c>
      <c r="G570" s="58" t="s">
        <v>31</v>
      </c>
      <c r="H570" s="58" t="s">
        <v>223</v>
      </c>
      <c r="I570" s="58" t="s">
        <v>32</v>
      </c>
      <c r="J570" s="58" t="s">
        <v>844</v>
      </c>
      <c r="K570" s="59">
        <v>37</v>
      </c>
      <c r="L570" s="59">
        <v>5</v>
      </c>
      <c r="M570" s="60">
        <v>0.13513500000000001</v>
      </c>
      <c r="N570" s="59" t="s">
        <v>845</v>
      </c>
      <c r="O570" s="59" t="s">
        <v>846</v>
      </c>
      <c r="P570" s="59">
        <v>24.95</v>
      </c>
      <c r="Q570" s="60">
        <v>0.76152299999999995</v>
      </c>
      <c r="R570" s="59">
        <v>1.31</v>
      </c>
      <c r="S570" s="59">
        <v>1</v>
      </c>
      <c r="T570" s="59">
        <v>1</v>
      </c>
      <c r="U570" s="60">
        <v>0.2</v>
      </c>
      <c r="V570" s="59">
        <v>1</v>
      </c>
      <c r="W570" s="59">
        <v>0</v>
      </c>
      <c r="X570" s="59" t="s">
        <v>785</v>
      </c>
      <c r="Y570" s="79" t="s">
        <v>36</v>
      </c>
      <c r="Z570" s="64" t="s">
        <v>796</v>
      </c>
      <c r="AA570" s="80">
        <f t="shared" si="5"/>
        <v>0.76152299999999995</v>
      </c>
    </row>
    <row r="571" spans="1:27" ht="14.4" x14ac:dyDescent="0.3">
      <c r="A571" s="56">
        <v>45867</v>
      </c>
      <c r="B571" s="57">
        <v>45867</v>
      </c>
      <c r="C571" s="58" t="s">
        <v>27</v>
      </c>
      <c r="D571" s="58" t="s">
        <v>28</v>
      </c>
      <c r="E571" s="58" t="s">
        <v>29</v>
      </c>
      <c r="F571" s="58" t="s">
        <v>30</v>
      </c>
      <c r="G571" s="58" t="s">
        <v>31</v>
      </c>
      <c r="H571" s="58" t="s">
        <v>480</v>
      </c>
      <c r="I571" s="58" t="s">
        <v>32</v>
      </c>
      <c r="J571" s="58" t="s">
        <v>847</v>
      </c>
      <c r="K571" s="59">
        <v>1</v>
      </c>
      <c r="L571" s="59">
        <v>1</v>
      </c>
      <c r="M571" s="60">
        <v>1</v>
      </c>
      <c r="N571" s="59" t="s">
        <v>606</v>
      </c>
      <c r="O571" s="59" t="s">
        <v>606</v>
      </c>
      <c r="P571" s="59">
        <v>24.94</v>
      </c>
      <c r="Q571" s="60">
        <v>0.118284</v>
      </c>
      <c r="R571" s="59">
        <v>8.4499999999999993</v>
      </c>
      <c r="S571" s="59">
        <v>1</v>
      </c>
      <c r="T571" s="59">
        <v>1</v>
      </c>
      <c r="U571" s="65" t="s">
        <v>823</v>
      </c>
      <c r="V571" s="59">
        <v>1</v>
      </c>
      <c r="W571" s="59">
        <v>0</v>
      </c>
      <c r="X571" s="59" t="s">
        <v>35</v>
      </c>
      <c r="Y571" s="79" t="s">
        <v>36</v>
      </c>
      <c r="Z571" s="64" t="s">
        <v>796</v>
      </c>
      <c r="AA571" s="80">
        <f t="shared" si="5"/>
        <v>0.118284</v>
      </c>
    </row>
    <row r="572" spans="1:27" ht="14.4" x14ac:dyDescent="0.3">
      <c r="A572" s="56">
        <v>45867</v>
      </c>
      <c r="B572" s="57">
        <v>45867</v>
      </c>
      <c r="C572" s="58" t="s">
        <v>85</v>
      </c>
      <c r="D572" s="58" t="s">
        <v>28</v>
      </c>
      <c r="E572" s="58" t="s">
        <v>108</v>
      </c>
      <c r="F572" s="58" t="s">
        <v>109</v>
      </c>
      <c r="G572" s="58" t="s">
        <v>31</v>
      </c>
      <c r="H572" s="58" t="s">
        <v>110</v>
      </c>
      <c r="I572" s="58" t="s">
        <v>44</v>
      </c>
      <c r="J572" s="58" t="s">
        <v>848</v>
      </c>
      <c r="K572" s="59">
        <v>3</v>
      </c>
      <c r="L572" s="59">
        <v>1</v>
      </c>
      <c r="M572" s="60">
        <v>0.33333299999999999</v>
      </c>
      <c r="N572" s="59" t="s">
        <v>102</v>
      </c>
      <c r="O572" s="59" t="s">
        <v>102</v>
      </c>
      <c r="P572" s="59">
        <v>29.99</v>
      </c>
      <c r="Q572" s="60">
        <v>9.103E-2</v>
      </c>
      <c r="R572" s="59">
        <v>10.99</v>
      </c>
      <c r="S572" s="59">
        <v>1</v>
      </c>
      <c r="T572" s="59">
        <v>1</v>
      </c>
      <c r="U572" s="65" t="s">
        <v>823</v>
      </c>
      <c r="V572" s="59">
        <v>1</v>
      </c>
      <c r="W572" s="59">
        <v>0</v>
      </c>
      <c r="X572" s="59" t="s">
        <v>498</v>
      </c>
      <c r="Y572" s="79" t="s">
        <v>36</v>
      </c>
      <c r="Z572" s="64" t="s">
        <v>796</v>
      </c>
      <c r="AA572" s="80">
        <f t="shared" si="5"/>
        <v>9.103E-2</v>
      </c>
    </row>
    <row r="573" spans="1:27" ht="14.4" x14ac:dyDescent="0.3">
      <c r="A573" s="56">
        <v>45867</v>
      </c>
      <c r="B573" s="78">
        <v>45871</v>
      </c>
      <c r="C573" s="58" t="s">
        <v>27</v>
      </c>
      <c r="D573" s="58" t="s">
        <v>28</v>
      </c>
      <c r="E573" s="58" t="s">
        <v>71</v>
      </c>
      <c r="F573" s="58" t="s">
        <v>72</v>
      </c>
      <c r="G573" s="58" t="s">
        <v>31</v>
      </c>
      <c r="H573" s="58" t="s">
        <v>73</v>
      </c>
      <c r="I573" s="58" t="s">
        <v>52</v>
      </c>
      <c r="J573" s="58" t="s">
        <v>43</v>
      </c>
      <c r="K573" s="59">
        <v>131</v>
      </c>
      <c r="L573" s="59">
        <v>6</v>
      </c>
      <c r="M573" s="60">
        <v>4.5802000000000002E-2</v>
      </c>
      <c r="N573" s="59" t="s">
        <v>444</v>
      </c>
      <c r="O573" s="59" t="s">
        <v>849</v>
      </c>
      <c r="P573" s="59">
        <v>49.88</v>
      </c>
      <c r="Q573" s="60">
        <v>0.47654400000000002</v>
      </c>
      <c r="R573" s="59">
        <v>2.1</v>
      </c>
      <c r="S573" s="59">
        <v>2</v>
      </c>
      <c r="T573" s="59">
        <v>2</v>
      </c>
      <c r="U573" s="60">
        <v>0.33333299999999999</v>
      </c>
      <c r="V573" s="59">
        <v>2</v>
      </c>
      <c r="W573" s="59">
        <v>0</v>
      </c>
      <c r="X573" s="59" t="s">
        <v>78</v>
      </c>
      <c r="Y573" s="79" t="s">
        <v>36</v>
      </c>
      <c r="Z573" s="64" t="s">
        <v>796</v>
      </c>
      <c r="AA573" s="80">
        <f t="shared" si="5"/>
        <v>0.47654400000000002</v>
      </c>
    </row>
    <row r="574" spans="1:27" ht="14.4" x14ac:dyDescent="0.3">
      <c r="A574" s="56">
        <v>45867</v>
      </c>
      <c r="B574" s="57">
        <v>45868</v>
      </c>
      <c r="C574" s="58" t="s">
        <v>48</v>
      </c>
      <c r="D574" s="58" t="s">
        <v>28</v>
      </c>
      <c r="E574" s="58" t="s">
        <v>233</v>
      </c>
      <c r="F574" s="58" t="s">
        <v>234</v>
      </c>
      <c r="G574" s="58" t="s">
        <v>31</v>
      </c>
      <c r="H574" s="58" t="s">
        <v>223</v>
      </c>
      <c r="I574" s="58" t="s">
        <v>32</v>
      </c>
      <c r="J574" s="58" t="s">
        <v>720</v>
      </c>
      <c r="K574" s="59">
        <v>174</v>
      </c>
      <c r="L574" s="59">
        <v>2</v>
      </c>
      <c r="M574" s="60">
        <v>1.1494000000000001E-2</v>
      </c>
      <c r="N574" s="59" t="s">
        <v>850</v>
      </c>
      <c r="O574" s="59" t="s">
        <v>851</v>
      </c>
      <c r="P574" s="59">
        <v>24.95</v>
      </c>
      <c r="Q574" s="60">
        <v>0.19719400000000001</v>
      </c>
      <c r="R574" s="59">
        <v>5.07</v>
      </c>
      <c r="S574" s="59">
        <v>1</v>
      </c>
      <c r="T574" s="59">
        <v>1</v>
      </c>
      <c r="U574" s="60">
        <v>0.5</v>
      </c>
      <c r="V574" s="59">
        <v>1</v>
      </c>
      <c r="W574" s="59">
        <v>0</v>
      </c>
      <c r="X574" s="59" t="s">
        <v>785</v>
      </c>
      <c r="Y574" s="79" t="s">
        <v>36</v>
      </c>
      <c r="Z574" s="64" t="s">
        <v>796</v>
      </c>
      <c r="AA574" s="80">
        <f t="shared" si="5"/>
        <v>0.19719400000000001</v>
      </c>
    </row>
    <row r="575" spans="1:27" ht="14.4" x14ac:dyDescent="0.3">
      <c r="A575" s="56">
        <v>45867</v>
      </c>
      <c r="B575" s="57">
        <v>45867</v>
      </c>
      <c r="C575" s="58" t="s">
        <v>48</v>
      </c>
      <c r="D575" s="58" t="s">
        <v>28</v>
      </c>
      <c r="E575" s="58" t="s">
        <v>225</v>
      </c>
      <c r="F575" s="58" t="s">
        <v>226</v>
      </c>
      <c r="G575" s="58" t="s">
        <v>31</v>
      </c>
      <c r="H575" s="58" t="s">
        <v>168</v>
      </c>
      <c r="I575" s="58" t="s">
        <v>32</v>
      </c>
      <c r="J575" s="58" t="s">
        <v>852</v>
      </c>
      <c r="K575" s="59">
        <v>5</v>
      </c>
      <c r="L575" s="59">
        <v>1</v>
      </c>
      <c r="M575" s="60">
        <v>0.2</v>
      </c>
      <c r="N575" s="59" t="s">
        <v>92</v>
      </c>
      <c r="O575" s="59" t="s">
        <v>92</v>
      </c>
      <c r="P575" s="59">
        <v>24.95</v>
      </c>
      <c r="Q575" s="60">
        <v>0.12184399999999999</v>
      </c>
      <c r="R575" s="59">
        <v>8.2100000000000009</v>
      </c>
      <c r="S575" s="59">
        <v>1</v>
      </c>
      <c r="T575" s="59">
        <v>1</v>
      </c>
      <c r="U575" s="65" t="s">
        <v>823</v>
      </c>
      <c r="V575" s="59">
        <v>1</v>
      </c>
      <c r="W575" s="59">
        <v>0</v>
      </c>
      <c r="X575" s="59" t="s">
        <v>785</v>
      </c>
      <c r="Y575" s="79" t="s">
        <v>36</v>
      </c>
      <c r="Z575" s="64" t="s">
        <v>796</v>
      </c>
      <c r="AA575" s="80">
        <f t="shared" si="5"/>
        <v>0.12184399999999999</v>
      </c>
    </row>
    <row r="576" spans="1:27" ht="14.4" x14ac:dyDescent="0.3">
      <c r="A576" s="56">
        <v>45866</v>
      </c>
      <c r="B576" s="57">
        <v>45866</v>
      </c>
      <c r="C576" s="58" t="s">
        <v>48</v>
      </c>
      <c r="D576" s="58" t="s">
        <v>28</v>
      </c>
      <c r="E576" s="58" t="s">
        <v>233</v>
      </c>
      <c r="F576" s="58" t="s">
        <v>234</v>
      </c>
      <c r="G576" s="58" t="s">
        <v>31</v>
      </c>
      <c r="H576" s="58" t="s">
        <v>357</v>
      </c>
      <c r="I576" s="58" t="s">
        <v>32</v>
      </c>
      <c r="J576" s="58" t="s">
        <v>853</v>
      </c>
      <c r="K576" s="59">
        <v>14</v>
      </c>
      <c r="L576" s="59">
        <v>1</v>
      </c>
      <c r="M576" s="60">
        <v>7.1429000000000006E-2</v>
      </c>
      <c r="N576" s="59" t="s">
        <v>854</v>
      </c>
      <c r="O576" s="59" t="s">
        <v>854</v>
      </c>
      <c r="P576" s="59">
        <v>24.95</v>
      </c>
      <c r="Q576" s="60">
        <v>0.15751499999999999</v>
      </c>
      <c r="R576" s="59">
        <v>6.35</v>
      </c>
      <c r="S576" s="59">
        <v>1</v>
      </c>
      <c r="T576" s="59">
        <v>1</v>
      </c>
      <c r="U576" s="65" t="s">
        <v>823</v>
      </c>
      <c r="V576" s="59">
        <v>1</v>
      </c>
      <c r="W576" s="59">
        <v>0</v>
      </c>
      <c r="X576" s="59" t="s">
        <v>785</v>
      </c>
      <c r="Y576" s="79" t="s">
        <v>36</v>
      </c>
      <c r="Z576" s="64" t="s">
        <v>796</v>
      </c>
      <c r="AA576" s="80">
        <f t="shared" si="5"/>
        <v>0.15751499999999999</v>
      </c>
    </row>
    <row r="577" spans="1:27" ht="14.4" x14ac:dyDescent="0.3">
      <c r="A577" s="56">
        <v>45866</v>
      </c>
      <c r="B577" s="57">
        <v>45866</v>
      </c>
      <c r="C577" s="58" t="s">
        <v>48</v>
      </c>
      <c r="D577" s="58" t="s">
        <v>28</v>
      </c>
      <c r="E577" s="58" t="s">
        <v>225</v>
      </c>
      <c r="F577" s="58" t="s">
        <v>226</v>
      </c>
      <c r="G577" s="58" t="s">
        <v>31</v>
      </c>
      <c r="H577" s="58" t="s">
        <v>88</v>
      </c>
      <c r="I577" s="58" t="s">
        <v>32</v>
      </c>
      <c r="J577" s="58" t="s">
        <v>130</v>
      </c>
      <c r="K577" s="59">
        <v>4</v>
      </c>
      <c r="L577" s="59">
        <v>2</v>
      </c>
      <c r="M577" s="60">
        <v>0.5</v>
      </c>
      <c r="N577" s="59" t="s">
        <v>704</v>
      </c>
      <c r="O577" s="59" t="s">
        <v>855</v>
      </c>
      <c r="P577" s="59">
        <v>24.95</v>
      </c>
      <c r="Q577" s="60">
        <v>0.24168300000000001</v>
      </c>
      <c r="R577" s="59">
        <v>4.1399999999999997</v>
      </c>
      <c r="S577" s="59">
        <v>1</v>
      </c>
      <c r="T577" s="59">
        <v>1</v>
      </c>
      <c r="U577" s="60">
        <v>0.5</v>
      </c>
      <c r="V577" s="59">
        <v>1</v>
      </c>
      <c r="W577" s="59">
        <v>0</v>
      </c>
      <c r="X577" s="59" t="s">
        <v>785</v>
      </c>
      <c r="Y577" s="79" t="s">
        <v>36</v>
      </c>
      <c r="Z577" s="64" t="s">
        <v>796</v>
      </c>
      <c r="AA577" s="80">
        <f t="shared" si="5"/>
        <v>0.24168300000000001</v>
      </c>
    </row>
    <row r="578" spans="1:27" ht="14.4" x14ac:dyDescent="0.3">
      <c r="A578" s="56">
        <v>45866</v>
      </c>
      <c r="B578" s="57">
        <v>45866</v>
      </c>
      <c r="C578" s="58" t="s">
        <v>27</v>
      </c>
      <c r="D578" s="58" t="s">
        <v>28</v>
      </c>
      <c r="E578" s="58" t="s">
        <v>29</v>
      </c>
      <c r="F578" s="58" t="s">
        <v>30</v>
      </c>
      <c r="G578" s="58" t="s">
        <v>31</v>
      </c>
      <c r="H578" s="58" t="s">
        <v>30</v>
      </c>
      <c r="I578" s="58" t="s">
        <v>32</v>
      </c>
      <c r="J578" s="58" t="s">
        <v>856</v>
      </c>
      <c r="K578" s="59">
        <v>1</v>
      </c>
      <c r="L578" s="59">
        <v>1</v>
      </c>
      <c r="M578" s="60">
        <v>1</v>
      </c>
      <c r="N578" s="59" t="s">
        <v>540</v>
      </c>
      <c r="O578" s="59" t="s">
        <v>540</v>
      </c>
      <c r="P578" s="59">
        <v>24.94</v>
      </c>
      <c r="Q578" s="60">
        <v>0.16559699999999999</v>
      </c>
      <c r="R578" s="59">
        <v>6.04</v>
      </c>
      <c r="S578" s="59">
        <v>1</v>
      </c>
      <c r="T578" s="59">
        <v>1</v>
      </c>
      <c r="U578" s="65" t="s">
        <v>823</v>
      </c>
      <c r="V578" s="59">
        <v>1</v>
      </c>
      <c r="W578" s="59">
        <v>0</v>
      </c>
      <c r="X578" s="59" t="s">
        <v>35</v>
      </c>
      <c r="Y578" s="79" t="s">
        <v>36</v>
      </c>
      <c r="Z578" s="64" t="s">
        <v>796</v>
      </c>
      <c r="AA578" s="80">
        <f t="shared" si="5"/>
        <v>0.16559699999999999</v>
      </c>
    </row>
    <row r="579" spans="1:27" ht="14.4" x14ac:dyDescent="0.3">
      <c r="A579" s="56">
        <v>45866</v>
      </c>
      <c r="B579" s="57">
        <v>45866</v>
      </c>
      <c r="C579" s="58" t="s">
        <v>27</v>
      </c>
      <c r="D579" s="58" t="s">
        <v>28</v>
      </c>
      <c r="E579" s="58" t="s">
        <v>71</v>
      </c>
      <c r="F579" s="58" t="s">
        <v>72</v>
      </c>
      <c r="G579" s="58" t="s">
        <v>31</v>
      </c>
      <c r="H579" s="58" t="s">
        <v>51</v>
      </c>
      <c r="I579" s="58" t="s">
        <v>52</v>
      </c>
      <c r="J579" s="58" t="s">
        <v>857</v>
      </c>
      <c r="K579" s="59">
        <v>1</v>
      </c>
      <c r="L579" s="59">
        <v>1</v>
      </c>
      <c r="M579" s="60">
        <v>1</v>
      </c>
      <c r="N579" s="59" t="s">
        <v>181</v>
      </c>
      <c r="O579" s="59" t="s">
        <v>181</v>
      </c>
      <c r="P579" s="59">
        <v>24.94</v>
      </c>
      <c r="Q579" s="60">
        <v>0.100241</v>
      </c>
      <c r="R579" s="59">
        <v>9.98</v>
      </c>
      <c r="S579" s="59">
        <v>1</v>
      </c>
      <c r="T579" s="59">
        <v>1</v>
      </c>
      <c r="U579" s="65" t="s">
        <v>823</v>
      </c>
      <c r="V579" s="59">
        <v>1</v>
      </c>
      <c r="W579" s="59">
        <v>0</v>
      </c>
      <c r="X579" s="59" t="s">
        <v>35</v>
      </c>
      <c r="Y579" s="79" t="s">
        <v>36</v>
      </c>
      <c r="Z579" s="64" t="s">
        <v>796</v>
      </c>
      <c r="AA579" s="80">
        <f t="shared" si="5"/>
        <v>0.100241</v>
      </c>
    </row>
    <row r="580" spans="1:27" ht="14.4" x14ac:dyDescent="0.3">
      <c r="A580" s="56">
        <v>45866</v>
      </c>
      <c r="B580" s="78">
        <v>45871</v>
      </c>
      <c r="C580" s="58" t="s">
        <v>40</v>
      </c>
      <c r="D580" s="58" t="s">
        <v>28</v>
      </c>
      <c r="E580" s="58" t="s">
        <v>41</v>
      </c>
      <c r="F580" s="58" t="s">
        <v>42</v>
      </c>
      <c r="G580" s="58" t="s">
        <v>31</v>
      </c>
      <c r="H580" s="58" t="s">
        <v>43</v>
      </c>
      <c r="I580" s="58" t="s">
        <v>44</v>
      </c>
      <c r="J580" s="58" t="s">
        <v>60</v>
      </c>
      <c r="K580" s="59">
        <v>18</v>
      </c>
      <c r="L580" s="59">
        <v>4</v>
      </c>
      <c r="M580" s="60">
        <v>0.222222</v>
      </c>
      <c r="N580" s="59" t="s">
        <v>371</v>
      </c>
      <c r="O580" s="59" t="s">
        <v>858</v>
      </c>
      <c r="P580" s="59">
        <v>24.94</v>
      </c>
      <c r="Q580" s="60">
        <v>0.50681600000000004</v>
      </c>
      <c r="R580" s="59">
        <v>1.97</v>
      </c>
      <c r="S580" s="59">
        <v>1</v>
      </c>
      <c r="T580" s="59">
        <v>1</v>
      </c>
      <c r="U580" s="60">
        <v>0.25</v>
      </c>
      <c r="V580" s="59">
        <v>1</v>
      </c>
      <c r="W580" s="59">
        <v>0</v>
      </c>
      <c r="X580" s="59" t="s">
        <v>35</v>
      </c>
      <c r="Y580" s="79" t="s">
        <v>36</v>
      </c>
      <c r="Z580" s="64" t="s">
        <v>796</v>
      </c>
      <c r="AA580" s="80">
        <f t="shared" si="5"/>
        <v>0.50681600000000004</v>
      </c>
    </row>
    <row r="581" spans="1:27" ht="14.4" x14ac:dyDescent="0.3">
      <c r="A581" s="56">
        <v>45866</v>
      </c>
      <c r="B581" s="78">
        <v>45871</v>
      </c>
      <c r="C581" s="58" t="s">
        <v>27</v>
      </c>
      <c r="D581" s="58" t="s">
        <v>28</v>
      </c>
      <c r="E581" s="58" t="s">
        <v>56</v>
      </c>
      <c r="F581" s="58" t="s">
        <v>57</v>
      </c>
      <c r="G581" s="58" t="s">
        <v>31</v>
      </c>
      <c r="H581" s="65" t="e">
        <f>+maca +root</f>
        <v>#NAME?</v>
      </c>
      <c r="I581" s="58" t="s">
        <v>32</v>
      </c>
      <c r="J581" s="58" t="s">
        <v>859</v>
      </c>
      <c r="K581" s="59">
        <v>34</v>
      </c>
      <c r="L581" s="59">
        <v>3</v>
      </c>
      <c r="M581" s="60">
        <v>8.8234999999999994E-2</v>
      </c>
      <c r="N581" s="59" t="s">
        <v>777</v>
      </c>
      <c r="O581" s="59" t="s">
        <v>860</v>
      </c>
      <c r="P581" s="59">
        <v>24.94</v>
      </c>
      <c r="Q581" s="60">
        <v>0.31756200000000001</v>
      </c>
      <c r="R581" s="59">
        <v>3.15</v>
      </c>
      <c r="S581" s="59">
        <v>1</v>
      </c>
      <c r="T581" s="59">
        <v>1</v>
      </c>
      <c r="U581" s="60">
        <v>0.33333299999999999</v>
      </c>
      <c r="V581" s="59">
        <v>1</v>
      </c>
      <c r="W581" s="59">
        <v>0</v>
      </c>
      <c r="X581" s="59" t="s">
        <v>35</v>
      </c>
      <c r="Y581" s="79" t="s">
        <v>36</v>
      </c>
      <c r="Z581" s="64" t="s">
        <v>796</v>
      </c>
      <c r="AA581" s="80">
        <f t="shared" si="5"/>
        <v>0.31756200000000001</v>
      </c>
    </row>
    <row r="582" spans="1:27" ht="14.4" x14ac:dyDescent="0.3">
      <c r="A582" s="56">
        <v>45866</v>
      </c>
      <c r="B582" s="57">
        <v>45866</v>
      </c>
      <c r="C582" s="58" t="s">
        <v>48</v>
      </c>
      <c r="D582" s="58" t="s">
        <v>28</v>
      </c>
      <c r="E582" s="58" t="s">
        <v>225</v>
      </c>
      <c r="F582" s="58" t="s">
        <v>226</v>
      </c>
      <c r="G582" s="58" t="s">
        <v>31</v>
      </c>
      <c r="H582" s="58" t="s">
        <v>168</v>
      </c>
      <c r="I582" s="58" t="s">
        <v>32</v>
      </c>
      <c r="J582" s="58" t="s">
        <v>861</v>
      </c>
      <c r="K582" s="59">
        <v>2</v>
      </c>
      <c r="L582" s="59">
        <v>1</v>
      </c>
      <c r="M582" s="60">
        <v>0.5</v>
      </c>
      <c r="N582" s="59" t="s">
        <v>350</v>
      </c>
      <c r="O582" s="59" t="s">
        <v>350</v>
      </c>
      <c r="P582" s="59">
        <v>24.95</v>
      </c>
      <c r="Q582" s="60">
        <v>0.113026</v>
      </c>
      <c r="R582" s="59">
        <v>8.85</v>
      </c>
      <c r="S582" s="59">
        <v>1</v>
      </c>
      <c r="T582" s="59">
        <v>1</v>
      </c>
      <c r="U582" s="65" t="s">
        <v>823</v>
      </c>
      <c r="V582" s="59">
        <v>1</v>
      </c>
      <c r="W582" s="59">
        <v>0</v>
      </c>
      <c r="X582" s="59" t="s">
        <v>785</v>
      </c>
      <c r="Y582" s="79" t="s">
        <v>36</v>
      </c>
      <c r="Z582" s="64" t="s">
        <v>796</v>
      </c>
      <c r="AA582" s="80">
        <f t="shared" si="5"/>
        <v>0.113026</v>
      </c>
    </row>
    <row r="583" spans="1:27" ht="14.4" x14ac:dyDescent="0.3">
      <c r="A583" s="56">
        <v>45865</v>
      </c>
      <c r="B583" s="57">
        <v>45865</v>
      </c>
      <c r="C583" s="58" t="s">
        <v>27</v>
      </c>
      <c r="D583" s="58" t="s">
        <v>28</v>
      </c>
      <c r="E583" s="58" t="s">
        <v>29</v>
      </c>
      <c r="F583" s="58" t="s">
        <v>30</v>
      </c>
      <c r="G583" s="58" t="s">
        <v>31</v>
      </c>
      <c r="H583" s="58" t="s">
        <v>644</v>
      </c>
      <c r="I583" s="58" t="s">
        <v>32</v>
      </c>
      <c r="J583" s="58" t="s">
        <v>644</v>
      </c>
      <c r="K583" s="59">
        <v>6</v>
      </c>
      <c r="L583" s="59">
        <v>2</v>
      </c>
      <c r="M583" s="60">
        <v>0.33333299999999999</v>
      </c>
      <c r="N583" s="59" t="s">
        <v>546</v>
      </c>
      <c r="O583" s="59" t="s">
        <v>862</v>
      </c>
      <c r="P583" s="59">
        <v>49.88</v>
      </c>
      <c r="Q583" s="60">
        <v>0.14194100000000001</v>
      </c>
      <c r="R583" s="59">
        <v>7.05</v>
      </c>
      <c r="S583" s="59">
        <v>2</v>
      </c>
      <c r="T583" s="59">
        <v>2</v>
      </c>
      <c r="U583" s="65" t="s">
        <v>823</v>
      </c>
      <c r="V583" s="59">
        <v>2</v>
      </c>
      <c r="W583" s="59">
        <v>0</v>
      </c>
      <c r="X583" s="59" t="s">
        <v>78</v>
      </c>
      <c r="Y583" s="79" t="s">
        <v>36</v>
      </c>
      <c r="Z583" s="64" t="s">
        <v>796</v>
      </c>
      <c r="AA583" s="80">
        <f t="shared" si="5"/>
        <v>0.14194100000000001</v>
      </c>
    </row>
    <row r="584" spans="1:27" ht="14.4" x14ac:dyDescent="0.3">
      <c r="A584" s="56">
        <v>45865</v>
      </c>
      <c r="B584" s="78">
        <v>45871</v>
      </c>
      <c r="C584" s="58" t="s">
        <v>27</v>
      </c>
      <c r="D584" s="58" t="s">
        <v>28</v>
      </c>
      <c r="E584" s="58" t="s">
        <v>29</v>
      </c>
      <c r="F584" s="58" t="s">
        <v>30</v>
      </c>
      <c r="G584" s="58" t="s">
        <v>31</v>
      </c>
      <c r="H584" s="58" t="s">
        <v>30</v>
      </c>
      <c r="I584" s="58" t="s">
        <v>32</v>
      </c>
      <c r="J584" s="58" t="s">
        <v>30</v>
      </c>
      <c r="K584" s="59">
        <v>866</v>
      </c>
      <c r="L584" s="59">
        <v>14</v>
      </c>
      <c r="M584" s="60">
        <v>1.6166E-2</v>
      </c>
      <c r="N584" s="59" t="s">
        <v>276</v>
      </c>
      <c r="O584" s="59" t="s">
        <v>863</v>
      </c>
      <c r="P584" s="59">
        <v>124.7</v>
      </c>
      <c r="Q584" s="60">
        <v>0.38893299999999997</v>
      </c>
      <c r="R584" s="59">
        <v>2.57</v>
      </c>
      <c r="S584" s="59">
        <v>5</v>
      </c>
      <c r="T584" s="59">
        <v>5</v>
      </c>
      <c r="U584" s="60">
        <v>0.35714299999999999</v>
      </c>
      <c r="V584" s="59">
        <v>5</v>
      </c>
      <c r="W584" s="59">
        <v>0</v>
      </c>
      <c r="X584" s="59" t="s">
        <v>548</v>
      </c>
      <c r="Y584" s="79" t="s">
        <v>36</v>
      </c>
      <c r="Z584" s="64" t="s">
        <v>796</v>
      </c>
      <c r="AA584" s="80">
        <f t="shared" si="5"/>
        <v>0.38893299999999997</v>
      </c>
    </row>
    <row r="585" spans="1:27" ht="14.4" x14ac:dyDescent="0.3">
      <c r="A585" s="56">
        <v>45865</v>
      </c>
      <c r="B585" s="78">
        <v>45871</v>
      </c>
      <c r="C585" s="58" t="s">
        <v>105</v>
      </c>
      <c r="D585" s="58" t="s">
        <v>28</v>
      </c>
      <c r="E585" s="58" t="s">
        <v>669</v>
      </c>
      <c r="F585" s="58" t="s">
        <v>30</v>
      </c>
      <c r="G585" s="58" t="s">
        <v>31</v>
      </c>
      <c r="H585" s="58" t="s">
        <v>30</v>
      </c>
      <c r="I585" s="58" t="s">
        <v>65</v>
      </c>
      <c r="J585" s="58" t="s">
        <v>30</v>
      </c>
      <c r="K585" s="59">
        <v>261</v>
      </c>
      <c r="L585" s="59">
        <v>11</v>
      </c>
      <c r="M585" s="60">
        <v>4.2146000000000003E-2</v>
      </c>
      <c r="N585" s="59" t="s">
        <v>224</v>
      </c>
      <c r="O585" s="59" t="s">
        <v>864</v>
      </c>
      <c r="P585" s="59">
        <v>74.819999999999993</v>
      </c>
      <c r="Q585" s="60">
        <v>0.42194599999999999</v>
      </c>
      <c r="R585" s="59">
        <v>2.37</v>
      </c>
      <c r="S585" s="59">
        <v>3</v>
      </c>
      <c r="T585" s="59">
        <v>3</v>
      </c>
      <c r="U585" s="60">
        <v>0.272727</v>
      </c>
      <c r="V585" s="59">
        <v>3</v>
      </c>
      <c r="W585" s="59">
        <v>0</v>
      </c>
      <c r="X585" s="59" t="s">
        <v>93</v>
      </c>
      <c r="Y585" s="79" t="s">
        <v>36</v>
      </c>
      <c r="Z585" s="64" t="s">
        <v>796</v>
      </c>
      <c r="AA585" s="80">
        <f t="shared" si="5"/>
        <v>0.42194599999999999</v>
      </c>
    </row>
    <row r="586" spans="1:27" ht="14.4" x14ac:dyDescent="0.3">
      <c r="A586" s="56">
        <v>45865</v>
      </c>
      <c r="B586" s="57">
        <v>45868</v>
      </c>
      <c r="C586" s="58" t="s">
        <v>27</v>
      </c>
      <c r="D586" s="58" t="s">
        <v>28</v>
      </c>
      <c r="E586" s="58" t="s">
        <v>71</v>
      </c>
      <c r="F586" s="58" t="s">
        <v>72</v>
      </c>
      <c r="G586" s="58" t="s">
        <v>31</v>
      </c>
      <c r="H586" s="58" t="s">
        <v>73</v>
      </c>
      <c r="I586" s="58" t="s">
        <v>52</v>
      </c>
      <c r="J586" s="58" t="s">
        <v>159</v>
      </c>
      <c r="K586" s="59">
        <v>68</v>
      </c>
      <c r="L586" s="59">
        <v>8</v>
      </c>
      <c r="M586" s="60">
        <v>0.117647</v>
      </c>
      <c r="N586" s="59" t="s">
        <v>763</v>
      </c>
      <c r="O586" s="59" t="s">
        <v>865</v>
      </c>
      <c r="P586" s="59">
        <v>49.88</v>
      </c>
      <c r="Q586" s="60">
        <v>0.489174</v>
      </c>
      <c r="R586" s="59">
        <v>2.04</v>
      </c>
      <c r="S586" s="59">
        <v>2</v>
      </c>
      <c r="T586" s="59">
        <v>2</v>
      </c>
      <c r="U586" s="60">
        <v>0.25</v>
      </c>
      <c r="V586" s="59">
        <v>2</v>
      </c>
      <c r="W586" s="59">
        <v>0</v>
      </c>
      <c r="X586" s="59" t="s">
        <v>78</v>
      </c>
      <c r="Y586" s="79" t="s">
        <v>36</v>
      </c>
      <c r="Z586" s="64" t="s">
        <v>796</v>
      </c>
      <c r="AA586" s="80">
        <f t="shared" si="5"/>
        <v>0.489174</v>
      </c>
    </row>
    <row r="587" spans="1:27" ht="14.4" x14ac:dyDescent="0.3">
      <c r="A587" s="56">
        <v>45865</v>
      </c>
      <c r="B587" s="78">
        <v>45871</v>
      </c>
      <c r="C587" s="58" t="s">
        <v>48</v>
      </c>
      <c r="D587" s="58" t="s">
        <v>28</v>
      </c>
      <c r="E587" s="58" t="s">
        <v>62</v>
      </c>
      <c r="F587" s="58" t="s">
        <v>63</v>
      </c>
      <c r="G587" s="58" t="s">
        <v>31</v>
      </c>
      <c r="H587" s="58" t="s">
        <v>68</v>
      </c>
      <c r="I587" s="58" t="s">
        <v>65</v>
      </c>
      <c r="J587" s="58" t="s">
        <v>68</v>
      </c>
      <c r="K587" s="59">
        <v>97</v>
      </c>
      <c r="L587" s="59">
        <v>4</v>
      </c>
      <c r="M587" s="60">
        <v>4.1237000000000003E-2</v>
      </c>
      <c r="N587" s="59" t="s">
        <v>774</v>
      </c>
      <c r="O587" s="59" t="s">
        <v>866</v>
      </c>
      <c r="P587" s="59">
        <v>49.9</v>
      </c>
      <c r="Q587" s="60">
        <v>0.30280600000000002</v>
      </c>
      <c r="R587" s="59">
        <v>3.3</v>
      </c>
      <c r="S587" s="59">
        <v>2</v>
      </c>
      <c r="T587" s="59">
        <v>2</v>
      </c>
      <c r="U587" s="60">
        <v>0.5</v>
      </c>
      <c r="V587" s="59">
        <v>2</v>
      </c>
      <c r="W587" s="59">
        <v>0</v>
      </c>
      <c r="X587" s="59" t="s">
        <v>843</v>
      </c>
      <c r="Y587" s="79" t="s">
        <v>36</v>
      </c>
      <c r="Z587" s="64" t="s">
        <v>796</v>
      </c>
      <c r="AA587" s="80">
        <f t="shared" si="5"/>
        <v>0.30280600000000002</v>
      </c>
    </row>
    <row r="588" spans="1:27" ht="14.4" x14ac:dyDescent="0.3">
      <c r="A588" s="56">
        <v>45865</v>
      </c>
      <c r="B588" s="57">
        <v>45865</v>
      </c>
      <c r="C588" s="58" t="s">
        <v>40</v>
      </c>
      <c r="D588" s="58" t="s">
        <v>28</v>
      </c>
      <c r="E588" s="58" t="s">
        <v>41</v>
      </c>
      <c r="F588" s="58" t="s">
        <v>42</v>
      </c>
      <c r="G588" s="58" t="s">
        <v>31</v>
      </c>
      <c r="H588" s="58" t="s">
        <v>43</v>
      </c>
      <c r="I588" s="58" t="s">
        <v>44</v>
      </c>
      <c r="J588" s="58" t="s">
        <v>867</v>
      </c>
      <c r="K588" s="59">
        <v>8</v>
      </c>
      <c r="L588" s="59">
        <v>1</v>
      </c>
      <c r="M588" s="60">
        <v>0.125</v>
      </c>
      <c r="N588" s="59" t="s">
        <v>126</v>
      </c>
      <c r="O588" s="59" t="s">
        <v>126</v>
      </c>
      <c r="P588" s="59">
        <v>24.94</v>
      </c>
      <c r="Q588" s="60">
        <v>0.13111500000000001</v>
      </c>
      <c r="R588" s="59">
        <v>7.63</v>
      </c>
      <c r="S588" s="59">
        <v>1</v>
      </c>
      <c r="T588" s="59">
        <v>1</v>
      </c>
      <c r="U588" s="65" t="s">
        <v>823</v>
      </c>
      <c r="V588" s="59">
        <v>1</v>
      </c>
      <c r="W588" s="59">
        <v>0</v>
      </c>
      <c r="X588" s="59" t="s">
        <v>35</v>
      </c>
      <c r="Y588" s="79" t="s">
        <v>36</v>
      </c>
      <c r="Z588" s="64" t="s">
        <v>796</v>
      </c>
      <c r="AA588" s="80">
        <f t="shared" si="5"/>
        <v>0.13111500000000001</v>
      </c>
    </row>
    <row r="589" spans="1:27" ht="14.4" x14ac:dyDescent="0.3">
      <c r="A589" s="56">
        <v>45865</v>
      </c>
      <c r="B589" s="57">
        <v>45869</v>
      </c>
      <c r="C589" s="58" t="s">
        <v>40</v>
      </c>
      <c r="D589" s="58" t="s">
        <v>28</v>
      </c>
      <c r="E589" s="58" t="s">
        <v>41</v>
      </c>
      <c r="F589" s="58" t="s">
        <v>42</v>
      </c>
      <c r="G589" s="58" t="s">
        <v>31</v>
      </c>
      <c r="H589" s="58" t="s">
        <v>404</v>
      </c>
      <c r="I589" s="58" t="s">
        <v>44</v>
      </c>
      <c r="J589" s="58" t="s">
        <v>183</v>
      </c>
      <c r="K589" s="59">
        <v>140</v>
      </c>
      <c r="L589" s="59">
        <v>12</v>
      </c>
      <c r="M589" s="60">
        <v>8.5713999999999999E-2</v>
      </c>
      <c r="N589" s="59" t="s">
        <v>90</v>
      </c>
      <c r="O589" s="59" t="s">
        <v>868</v>
      </c>
      <c r="P589" s="59">
        <v>49.88</v>
      </c>
      <c r="Q589" s="60">
        <v>0.82036900000000001</v>
      </c>
      <c r="R589" s="59">
        <v>1.22</v>
      </c>
      <c r="S589" s="59">
        <v>2</v>
      </c>
      <c r="T589" s="59">
        <v>2</v>
      </c>
      <c r="U589" s="60">
        <v>0.16666700000000001</v>
      </c>
      <c r="V589" s="59">
        <v>2</v>
      </c>
      <c r="W589" s="59">
        <v>0</v>
      </c>
      <c r="X589" s="59" t="s">
        <v>78</v>
      </c>
      <c r="Y589" s="79" t="s">
        <v>36</v>
      </c>
      <c r="Z589" s="64" t="s">
        <v>796</v>
      </c>
      <c r="AA589" s="80">
        <f t="shared" si="5"/>
        <v>0.82036900000000001</v>
      </c>
    </row>
    <row r="590" spans="1:27" ht="14.4" x14ac:dyDescent="0.3">
      <c r="A590" s="56">
        <v>45865</v>
      </c>
      <c r="B590" s="78">
        <v>45871</v>
      </c>
      <c r="C590" s="58" t="s">
        <v>105</v>
      </c>
      <c r="D590" s="58" t="s">
        <v>28</v>
      </c>
      <c r="E590" s="58" t="s">
        <v>117</v>
      </c>
      <c r="F590" s="58" t="s">
        <v>118</v>
      </c>
      <c r="G590" s="58" t="s">
        <v>31</v>
      </c>
      <c r="H590" s="58" t="s">
        <v>119</v>
      </c>
      <c r="I590" s="58" t="s">
        <v>65</v>
      </c>
      <c r="J590" s="58" t="s">
        <v>119</v>
      </c>
      <c r="K590" s="59">
        <v>405</v>
      </c>
      <c r="L590" s="59">
        <v>8</v>
      </c>
      <c r="M590" s="60">
        <v>1.9753E-2</v>
      </c>
      <c r="N590" s="59" t="s">
        <v>363</v>
      </c>
      <c r="O590" s="59" t="s">
        <v>869</v>
      </c>
      <c r="P590" s="59">
        <v>49.88</v>
      </c>
      <c r="Q590" s="60">
        <v>0.40537299999999998</v>
      </c>
      <c r="R590" s="59">
        <v>2.4700000000000002</v>
      </c>
      <c r="S590" s="59">
        <v>2</v>
      </c>
      <c r="T590" s="59">
        <v>2</v>
      </c>
      <c r="U590" s="60">
        <v>0.25</v>
      </c>
      <c r="V590" s="59">
        <v>2</v>
      </c>
      <c r="W590" s="59">
        <v>0</v>
      </c>
      <c r="X590" s="59" t="s">
        <v>78</v>
      </c>
      <c r="Y590" s="79" t="s">
        <v>36</v>
      </c>
      <c r="Z590" s="64" t="s">
        <v>796</v>
      </c>
      <c r="AA590" s="80">
        <f t="shared" si="5"/>
        <v>0.40537299999999998</v>
      </c>
    </row>
    <row r="591" spans="1:27" ht="14.4" x14ac:dyDescent="0.3">
      <c r="A591" s="56">
        <v>45865</v>
      </c>
      <c r="B591" s="78">
        <v>45871</v>
      </c>
      <c r="C591" s="58" t="s">
        <v>27</v>
      </c>
      <c r="D591" s="58" t="s">
        <v>28</v>
      </c>
      <c r="E591" s="58" t="s">
        <v>56</v>
      </c>
      <c r="F591" s="58" t="s">
        <v>57</v>
      </c>
      <c r="G591" s="58" t="s">
        <v>31</v>
      </c>
      <c r="H591" s="65" t="e">
        <f>+maca +root</f>
        <v>#NAME?</v>
      </c>
      <c r="I591" s="58" t="s">
        <v>32</v>
      </c>
      <c r="J591" s="58" t="s">
        <v>119</v>
      </c>
      <c r="K591" s="59">
        <v>4212</v>
      </c>
      <c r="L591" s="59">
        <v>64</v>
      </c>
      <c r="M591" s="60">
        <v>1.5195E-2</v>
      </c>
      <c r="N591" s="59" t="s">
        <v>730</v>
      </c>
      <c r="O591" s="59" t="s">
        <v>870</v>
      </c>
      <c r="P591" s="59">
        <v>246.96</v>
      </c>
      <c r="Q591" s="60">
        <v>0.62998100000000001</v>
      </c>
      <c r="R591" s="59">
        <v>1.59</v>
      </c>
      <c r="S591" s="59">
        <v>10</v>
      </c>
      <c r="T591" s="59">
        <v>10</v>
      </c>
      <c r="U591" s="60">
        <v>0.15625</v>
      </c>
      <c r="V591" s="59">
        <v>10</v>
      </c>
      <c r="W591" s="59">
        <v>0</v>
      </c>
      <c r="X591" s="59" t="s">
        <v>871</v>
      </c>
      <c r="Y591" s="79" t="s">
        <v>36</v>
      </c>
      <c r="Z591" s="64" t="s">
        <v>796</v>
      </c>
      <c r="AA591" s="80">
        <f t="shared" si="5"/>
        <v>0.62998100000000001</v>
      </c>
    </row>
    <row r="592" spans="1:27" ht="14.4" x14ac:dyDescent="0.3">
      <c r="A592" s="56">
        <v>45865</v>
      </c>
      <c r="B592" s="57">
        <v>45867</v>
      </c>
      <c r="C592" s="58" t="s">
        <v>27</v>
      </c>
      <c r="D592" s="58" t="s">
        <v>28</v>
      </c>
      <c r="E592" s="58" t="s">
        <v>71</v>
      </c>
      <c r="F592" s="58" t="s">
        <v>72</v>
      </c>
      <c r="G592" s="58" t="s">
        <v>31</v>
      </c>
      <c r="H592" s="58" t="s">
        <v>73</v>
      </c>
      <c r="I592" s="58" t="s">
        <v>52</v>
      </c>
      <c r="J592" s="58" t="s">
        <v>60</v>
      </c>
      <c r="K592" s="59">
        <v>14</v>
      </c>
      <c r="L592" s="59">
        <v>3</v>
      </c>
      <c r="M592" s="60">
        <v>0.214286</v>
      </c>
      <c r="N592" s="59" t="s">
        <v>293</v>
      </c>
      <c r="O592" s="59" t="s">
        <v>872</v>
      </c>
      <c r="P592" s="59">
        <v>49.88</v>
      </c>
      <c r="Q592" s="60">
        <v>0.21471499999999999</v>
      </c>
      <c r="R592" s="59">
        <v>4.66</v>
      </c>
      <c r="S592" s="59">
        <v>2</v>
      </c>
      <c r="T592" s="59">
        <v>2</v>
      </c>
      <c r="U592" s="60">
        <v>0.66666700000000001</v>
      </c>
      <c r="V592" s="59">
        <v>2</v>
      </c>
      <c r="W592" s="59">
        <v>0</v>
      </c>
      <c r="X592" s="59" t="s">
        <v>78</v>
      </c>
      <c r="Y592" s="79" t="s">
        <v>36</v>
      </c>
      <c r="Z592" s="64" t="s">
        <v>796</v>
      </c>
      <c r="AA592" s="80">
        <f t="shared" si="5"/>
        <v>0.21471499999999999</v>
      </c>
    </row>
    <row r="593" spans="1:27" ht="14.4" x14ac:dyDescent="0.3">
      <c r="A593" s="56">
        <v>45865</v>
      </c>
      <c r="B593" s="78">
        <v>45871</v>
      </c>
      <c r="C593" s="58" t="s">
        <v>40</v>
      </c>
      <c r="D593" s="58" t="s">
        <v>28</v>
      </c>
      <c r="E593" s="58" t="s">
        <v>41</v>
      </c>
      <c r="F593" s="58" t="s">
        <v>42</v>
      </c>
      <c r="G593" s="58" t="s">
        <v>31</v>
      </c>
      <c r="H593" s="58" t="s">
        <v>43</v>
      </c>
      <c r="I593" s="58" t="s">
        <v>44</v>
      </c>
      <c r="J593" s="58" t="s">
        <v>43</v>
      </c>
      <c r="K593" s="59">
        <v>256</v>
      </c>
      <c r="L593" s="59">
        <v>9</v>
      </c>
      <c r="M593" s="60">
        <v>3.5156E-2</v>
      </c>
      <c r="N593" s="59" t="s">
        <v>763</v>
      </c>
      <c r="O593" s="59" t="s">
        <v>873</v>
      </c>
      <c r="P593" s="59">
        <v>24.94</v>
      </c>
      <c r="Q593" s="65" t="s">
        <v>823</v>
      </c>
      <c r="R593" s="59">
        <v>0.91</v>
      </c>
      <c r="S593" s="59">
        <v>1</v>
      </c>
      <c r="T593" s="59">
        <v>1</v>
      </c>
      <c r="U593" s="60">
        <v>0.111111</v>
      </c>
      <c r="V593" s="59">
        <v>1</v>
      </c>
      <c r="W593" s="59">
        <v>0</v>
      </c>
      <c r="X593" s="59" t="s">
        <v>35</v>
      </c>
      <c r="Y593" s="79" t="s">
        <v>36</v>
      </c>
      <c r="Z593" s="64" t="s">
        <v>796</v>
      </c>
      <c r="AA593" s="85" t="e">
        <f t="shared" si="5"/>
        <v>#N/A</v>
      </c>
    </row>
    <row r="594" spans="1:27" ht="14.4" x14ac:dyDescent="0.3">
      <c r="A594" s="56">
        <v>45865</v>
      </c>
      <c r="B594" s="78">
        <v>45871</v>
      </c>
      <c r="C594" s="58" t="s">
        <v>27</v>
      </c>
      <c r="D594" s="58" t="s">
        <v>28</v>
      </c>
      <c r="E594" s="58" t="s">
        <v>71</v>
      </c>
      <c r="F594" s="58" t="s">
        <v>72</v>
      </c>
      <c r="G594" s="58" t="s">
        <v>31</v>
      </c>
      <c r="H594" s="58" t="s">
        <v>73</v>
      </c>
      <c r="I594" s="58" t="s">
        <v>52</v>
      </c>
      <c r="J594" s="58" t="s">
        <v>101</v>
      </c>
      <c r="K594" s="59">
        <v>1346</v>
      </c>
      <c r="L594" s="59">
        <v>15</v>
      </c>
      <c r="M594" s="60">
        <v>1.1143999999999999E-2</v>
      </c>
      <c r="N594" s="59" t="s">
        <v>46</v>
      </c>
      <c r="O594" s="59" t="s">
        <v>874</v>
      </c>
      <c r="P594" s="59">
        <v>74.819999999999993</v>
      </c>
      <c r="Q594" s="60">
        <v>0.63953499999999996</v>
      </c>
      <c r="R594" s="59">
        <v>1.56</v>
      </c>
      <c r="S594" s="59">
        <v>3</v>
      </c>
      <c r="T594" s="59">
        <v>3</v>
      </c>
      <c r="U594" s="60">
        <v>0.2</v>
      </c>
      <c r="V594" s="59">
        <v>3</v>
      </c>
      <c r="W594" s="59">
        <v>0</v>
      </c>
      <c r="X594" s="59" t="s">
        <v>93</v>
      </c>
      <c r="Y594" s="79" t="s">
        <v>36</v>
      </c>
      <c r="Z594" s="64" t="s">
        <v>796</v>
      </c>
      <c r="AA594" s="80">
        <f t="shared" si="5"/>
        <v>0.63953499999999996</v>
      </c>
    </row>
    <row r="595" spans="1:27" ht="14.4" x14ac:dyDescent="0.3">
      <c r="A595" s="56">
        <v>45865</v>
      </c>
      <c r="B595" s="78">
        <v>45870</v>
      </c>
      <c r="C595" s="58" t="s">
        <v>27</v>
      </c>
      <c r="D595" s="58" t="s">
        <v>28</v>
      </c>
      <c r="E595" s="58" t="s">
        <v>56</v>
      </c>
      <c r="F595" s="58" t="s">
        <v>57</v>
      </c>
      <c r="G595" s="58" t="s">
        <v>31</v>
      </c>
      <c r="H595" s="65" t="e">
        <f>+maca +root</f>
        <v>#NAME?</v>
      </c>
      <c r="I595" s="58" t="s">
        <v>32</v>
      </c>
      <c r="J595" s="58" t="s">
        <v>351</v>
      </c>
      <c r="K595" s="59">
        <v>805</v>
      </c>
      <c r="L595" s="59">
        <v>7</v>
      </c>
      <c r="M595" s="60">
        <v>8.6960000000000006E-3</v>
      </c>
      <c r="N595" s="59" t="s">
        <v>768</v>
      </c>
      <c r="O595" s="59" t="s">
        <v>875</v>
      </c>
      <c r="P595" s="59">
        <v>24.94</v>
      </c>
      <c r="Q595" s="60">
        <v>0.66519600000000001</v>
      </c>
      <c r="R595" s="59">
        <v>1.5</v>
      </c>
      <c r="S595" s="59">
        <v>1</v>
      </c>
      <c r="T595" s="59">
        <v>1</v>
      </c>
      <c r="U595" s="60">
        <v>0.14285700000000001</v>
      </c>
      <c r="V595" s="59">
        <v>1</v>
      </c>
      <c r="W595" s="59">
        <v>0</v>
      </c>
      <c r="X595" s="59" t="s">
        <v>35</v>
      </c>
      <c r="Y595" s="79" t="s">
        <v>36</v>
      </c>
      <c r="Z595" s="64" t="s">
        <v>796</v>
      </c>
      <c r="AA595" s="80">
        <f t="shared" si="5"/>
        <v>0.66519600000000001</v>
      </c>
    </row>
    <row r="596" spans="1:27" ht="14.4" x14ac:dyDescent="0.3">
      <c r="A596" s="56">
        <v>45865</v>
      </c>
      <c r="B596" s="57">
        <v>45865</v>
      </c>
      <c r="C596" s="58" t="s">
        <v>27</v>
      </c>
      <c r="D596" s="58" t="s">
        <v>28</v>
      </c>
      <c r="E596" s="58" t="s">
        <v>71</v>
      </c>
      <c r="F596" s="58" t="s">
        <v>72</v>
      </c>
      <c r="G596" s="58" t="s">
        <v>31</v>
      </c>
      <c r="H596" s="58" t="s">
        <v>51</v>
      </c>
      <c r="I596" s="58" t="s">
        <v>52</v>
      </c>
      <c r="J596" s="58" t="s">
        <v>876</v>
      </c>
      <c r="K596" s="59">
        <v>2</v>
      </c>
      <c r="L596" s="59">
        <v>2</v>
      </c>
      <c r="M596" s="60">
        <v>1</v>
      </c>
      <c r="N596" s="59" t="s">
        <v>99</v>
      </c>
      <c r="O596" s="59" t="s">
        <v>324</v>
      </c>
      <c r="P596" s="59">
        <v>22.5</v>
      </c>
      <c r="Q596" s="60">
        <v>0.21111099999999999</v>
      </c>
      <c r="R596" s="59">
        <v>4.74</v>
      </c>
      <c r="S596" s="59">
        <v>1</v>
      </c>
      <c r="T596" s="59">
        <v>1</v>
      </c>
      <c r="U596" s="60">
        <v>0.5</v>
      </c>
      <c r="V596" s="59">
        <v>1</v>
      </c>
      <c r="W596" s="59">
        <v>0</v>
      </c>
      <c r="X596" s="59" t="s">
        <v>877</v>
      </c>
      <c r="Y596" s="79" t="s">
        <v>36</v>
      </c>
      <c r="Z596" s="64" t="s">
        <v>796</v>
      </c>
      <c r="AA596" s="80">
        <f t="shared" si="5"/>
        <v>0.21111099999999999</v>
      </c>
    </row>
    <row r="597" spans="1:27" ht="14.4" x14ac:dyDescent="0.3">
      <c r="A597" s="56">
        <v>45865</v>
      </c>
      <c r="B597" s="57">
        <v>45865</v>
      </c>
      <c r="C597" s="58" t="s">
        <v>27</v>
      </c>
      <c r="D597" s="58" t="s">
        <v>28</v>
      </c>
      <c r="E597" s="58" t="s">
        <v>71</v>
      </c>
      <c r="F597" s="58" t="s">
        <v>72</v>
      </c>
      <c r="G597" s="58" t="s">
        <v>31</v>
      </c>
      <c r="H597" s="58" t="s">
        <v>73</v>
      </c>
      <c r="I597" s="58" t="s">
        <v>52</v>
      </c>
      <c r="J597" s="58" t="s">
        <v>878</v>
      </c>
      <c r="K597" s="59">
        <v>3</v>
      </c>
      <c r="L597" s="59">
        <v>1</v>
      </c>
      <c r="M597" s="60">
        <v>0.33333299999999999</v>
      </c>
      <c r="N597" s="59" t="s">
        <v>598</v>
      </c>
      <c r="O597" s="59" t="s">
        <v>598</v>
      </c>
      <c r="P597" s="59">
        <v>24.94</v>
      </c>
      <c r="Q597" s="60">
        <v>0.102245</v>
      </c>
      <c r="R597" s="59">
        <v>9.7799999999999994</v>
      </c>
      <c r="S597" s="59">
        <v>1</v>
      </c>
      <c r="T597" s="59">
        <v>1</v>
      </c>
      <c r="U597" s="65" t="s">
        <v>823</v>
      </c>
      <c r="V597" s="59">
        <v>1</v>
      </c>
      <c r="W597" s="59">
        <v>0</v>
      </c>
      <c r="X597" s="59" t="s">
        <v>35</v>
      </c>
      <c r="Y597" s="79" t="s">
        <v>36</v>
      </c>
      <c r="Z597" s="64" t="s">
        <v>796</v>
      </c>
      <c r="AA597" s="80">
        <f t="shared" si="5"/>
        <v>0.102245</v>
      </c>
    </row>
    <row r="598" spans="1:27" ht="14.4" x14ac:dyDescent="0.3">
      <c r="A598" s="56">
        <v>45865</v>
      </c>
      <c r="B598" s="78">
        <v>45870</v>
      </c>
      <c r="C598" s="58" t="s">
        <v>27</v>
      </c>
      <c r="D598" s="58" t="s">
        <v>28</v>
      </c>
      <c r="E598" s="58" t="s">
        <v>71</v>
      </c>
      <c r="F598" s="58" t="s">
        <v>72</v>
      </c>
      <c r="G598" s="58" t="s">
        <v>31</v>
      </c>
      <c r="H598" s="58" t="s">
        <v>73</v>
      </c>
      <c r="I598" s="58" t="s">
        <v>52</v>
      </c>
      <c r="J598" s="58" t="s">
        <v>879</v>
      </c>
      <c r="K598" s="59">
        <v>198</v>
      </c>
      <c r="L598" s="59">
        <v>5</v>
      </c>
      <c r="M598" s="60">
        <v>2.5253000000000001E-2</v>
      </c>
      <c r="N598" s="59" t="s">
        <v>107</v>
      </c>
      <c r="O598" s="59" t="s">
        <v>880</v>
      </c>
      <c r="P598" s="59">
        <v>24.94</v>
      </c>
      <c r="Q598" s="60">
        <v>0.58380100000000001</v>
      </c>
      <c r="R598" s="59">
        <v>1.71</v>
      </c>
      <c r="S598" s="59">
        <v>1</v>
      </c>
      <c r="T598" s="59">
        <v>1</v>
      </c>
      <c r="U598" s="60">
        <v>0.2</v>
      </c>
      <c r="V598" s="59">
        <v>1</v>
      </c>
      <c r="W598" s="59">
        <v>0</v>
      </c>
      <c r="X598" s="59" t="s">
        <v>35</v>
      </c>
      <c r="Y598" s="79" t="s">
        <v>36</v>
      </c>
      <c r="Z598" s="64" t="s">
        <v>796</v>
      </c>
      <c r="AA598" s="80">
        <f t="shared" si="5"/>
        <v>0.58380100000000001</v>
      </c>
    </row>
    <row r="599" spans="1:27" ht="14.4" x14ac:dyDescent="0.3">
      <c r="A599" s="56">
        <v>45865</v>
      </c>
      <c r="B599" s="78">
        <v>45871</v>
      </c>
      <c r="C599" s="58" t="s">
        <v>85</v>
      </c>
      <c r="D599" s="58" t="s">
        <v>28</v>
      </c>
      <c r="E599" s="58" t="s">
        <v>86</v>
      </c>
      <c r="F599" s="58" t="s">
        <v>87</v>
      </c>
      <c r="G599" s="58" t="s">
        <v>31</v>
      </c>
      <c r="H599" s="58" t="s">
        <v>88</v>
      </c>
      <c r="I599" s="58" t="s">
        <v>44</v>
      </c>
      <c r="J599" s="58" t="s">
        <v>89</v>
      </c>
      <c r="K599" s="59">
        <v>25</v>
      </c>
      <c r="L599" s="59">
        <v>8</v>
      </c>
      <c r="M599" s="60">
        <v>0.32</v>
      </c>
      <c r="N599" s="59" t="s">
        <v>120</v>
      </c>
      <c r="O599" s="59" t="s">
        <v>881</v>
      </c>
      <c r="P599" s="59">
        <v>99.8</v>
      </c>
      <c r="Q599" s="60">
        <v>0.24809600000000001</v>
      </c>
      <c r="R599" s="59">
        <v>4.03</v>
      </c>
      <c r="S599" s="59">
        <v>3</v>
      </c>
      <c r="T599" s="59">
        <v>4</v>
      </c>
      <c r="U599" s="60">
        <v>0.375</v>
      </c>
      <c r="V599" s="59">
        <v>4</v>
      </c>
      <c r="W599" s="59">
        <v>0</v>
      </c>
      <c r="X599" s="59" t="s">
        <v>882</v>
      </c>
      <c r="Y599" s="79" t="s">
        <v>36</v>
      </c>
      <c r="Z599" s="64" t="s">
        <v>796</v>
      </c>
      <c r="AA599" s="80">
        <f t="shared" si="5"/>
        <v>0.24809600000000001</v>
      </c>
    </row>
    <row r="600" spans="1:27" ht="14.4" x14ac:dyDescent="0.3">
      <c r="A600" s="56">
        <v>45865</v>
      </c>
      <c r="B600" s="57">
        <v>45869</v>
      </c>
      <c r="C600" s="58" t="s">
        <v>48</v>
      </c>
      <c r="D600" s="58" t="s">
        <v>28</v>
      </c>
      <c r="E600" s="58" t="s">
        <v>233</v>
      </c>
      <c r="F600" s="58" t="s">
        <v>234</v>
      </c>
      <c r="G600" s="58" t="s">
        <v>31</v>
      </c>
      <c r="H600" s="58" t="s">
        <v>223</v>
      </c>
      <c r="I600" s="58" t="s">
        <v>32</v>
      </c>
      <c r="J600" s="58" t="s">
        <v>883</v>
      </c>
      <c r="K600" s="59">
        <v>2</v>
      </c>
      <c r="L600" s="59">
        <v>2</v>
      </c>
      <c r="M600" s="60">
        <v>1</v>
      </c>
      <c r="N600" s="59" t="s">
        <v>282</v>
      </c>
      <c r="O600" s="59" t="s">
        <v>884</v>
      </c>
      <c r="P600" s="59">
        <v>24.95</v>
      </c>
      <c r="Q600" s="60">
        <v>0.26412799999999997</v>
      </c>
      <c r="R600" s="59">
        <v>3.79</v>
      </c>
      <c r="S600" s="59">
        <v>1</v>
      </c>
      <c r="T600" s="59">
        <v>1</v>
      </c>
      <c r="U600" s="60">
        <v>0.5</v>
      </c>
      <c r="V600" s="59">
        <v>1</v>
      </c>
      <c r="W600" s="59">
        <v>0</v>
      </c>
      <c r="X600" s="59" t="s">
        <v>785</v>
      </c>
      <c r="Y600" s="79" t="s">
        <v>36</v>
      </c>
      <c r="Z600" s="64" t="s">
        <v>796</v>
      </c>
      <c r="AA600" s="80">
        <f t="shared" si="5"/>
        <v>0.26412799999999997</v>
      </c>
    </row>
    <row r="601" spans="1:27" ht="14.4" x14ac:dyDescent="0.3">
      <c r="A601" s="56">
        <v>45865</v>
      </c>
      <c r="B601" s="57">
        <v>45865</v>
      </c>
      <c r="C601" s="58" t="s">
        <v>27</v>
      </c>
      <c r="D601" s="58" t="s">
        <v>28</v>
      </c>
      <c r="E601" s="58" t="s">
        <v>29</v>
      </c>
      <c r="F601" s="58" t="s">
        <v>30</v>
      </c>
      <c r="G601" s="58" t="s">
        <v>31</v>
      </c>
      <c r="H601" s="58" t="s">
        <v>30</v>
      </c>
      <c r="I601" s="58" t="s">
        <v>32</v>
      </c>
      <c r="J601" s="58" t="s">
        <v>885</v>
      </c>
      <c r="K601" s="59">
        <v>1</v>
      </c>
      <c r="L601" s="59">
        <v>1</v>
      </c>
      <c r="M601" s="60">
        <v>1</v>
      </c>
      <c r="N601" s="59" t="s">
        <v>540</v>
      </c>
      <c r="O601" s="59" t="s">
        <v>540</v>
      </c>
      <c r="P601" s="59">
        <v>24.94</v>
      </c>
      <c r="Q601" s="60">
        <v>0.16559699999999999</v>
      </c>
      <c r="R601" s="59">
        <v>6.04</v>
      </c>
      <c r="S601" s="59">
        <v>1</v>
      </c>
      <c r="T601" s="59">
        <v>1</v>
      </c>
      <c r="U601" s="65" t="s">
        <v>823</v>
      </c>
      <c r="V601" s="59">
        <v>1</v>
      </c>
      <c r="W601" s="59">
        <v>0</v>
      </c>
      <c r="X601" s="59" t="s">
        <v>35</v>
      </c>
      <c r="Y601" s="79" t="s">
        <v>36</v>
      </c>
      <c r="Z601" s="64" t="s">
        <v>796</v>
      </c>
      <c r="AA601" s="80">
        <f t="shared" si="5"/>
        <v>0.16559699999999999</v>
      </c>
    </row>
  </sheetData>
  <autoFilter ref="A1:AA6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21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12.59765625" defaultRowHeight="15" customHeight="1" x14ac:dyDescent="0.25"/>
  <cols>
    <col min="1" max="1" width="30.69921875" customWidth="1"/>
    <col min="2" max="2" width="13.3984375" customWidth="1"/>
    <col min="3" max="3" width="8.3984375" customWidth="1"/>
    <col min="4" max="4" width="6.5" customWidth="1"/>
    <col min="5" max="5" width="8.19921875" customWidth="1"/>
    <col min="6" max="6" width="7.3984375" customWidth="1"/>
    <col min="7" max="7" width="7.09765625" customWidth="1"/>
    <col min="8" max="8" width="7.8984375" customWidth="1"/>
    <col min="9" max="9" width="6.5" customWidth="1"/>
    <col min="10" max="10" width="8.19921875" customWidth="1"/>
    <col min="11" max="11" width="7.3984375" customWidth="1"/>
    <col min="12" max="33" width="8.09765625" customWidth="1"/>
    <col min="34" max="34" width="5.69921875" customWidth="1"/>
    <col min="35" max="35" width="8.5" customWidth="1"/>
    <col min="36" max="36" width="8.3984375" customWidth="1"/>
    <col min="37" max="37" width="6.5" customWidth="1"/>
    <col min="38" max="38" width="8" customWidth="1"/>
    <col min="39" max="39" width="5.59765625" customWidth="1"/>
    <col min="40" max="40" width="8.5" customWidth="1"/>
    <col min="41" max="41" width="7.8984375" customWidth="1"/>
    <col min="42" max="42" width="6.09765625" customWidth="1"/>
    <col min="43" max="43" width="7.59765625" customWidth="1"/>
    <col min="44" max="44" width="6.09765625" customWidth="1"/>
    <col min="45" max="45" width="8.5" customWidth="1"/>
    <col min="46" max="46" width="8" customWidth="1"/>
    <col min="47" max="47" width="5.69921875" customWidth="1"/>
    <col min="48" max="48" width="6.8984375" customWidth="1"/>
    <col min="49" max="49" width="5.8984375" customWidth="1"/>
    <col min="50" max="50" width="8.5" customWidth="1"/>
    <col min="51" max="51" width="8.3984375" customWidth="1"/>
    <col min="52" max="52" width="6.8984375" customWidth="1"/>
    <col min="53" max="53" width="6.69921875" customWidth="1"/>
    <col min="54" max="54" width="5.59765625" customWidth="1"/>
    <col min="55" max="55" width="8.59765625" customWidth="1"/>
    <col min="56" max="56" width="6.5" customWidth="1"/>
    <col min="57" max="57" width="5.8984375" customWidth="1"/>
    <col min="58" max="58" width="6.8984375" customWidth="1"/>
    <col min="59" max="59" width="5.8984375" customWidth="1"/>
    <col min="60" max="60" width="8.3984375" customWidth="1"/>
    <col min="61" max="61" width="6.69921875" customWidth="1"/>
    <col min="62" max="62" width="6.19921875" customWidth="1"/>
    <col min="63" max="63" width="7" customWidth="1"/>
    <col min="64" max="64" width="5.3984375" customWidth="1"/>
    <col min="65" max="65" width="8" customWidth="1"/>
    <col min="66" max="66" width="7.5" customWidth="1"/>
    <col min="67" max="67" width="6.3984375" customWidth="1"/>
    <col min="68" max="68" width="6.5" customWidth="1"/>
    <col min="69" max="69" width="6.19921875" customWidth="1"/>
    <col min="70" max="70" width="7.59765625" customWidth="1"/>
    <col min="71" max="71" width="7.3984375" customWidth="1"/>
    <col min="72" max="72" width="6" customWidth="1"/>
    <col min="73" max="73" width="7.19921875" customWidth="1"/>
    <col min="74" max="74" width="6.09765625" customWidth="1"/>
    <col min="75" max="75" width="8.19921875" customWidth="1"/>
    <col min="76" max="76" width="7.5" customWidth="1"/>
    <col min="77" max="77" width="6.3984375" customWidth="1"/>
    <col min="78" max="78" width="7.69921875" customWidth="1"/>
    <col min="79" max="79" width="5.3984375" customWidth="1"/>
    <col min="80" max="81" width="8.3984375" customWidth="1"/>
    <col min="82" max="82" width="6.09765625" customWidth="1"/>
  </cols>
  <sheetData>
    <row r="1" spans="1:82" ht="14.25" customHeight="1" x14ac:dyDescent="0.35">
      <c r="A1" s="86"/>
      <c r="B1" s="87" t="s">
        <v>886</v>
      </c>
      <c r="C1" s="226" t="s">
        <v>887</v>
      </c>
      <c r="D1" s="227"/>
      <c r="E1" s="227"/>
      <c r="F1" s="227"/>
      <c r="G1" s="228"/>
      <c r="H1" s="229" t="s">
        <v>888</v>
      </c>
      <c r="I1" s="227"/>
      <c r="J1" s="227"/>
      <c r="K1" s="227"/>
      <c r="L1" s="228"/>
      <c r="M1" s="230" t="s">
        <v>889</v>
      </c>
      <c r="N1" s="231"/>
      <c r="O1" s="231"/>
      <c r="P1" s="231"/>
      <c r="Q1" s="232"/>
      <c r="R1" s="233" t="s">
        <v>890</v>
      </c>
      <c r="S1" s="231"/>
      <c r="T1" s="231"/>
      <c r="U1" s="231"/>
      <c r="V1" s="232"/>
      <c r="W1" s="234" t="s">
        <v>891</v>
      </c>
      <c r="X1" s="231"/>
      <c r="Y1" s="231"/>
      <c r="Z1" s="231"/>
      <c r="AA1" s="232"/>
      <c r="AB1" s="235" t="s">
        <v>892</v>
      </c>
      <c r="AC1" s="231"/>
      <c r="AD1" s="231"/>
      <c r="AE1" s="231"/>
      <c r="AF1" s="232"/>
      <c r="AG1" s="233" t="s">
        <v>893</v>
      </c>
      <c r="AH1" s="231"/>
      <c r="AI1" s="231"/>
      <c r="AJ1" s="231"/>
      <c r="AK1" s="232"/>
      <c r="AL1" s="240" t="s">
        <v>894</v>
      </c>
      <c r="AM1" s="231"/>
      <c r="AN1" s="231"/>
      <c r="AO1" s="231"/>
      <c r="AP1" s="232"/>
      <c r="AQ1" s="241" t="s">
        <v>895</v>
      </c>
      <c r="AR1" s="237"/>
      <c r="AS1" s="237"/>
      <c r="AT1" s="237"/>
      <c r="AU1" s="238"/>
      <c r="AV1" s="242" t="s">
        <v>896</v>
      </c>
      <c r="AW1" s="237"/>
      <c r="AX1" s="237"/>
      <c r="AY1" s="237"/>
      <c r="AZ1" s="238"/>
      <c r="BA1" s="243" t="s">
        <v>897</v>
      </c>
      <c r="BB1" s="237"/>
      <c r="BC1" s="237"/>
      <c r="BD1" s="237"/>
      <c r="BE1" s="238"/>
      <c r="BF1" s="241" t="s">
        <v>898</v>
      </c>
      <c r="BG1" s="237"/>
      <c r="BH1" s="237"/>
      <c r="BI1" s="237"/>
      <c r="BJ1" s="238"/>
      <c r="BK1" s="244" t="s">
        <v>899</v>
      </c>
      <c r="BL1" s="237"/>
      <c r="BM1" s="237"/>
      <c r="BN1" s="237"/>
      <c r="BO1" s="238"/>
      <c r="BP1" s="245" t="s">
        <v>900</v>
      </c>
      <c r="BQ1" s="237"/>
      <c r="BR1" s="237"/>
      <c r="BS1" s="237"/>
      <c r="BT1" s="238"/>
      <c r="BU1" s="236" t="s">
        <v>901</v>
      </c>
      <c r="BV1" s="237"/>
      <c r="BW1" s="237"/>
      <c r="BX1" s="237"/>
      <c r="BY1" s="238"/>
      <c r="BZ1" s="239" t="s">
        <v>902</v>
      </c>
      <c r="CA1" s="237"/>
      <c r="CB1" s="237"/>
      <c r="CC1" s="237"/>
      <c r="CD1" s="238"/>
    </row>
    <row r="2" spans="1:82" ht="14.25" customHeight="1" x14ac:dyDescent="0.3">
      <c r="A2" s="88" t="s">
        <v>9</v>
      </c>
      <c r="B2" s="89" t="s">
        <v>903</v>
      </c>
      <c r="C2" s="90" t="s">
        <v>11</v>
      </c>
      <c r="D2" s="90" t="s">
        <v>904</v>
      </c>
      <c r="E2" s="90" t="s">
        <v>14</v>
      </c>
      <c r="F2" s="90" t="s">
        <v>905</v>
      </c>
      <c r="G2" s="90" t="s">
        <v>26</v>
      </c>
      <c r="H2" s="91" t="s">
        <v>11</v>
      </c>
      <c r="I2" s="91" t="s">
        <v>904</v>
      </c>
      <c r="J2" s="91" t="s">
        <v>14</v>
      </c>
      <c r="K2" s="91" t="s">
        <v>905</v>
      </c>
      <c r="L2" s="91" t="s">
        <v>26</v>
      </c>
      <c r="M2" s="92" t="s">
        <v>11</v>
      </c>
      <c r="N2" s="92" t="s">
        <v>904</v>
      </c>
      <c r="O2" s="92" t="s">
        <v>14</v>
      </c>
      <c r="P2" s="92" t="s">
        <v>905</v>
      </c>
      <c r="Q2" s="92" t="s">
        <v>26</v>
      </c>
      <c r="R2" s="93" t="s">
        <v>11</v>
      </c>
      <c r="S2" s="93" t="s">
        <v>904</v>
      </c>
      <c r="T2" s="93" t="s">
        <v>14</v>
      </c>
      <c r="U2" s="93" t="s">
        <v>905</v>
      </c>
      <c r="V2" s="93" t="s">
        <v>26</v>
      </c>
      <c r="W2" s="90" t="s">
        <v>11</v>
      </c>
      <c r="X2" s="90" t="s">
        <v>904</v>
      </c>
      <c r="Y2" s="90" t="s">
        <v>14</v>
      </c>
      <c r="Z2" s="90" t="s">
        <v>905</v>
      </c>
      <c r="AA2" s="90" t="s">
        <v>26</v>
      </c>
      <c r="AB2" s="94" t="s">
        <v>11</v>
      </c>
      <c r="AC2" s="94" t="s">
        <v>904</v>
      </c>
      <c r="AD2" s="94" t="s">
        <v>14</v>
      </c>
      <c r="AE2" s="94" t="s">
        <v>905</v>
      </c>
      <c r="AF2" s="94" t="s">
        <v>26</v>
      </c>
      <c r="AG2" s="93" t="s">
        <v>11</v>
      </c>
      <c r="AH2" s="93" t="s">
        <v>904</v>
      </c>
      <c r="AI2" s="93" t="s">
        <v>14</v>
      </c>
      <c r="AJ2" s="93" t="s">
        <v>905</v>
      </c>
      <c r="AK2" s="93" t="s">
        <v>26</v>
      </c>
      <c r="AL2" s="95" t="s">
        <v>11</v>
      </c>
      <c r="AM2" s="95" t="s">
        <v>904</v>
      </c>
      <c r="AN2" s="96" t="s">
        <v>14</v>
      </c>
      <c r="AO2" s="96" t="s">
        <v>905</v>
      </c>
      <c r="AP2" s="97" t="s">
        <v>26</v>
      </c>
      <c r="AQ2" s="98" t="s">
        <v>11</v>
      </c>
      <c r="AR2" s="98" t="s">
        <v>904</v>
      </c>
      <c r="AS2" s="99" t="s">
        <v>14</v>
      </c>
      <c r="AT2" s="99" t="s">
        <v>905</v>
      </c>
      <c r="AU2" s="100" t="s">
        <v>26</v>
      </c>
      <c r="AV2" s="101" t="s">
        <v>11</v>
      </c>
      <c r="AW2" s="101" t="s">
        <v>904</v>
      </c>
      <c r="AX2" s="102" t="s">
        <v>14</v>
      </c>
      <c r="AY2" s="102" t="s">
        <v>905</v>
      </c>
      <c r="AZ2" s="103" t="s">
        <v>26</v>
      </c>
      <c r="BA2" s="104" t="s">
        <v>11</v>
      </c>
      <c r="BB2" s="104" t="s">
        <v>904</v>
      </c>
      <c r="BC2" s="105" t="s">
        <v>14</v>
      </c>
      <c r="BD2" s="105" t="s">
        <v>905</v>
      </c>
      <c r="BE2" s="106" t="s">
        <v>26</v>
      </c>
      <c r="BF2" s="98" t="s">
        <v>11</v>
      </c>
      <c r="BG2" s="98" t="s">
        <v>904</v>
      </c>
      <c r="BH2" s="99" t="s">
        <v>14</v>
      </c>
      <c r="BI2" s="99" t="s">
        <v>905</v>
      </c>
      <c r="BJ2" s="100" t="s">
        <v>26</v>
      </c>
      <c r="BK2" s="107" t="s">
        <v>11</v>
      </c>
      <c r="BL2" s="107" t="s">
        <v>904</v>
      </c>
      <c r="BM2" s="108" t="s">
        <v>14</v>
      </c>
      <c r="BN2" s="108" t="s">
        <v>905</v>
      </c>
      <c r="BO2" s="109" t="s">
        <v>26</v>
      </c>
      <c r="BP2" s="110" t="s">
        <v>11</v>
      </c>
      <c r="BQ2" s="110" t="s">
        <v>904</v>
      </c>
      <c r="BR2" s="111" t="s">
        <v>14</v>
      </c>
      <c r="BS2" s="111" t="s">
        <v>905</v>
      </c>
      <c r="BT2" s="112" t="s">
        <v>26</v>
      </c>
      <c r="BU2" s="113" t="s">
        <v>11</v>
      </c>
      <c r="BV2" s="113" t="s">
        <v>904</v>
      </c>
      <c r="BW2" s="114" t="s">
        <v>14</v>
      </c>
      <c r="BX2" s="114" t="s">
        <v>905</v>
      </c>
      <c r="BY2" s="115" t="s">
        <v>26</v>
      </c>
      <c r="BZ2" s="116" t="s">
        <v>11</v>
      </c>
      <c r="CA2" s="116" t="s">
        <v>904</v>
      </c>
      <c r="CB2" s="117" t="s">
        <v>14</v>
      </c>
      <c r="CC2" s="117" t="s">
        <v>905</v>
      </c>
      <c r="CD2" s="118" t="s">
        <v>26</v>
      </c>
    </row>
    <row r="3" spans="1:82" ht="14.25" customHeight="1" x14ac:dyDescent="0.3">
      <c r="A3" s="119" t="s">
        <v>119</v>
      </c>
      <c r="B3" s="120" t="str">
        <f>IF(
    (E3+J3+O3+T3+Y3)=0,
    "NO TRAFFIC",
    IF(
        (F3+K3+P3+U3+Z3)=0,
        "CLICKS NO SALES",
        IF(
            ((E3+J3+O3+T3+Y3)/(F3+K3+P3+U3+Z3)*100)&lt;=35,
            "WINNER",
            "HIGH ACOS"
        )
    )
)</f>
        <v>HIGH ACOS</v>
      </c>
      <c r="C3" s="121">
        <f>SUMIFS('9NovTo15Nov'!$L:$L, '9NovTo15Nov'!$J:$J, $A3)</f>
        <v>46</v>
      </c>
      <c r="D3" s="121">
        <f>SUMIFS('9NovTo15Nov'!$K:$K, '9NovTo15Nov'!$J:$J, $A3)</f>
        <v>1193</v>
      </c>
      <c r="E3" s="121">
        <f>SUMIFS('9NovTo15Nov'!$O:$O, '9NovTo15Nov'!$J:$J, $A3)</f>
        <v>142.49</v>
      </c>
      <c r="F3" s="121">
        <f>SUMIFS('9NovTo15Nov'!$P:$P, '9NovTo15Nov'!$J:$J, $A3)</f>
        <v>174.58</v>
      </c>
      <c r="G3" s="122">
        <f t="shared" ref="G3:G218" si="0">IF(F3=0, 0, E3/F3*100)</f>
        <v>81.618742123954632</v>
      </c>
      <c r="H3" s="121">
        <f>SUMIFS('2NovTo8Nov'!$L:$L, '2NovTo8Nov'!$J:$J, $A3)</f>
        <v>52</v>
      </c>
      <c r="I3" s="121">
        <f>SUMIFS('2NovTo8Nov'!$K:$K, '2NovTo8Nov'!$J:$J, $A3)</f>
        <v>1957</v>
      </c>
      <c r="J3" s="121">
        <f>SUMIFS('2NovTo8Nov'!$O:$O, '2NovTo8Nov'!$J:$J, $A3)</f>
        <v>156.44999999999999</v>
      </c>
      <c r="K3" s="121">
        <f>SUMIFS('2NovTo8Nov'!$P:$P, '2NovTo8Nov'!$J:$J, $A3)</f>
        <v>324.22000000000003</v>
      </c>
      <c r="L3" s="122">
        <f t="shared" ref="L3:L218" si="1">IF(K3=0, 0, J3/K3*100)</f>
        <v>48.254271790759354</v>
      </c>
      <c r="M3" s="121">
        <f>SUMIFS('26OctTo1Nov'!$L:$L, '26OctTo1Nov'!$J:$J, $A3)</f>
        <v>67</v>
      </c>
      <c r="N3" s="121">
        <f>SUMIFS('26OctTo1Nov'!$K:$K, '26OctTo1Nov'!$J:$J, $A3)</f>
        <v>2725</v>
      </c>
      <c r="O3" s="121">
        <f>SUMIFS('26OctTo1Nov'!$O:$O, '26OctTo1Nov'!$J:$J, $A3)</f>
        <v>208.67000000000002</v>
      </c>
      <c r="P3" s="121">
        <f>SUMIFS('26OctTo1Nov'!$P:$P, '26OctTo1Nov'!$J:$J, $A3)</f>
        <v>498.8</v>
      </c>
      <c r="Q3" s="122">
        <f t="shared" ref="Q3:Q218" si="2">IF(P3=0, 0, O3/P3*100)</f>
        <v>41.834402566158786</v>
      </c>
      <c r="R3" s="121">
        <f>SUMIFS('19OctTo25Oct'!$L:$L, '19OctTo25Oct'!$J:$J, $A3)</f>
        <v>53</v>
      </c>
      <c r="S3" s="121">
        <f>SUMIFS('19OctTo25Oct'!$K:$K, '19OctTo25Oct'!$J:$J, $A3)</f>
        <v>4522</v>
      </c>
      <c r="T3" s="121">
        <f>SUMIFS('19OctTo25Oct'!$O:$O, '19OctTo25Oct'!$J:$J, $A3)</f>
        <v>191.67000000000002</v>
      </c>
      <c r="U3" s="121">
        <f>SUMIFS('19OctTo25Oct'!$P:$P, '19OctTo25Oct'!$J:$J, $A3)</f>
        <v>199.52</v>
      </c>
      <c r="V3" s="122">
        <f t="shared" ref="V3:V218" si="3">IF(U3=0, 0, T3/U3*100)</f>
        <v>96.065557337610258</v>
      </c>
      <c r="W3" s="121">
        <f>SUMIFS('12OctTo18Oct'!$L:$L, '12OctTo18Oct'!$J:$J, $A3)</f>
        <v>71</v>
      </c>
      <c r="X3" s="121">
        <f>SUMIFS('12OctTo18Oct'!$K:$K, '12OctTo18Oct'!$J:$J, $A3)</f>
        <v>4225</v>
      </c>
      <c r="Y3" s="121">
        <f>SUMIFS('12OctTo18Oct'!$O:$O, '12OctTo18Oct'!$J:$J, $A3)</f>
        <v>209.71</v>
      </c>
      <c r="Z3" s="121">
        <f>SUMIFS('12OctTo18Oct'!$P:$P, '12OctTo18Oct'!$J:$J, $A3)</f>
        <v>299.28000000000003</v>
      </c>
      <c r="AA3" s="122">
        <f t="shared" ref="AA3:AA218" si="4">IF(Z3=0, 0, Y3/Z3*100)</f>
        <v>70.071504945201809</v>
      </c>
      <c r="AB3" s="121">
        <f>SUMIFS('5OctTo11Oct'!$L:$L, '5OctTo11Oct'!$J:$J, $A3)</f>
        <v>62</v>
      </c>
      <c r="AC3" s="121">
        <f>SUMIFS('5OctTo11Oct'!$K:$K, '5OctTo11Oct'!$J:$J, $A3)</f>
        <v>3370</v>
      </c>
      <c r="AD3" s="121">
        <f>SUMIFS('5OctTo11Oct'!$O:$O, '5OctTo11Oct'!$J:$J, $A3)</f>
        <v>194.76999999999998</v>
      </c>
      <c r="AE3" s="121">
        <f>SUMIFS('5OctTo11Oct'!$P:$P, '5OctTo11Oct'!$J:$J, $A3)</f>
        <v>244.39999999999998</v>
      </c>
      <c r="AF3" s="123">
        <f t="shared" ref="AF3:AF218" si="5">IF(AE3=0, 0, AD3/AE3*100)</f>
        <v>79.693126022913248</v>
      </c>
      <c r="AG3" s="121">
        <f>SUMIFS('28SepTo4Oct'!$L:$L, '28SepTo4Oct'!$J:$J, $A3)</f>
        <v>55</v>
      </c>
      <c r="AH3" s="121">
        <f>SUMIFS('28SepTo4Oct'!$K:$K, '28SepTo4Oct'!$J:$J, $A3)</f>
        <v>5597</v>
      </c>
      <c r="AI3" s="121">
        <f>SUMIFS('28SepTo4Oct'!$O:$O, '28SepTo4Oct'!$J:$J, $A3)</f>
        <v>179.96</v>
      </c>
      <c r="AJ3" s="121">
        <f>SUMIFS('28SepTo4Oct'!$P:$P, '28SepTo4Oct'!$J:$J, $A3)</f>
        <v>189.64</v>
      </c>
      <c r="AK3" s="123">
        <f t="shared" ref="AK3:AK218" si="6">IF(AJ3=0, 0, AI3/AJ3*100)</f>
        <v>94.895591647331798</v>
      </c>
      <c r="AL3" s="121">
        <f>SUMIFS('21SepTo27Sep'!$L:$L, '21SepTo27Sep'!$J:$J, $A3)</f>
        <v>58</v>
      </c>
      <c r="AM3" s="121">
        <f>SUMIFS('21SepTo27Sep'!$K:$K, '21SepTo27Sep'!$J:$J, $A3)</f>
        <v>4915</v>
      </c>
      <c r="AN3" s="121">
        <f>SUMIFS('21SepTo27Sep'!$O:$O, '21SepTo27Sep'!$J:$J, $A3)</f>
        <v>180.03</v>
      </c>
      <c r="AO3" s="121">
        <f>SUMIFS('21SepTo27Sep'!$P:$P, '21SepTo27Sep'!$J:$J, $A3)</f>
        <v>122.25999999999999</v>
      </c>
      <c r="AP3" s="123">
        <f t="shared" ref="AP3:AP218" si="7">IF(AO3=0, 0, AN3/AO3*100)</f>
        <v>147.25175854735809</v>
      </c>
      <c r="AQ3" s="121">
        <f>SUMIFS('14SepTo20Sep'!$L:$L, '14SepTo20Sep'!$J:$J, $A3)</f>
        <v>75</v>
      </c>
      <c r="AR3" s="121">
        <f>SUMIFS('14SepTo20Sep'!$K:$K, '14SepTo20Sep'!$J:$J, $A3)</f>
        <v>5195</v>
      </c>
      <c r="AS3" s="121">
        <f>SUMIFS('14SepTo20Sep'!$O:$O, '14SepTo20Sep'!$J:$J, $A3)</f>
        <v>239.51</v>
      </c>
      <c r="AT3" s="121">
        <f>SUMIFS('14SepTo20Sep'!$P:$P, '14SepTo20Sep'!$J:$J, $A3)</f>
        <v>199.52</v>
      </c>
      <c r="AU3" s="123">
        <f t="shared" ref="AU3:AU218" si="8">IF(AT3=0, 0, AS3/AT3*100)</f>
        <v>120.04310344827584</v>
      </c>
      <c r="AV3" s="121">
        <f>SUMIFS('7SepTo13Sep'!$L:$L, '7SepTo13Sep'!$J:$J, $A3)</f>
        <v>66</v>
      </c>
      <c r="AW3" s="121">
        <f>SUMIFS('7SepTo13Sep'!$K:$K, '7SepTo13Sep'!$J:$J, $A3)</f>
        <v>5173</v>
      </c>
      <c r="AX3" s="121">
        <f>SUMIFS('7SepTo13Sep'!$O:$O, '7SepTo13Sep'!$J:$J, $A3)</f>
        <v>194.16</v>
      </c>
      <c r="AY3" s="121">
        <f>SUMIFS('7SepTo13Sep'!$P:$P, '7SepTo13Sep'!$J:$J, $A3)</f>
        <v>374.1</v>
      </c>
      <c r="AZ3" s="123">
        <f t="shared" ref="AZ3:AZ218" si="9">IF(AY3=0, 0, AX3/AY3*100)</f>
        <v>51.900561347233356</v>
      </c>
      <c r="BA3" s="121">
        <f>SUMIFS('31AugTo6Sep'!$L:$L, '31AugTo6Sep'!$J:$J, $A3)</f>
        <v>76</v>
      </c>
      <c r="BB3" s="121">
        <f>SUMIFS('31AugTo6Sep'!$K:$K, '31AugTo6Sep'!$J:$J, $A3)</f>
        <v>4656</v>
      </c>
      <c r="BC3" s="121">
        <f>SUMIFS('31AugTo6Sep'!$O:$O, '31AugTo6Sep'!$J:$J, $A3)</f>
        <v>209.44</v>
      </c>
      <c r="BD3" s="121">
        <f>SUMIFS('31AugTo6Sep'!$P:$P, '31AugTo6Sep'!$J:$J, $A3)</f>
        <v>361.78</v>
      </c>
      <c r="BE3" s="123">
        <f t="shared" ref="BE3:BE218" si="10">IF(BD3=0, 0, BC3/BD3*100)</f>
        <v>57.891536292774617</v>
      </c>
      <c r="BF3" s="121">
        <f>SUMIFS('24AugTo29Aug'!$L:$L, '24AugTo29Aug'!$J:$J, $A3)</f>
        <v>24</v>
      </c>
      <c r="BG3" s="121">
        <f>SUMIFS('24AugTo29Aug'!$K:$K, '24AugTo29Aug'!$J:$J, $A3)</f>
        <v>1930</v>
      </c>
      <c r="BH3" s="121">
        <f>SUMIFS('24AugTo29Aug'!$O:$O, '24AugTo29Aug'!$J:$J, $A3)</f>
        <v>70.94</v>
      </c>
      <c r="BI3" s="121">
        <f>SUMIFS('24AugTo29Aug'!$P:$P, '24AugTo29Aug'!$J:$J, $A3)</f>
        <v>99.76</v>
      </c>
      <c r="BJ3" s="123">
        <f t="shared" ref="BJ3:BJ218" si="11">IF(BI3=0, 0, BH3/BI3*100)</f>
        <v>71.110665597433837</v>
      </c>
      <c r="BK3" s="121">
        <f>SUMIFS('17AugTo21Aug'!$L:$L, '17AugTo21Aug'!$J:$J, $A3)</f>
        <v>48</v>
      </c>
      <c r="BL3" s="121">
        <f>SUMIFS('17AugTo21Aug'!$K:$K, '17AugTo21Aug'!$J:$J, $A3)</f>
        <v>3821</v>
      </c>
      <c r="BM3" s="121">
        <f>SUMIFS('17AugTo21Aug'!$O:$O, '17AugTo21Aug'!$J:$J, $A3)</f>
        <v>126.89999999999999</v>
      </c>
      <c r="BN3" s="121">
        <f>SUMIFS('17AugTo21Aug'!$P:$P, '17AugTo21Aug'!$J:$J, $A3)</f>
        <v>149.64000000000001</v>
      </c>
      <c r="BO3" s="123">
        <f t="shared" ref="BO3:BO218" si="12">IF(BN3=0, 0, BM3/BN3*100)</f>
        <v>84.803528468323961</v>
      </c>
      <c r="BP3" s="121">
        <f>SUMIFS('10AugTo16Aug'!$L:$L, '10AugTo16Aug'!$J:$J, $A3)</f>
        <v>107</v>
      </c>
      <c r="BQ3" s="121">
        <f>SUMIFS('10AugTo16Aug'!$K:$K, '10AugTo16Aug'!$J:$J, $A3)</f>
        <v>6034</v>
      </c>
      <c r="BR3" s="121">
        <f>SUMIFS('10AugTo16Aug'!$O:$O, '10AugTo16Aug'!$J:$J, $A3)</f>
        <v>265.68</v>
      </c>
      <c r="BS3" s="121">
        <f>SUMIFS('10AugTo16Aug'!$P:$P, '10AugTo16Aug'!$J:$J, $A3)</f>
        <v>374.1</v>
      </c>
      <c r="BT3" s="123">
        <f t="shared" ref="BT3:BT218" si="13">IF(BS3=0, 0, BR3/BS3*100)</f>
        <v>71.018444266238973</v>
      </c>
      <c r="BU3" s="121">
        <f>SUMIFS('3AugTo9Aug'!$L:$L, '3AugTo9Aug'!$J:$J, $A3)</f>
        <v>94</v>
      </c>
      <c r="BV3" s="121">
        <f>SUMIFS('3AugTo9Aug'!$K:$K, '3AugTo9Aug'!$J:$J, $A3)</f>
        <v>8313</v>
      </c>
      <c r="BW3" s="121">
        <f>SUMIFS('3AugTo9Aug'!$O:$O, '3AugTo9Aug'!$J:$J, $A3)</f>
        <v>238.01</v>
      </c>
      <c r="BX3" s="121">
        <f>SUMIFS('3AugTo9Aug'!$P:$P, '3AugTo9Aug'!$J:$J, $A3)</f>
        <v>448.91999999999996</v>
      </c>
      <c r="BY3" s="123">
        <f t="shared" ref="BY3:BY218" si="14">IF(BX3=0, 0, BW3/BX3*100)</f>
        <v>53.018355163503529</v>
      </c>
      <c r="BZ3" s="121">
        <f>SUMIFS('27JulyTo2Aug'!$L:$L, '27JulyTo2Aug'!$J:$J, $A3)</f>
        <v>72</v>
      </c>
      <c r="CA3" s="121">
        <f>SUMIFS('27JulyTo2Aug'!$K:$K, '27JulyTo2Aug'!$J:$J, $A3)</f>
        <v>4617</v>
      </c>
      <c r="CB3" s="121">
        <f>SUMIFS('27JulyTo2Aug'!$O:$O, '27JulyTo2Aug'!$J:$J, $A3)</f>
        <v>175.8</v>
      </c>
      <c r="CC3" s="121">
        <f>SUMIFS('27JulyTo2Aug'!$P:$P, '27JulyTo2Aug'!$J:$J, $A3)</f>
        <v>296.84000000000003</v>
      </c>
      <c r="CD3" s="123">
        <f t="shared" ref="CD3:CD218" si="15">IF(CC3=0, 0, CB3/CC3*100)</f>
        <v>59.223824282441718</v>
      </c>
    </row>
    <row r="4" spans="1:82" ht="14.25" customHeight="1" x14ac:dyDescent="0.3">
      <c r="A4" s="119" t="s">
        <v>43</v>
      </c>
      <c r="B4" s="120" t="str">
        <f t="shared" ref="B4:B67" si="16">IF(
    (E4+J4+O4+T4+Y4)=0,
    "NO TRAFFIC",
    IF(
        (F4+K4+P4+U4+Z4)=0,
        "CLICKS NO SALES",
        IF(
            ((E4+J4+O4+T4+Y4)/(F4+K4+P4+U4+Z4)*100)&lt;=35,
            "WINNER",
            "HIGH ACOS"
        )
    )
)</f>
        <v>HIGH ACOS</v>
      </c>
      <c r="C4" s="121">
        <f>SUMIFS('9NovTo15Nov'!$L:$L, '9NovTo15Nov'!$J:$J, $A4)</f>
        <v>5</v>
      </c>
      <c r="D4" s="121">
        <f>SUMIFS('9NovTo15Nov'!$K:$K, '9NovTo15Nov'!$J:$J, $A4)</f>
        <v>89</v>
      </c>
      <c r="E4" s="121">
        <f>SUMIFS('9NovTo15Nov'!$O:$O, '9NovTo15Nov'!$J:$J, $A4)</f>
        <v>18.25</v>
      </c>
      <c r="F4" s="121">
        <f>SUMIFS('9NovTo15Nov'!$P:$P, '9NovTo15Nov'!$J:$J, $A4)</f>
        <v>24.94</v>
      </c>
      <c r="G4" s="122">
        <f t="shared" si="0"/>
        <v>73.17562149157979</v>
      </c>
      <c r="H4" s="121">
        <f>SUMIFS('2NovTo8Nov'!$L:$L, '2NovTo8Nov'!$J:$J, $A4)</f>
        <v>11</v>
      </c>
      <c r="I4" s="121">
        <f>SUMIFS('2NovTo8Nov'!$K:$K, '2NovTo8Nov'!$J:$J, $A4)</f>
        <v>129</v>
      </c>
      <c r="J4" s="121">
        <f>SUMIFS('2NovTo8Nov'!$O:$O, '2NovTo8Nov'!$J:$J, $A4)</f>
        <v>34.200000000000003</v>
      </c>
      <c r="K4" s="121">
        <f>SUMIFS('2NovTo8Nov'!$P:$P, '2NovTo8Nov'!$J:$J, $A4)</f>
        <v>74.820000000000007</v>
      </c>
      <c r="L4" s="122">
        <f t="shared" si="1"/>
        <v>45.709703287890932</v>
      </c>
      <c r="M4" s="121">
        <f>SUMIFS('26OctTo1Nov'!$L:$L, '26OctTo1Nov'!$J:$J, $A4)</f>
        <v>21</v>
      </c>
      <c r="N4" s="121">
        <f>SUMIFS('26OctTo1Nov'!$K:$K, '26OctTo1Nov'!$J:$J, $A4)</f>
        <v>201</v>
      </c>
      <c r="O4" s="121">
        <f>SUMIFS('26OctTo1Nov'!$O:$O, '26OctTo1Nov'!$J:$J, $A4)</f>
        <v>72.44</v>
      </c>
      <c r="P4" s="121">
        <f>SUMIFS('26OctTo1Nov'!$P:$P, '26OctTo1Nov'!$J:$J, $A4)</f>
        <v>124.69999999999999</v>
      </c>
      <c r="Q4" s="122">
        <f t="shared" si="2"/>
        <v>58.091419406575781</v>
      </c>
      <c r="R4" s="121">
        <f>SUMIFS('19OctTo25Oct'!$L:$L, '19OctTo25Oct'!$J:$J, $A4)</f>
        <v>13</v>
      </c>
      <c r="S4" s="121">
        <f>SUMIFS('19OctTo25Oct'!$K:$K, '19OctTo25Oct'!$J:$J, $A4)</f>
        <v>193</v>
      </c>
      <c r="T4" s="121">
        <f>SUMIFS('19OctTo25Oct'!$O:$O, '19OctTo25Oct'!$J:$J, $A4)</f>
        <v>40.01</v>
      </c>
      <c r="U4" s="121">
        <f>SUMIFS('19OctTo25Oct'!$P:$P, '19OctTo25Oct'!$J:$J, $A4)</f>
        <v>74.819999999999993</v>
      </c>
      <c r="V4" s="122">
        <f t="shared" si="3"/>
        <v>53.475006682705164</v>
      </c>
      <c r="W4" s="121">
        <f>SUMIFS('12OctTo18Oct'!$L:$L, '12OctTo18Oct'!$J:$J, $A4)</f>
        <v>15</v>
      </c>
      <c r="X4" s="121">
        <f>SUMIFS('12OctTo18Oct'!$K:$K, '12OctTo18Oct'!$J:$J, $A4)</f>
        <v>344</v>
      </c>
      <c r="Y4" s="121">
        <f>SUMIFS('12OctTo18Oct'!$O:$O, '12OctTo18Oct'!$J:$J, $A4)</f>
        <v>42.66</v>
      </c>
      <c r="Z4" s="121">
        <f>SUMIFS('12OctTo18Oct'!$P:$P, '12OctTo18Oct'!$J:$J, $A4)</f>
        <v>99.76</v>
      </c>
      <c r="AA4" s="122">
        <f t="shared" si="4"/>
        <v>42.762630312750595</v>
      </c>
      <c r="AB4" s="121">
        <f>SUMIFS('5OctTo11Oct'!$L:$L, '5OctTo11Oct'!$J:$J, $A4)</f>
        <v>17</v>
      </c>
      <c r="AC4" s="121">
        <f>SUMIFS('5OctTo11Oct'!$K:$K, '5OctTo11Oct'!$J:$J, $A4)</f>
        <v>416</v>
      </c>
      <c r="AD4" s="121">
        <f>SUMIFS('5OctTo11Oct'!$O:$O, '5OctTo11Oct'!$J:$J, $A4)</f>
        <v>50.49</v>
      </c>
      <c r="AE4" s="121">
        <f>SUMIFS('5OctTo11Oct'!$P:$P, '5OctTo11Oct'!$J:$J, $A4)</f>
        <v>124.69999999999999</v>
      </c>
      <c r="AF4" s="123">
        <f t="shared" si="5"/>
        <v>40.489174017642348</v>
      </c>
      <c r="AG4" s="121">
        <f>SUMIFS('28SepTo4Oct'!$L:$L, '28SepTo4Oct'!$J:$J, $A4)</f>
        <v>14</v>
      </c>
      <c r="AH4" s="121">
        <f>SUMIFS('28SepTo4Oct'!$K:$K, '28SepTo4Oct'!$J:$J, $A4)</f>
        <v>335</v>
      </c>
      <c r="AI4" s="121">
        <f>SUMIFS('28SepTo4Oct'!$O:$O, '28SepTo4Oct'!$J:$J, $A4)</f>
        <v>44.19</v>
      </c>
      <c r="AJ4" s="121">
        <f>SUMIFS('28SepTo4Oct'!$P:$P, '28SepTo4Oct'!$J:$J, $A4)</f>
        <v>74.820000000000007</v>
      </c>
      <c r="AK4" s="123">
        <f t="shared" si="6"/>
        <v>59.061748195669594</v>
      </c>
      <c r="AL4" s="121">
        <f>SUMIFS('21SepTo27Sep'!$L:$L, '21SepTo27Sep'!$J:$J, $A4)</f>
        <v>21</v>
      </c>
      <c r="AM4" s="121">
        <f>SUMIFS('21SepTo27Sep'!$K:$K, '21SepTo27Sep'!$J:$J, $A4)</f>
        <v>603</v>
      </c>
      <c r="AN4" s="121">
        <f>SUMIFS('21SepTo27Sep'!$O:$O, '21SepTo27Sep'!$J:$J, $A4)</f>
        <v>61.69</v>
      </c>
      <c r="AO4" s="121">
        <f>SUMIFS('21SepTo27Sep'!$P:$P, '21SepTo27Sep'!$J:$J, $A4)</f>
        <v>172.14000000000001</v>
      </c>
      <c r="AP4" s="123">
        <f t="shared" si="7"/>
        <v>35.837109329615423</v>
      </c>
      <c r="AQ4" s="121">
        <f>SUMIFS('14SepTo20Sep'!$L:$L, '14SepTo20Sep'!$J:$J, $A4)</f>
        <v>12</v>
      </c>
      <c r="AR4" s="121">
        <f>SUMIFS('14SepTo20Sep'!$K:$K, '14SepTo20Sep'!$J:$J, $A4)</f>
        <v>102</v>
      </c>
      <c r="AS4" s="121">
        <f>SUMIFS('14SepTo20Sep'!$O:$O, '14SepTo20Sep'!$J:$J, $A4)</f>
        <v>38.549999999999997</v>
      </c>
      <c r="AT4" s="121">
        <f>SUMIFS('14SepTo20Sep'!$P:$P, '14SepTo20Sep'!$J:$J, $A4)</f>
        <v>24.94</v>
      </c>
      <c r="AU4" s="123">
        <f t="shared" si="8"/>
        <v>154.57097032878909</v>
      </c>
      <c r="AV4" s="121">
        <f>SUMIFS('7SepTo13Sep'!$L:$L, '7SepTo13Sep'!$J:$J, $A4)</f>
        <v>16</v>
      </c>
      <c r="AW4" s="121">
        <f>SUMIFS('7SepTo13Sep'!$K:$K, '7SepTo13Sep'!$J:$J, $A4)</f>
        <v>241</v>
      </c>
      <c r="AX4" s="121">
        <f>SUMIFS('7SepTo13Sep'!$O:$O, '7SepTo13Sep'!$J:$J, $A4)</f>
        <v>54.510000000000005</v>
      </c>
      <c r="AY4" s="121">
        <f>SUMIFS('7SepTo13Sep'!$P:$P, '7SepTo13Sep'!$J:$J, $A4)</f>
        <v>174.58</v>
      </c>
      <c r="AZ4" s="123">
        <f t="shared" si="9"/>
        <v>31.223507847405202</v>
      </c>
      <c r="BA4" s="121">
        <f>SUMIFS('31AugTo6Sep'!$L:$L, '31AugTo6Sep'!$J:$J, $A4)</f>
        <v>2</v>
      </c>
      <c r="BB4" s="121">
        <f>SUMIFS('31AugTo6Sep'!$K:$K, '31AugTo6Sep'!$J:$J, $A4)</f>
        <v>6</v>
      </c>
      <c r="BC4" s="121">
        <f>SUMIFS('31AugTo6Sep'!$O:$O, '31AugTo6Sep'!$J:$J, $A4)</f>
        <v>7.09</v>
      </c>
      <c r="BD4" s="121">
        <f>SUMIFS('31AugTo6Sep'!$P:$P, '31AugTo6Sep'!$J:$J, $A4)</f>
        <v>24.94</v>
      </c>
      <c r="BE4" s="123">
        <f t="shared" si="10"/>
        <v>28.428227746591816</v>
      </c>
      <c r="BF4" s="121">
        <f>SUMIFS('24AugTo29Aug'!$L:$L, '24AugTo29Aug'!$J:$J, $A4)</f>
        <v>16</v>
      </c>
      <c r="BG4" s="121">
        <f>SUMIFS('24AugTo29Aug'!$K:$K, '24AugTo29Aug'!$J:$J, $A4)</f>
        <v>1552</v>
      </c>
      <c r="BH4" s="121">
        <f>SUMIFS('24AugTo29Aug'!$O:$O, '24AugTo29Aug'!$J:$J, $A4)</f>
        <v>47.26</v>
      </c>
      <c r="BI4" s="121">
        <f>SUMIFS('24AugTo29Aug'!$P:$P, '24AugTo29Aug'!$J:$J, $A4)</f>
        <v>74.820000000000007</v>
      </c>
      <c r="BJ4" s="123">
        <f t="shared" si="11"/>
        <v>63.164929163325297</v>
      </c>
      <c r="BK4" s="121">
        <f>SUMIFS('17AugTo21Aug'!$L:$L, '17AugTo21Aug'!$J:$J, $A4)</f>
        <v>5</v>
      </c>
      <c r="BL4" s="121">
        <f>SUMIFS('17AugTo21Aug'!$K:$K, '17AugTo21Aug'!$J:$J, $A4)</f>
        <v>214</v>
      </c>
      <c r="BM4" s="121">
        <f>SUMIFS('17AugTo21Aug'!$O:$O, '17AugTo21Aug'!$J:$J, $A4)</f>
        <v>13.79</v>
      </c>
      <c r="BN4" s="121">
        <f>SUMIFS('17AugTo21Aug'!$P:$P, '17AugTo21Aug'!$J:$J, $A4)</f>
        <v>97.32</v>
      </c>
      <c r="BO4" s="123">
        <f t="shared" si="12"/>
        <v>14.169749280723387</v>
      </c>
      <c r="BP4" s="121">
        <f>SUMIFS('10AugTo16Aug'!$L:$L, '10AugTo16Aug'!$J:$J, $A4)</f>
        <v>22</v>
      </c>
      <c r="BQ4" s="121">
        <f>SUMIFS('10AugTo16Aug'!$K:$K, '10AugTo16Aug'!$J:$J, $A4)</f>
        <v>702</v>
      </c>
      <c r="BR4" s="121">
        <f>SUMIFS('10AugTo16Aug'!$O:$O, '10AugTo16Aug'!$J:$J, $A4)</f>
        <v>69.75</v>
      </c>
      <c r="BS4" s="121">
        <f>SUMIFS('10AugTo16Aug'!$P:$P, '10AugTo16Aug'!$J:$J, $A4)</f>
        <v>99.76</v>
      </c>
      <c r="BT4" s="123">
        <f t="shared" si="13"/>
        <v>69.917802726543698</v>
      </c>
      <c r="BU4" s="121">
        <f>SUMIFS('3AugTo9Aug'!$L:$L, '3AugTo9Aug'!$J:$J, $A4)</f>
        <v>9</v>
      </c>
      <c r="BV4" s="121">
        <f>SUMIFS('3AugTo9Aug'!$K:$K, '3AugTo9Aug'!$J:$J, $A4)</f>
        <v>242</v>
      </c>
      <c r="BW4" s="121">
        <f>SUMIFS('3AugTo9Aug'!$O:$O, '3AugTo9Aug'!$J:$J, $A4)</f>
        <v>31.18</v>
      </c>
      <c r="BX4" s="121">
        <f>SUMIFS('3AugTo9Aug'!$P:$P, '3AugTo9Aug'!$J:$J, $A4)</f>
        <v>99.76</v>
      </c>
      <c r="BY4" s="123">
        <f t="shared" si="14"/>
        <v>31.255012028869285</v>
      </c>
      <c r="BZ4" s="121">
        <f>SUMIFS('27JulyTo2Aug'!$L:$L, '27JulyTo2Aug'!$J:$J, $A4)</f>
        <v>15</v>
      </c>
      <c r="CA4" s="121">
        <f>SUMIFS('27JulyTo2Aug'!$K:$K, '27JulyTo2Aug'!$J:$J, $A4)</f>
        <v>387</v>
      </c>
      <c r="CB4" s="121">
        <f>SUMIFS('27JulyTo2Aug'!$O:$O, '27JulyTo2Aug'!$J:$J, $A4)</f>
        <v>51.230000000000004</v>
      </c>
      <c r="CC4" s="121">
        <f>SUMIFS('27JulyTo2Aug'!$P:$P, '27JulyTo2Aug'!$J:$J, $A4)</f>
        <v>74.820000000000007</v>
      </c>
      <c r="CD4" s="123">
        <f t="shared" si="15"/>
        <v>68.470997059609729</v>
      </c>
    </row>
    <row r="5" spans="1:82" ht="14.25" customHeight="1" x14ac:dyDescent="0.3">
      <c r="A5" s="119" t="s">
        <v>30</v>
      </c>
      <c r="B5" s="120" t="str">
        <f t="shared" si="16"/>
        <v>HIGH ACOS</v>
      </c>
      <c r="C5" s="121">
        <f>SUMIFS('9NovTo15Nov'!$L:$L, '9NovTo15Nov'!$J:$J, $A5)</f>
        <v>17</v>
      </c>
      <c r="D5" s="121">
        <f>SUMIFS('9NovTo15Nov'!$K:$K, '9NovTo15Nov'!$J:$J, $A5)</f>
        <v>3950</v>
      </c>
      <c r="E5" s="121">
        <f>SUMIFS('9NovTo15Nov'!$O:$O, '9NovTo15Nov'!$J:$J, $A5)</f>
        <v>48.28</v>
      </c>
      <c r="F5" s="121">
        <f>SUMIFS('9NovTo15Nov'!$P:$P, '9NovTo15Nov'!$J:$J, $A5)</f>
        <v>149.63999999999999</v>
      </c>
      <c r="G5" s="122">
        <f t="shared" si="0"/>
        <v>32.264100507885594</v>
      </c>
      <c r="H5" s="121">
        <f>SUMIFS('2NovTo8Nov'!$L:$L, '2NovTo8Nov'!$J:$J, $A5)</f>
        <v>10</v>
      </c>
      <c r="I5" s="121">
        <f>SUMIFS('2NovTo8Nov'!$K:$K, '2NovTo8Nov'!$J:$J, $A5)</f>
        <v>2756</v>
      </c>
      <c r="J5" s="121">
        <f>SUMIFS('2NovTo8Nov'!$O:$O, '2NovTo8Nov'!$J:$J, $A5)</f>
        <v>21.94</v>
      </c>
      <c r="K5" s="121">
        <f>SUMIFS('2NovTo8Nov'!$P:$P, '2NovTo8Nov'!$J:$J, $A5)</f>
        <v>24.94</v>
      </c>
      <c r="L5" s="122">
        <f t="shared" si="1"/>
        <v>87.97113071371291</v>
      </c>
      <c r="M5" s="121">
        <f>SUMIFS('26OctTo1Nov'!$L:$L, '26OctTo1Nov'!$J:$J, $A5)</f>
        <v>21</v>
      </c>
      <c r="N5" s="121">
        <f>SUMIFS('26OctTo1Nov'!$K:$K, '26OctTo1Nov'!$J:$J, $A5)</f>
        <v>4109</v>
      </c>
      <c r="O5" s="121">
        <f>SUMIFS('26OctTo1Nov'!$O:$O, '26OctTo1Nov'!$J:$J, $A5)</f>
        <v>56.92</v>
      </c>
      <c r="P5" s="121">
        <f>SUMIFS('26OctTo1Nov'!$P:$P, '26OctTo1Nov'!$J:$J, $A5)</f>
        <v>24.94</v>
      </c>
      <c r="Q5" s="122">
        <f t="shared" si="2"/>
        <v>228.22774659182036</v>
      </c>
      <c r="R5" s="121">
        <f>SUMIFS('19OctTo25Oct'!$L:$L, '19OctTo25Oct'!$J:$J, $A5)</f>
        <v>27</v>
      </c>
      <c r="S5" s="121">
        <f>SUMIFS('19OctTo25Oct'!$K:$K, '19OctTo25Oct'!$J:$J, $A5)</f>
        <v>7472</v>
      </c>
      <c r="T5" s="121">
        <f>SUMIFS('19OctTo25Oct'!$O:$O, '19OctTo25Oct'!$J:$J, $A5)</f>
        <v>75.11</v>
      </c>
      <c r="U5" s="121">
        <f>SUMIFS('19OctTo25Oct'!$P:$P, '19OctTo25Oct'!$J:$J, $A5)</f>
        <v>174.57999999999998</v>
      </c>
      <c r="V5" s="122">
        <f t="shared" si="3"/>
        <v>43.02325581395349</v>
      </c>
      <c r="W5" s="121">
        <f>SUMIFS('12OctTo18Oct'!$L:$L, '12OctTo18Oct'!$J:$J, $A5)</f>
        <v>31</v>
      </c>
      <c r="X5" s="121">
        <f>SUMIFS('12OctTo18Oct'!$K:$K, '12OctTo18Oct'!$J:$J, $A5)</f>
        <v>3930</v>
      </c>
      <c r="Y5" s="121">
        <f>SUMIFS('12OctTo18Oct'!$O:$O, '12OctTo18Oct'!$J:$J, $A5)</f>
        <v>83.009999999999991</v>
      </c>
      <c r="Z5" s="121">
        <f>SUMIFS('12OctTo18Oct'!$P:$P, '12OctTo18Oct'!$J:$J, $A5)</f>
        <v>249.40000000000003</v>
      </c>
      <c r="AA5" s="122">
        <f t="shared" si="4"/>
        <v>33.283881315156364</v>
      </c>
      <c r="AB5" s="121">
        <f>SUMIFS('5OctTo11Oct'!$L:$L, '5OctTo11Oct'!$J:$J, $A5)</f>
        <v>11</v>
      </c>
      <c r="AC5" s="121">
        <f>SUMIFS('5OctTo11Oct'!$K:$K, '5OctTo11Oct'!$J:$J, $A5)</f>
        <v>545</v>
      </c>
      <c r="AD5" s="121">
        <f>SUMIFS('5OctTo11Oct'!$O:$O, '5OctTo11Oct'!$J:$J, $A5)</f>
        <v>36.65</v>
      </c>
      <c r="AE5" s="121">
        <f>SUMIFS('5OctTo11Oct'!$P:$P, '5OctTo11Oct'!$J:$J, $A5)</f>
        <v>74.819999999999993</v>
      </c>
      <c r="AF5" s="123">
        <f t="shared" si="5"/>
        <v>48.98422881582465</v>
      </c>
      <c r="AG5" s="121">
        <f>SUMIFS('28SepTo4Oct'!$L:$L, '28SepTo4Oct'!$J:$J, $A5)</f>
        <v>5</v>
      </c>
      <c r="AH5" s="121">
        <f>SUMIFS('28SepTo4Oct'!$K:$K, '28SepTo4Oct'!$J:$J, $A5)</f>
        <v>253</v>
      </c>
      <c r="AI5" s="121">
        <f>SUMIFS('28SepTo4Oct'!$O:$O, '28SepTo4Oct'!$J:$J, $A5)</f>
        <v>16.91</v>
      </c>
      <c r="AJ5" s="121">
        <f>SUMIFS('28SepTo4Oct'!$P:$P, '28SepTo4Oct'!$J:$J, $A5)</f>
        <v>24.94</v>
      </c>
      <c r="AK5" s="123">
        <f t="shared" si="6"/>
        <v>67.802726543704892</v>
      </c>
      <c r="AL5" s="121">
        <f>SUMIFS('21SepTo27Sep'!$L:$L, '21SepTo27Sep'!$J:$J, $A5)</f>
        <v>13</v>
      </c>
      <c r="AM5" s="121">
        <f>SUMIFS('21SepTo27Sep'!$K:$K, '21SepTo27Sep'!$J:$J, $A5)</f>
        <v>1322</v>
      </c>
      <c r="AN5" s="121">
        <f>SUMIFS('21SepTo27Sep'!$O:$O, '21SepTo27Sep'!$J:$J, $A5)</f>
        <v>37.970000000000006</v>
      </c>
      <c r="AO5" s="121">
        <f>SUMIFS('21SepTo27Sep'!$P:$P, '21SepTo27Sep'!$J:$J, $A5)</f>
        <v>124.69999999999999</v>
      </c>
      <c r="AP5" s="123">
        <f t="shared" si="7"/>
        <v>30.449077786688061</v>
      </c>
      <c r="AQ5" s="121">
        <f>SUMIFS('14SepTo20Sep'!$L:$L, '14SepTo20Sep'!$J:$J, $A5)</f>
        <v>17</v>
      </c>
      <c r="AR5" s="121">
        <f>SUMIFS('14SepTo20Sep'!$K:$K, '14SepTo20Sep'!$J:$J, $A5)</f>
        <v>1538</v>
      </c>
      <c r="AS5" s="121">
        <f>SUMIFS('14SepTo20Sep'!$O:$O, '14SepTo20Sep'!$J:$J, $A5)</f>
        <v>72.649999999999991</v>
      </c>
      <c r="AT5" s="121">
        <f>SUMIFS('14SepTo20Sep'!$P:$P, '14SepTo20Sep'!$J:$J, $A5)</f>
        <v>99.759999999999991</v>
      </c>
      <c r="AU5" s="123">
        <f t="shared" si="8"/>
        <v>72.824779470729752</v>
      </c>
      <c r="AV5" s="121">
        <f>SUMIFS('7SepTo13Sep'!$L:$L, '7SepTo13Sep'!$J:$J, $A5)</f>
        <v>0</v>
      </c>
      <c r="AW5" s="121">
        <f>SUMIFS('7SepTo13Sep'!$K:$K, '7SepTo13Sep'!$J:$J, $A5)</f>
        <v>0</v>
      </c>
      <c r="AX5" s="121">
        <f>SUMIFS('7SepTo13Sep'!$O:$O, '7SepTo13Sep'!$J:$J, $A5)</f>
        <v>0</v>
      </c>
      <c r="AY5" s="121">
        <f>SUMIFS('7SepTo13Sep'!$P:$P, '7SepTo13Sep'!$J:$J, $A5)</f>
        <v>0</v>
      </c>
      <c r="AZ5" s="123">
        <f t="shared" si="9"/>
        <v>0</v>
      </c>
      <c r="BA5" s="121">
        <f>SUMIFS('31AugTo6Sep'!$L:$L, '31AugTo6Sep'!$J:$J, $A5)</f>
        <v>9</v>
      </c>
      <c r="BB5" s="121">
        <f>SUMIFS('31AugTo6Sep'!$K:$K, '31AugTo6Sep'!$J:$J, $A5)</f>
        <v>960</v>
      </c>
      <c r="BC5" s="121">
        <f>SUMIFS('31AugTo6Sep'!$O:$O, '31AugTo6Sep'!$J:$J, $A5)</f>
        <v>30.18</v>
      </c>
      <c r="BD5" s="121">
        <f>SUMIFS('31AugTo6Sep'!$P:$P, '31AugTo6Sep'!$J:$J, $A5)</f>
        <v>174.57999999999998</v>
      </c>
      <c r="BE5" s="123">
        <f t="shared" si="10"/>
        <v>17.28720357429259</v>
      </c>
      <c r="BF5" s="121">
        <f>SUMIFS('24AugTo29Aug'!$L:$L, '24AugTo29Aug'!$J:$J, $A5)</f>
        <v>7</v>
      </c>
      <c r="BG5" s="121">
        <f>SUMIFS('24AugTo29Aug'!$K:$K, '24AugTo29Aug'!$J:$J, $A5)</f>
        <v>418</v>
      </c>
      <c r="BH5" s="121">
        <f>SUMIFS('24AugTo29Aug'!$O:$O, '24AugTo29Aug'!$J:$J, $A5)</f>
        <v>19.48</v>
      </c>
      <c r="BI5" s="121">
        <f>SUMIFS('24AugTo29Aug'!$P:$P, '24AugTo29Aug'!$J:$J, $A5)</f>
        <v>74.820000000000007</v>
      </c>
      <c r="BJ5" s="123">
        <f t="shared" si="11"/>
        <v>26.035819299652495</v>
      </c>
      <c r="BK5" s="121">
        <f>SUMIFS('17AugTo21Aug'!$L:$L, '17AugTo21Aug'!$J:$J, $A5)</f>
        <v>14</v>
      </c>
      <c r="BL5" s="121">
        <f>SUMIFS('17AugTo21Aug'!$K:$K, '17AugTo21Aug'!$J:$J, $A5)</f>
        <v>766</v>
      </c>
      <c r="BM5" s="121">
        <f>SUMIFS('17AugTo21Aug'!$O:$O, '17AugTo21Aug'!$J:$J, $A5)</f>
        <v>47.199999999999996</v>
      </c>
      <c r="BN5" s="121">
        <f>SUMIFS('17AugTo21Aug'!$P:$P, '17AugTo21Aug'!$J:$J, $A5)</f>
        <v>99.76</v>
      </c>
      <c r="BO5" s="123">
        <f t="shared" si="12"/>
        <v>47.313552526062544</v>
      </c>
      <c r="BP5" s="121">
        <f>SUMIFS('10AugTo16Aug'!$L:$L, '10AugTo16Aug'!$J:$J, $A5)</f>
        <v>6</v>
      </c>
      <c r="BQ5" s="121">
        <f>SUMIFS('10AugTo16Aug'!$K:$K, '10AugTo16Aug'!$J:$J, $A5)</f>
        <v>293</v>
      </c>
      <c r="BR5" s="121">
        <f>SUMIFS('10AugTo16Aug'!$O:$O, '10AugTo16Aug'!$J:$J, $A5)</f>
        <v>18.04</v>
      </c>
      <c r="BS5" s="121">
        <f>SUMIFS('10AugTo16Aug'!$P:$P, '10AugTo16Aug'!$J:$J, $A5)</f>
        <v>49.88</v>
      </c>
      <c r="BT5" s="123">
        <f t="shared" si="13"/>
        <v>36.166800320769845</v>
      </c>
      <c r="BU5" s="121">
        <f>SUMIFS('3AugTo9Aug'!$L:$L, '3AugTo9Aug'!$J:$J, $A5)</f>
        <v>15</v>
      </c>
      <c r="BV5" s="121">
        <f>SUMIFS('3AugTo9Aug'!$K:$K, '3AugTo9Aug'!$J:$J, $A5)</f>
        <v>1045</v>
      </c>
      <c r="BW5" s="121">
        <f>SUMIFS('3AugTo9Aug'!$O:$O, '3AugTo9Aug'!$J:$J, $A5)</f>
        <v>41.35</v>
      </c>
      <c r="BX5" s="121">
        <f>SUMIFS('3AugTo9Aug'!$P:$P, '3AugTo9Aug'!$J:$J, $A5)</f>
        <v>99.76</v>
      </c>
      <c r="BY5" s="123">
        <f t="shared" si="14"/>
        <v>41.449478748997592</v>
      </c>
      <c r="BZ5" s="121">
        <f>SUMIFS('27JulyTo2Aug'!$L:$L, '27JulyTo2Aug'!$J:$J, $A5)</f>
        <v>25</v>
      </c>
      <c r="CA5" s="121">
        <f>SUMIFS('27JulyTo2Aug'!$K:$K, '27JulyTo2Aug'!$J:$J, $A5)</f>
        <v>1127</v>
      </c>
      <c r="CB5" s="121">
        <f>SUMIFS('27JulyTo2Aug'!$O:$O, '27JulyTo2Aug'!$J:$J, $A5)</f>
        <v>80.069999999999993</v>
      </c>
      <c r="CC5" s="121">
        <f>SUMIFS('27JulyTo2Aug'!$P:$P, '27JulyTo2Aug'!$J:$J, $A5)</f>
        <v>199.51999999999998</v>
      </c>
      <c r="CD5" s="123">
        <f t="shared" si="15"/>
        <v>40.131315156375301</v>
      </c>
    </row>
    <row r="6" spans="1:82" ht="14.25" customHeight="1" x14ac:dyDescent="0.3">
      <c r="A6" s="119" t="s">
        <v>76</v>
      </c>
      <c r="B6" s="120" t="str">
        <f t="shared" si="16"/>
        <v>WINNER</v>
      </c>
      <c r="C6" s="121">
        <f>SUMIFS('9NovTo15Nov'!$L:$L, '9NovTo15Nov'!$J:$J, $A6)</f>
        <v>5</v>
      </c>
      <c r="D6" s="121">
        <f>SUMIFS('9NovTo15Nov'!$K:$K, '9NovTo15Nov'!$J:$J, $A6)</f>
        <v>360</v>
      </c>
      <c r="E6" s="121">
        <f>SUMIFS('9NovTo15Nov'!$O:$O, '9NovTo15Nov'!$J:$J, $A6)</f>
        <v>18.54</v>
      </c>
      <c r="F6" s="121">
        <f>SUMIFS('9NovTo15Nov'!$P:$P, '9NovTo15Nov'!$J:$J, $A6)</f>
        <v>74.820000000000007</v>
      </c>
      <c r="G6" s="122">
        <f t="shared" si="0"/>
        <v>24.779470729751399</v>
      </c>
      <c r="H6" s="121">
        <f>SUMIFS('2NovTo8Nov'!$L:$L, '2NovTo8Nov'!$J:$J, $A6)</f>
        <v>0</v>
      </c>
      <c r="I6" s="121">
        <f>SUMIFS('2NovTo8Nov'!$K:$K, '2NovTo8Nov'!$J:$J, $A6)</f>
        <v>0</v>
      </c>
      <c r="J6" s="121">
        <f>SUMIFS('2NovTo8Nov'!$O:$O, '2NovTo8Nov'!$J:$J, $A6)</f>
        <v>0</v>
      </c>
      <c r="K6" s="121">
        <f>SUMIFS('2NovTo8Nov'!$P:$P, '2NovTo8Nov'!$J:$J, $A6)</f>
        <v>0</v>
      </c>
      <c r="L6" s="122">
        <f t="shared" si="1"/>
        <v>0</v>
      </c>
      <c r="M6" s="121">
        <f>SUMIFS('26OctTo1Nov'!$L:$L, '26OctTo1Nov'!$J:$J, $A6)</f>
        <v>7</v>
      </c>
      <c r="N6" s="121">
        <f>SUMIFS('26OctTo1Nov'!$K:$K, '26OctTo1Nov'!$J:$J, $A6)</f>
        <v>506</v>
      </c>
      <c r="O6" s="121">
        <f>SUMIFS('26OctTo1Nov'!$O:$O, '26OctTo1Nov'!$J:$J, $A6)</f>
        <v>29.4</v>
      </c>
      <c r="P6" s="121">
        <f>SUMIFS('26OctTo1Nov'!$P:$P, '26OctTo1Nov'!$J:$J, $A6)</f>
        <v>99.76</v>
      </c>
      <c r="Q6" s="122">
        <f t="shared" si="2"/>
        <v>29.470729751403361</v>
      </c>
      <c r="R6" s="121">
        <f>SUMIFS('19OctTo25Oct'!$L:$L, '19OctTo25Oct'!$J:$J, $A6)</f>
        <v>0</v>
      </c>
      <c r="S6" s="121">
        <f>SUMIFS('19OctTo25Oct'!$K:$K, '19OctTo25Oct'!$J:$J, $A6)</f>
        <v>0</v>
      </c>
      <c r="T6" s="121">
        <f>SUMIFS('19OctTo25Oct'!$O:$O, '19OctTo25Oct'!$J:$J, $A6)</f>
        <v>0</v>
      </c>
      <c r="U6" s="121">
        <f>SUMIFS('19OctTo25Oct'!$P:$P, '19OctTo25Oct'!$J:$J, $A6)</f>
        <v>0</v>
      </c>
      <c r="V6" s="122">
        <f t="shared" si="3"/>
        <v>0</v>
      </c>
      <c r="W6" s="121">
        <f>SUMIFS('12OctTo18Oct'!$L:$L, '12OctTo18Oct'!$J:$J, $A6)</f>
        <v>4</v>
      </c>
      <c r="X6" s="121">
        <f>SUMIFS('12OctTo18Oct'!$K:$K, '12OctTo18Oct'!$J:$J, $A6)</f>
        <v>242</v>
      </c>
      <c r="Y6" s="121">
        <f>SUMIFS('12OctTo18Oct'!$O:$O, '12OctTo18Oct'!$J:$J, $A6)</f>
        <v>16.079999999999998</v>
      </c>
      <c r="Z6" s="121">
        <f>SUMIFS('12OctTo18Oct'!$P:$P, '12OctTo18Oct'!$J:$J, $A6)</f>
        <v>24.94</v>
      </c>
      <c r="AA6" s="122">
        <f t="shared" si="4"/>
        <v>64.474739374498796</v>
      </c>
      <c r="AB6" s="121">
        <f>SUMIFS('5OctTo11Oct'!$L:$L, '5OctTo11Oct'!$J:$J, $A6)</f>
        <v>3</v>
      </c>
      <c r="AC6" s="121">
        <f>SUMIFS('5OctTo11Oct'!$K:$K, '5OctTo11Oct'!$J:$J, $A6)</f>
        <v>75</v>
      </c>
      <c r="AD6" s="121">
        <f>SUMIFS('5OctTo11Oct'!$O:$O, '5OctTo11Oct'!$J:$J, $A6)</f>
        <v>8.15</v>
      </c>
      <c r="AE6" s="121">
        <f>SUMIFS('5OctTo11Oct'!$P:$P, '5OctTo11Oct'!$J:$J, $A6)</f>
        <v>24.94</v>
      </c>
      <c r="AF6" s="123">
        <f t="shared" si="5"/>
        <v>32.678428227746593</v>
      </c>
      <c r="AG6" s="121">
        <f>SUMIFS('28SepTo4Oct'!$L:$L, '28SepTo4Oct'!$J:$J, $A6)</f>
        <v>4</v>
      </c>
      <c r="AH6" s="121">
        <f>SUMIFS('28SepTo4Oct'!$K:$K, '28SepTo4Oct'!$J:$J, $A6)</f>
        <v>203</v>
      </c>
      <c r="AI6" s="121">
        <f>SUMIFS('28SepTo4Oct'!$O:$O, '28SepTo4Oct'!$J:$J, $A6)</f>
        <v>15.04</v>
      </c>
      <c r="AJ6" s="121">
        <f>SUMIFS('28SepTo4Oct'!$P:$P, '28SepTo4Oct'!$J:$J, $A6)</f>
        <v>24.94</v>
      </c>
      <c r="AK6" s="123">
        <f t="shared" si="6"/>
        <v>60.304731355252592</v>
      </c>
      <c r="AL6" s="121">
        <f>SUMIFS('21SepTo27Sep'!$L:$L, '21SepTo27Sep'!$J:$J, $A6)</f>
        <v>5</v>
      </c>
      <c r="AM6" s="121">
        <f>SUMIFS('21SepTo27Sep'!$K:$K, '21SepTo27Sep'!$J:$J, $A6)</f>
        <v>151</v>
      </c>
      <c r="AN6" s="121">
        <f>SUMIFS('21SepTo27Sep'!$O:$O, '21SepTo27Sep'!$J:$J, $A6)</f>
        <v>21.44</v>
      </c>
      <c r="AO6" s="121">
        <f>SUMIFS('21SepTo27Sep'!$P:$P, '21SepTo27Sep'!$J:$J, $A6)</f>
        <v>24.94</v>
      </c>
      <c r="AP6" s="123">
        <f t="shared" si="7"/>
        <v>85.966319165998399</v>
      </c>
      <c r="AQ6" s="121">
        <f>SUMIFS('14SepTo20Sep'!$L:$L, '14SepTo20Sep'!$J:$J, $A6)</f>
        <v>0</v>
      </c>
      <c r="AR6" s="121">
        <f>SUMIFS('14SepTo20Sep'!$K:$K, '14SepTo20Sep'!$J:$J, $A6)</f>
        <v>0</v>
      </c>
      <c r="AS6" s="121">
        <f>SUMIFS('14SepTo20Sep'!$O:$O, '14SepTo20Sep'!$J:$J, $A6)</f>
        <v>0</v>
      </c>
      <c r="AT6" s="121">
        <f>SUMIFS('14SepTo20Sep'!$P:$P, '14SepTo20Sep'!$J:$J, $A6)</f>
        <v>0</v>
      </c>
      <c r="AU6" s="123">
        <f t="shared" si="8"/>
        <v>0</v>
      </c>
      <c r="AV6" s="121">
        <f>SUMIFS('7SepTo13Sep'!$L:$L, '7SepTo13Sep'!$J:$J, $A6)</f>
        <v>0</v>
      </c>
      <c r="AW6" s="121">
        <f>SUMIFS('7SepTo13Sep'!$K:$K, '7SepTo13Sep'!$J:$J, $A6)</f>
        <v>0</v>
      </c>
      <c r="AX6" s="121">
        <f>SUMIFS('7SepTo13Sep'!$O:$O, '7SepTo13Sep'!$J:$J, $A6)</f>
        <v>0</v>
      </c>
      <c r="AY6" s="121">
        <f>SUMIFS('7SepTo13Sep'!$P:$P, '7SepTo13Sep'!$J:$J, $A6)</f>
        <v>0</v>
      </c>
      <c r="AZ6" s="123">
        <f t="shared" si="9"/>
        <v>0</v>
      </c>
      <c r="BA6" s="121">
        <f>SUMIFS('31AugTo6Sep'!$L:$L, '31AugTo6Sep'!$J:$J, $A6)</f>
        <v>0</v>
      </c>
      <c r="BB6" s="121">
        <f>SUMIFS('31AugTo6Sep'!$K:$K, '31AugTo6Sep'!$J:$J, $A6)</f>
        <v>0</v>
      </c>
      <c r="BC6" s="121">
        <f>SUMIFS('31AugTo6Sep'!$O:$O, '31AugTo6Sep'!$J:$J, $A6)</f>
        <v>0</v>
      </c>
      <c r="BD6" s="121">
        <f>SUMIFS('31AugTo6Sep'!$P:$P, '31AugTo6Sep'!$J:$J, $A6)</f>
        <v>0</v>
      </c>
      <c r="BE6" s="123">
        <f t="shared" si="10"/>
        <v>0</v>
      </c>
      <c r="BF6" s="121">
        <f>SUMIFS('24AugTo29Aug'!$L:$L, '24AugTo29Aug'!$J:$J, $A6)</f>
        <v>0</v>
      </c>
      <c r="BG6" s="121">
        <f>SUMIFS('24AugTo29Aug'!$K:$K, '24AugTo29Aug'!$J:$J, $A6)</f>
        <v>0</v>
      </c>
      <c r="BH6" s="121">
        <f>SUMIFS('24AugTo29Aug'!$O:$O, '24AugTo29Aug'!$J:$J, $A6)</f>
        <v>0</v>
      </c>
      <c r="BI6" s="121">
        <f>SUMIFS('24AugTo29Aug'!$P:$P, '24AugTo29Aug'!$J:$J, $A6)</f>
        <v>0</v>
      </c>
      <c r="BJ6" s="123">
        <f t="shared" si="11"/>
        <v>0</v>
      </c>
      <c r="BK6" s="121">
        <f>SUMIFS('17AugTo21Aug'!$L:$L, '17AugTo21Aug'!$J:$J, $A6)</f>
        <v>0</v>
      </c>
      <c r="BL6" s="121">
        <f>SUMIFS('17AugTo21Aug'!$K:$K, '17AugTo21Aug'!$J:$J, $A6)</f>
        <v>0</v>
      </c>
      <c r="BM6" s="121">
        <f>SUMIFS('17AugTo21Aug'!$O:$O, '17AugTo21Aug'!$J:$J, $A6)</f>
        <v>0</v>
      </c>
      <c r="BN6" s="121">
        <f>SUMIFS('17AugTo21Aug'!$P:$P, '17AugTo21Aug'!$J:$J, $A6)</f>
        <v>0</v>
      </c>
      <c r="BO6" s="123">
        <f t="shared" si="12"/>
        <v>0</v>
      </c>
      <c r="BP6" s="121">
        <f>SUMIFS('10AugTo16Aug'!$L:$L, '10AugTo16Aug'!$J:$J, $A6)</f>
        <v>0</v>
      </c>
      <c r="BQ6" s="121">
        <f>SUMIFS('10AugTo16Aug'!$K:$K, '10AugTo16Aug'!$J:$J, $A6)</f>
        <v>0</v>
      </c>
      <c r="BR6" s="121">
        <f>SUMIFS('10AugTo16Aug'!$O:$O, '10AugTo16Aug'!$J:$J, $A6)</f>
        <v>0</v>
      </c>
      <c r="BS6" s="121">
        <f>SUMIFS('10AugTo16Aug'!$P:$P, '10AugTo16Aug'!$J:$J, $A6)</f>
        <v>0</v>
      </c>
      <c r="BT6" s="123">
        <f t="shared" si="13"/>
        <v>0</v>
      </c>
      <c r="BU6" s="121">
        <f>SUMIFS('3AugTo9Aug'!$L:$L, '3AugTo9Aug'!$J:$J, $A6)</f>
        <v>6</v>
      </c>
      <c r="BV6" s="121">
        <f>SUMIFS('3AugTo9Aug'!$K:$K, '3AugTo9Aug'!$J:$J, $A6)</f>
        <v>89</v>
      </c>
      <c r="BW6" s="121">
        <f>SUMIFS('3AugTo9Aug'!$O:$O, '3AugTo9Aug'!$J:$J, $A6)</f>
        <v>16.57</v>
      </c>
      <c r="BX6" s="121">
        <f>SUMIFS('3AugTo9Aug'!$P:$P, '3AugTo9Aug'!$J:$J, $A6)</f>
        <v>24.94</v>
      </c>
      <c r="BY6" s="123">
        <f t="shared" si="14"/>
        <v>66.439454691259016</v>
      </c>
      <c r="BZ6" s="121">
        <f>SUMIFS('27JulyTo2Aug'!$L:$L, '27JulyTo2Aug'!$J:$J, $A6)</f>
        <v>0</v>
      </c>
      <c r="CA6" s="121">
        <f>SUMIFS('27JulyTo2Aug'!$K:$K, '27JulyTo2Aug'!$J:$J, $A6)</f>
        <v>0</v>
      </c>
      <c r="CB6" s="121">
        <f>SUMIFS('27JulyTo2Aug'!$O:$O, '27JulyTo2Aug'!$J:$J, $A6)</f>
        <v>0</v>
      </c>
      <c r="CC6" s="121">
        <f>SUMIFS('27JulyTo2Aug'!$P:$P, '27JulyTo2Aug'!$J:$J, $A6)</f>
        <v>0</v>
      </c>
      <c r="CD6" s="123">
        <f t="shared" si="15"/>
        <v>0</v>
      </c>
    </row>
    <row r="7" spans="1:82" ht="14.25" customHeight="1" x14ac:dyDescent="0.3">
      <c r="A7" s="124" t="s">
        <v>89</v>
      </c>
      <c r="B7" s="120" t="str">
        <f t="shared" si="16"/>
        <v>HIGH ACOS</v>
      </c>
      <c r="C7" s="121">
        <f>SUMIFS('9NovTo15Nov'!$L:$L, '9NovTo15Nov'!$J:$J, $A7)</f>
        <v>7</v>
      </c>
      <c r="D7" s="121">
        <f>SUMIFS('9NovTo15Nov'!$K:$K, '9NovTo15Nov'!$J:$J, $A7)</f>
        <v>52</v>
      </c>
      <c r="E7" s="121">
        <f>SUMIFS('9NovTo15Nov'!$O:$O, '9NovTo15Nov'!$J:$J, $A7)</f>
        <v>31.66</v>
      </c>
      <c r="F7" s="121">
        <f>SUMIFS('9NovTo15Nov'!$P:$P, '9NovTo15Nov'!$J:$J, $A7)</f>
        <v>43.8</v>
      </c>
      <c r="G7" s="122">
        <f t="shared" si="0"/>
        <v>72.283105022831052</v>
      </c>
      <c r="H7" s="121">
        <f>SUMIFS('2NovTo8Nov'!$L:$L, '2NovTo8Nov'!$J:$J, $A7)</f>
        <v>2</v>
      </c>
      <c r="I7" s="121">
        <f>SUMIFS('2NovTo8Nov'!$K:$K, '2NovTo8Nov'!$J:$J, $A7)</f>
        <v>11</v>
      </c>
      <c r="J7" s="121">
        <f>SUMIFS('2NovTo8Nov'!$O:$O, '2NovTo8Nov'!$J:$J, $A7)</f>
        <v>10.36</v>
      </c>
      <c r="K7" s="121">
        <f>SUMIFS('2NovTo8Nov'!$P:$P, '2NovTo8Nov'!$J:$J, $A7)</f>
        <v>21.9</v>
      </c>
      <c r="L7" s="122">
        <f t="shared" si="1"/>
        <v>47.305936073059364</v>
      </c>
      <c r="M7" s="121">
        <f>SUMIFS('26OctTo1Nov'!$L:$L, '26OctTo1Nov'!$J:$J, $A7)</f>
        <v>7</v>
      </c>
      <c r="N7" s="121">
        <f>SUMIFS('26OctTo1Nov'!$K:$K, '26OctTo1Nov'!$J:$J, $A7)</f>
        <v>92</v>
      </c>
      <c r="O7" s="121">
        <f>SUMIFS('26OctTo1Nov'!$O:$O, '26OctTo1Nov'!$J:$J, $A7)</f>
        <v>26.67</v>
      </c>
      <c r="P7" s="121">
        <f>SUMIFS('26OctTo1Nov'!$P:$P, '26OctTo1Nov'!$J:$J, $A7)</f>
        <v>65.699999999999989</v>
      </c>
      <c r="Q7" s="122">
        <f t="shared" si="2"/>
        <v>40.593607305936082</v>
      </c>
      <c r="R7" s="121">
        <f>SUMIFS('19OctTo25Oct'!$L:$L, '19OctTo25Oct'!$J:$J, $A7)</f>
        <v>6</v>
      </c>
      <c r="S7" s="121">
        <f>SUMIFS('19OctTo25Oct'!$K:$K, '19OctTo25Oct'!$J:$J, $A7)</f>
        <v>116</v>
      </c>
      <c r="T7" s="121">
        <f>SUMIFS('19OctTo25Oct'!$O:$O, '19OctTo25Oct'!$J:$J, $A7)</f>
        <v>25.46</v>
      </c>
      <c r="U7" s="121">
        <f>SUMIFS('19OctTo25Oct'!$P:$P, '19OctTo25Oct'!$J:$J, $A7)</f>
        <v>21.9</v>
      </c>
      <c r="V7" s="122">
        <f t="shared" si="3"/>
        <v>116.25570776255709</v>
      </c>
      <c r="W7" s="121">
        <f>SUMIFS('12OctTo18Oct'!$L:$L, '12OctTo18Oct'!$J:$J, $A7)</f>
        <v>4</v>
      </c>
      <c r="X7" s="121">
        <f>SUMIFS('12OctTo18Oct'!$K:$K, '12OctTo18Oct'!$J:$J, $A7)</f>
        <v>50</v>
      </c>
      <c r="Y7" s="121">
        <f>SUMIFS('12OctTo18Oct'!$O:$O, '12OctTo18Oct'!$J:$J, $A7)</f>
        <v>14.29</v>
      </c>
      <c r="Z7" s="121">
        <f>SUMIFS('12OctTo18Oct'!$P:$P, '12OctTo18Oct'!$J:$J, $A7)</f>
        <v>21.9</v>
      </c>
      <c r="AA7" s="122">
        <f t="shared" si="4"/>
        <v>65.251141552511413</v>
      </c>
      <c r="AB7" s="121">
        <f>SUMIFS('5OctTo11Oct'!$L:$L, '5OctTo11Oct'!$J:$J, $A7)</f>
        <v>0</v>
      </c>
      <c r="AC7" s="121">
        <f>SUMIFS('5OctTo11Oct'!$K:$K, '5OctTo11Oct'!$J:$J, $A7)</f>
        <v>0</v>
      </c>
      <c r="AD7" s="121">
        <f>SUMIFS('5OctTo11Oct'!$O:$O, '5OctTo11Oct'!$J:$J, $A7)</f>
        <v>0</v>
      </c>
      <c r="AE7" s="121">
        <f>SUMIFS('5OctTo11Oct'!$P:$P, '5OctTo11Oct'!$J:$J, $A7)</f>
        <v>0</v>
      </c>
      <c r="AF7" s="123">
        <f t="shared" si="5"/>
        <v>0</v>
      </c>
      <c r="AG7" s="121">
        <f>SUMIFS('28SepTo4Oct'!$L:$L, '28SepTo4Oct'!$J:$J, $A7)</f>
        <v>0</v>
      </c>
      <c r="AH7" s="121">
        <f>SUMIFS('28SepTo4Oct'!$K:$K, '28SepTo4Oct'!$J:$J, $A7)</f>
        <v>0</v>
      </c>
      <c r="AI7" s="121">
        <f>SUMIFS('28SepTo4Oct'!$O:$O, '28SepTo4Oct'!$J:$J, $A7)</f>
        <v>0</v>
      </c>
      <c r="AJ7" s="121">
        <f>SUMIFS('28SepTo4Oct'!$P:$P, '28SepTo4Oct'!$J:$J, $A7)</f>
        <v>0</v>
      </c>
      <c r="AK7" s="123">
        <f t="shared" si="6"/>
        <v>0</v>
      </c>
      <c r="AL7" s="121">
        <f>SUMIFS('21SepTo27Sep'!$L:$L, '21SepTo27Sep'!$J:$J, $A7)</f>
        <v>0</v>
      </c>
      <c r="AM7" s="121">
        <f>SUMIFS('21SepTo27Sep'!$K:$K, '21SepTo27Sep'!$J:$J, $A7)</f>
        <v>0</v>
      </c>
      <c r="AN7" s="121">
        <f>SUMIFS('21SepTo27Sep'!$O:$O, '21SepTo27Sep'!$J:$J, $A7)</f>
        <v>0</v>
      </c>
      <c r="AO7" s="121">
        <f>SUMIFS('21SepTo27Sep'!$P:$P, '21SepTo27Sep'!$J:$J, $A7)</f>
        <v>0</v>
      </c>
      <c r="AP7" s="123">
        <f t="shared" si="7"/>
        <v>0</v>
      </c>
      <c r="AQ7" s="121">
        <f>SUMIFS('14SepTo20Sep'!$L:$L, '14SepTo20Sep'!$J:$J, $A7)</f>
        <v>0</v>
      </c>
      <c r="AR7" s="121">
        <f>SUMIFS('14SepTo20Sep'!$K:$K, '14SepTo20Sep'!$J:$J, $A7)</f>
        <v>0</v>
      </c>
      <c r="AS7" s="121">
        <f>SUMIFS('14SepTo20Sep'!$O:$O, '14SepTo20Sep'!$J:$J, $A7)</f>
        <v>0</v>
      </c>
      <c r="AT7" s="121">
        <f>SUMIFS('14SepTo20Sep'!$P:$P, '14SepTo20Sep'!$J:$J, $A7)</f>
        <v>0</v>
      </c>
      <c r="AU7" s="123">
        <f t="shared" si="8"/>
        <v>0</v>
      </c>
      <c r="AV7" s="121">
        <f>SUMIFS('7SepTo13Sep'!$L:$L, '7SepTo13Sep'!$J:$J, $A7)</f>
        <v>0</v>
      </c>
      <c r="AW7" s="121">
        <f>SUMIFS('7SepTo13Sep'!$K:$K, '7SepTo13Sep'!$J:$J, $A7)</f>
        <v>0</v>
      </c>
      <c r="AX7" s="121">
        <f>SUMIFS('7SepTo13Sep'!$O:$O, '7SepTo13Sep'!$J:$J, $A7)</f>
        <v>0</v>
      </c>
      <c r="AY7" s="121">
        <f>SUMIFS('7SepTo13Sep'!$P:$P, '7SepTo13Sep'!$J:$J, $A7)</f>
        <v>0</v>
      </c>
      <c r="AZ7" s="123">
        <f t="shared" si="9"/>
        <v>0</v>
      </c>
      <c r="BA7" s="121">
        <f>SUMIFS('31AugTo6Sep'!$L:$L, '31AugTo6Sep'!$J:$J, $A7)</f>
        <v>3</v>
      </c>
      <c r="BB7" s="121">
        <f>SUMIFS('31AugTo6Sep'!$K:$K, '31AugTo6Sep'!$J:$J, $A7)</f>
        <v>16</v>
      </c>
      <c r="BC7" s="121">
        <f>SUMIFS('31AugTo6Sep'!$O:$O, '31AugTo6Sep'!$J:$J, $A7)</f>
        <v>9.2799999999999994</v>
      </c>
      <c r="BD7" s="121">
        <f>SUMIFS('31AugTo6Sep'!$P:$P, '31AugTo6Sep'!$J:$J, $A7)</f>
        <v>21.9</v>
      </c>
      <c r="BE7" s="123">
        <f t="shared" si="10"/>
        <v>42.374429223744293</v>
      </c>
      <c r="BF7" s="121">
        <f>SUMIFS('24AugTo29Aug'!$L:$L, '24AugTo29Aug'!$J:$J, $A7)</f>
        <v>0</v>
      </c>
      <c r="BG7" s="121">
        <f>SUMIFS('24AugTo29Aug'!$K:$K, '24AugTo29Aug'!$J:$J, $A7)</f>
        <v>0</v>
      </c>
      <c r="BH7" s="121">
        <f>SUMIFS('24AugTo29Aug'!$O:$O, '24AugTo29Aug'!$J:$J, $A7)</f>
        <v>0</v>
      </c>
      <c r="BI7" s="121">
        <f>SUMIFS('24AugTo29Aug'!$P:$P, '24AugTo29Aug'!$J:$J, $A7)</f>
        <v>0</v>
      </c>
      <c r="BJ7" s="123">
        <f t="shared" si="11"/>
        <v>0</v>
      </c>
      <c r="BK7" s="121">
        <f>SUMIFS('17AugTo21Aug'!$L:$L, '17AugTo21Aug'!$J:$J, $A7)</f>
        <v>2</v>
      </c>
      <c r="BL7" s="121">
        <f>SUMIFS('17AugTo21Aug'!$K:$K, '17AugTo21Aug'!$J:$J, $A7)</f>
        <v>34</v>
      </c>
      <c r="BM7" s="121">
        <f>SUMIFS('17AugTo21Aug'!$O:$O, '17AugTo21Aug'!$J:$J, $A7)</f>
        <v>7.29</v>
      </c>
      <c r="BN7" s="121">
        <f>SUMIFS('17AugTo21Aug'!$P:$P, '17AugTo21Aug'!$J:$J, $A7)</f>
        <v>21.95</v>
      </c>
      <c r="BO7" s="123">
        <f t="shared" si="12"/>
        <v>33.211845102505691</v>
      </c>
      <c r="BP7" s="121">
        <f>SUMIFS('10AugTo16Aug'!$L:$L, '10AugTo16Aug'!$J:$J, $A7)</f>
        <v>0</v>
      </c>
      <c r="BQ7" s="121">
        <f>SUMIFS('10AugTo16Aug'!$K:$K, '10AugTo16Aug'!$J:$J, $A7)</f>
        <v>0</v>
      </c>
      <c r="BR7" s="121">
        <f>SUMIFS('10AugTo16Aug'!$O:$O, '10AugTo16Aug'!$J:$J, $A7)</f>
        <v>0</v>
      </c>
      <c r="BS7" s="121">
        <f>SUMIFS('10AugTo16Aug'!$P:$P, '10AugTo16Aug'!$J:$J, $A7)</f>
        <v>0</v>
      </c>
      <c r="BT7" s="123">
        <f t="shared" si="13"/>
        <v>0</v>
      </c>
      <c r="BU7" s="121">
        <f>SUMIFS('3AugTo9Aug'!$L:$L, '3AugTo9Aug'!$J:$J, $A7)</f>
        <v>8</v>
      </c>
      <c r="BV7" s="121">
        <f>SUMIFS('3AugTo9Aug'!$K:$K, '3AugTo9Aug'!$J:$J, $A7)</f>
        <v>65</v>
      </c>
      <c r="BW7" s="121">
        <f>SUMIFS('3AugTo9Aug'!$O:$O, '3AugTo9Aug'!$J:$J, $A7)</f>
        <v>24.17</v>
      </c>
      <c r="BX7" s="121">
        <f>SUMIFS('3AugTo9Aug'!$P:$P, '3AugTo9Aug'!$J:$J, $A7)</f>
        <v>24.95</v>
      </c>
      <c r="BY7" s="123">
        <f t="shared" si="14"/>
        <v>96.873747494989999</v>
      </c>
      <c r="BZ7" s="121">
        <f>SUMIFS('27JulyTo2Aug'!$L:$L, '27JulyTo2Aug'!$J:$J, $A7)</f>
        <v>8</v>
      </c>
      <c r="CA7" s="121">
        <f>SUMIFS('27JulyTo2Aug'!$K:$K, '27JulyTo2Aug'!$J:$J, $A7)</f>
        <v>25</v>
      </c>
      <c r="CB7" s="121">
        <f>SUMIFS('27JulyTo2Aug'!$O:$O, '27JulyTo2Aug'!$J:$J, $A7)</f>
        <v>24.76</v>
      </c>
      <c r="CC7" s="121">
        <f>SUMIFS('27JulyTo2Aug'!$P:$P, '27JulyTo2Aug'!$J:$J, $A7)</f>
        <v>99.8</v>
      </c>
      <c r="CD7" s="123">
        <f t="shared" si="15"/>
        <v>24.809619238476959</v>
      </c>
    </row>
    <row r="8" spans="1:82" ht="14.25" customHeight="1" x14ac:dyDescent="0.3">
      <c r="A8" s="124" t="s">
        <v>88</v>
      </c>
      <c r="B8" s="120" t="str">
        <f t="shared" si="16"/>
        <v>HIGH ACOS</v>
      </c>
      <c r="C8" s="121">
        <f>SUMIFS('9NovTo15Nov'!$L:$L, '9NovTo15Nov'!$J:$J, $A8)</f>
        <v>2</v>
      </c>
      <c r="D8" s="121">
        <f>SUMIFS('9NovTo15Nov'!$K:$K, '9NovTo15Nov'!$J:$J, $A8)</f>
        <v>12</v>
      </c>
      <c r="E8" s="121">
        <f>SUMIFS('9NovTo15Nov'!$O:$O, '9NovTo15Nov'!$J:$J, $A8)</f>
        <v>6.07</v>
      </c>
      <c r="F8" s="121">
        <f>SUMIFS('9NovTo15Nov'!$P:$P, '9NovTo15Nov'!$J:$J, $A8)</f>
        <v>21.9</v>
      </c>
      <c r="G8" s="122">
        <f t="shared" si="0"/>
        <v>27.716894977168955</v>
      </c>
      <c r="H8" s="121">
        <f>SUMIFS('2NovTo8Nov'!$L:$L, '2NovTo8Nov'!$J:$J, $A8)</f>
        <v>0</v>
      </c>
      <c r="I8" s="121">
        <f>SUMIFS('2NovTo8Nov'!$K:$K, '2NovTo8Nov'!$J:$J, $A8)</f>
        <v>0</v>
      </c>
      <c r="J8" s="121">
        <f>SUMIFS('2NovTo8Nov'!$O:$O, '2NovTo8Nov'!$J:$J, $A8)</f>
        <v>0</v>
      </c>
      <c r="K8" s="121">
        <f>SUMIFS('2NovTo8Nov'!$P:$P, '2NovTo8Nov'!$J:$J, $A8)</f>
        <v>0</v>
      </c>
      <c r="L8" s="122">
        <f t="shared" si="1"/>
        <v>0</v>
      </c>
      <c r="M8" s="121">
        <f>SUMIFS('26OctTo1Nov'!$L:$L, '26OctTo1Nov'!$J:$J, $A8)</f>
        <v>7</v>
      </c>
      <c r="N8" s="121">
        <f>SUMIFS('26OctTo1Nov'!$K:$K, '26OctTo1Nov'!$J:$J, $A8)</f>
        <v>48</v>
      </c>
      <c r="O8" s="121">
        <f>SUMIFS('26OctTo1Nov'!$O:$O, '26OctTo1Nov'!$J:$J, $A8)</f>
        <v>26.3</v>
      </c>
      <c r="P8" s="121">
        <f>SUMIFS('26OctTo1Nov'!$P:$P, '26OctTo1Nov'!$J:$J, $A8)</f>
        <v>21.9</v>
      </c>
      <c r="Q8" s="122">
        <f t="shared" si="2"/>
        <v>120.09132420091326</v>
      </c>
      <c r="R8" s="121">
        <f>SUMIFS('19OctTo25Oct'!$L:$L, '19OctTo25Oct'!$J:$J, $A8)</f>
        <v>0</v>
      </c>
      <c r="S8" s="121">
        <f>SUMIFS('19OctTo25Oct'!$K:$K, '19OctTo25Oct'!$J:$J, $A8)</f>
        <v>0</v>
      </c>
      <c r="T8" s="121">
        <f>SUMIFS('19OctTo25Oct'!$O:$O, '19OctTo25Oct'!$J:$J, $A8)</f>
        <v>0</v>
      </c>
      <c r="U8" s="121">
        <f>SUMIFS('19OctTo25Oct'!$P:$P, '19OctTo25Oct'!$J:$J, $A8)</f>
        <v>0</v>
      </c>
      <c r="V8" s="122">
        <f t="shared" si="3"/>
        <v>0</v>
      </c>
      <c r="W8" s="121">
        <f>SUMIFS('12OctTo18Oct'!$L:$L, '12OctTo18Oct'!$J:$J, $A8)</f>
        <v>0</v>
      </c>
      <c r="X8" s="121">
        <f>SUMIFS('12OctTo18Oct'!$K:$K, '12OctTo18Oct'!$J:$J, $A8)</f>
        <v>0</v>
      </c>
      <c r="Y8" s="121">
        <f>SUMIFS('12OctTo18Oct'!$O:$O, '12OctTo18Oct'!$J:$J, $A8)</f>
        <v>0</v>
      </c>
      <c r="Z8" s="121">
        <f>SUMIFS('12OctTo18Oct'!$P:$P, '12OctTo18Oct'!$J:$J, $A8)</f>
        <v>0</v>
      </c>
      <c r="AA8" s="122">
        <f t="shared" si="4"/>
        <v>0</v>
      </c>
      <c r="AB8" s="121">
        <f>SUMIFS('5OctTo11Oct'!$L:$L, '5OctTo11Oct'!$J:$J, $A8)</f>
        <v>0</v>
      </c>
      <c r="AC8" s="121">
        <f>SUMIFS('5OctTo11Oct'!$K:$K, '5OctTo11Oct'!$J:$J, $A8)</f>
        <v>0</v>
      </c>
      <c r="AD8" s="121">
        <f>SUMIFS('5OctTo11Oct'!$O:$O, '5OctTo11Oct'!$J:$J, $A8)</f>
        <v>0</v>
      </c>
      <c r="AE8" s="121">
        <f>SUMIFS('5OctTo11Oct'!$P:$P, '5OctTo11Oct'!$J:$J, $A8)</f>
        <v>0</v>
      </c>
      <c r="AF8" s="123">
        <f t="shared" si="5"/>
        <v>0</v>
      </c>
      <c r="AG8" s="121">
        <f>SUMIFS('28SepTo4Oct'!$L:$L, '28SepTo4Oct'!$J:$J, $A8)</f>
        <v>0</v>
      </c>
      <c r="AH8" s="121">
        <f>SUMIFS('28SepTo4Oct'!$K:$K, '28SepTo4Oct'!$J:$J, $A8)</f>
        <v>0</v>
      </c>
      <c r="AI8" s="121">
        <f>SUMIFS('28SepTo4Oct'!$O:$O, '28SepTo4Oct'!$J:$J, $A8)</f>
        <v>0</v>
      </c>
      <c r="AJ8" s="121">
        <f>SUMIFS('28SepTo4Oct'!$P:$P, '28SepTo4Oct'!$J:$J, $A8)</f>
        <v>0</v>
      </c>
      <c r="AK8" s="123">
        <f t="shared" si="6"/>
        <v>0</v>
      </c>
      <c r="AL8" s="121">
        <f>SUMIFS('21SepTo27Sep'!$L:$L, '21SepTo27Sep'!$J:$J, $A8)</f>
        <v>0</v>
      </c>
      <c r="AM8" s="121">
        <f>SUMIFS('21SepTo27Sep'!$K:$K, '21SepTo27Sep'!$J:$J, $A8)</f>
        <v>0</v>
      </c>
      <c r="AN8" s="121">
        <f>SUMIFS('21SepTo27Sep'!$O:$O, '21SepTo27Sep'!$J:$J, $A8)</f>
        <v>0</v>
      </c>
      <c r="AO8" s="121">
        <f>SUMIFS('21SepTo27Sep'!$P:$P, '21SepTo27Sep'!$J:$J, $A8)</f>
        <v>0</v>
      </c>
      <c r="AP8" s="123">
        <f t="shared" si="7"/>
        <v>0</v>
      </c>
      <c r="AQ8" s="121">
        <f>SUMIFS('14SepTo20Sep'!$L:$L, '14SepTo20Sep'!$J:$J, $A8)</f>
        <v>0</v>
      </c>
      <c r="AR8" s="121">
        <f>SUMIFS('14SepTo20Sep'!$K:$K, '14SepTo20Sep'!$J:$J, $A8)</f>
        <v>0</v>
      </c>
      <c r="AS8" s="121">
        <f>SUMIFS('14SepTo20Sep'!$O:$O, '14SepTo20Sep'!$J:$J, $A8)</f>
        <v>0</v>
      </c>
      <c r="AT8" s="121">
        <f>SUMIFS('14SepTo20Sep'!$P:$P, '14SepTo20Sep'!$J:$J, $A8)</f>
        <v>0</v>
      </c>
      <c r="AU8" s="123">
        <f t="shared" si="8"/>
        <v>0</v>
      </c>
      <c r="AV8" s="121">
        <f>SUMIFS('7SepTo13Sep'!$L:$L, '7SepTo13Sep'!$J:$J, $A8)</f>
        <v>2</v>
      </c>
      <c r="AW8" s="121">
        <f>SUMIFS('7SepTo13Sep'!$K:$K, '7SepTo13Sep'!$J:$J, $A8)</f>
        <v>2</v>
      </c>
      <c r="AX8" s="121">
        <f>SUMIFS('7SepTo13Sep'!$O:$O, '7SepTo13Sep'!$J:$J, $A8)</f>
        <v>7.58</v>
      </c>
      <c r="AY8" s="121">
        <f>SUMIFS('7SepTo13Sep'!$P:$P, '7SepTo13Sep'!$J:$J, $A8)</f>
        <v>43.8</v>
      </c>
      <c r="AZ8" s="123">
        <f t="shared" si="9"/>
        <v>17.30593607305936</v>
      </c>
      <c r="BA8" s="121">
        <f>SUMIFS('31AugTo6Sep'!$L:$L, '31AugTo6Sep'!$J:$J, $A8)</f>
        <v>3</v>
      </c>
      <c r="BB8" s="121">
        <f>SUMIFS('31AugTo6Sep'!$K:$K, '31AugTo6Sep'!$J:$J, $A8)</f>
        <v>10</v>
      </c>
      <c r="BC8" s="121">
        <f>SUMIFS('31AugTo6Sep'!$O:$O, '31AugTo6Sep'!$J:$J, $A8)</f>
        <v>10.63</v>
      </c>
      <c r="BD8" s="121">
        <f>SUMIFS('31AugTo6Sep'!$P:$P, '31AugTo6Sep'!$J:$J, $A8)</f>
        <v>21.9</v>
      </c>
      <c r="BE8" s="123">
        <f t="shared" si="10"/>
        <v>48.538812785388139</v>
      </c>
      <c r="BF8" s="121">
        <f>SUMIFS('24AugTo29Aug'!$L:$L, '24AugTo29Aug'!$J:$J, $A8)</f>
        <v>0</v>
      </c>
      <c r="BG8" s="121">
        <f>SUMIFS('24AugTo29Aug'!$K:$K, '24AugTo29Aug'!$J:$J, $A8)</f>
        <v>0</v>
      </c>
      <c r="BH8" s="121">
        <f>SUMIFS('24AugTo29Aug'!$O:$O, '24AugTo29Aug'!$J:$J, $A8)</f>
        <v>0</v>
      </c>
      <c r="BI8" s="121">
        <f>SUMIFS('24AugTo29Aug'!$P:$P, '24AugTo29Aug'!$J:$J, $A8)</f>
        <v>0</v>
      </c>
      <c r="BJ8" s="123">
        <f t="shared" si="11"/>
        <v>0</v>
      </c>
      <c r="BK8" s="121">
        <f>SUMIFS('17AugTo21Aug'!$L:$L, '17AugTo21Aug'!$J:$J, $A8)</f>
        <v>5</v>
      </c>
      <c r="BL8" s="121">
        <f>SUMIFS('17AugTo21Aug'!$K:$K, '17AugTo21Aug'!$J:$J, $A8)</f>
        <v>20</v>
      </c>
      <c r="BM8" s="121">
        <f>SUMIFS('17AugTo21Aug'!$O:$O, '17AugTo21Aug'!$J:$J, $A8)</f>
        <v>15.92</v>
      </c>
      <c r="BN8" s="121">
        <f>SUMIFS('17AugTo21Aug'!$P:$P, '17AugTo21Aug'!$J:$J, $A8)</f>
        <v>43.9</v>
      </c>
      <c r="BO8" s="123">
        <f t="shared" si="12"/>
        <v>36.264236902050115</v>
      </c>
      <c r="BP8" s="121">
        <f>SUMIFS('10AugTo16Aug'!$L:$L, '10AugTo16Aug'!$J:$J, $A8)</f>
        <v>1</v>
      </c>
      <c r="BQ8" s="121">
        <f>SUMIFS('10AugTo16Aug'!$K:$K, '10AugTo16Aug'!$J:$J, $A8)</f>
        <v>1</v>
      </c>
      <c r="BR8" s="121">
        <f>SUMIFS('10AugTo16Aug'!$O:$O, '10AugTo16Aug'!$J:$J, $A8)</f>
        <v>2.4500000000000002</v>
      </c>
      <c r="BS8" s="121">
        <f>SUMIFS('10AugTo16Aug'!$P:$P, '10AugTo16Aug'!$J:$J, $A8)</f>
        <v>21.95</v>
      </c>
      <c r="BT8" s="123">
        <f t="shared" si="13"/>
        <v>11.161731207289295</v>
      </c>
      <c r="BU8" s="121">
        <f>SUMIFS('3AugTo9Aug'!$L:$L, '3AugTo9Aug'!$J:$J, $A8)</f>
        <v>2</v>
      </c>
      <c r="BV8" s="121">
        <f>SUMIFS('3AugTo9Aug'!$K:$K, '3AugTo9Aug'!$J:$J, $A8)</f>
        <v>8</v>
      </c>
      <c r="BW8" s="121">
        <f>SUMIFS('3AugTo9Aug'!$O:$O, '3AugTo9Aug'!$J:$J, $A8)</f>
        <v>6.77</v>
      </c>
      <c r="BX8" s="121">
        <f>SUMIFS('3AugTo9Aug'!$P:$P, '3AugTo9Aug'!$J:$J, $A8)</f>
        <v>24.95</v>
      </c>
      <c r="BY8" s="123">
        <f t="shared" si="14"/>
        <v>27.134268537074146</v>
      </c>
      <c r="BZ8" s="121">
        <f>SUMIFS('27JulyTo2Aug'!$L:$L, '27JulyTo2Aug'!$J:$J, $A8)</f>
        <v>0</v>
      </c>
      <c r="CA8" s="121">
        <f>SUMIFS('27JulyTo2Aug'!$K:$K, '27JulyTo2Aug'!$J:$J, $A8)</f>
        <v>0</v>
      </c>
      <c r="CB8" s="121">
        <f>SUMIFS('27JulyTo2Aug'!$O:$O, '27JulyTo2Aug'!$J:$J, $A8)</f>
        <v>0</v>
      </c>
      <c r="CC8" s="121">
        <f>SUMIFS('27JulyTo2Aug'!$P:$P, '27JulyTo2Aug'!$J:$J, $A8)</f>
        <v>0</v>
      </c>
      <c r="CD8" s="123">
        <f t="shared" si="15"/>
        <v>0</v>
      </c>
    </row>
    <row r="9" spans="1:82" ht="14.25" customHeight="1" x14ac:dyDescent="0.3">
      <c r="A9" s="119" t="s">
        <v>101</v>
      </c>
      <c r="B9" s="120" t="str">
        <f t="shared" si="16"/>
        <v>HIGH ACOS</v>
      </c>
      <c r="C9" s="121">
        <f>SUMIFS('9NovTo15Nov'!$L:$L, '9NovTo15Nov'!$J:$J, $A9)</f>
        <v>3</v>
      </c>
      <c r="D9" s="121">
        <f>SUMIFS('9NovTo15Nov'!$K:$K, '9NovTo15Nov'!$J:$J, $A9)</f>
        <v>1354</v>
      </c>
      <c r="E9" s="121">
        <f>SUMIFS('9NovTo15Nov'!$O:$O, '9NovTo15Nov'!$J:$J, $A9)</f>
        <v>8.18</v>
      </c>
      <c r="F9" s="121">
        <f>SUMIFS('9NovTo15Nov'!$P:$P, '9NovTo15Nov'!$J:$J, $A9)</f>
        <v>74.819999999999993</v>
      </c>
      <c r="G9" s="122">
        <f t="shared" si="0"/>
        <v>10.932905640203156</v>
      </c>
      <c r="H9" s="121">
        <f>SUMIFS('2NovTo8Nov'!$L:$L, '2NovTo8Nov'!$J:$J, $A9)</f>
        <v>6</v>
      </c>
      <c r="I9" s="121">
        <f>SUMIFS('2NovTo8Nov'!$K:$K, '2NovTo8Nov'!$J:$J, $A9)</f>
        <v>350</v>
      </c>
      <c r="J9" s="121">
        <f>SUMIFS('2NovTo8Nov'!$O:$O, '2NovTo8Nov'!$J:$J, $A9)</f>
        <v>23.36</v>
      </c>
      <c r="K9" s="121">
        <f>SUMIFS('2NovTo8Nov'!$P:$P, '2NovTo8Nov'!$J:$J, $A9)</f>
        <v>49.88</v>
      </c>
      <c r="L9" s="122">
        <f t="shared" si="1"/>
        <v>46.832397754611058</v>
      </c>
      <c r="M9" s="121">
        <f>SUMIFS('26OctTo1Nov'!$L:$L, '26OctTo1Nov'!$J:$J, $A9)</f>
        <v>6</v>
      </c>
      <c r="N9" s="121">
        <f>SUMIFS('26OctTo1Nov'!$K:$K, '26OctTo1Nov'!$J:$J, $A9)</f>
        <v>1809</v>
      </c>
      <c r="O9" s="121">
        <f>SUMIFS('26OctTo1Nov'!$O:$O, '26OctTo1Nov'!$J:$J, $A9)</f>
        <v>16.2</v>
      </c>
      <c r="P9" s="121">
        <f>SUMIFS('26OctTo1Nov'!$P:$P, '26OctTo1Nov'!$J:$J, $A9)</f>
        <v>24.94</v>
      </c>
      <c r="Q9" s="122">
        <f t="shared" si="2"/>
        <v>64.955894145950282</v>
      </c>
      <c r="R9" s="121">
        <f>SUMIFS('19OctTo25Oct'!$L:$L, '19OctTo25Oct'!$J:$J, $A9)</f>
        <v>8</v>
      </c>
      <c r="S9" s="121">
        <f>SUMIFS('19OctTo25Oct'!$K:$K, '19OctTo25Oct'!$J:$J, $A9)</f>
        <v>975</v>
      </c>
      <c r="T9" s="121">
        <f>SUMIFS('19OctTo25Oct'!$O:$O, '19OctTo25Oct'!$J:$J, $A9)</f>
        <v>27.67</v>
      </c>
      <c r="U9" s="121">
        <f>SUMIFS('19OctTo25Oct'!$P:$P, '19OctTo25Oct'!$J:$J, $A9)</f>
        <v>49.88</v>
      </c>
      <c r="V9" s="122">
        <f t="shared" si="3"/>
        <v>55.473135525260631</v>
      </c>
      <c r="W9" s="121">
        <f>SUMIFS('12OctTo18Oct'!$L:$L, '12OctTo18Oct'!$J:$J, $A9)</f>
        <v>0</v>
      </c>
      <c r="X9" s="121">
        <f>SUMIFS('12OctTo18Oct'!$K:$K, '12OctTo18Oct'!$J:$J, $A9)</f>
        <v>0</v>
      </c>
      <c r="Y9" s="121">
        <f>SUMIFS('12OctTo18Oct'!$O:$O, '12OctTo18Oct'!$J:$J, $A9)</f>
        <v>0</v>
      </c>
      <c r="Z9" s="121">
        <f>SUMIFS('12OctTo18Oct'!$P:$P, '12OctTo18Oct'!$J:$J, $A9)</f>
        <v>0</v>
      </c>
      <c r="AA9" s="122">
        <f t="shared" si="4"/>
        <v>0</v>
      </c>
      <c r="AB9" s="121">
        <f>SUMIFS('5OctTo11Oct'!$L:$L, '5OctTo11Oct'!$J:$J, $A9)</f>
        <v>8</v>
      </c>
      <c r="AC9" s="121">
        <f>SUMIFS('5OctTo11Oct'!$K:$K, '5OctTo11Oct'!$J:$J, $A9)</f>
        <v>1775</v>
      </c>
      <c r="AD9" s="121">
        <f>SUMIFS('5OctTo11Oct'!$O:$O, '5OctTo11Oct'!$J:$J, $A9)</f>
        <v>22.56</v>
      </c>
      <c r="AE9" s="121">
        <f>SUMIFS('5OctTo11Oct'!$P:$P, '5OctTo11Oct'!$J:$J, $A9)</f>
        <v>19.95</v>
      </c>
      <c r="AF9" s="123">
        <f t="shared" si="5"/>
        <v>113.0827067669173</v>
      </c>
      <c r="AG9" s="121">
        <f>SUMIFS('28SepTo4Oct'!$L:$L, '28SepTo4Oct'!$J:$J, $A9)</f>
        <v>0</v>
      </c>
      <c r="AH9" s="121">
        <f>SUMIFS('28SepTo4Oct'!$K:$K, '28SepTo4Oct'!$J:$J, $A9)</f>
        <v>0</v>
      </c>
      <c r="AI9" s="121">
        <f>SUMIFS('28SepTo4Oct'!$O:$O, '28SepTo4Oct'!$J:$J, $A9)</f>
        <v>0</v>
      </c>
      <c r="AJ9" s="121">
        <f>SUMIFS('28SepTo4Oct'!$P:$P, '28SepTo4Oct'!$J:$J, $A9)</f>
        <v>0</v>
      </c>
      <c r="AK9" s="123">
        <f t="shared" si="6"/>
        <v>0</v>
      </c>
      <c r="AL9" s="121">
        <f>SUMIFS('21SepTo27Sep'!$L:$L, '21SepTo27Sep'!$J:$J, $A9)</f>
        <v>6</v>
      </c>
      <c r="AM9" s="121">
        <f>SUMIFS('21SepTo27Sep'!$K:$K, '21SepTo27Sep'!$J:$J, $A9)</f>
        <v>279</v>
      </c>
      <c r="AN9" s="121">
        <f>SUMIFS('21SepTo27Sep'!$O:$O, '21SepTo27Sep'!$J:$J, $A9)</f>
        <v>26.77</v>
      </c>
      <c r="AO9" s="121">
        <f>SUMIFS('21SepTo27Sep'!$P:$P, '21SepTo27Sep'!$J:$J, $A9)</f>
        <v>49.88</v>
      </c>
      <c r="AP9" s="123">
        <f t="shared" si="7"/>
        <v>53.668805132317551</v>
      </c>
      <c r="AQ9" s="121">
        <f>SUMIFS('14SepTo20Sep'!$L:$L, '14SepTo20Sep'!$J:$J, $A9)</f>
        <v>9</v>
      </c>
      <c r="AR9" s="121">
        <f>SUMIFS('14SepTo20Sep'!$K:$K, '14SepTo20Sep'!$J:$J, $A9)</f>
        <v>633</v>
      </c>
      <c r="AS9" s="121">
        <f>SUMIFS('14SepTo20Sep'!$O:$O, '14SepTo20Sep'!$J:$J, $A9)</f>
        <v>36.56</v>
      </c>
      <c r="AT9" s="121">
        <f>SUMIFS('14SepTo20Sep'!$P:$P, '14SepTo20Sep'!$J:$J, $A9)</f>
        <v>24.94</v>
      </c>
      <c r="AU9" s="123">
        <f t="shared" si="8"/>
        <v>146.59182036888532</v>
      </c>
      <c r="AV9" s="121">
        <f>SUMIFS('7SepTo13Sep'!$L:$L, '7SepTo13Sep'!$J:$J, $A9)</f>
        <v>0</v>
      </c>
      <c r="AW9" s="121">
        <f>SUMIFS('7SepTo13Sep'!$K:$K, '7SepTo13Sep'!$J:$J, $A9)</f>
        <v>0</v>
      </c>
      <c r="AX9" s="121">
        <f>SUMIFS('7SepTo13Sep'!$O:$O, '7SepTo13Sep'!$J:$J, $A9)</f>
        <v>0</v>
      </c>
      <c r="AY9" s="121">
        <f>SUMIFS('7SepTo13Sep'!$P:$P, '7SepTo13Sep'!$J:$J, $A9)</f>
        <v>0</v>
      </c>
      <c r="AZ9" s="123">
        <f t="shared" si="9"/>
        <v>0</v>
      </c>
      <c r="BA9" s="121">
        <f>SUMIFS('31AugTo6Sep'!$L:$L, '31AugTo6Sep'!$J:$J, $A9)</f>
        <v>14</v>
      </c>
      <c r="BB9" s="121">
        <f>SUMIFS('31AugTo6Sep'!$K:$K, '31AugTo6Sep'!$J:$J, $A9)</f>
        <v>1212</v>
      </c>
      <c r="BC9" s="121">
        <f>SUMIFS('31AugTo6Sep'!$O:$O, '31AugTo6Sep'!$J:$J, $A9)</f>
        <v>52.6</v>
      </c>
      <c r="BD9" s="121">
        <f>SUMIFS('31AugTo6Sep'!$P:$P, '31AugTo6Sep'!$J:$J, $A9)</f>
        <v>99.76</v>
      </c>
      <c r="BE9" s="123">
        <f t="shared" si="10"/>
        <v>52.726543704891739</v>
      </c>
      <c r="BF9" s="121">
        <f>SUMIFS('24AugTo29Aug'!$L:$L, '24AugTo29Aug'!$J:$J, $A9)</f>
        <v>14</v>
      </c>
      <c r="BG9" s="121">
        <f>SUMIFS('24AugTo29Aug'!$K:$K, '24AugTo29Aug'!$J:$J, $A9)</f>
        <v>1849</v>
      </c>
      <c r="BH9" s="121">
        <f>SUMIFS('24AugTo29Aug'!$O:$O, '24AugTo29Aug'!$J:$J, $A9)</f>
        <v>40</v>
      </c>
      <c r="BI9" s="121">
        <f>SUMIFS('24AugTo29Aug'!$P:$P, '24AugTo29Aug'!$J:$J, $A9)</f>
        <v>24.94</v>
      </c>
      <c r="BJ9" s="123">
        <f t="shared" si="11"/>
        <v>160.38492381716119</v>
      </c>
      <c r="BK9" s="121">
        <f>SUMIFS('17AugTo21Aug'!$L:$L, '17AugTo21Aug'!$J:$J, $A9)</f>
        <v>10</v>
      </c>
      <c r="BL9" s="121">
        <f>SUMIFS('17AugTo21Aug'!$K:$K, '17AugTo21Aug'!$J:$J, $A9)</f>
        <v>1090</v>
      </c>
      <c r="BM9" s="121">
        <f>SUMIFS('17AugTo21Aug'!$O:$O, '17AugTo21Aug'!$J:$J, $A9)</f>
        <v>36.32</v>
      </c>
      <c r="BN9" s="121">
        <f>SUMIFS('17AugTo21Aug'!$P:$P, '17AugTo21Aug'!$J:$J, $A9)</f>
        <v>124.69999999999999</v>
      </c>
      <c r="BO9" s="123">
        <f t="shared" si="12"/>
        <v>29.125902165196475</v>
      </c>
      <c r="BP9" s="121">
        <f>SUMIFS('10AugTo16Aug'!$L:$L, '10AugTo16Aug'!$J:$J, $A9)</f>
        <v>18</v>
      </c>
      <c r="BQ9" s="121">
        <f>SUMIFS('10AugTo16Aug'!$K:$K, '10AugTo16Aug'!$J:$J, $A9)</f>
        <v>1819</v>
      </c>
      <c r="BR9" s="121">
        <f>SUMIFS('10AugTo16Aug'!$O:$O, '10AugTo16Aug'!$J:$J, $A9)</f>
        <v>62.97</v>
      </c>
      <c r="BS9" s="121">
        <f>SUMIFS('10AugTo16Aug'!$P:$P, '10AugTo16Aug'!$J:$J, $A9)</f>
        <v>144.76</v>
      </c>
      <c r="BT9" s="123">
        <f t="shared" si="13"/>
        <v>43.499585520862119</v>
      </c>
      <c r="BU9" s="121">
        <f>SUMIFS('3AugTo9Aug'!$L:$L, '3AugTo9Aug'!$J:$J, $A9)</f>
        <v>13</v>
      </c>
      <c r="BV9" s="121">
        <f>SUMIFS('3AugTo9Aug'!$K:$K, '3AugTo9Aug'!$J:$J, $A9)</f>
        <v>2211</v>
      </c>
      <c r="BW9" s="121">
        <f>SUMIFS('3AugTo9Aug'!$O:$O, '3AugTo9Aug'!$J:$J, $A9)</f>
        <v>38.21</v>
      </c>
      <c r="BX9" s="121">
        <f>SUMIFS('3AugTo9Aug'!$P:$P, '3AugTo9Aug'!$J:$J, $A9)</f>
        <v>74.820000000000007</v>
      </c>
      <c r="BY9" s="123">
        <f t="shared" si="14"/>
        <v>51.069232825447742</v>
      </c>
      <c r="BZ9" s="121">
        <f>SUMIFS('27JulyTo2Aug'!$L:$L, '27JulyTo2Aug'!$J:$J, $A9)</f>
        <v>15</v>
      </c>
      <c r="CA9" s="121">
        <f>SUMIFS('27JulyTo2Aug'!$K:$K, '27JulyTo2Aug'!$J:$J, $A9)</f>
        <v>1346</v>
      </c>
      <c r="CB9" s="121">
        <f>SUMIFS('27JulyTo2Aug'!$O:$O, '27JulyTo2Aug'!$J:$J, $A9)</f>
        <v>47.85</v>
      </c>
      <c r="CC9" s="121">
        <f>SUMIFS('27JulyTo2Aug'!$P:$P, '27JulyTo2Aug'!$J:$J, $A9)</f>
        <v>74.819999999999993</v>
      </c>
      <c r="CD9" s="123">
        <f t="shared" si="15"/>
        <v>63.953488372093027</v>
      </c>
    </row>
    <row r="10" spans="1:82" ht="14.25" customHeight="1" x14ac:dyDescent="0.3">
      <c r="A10" s="119" t="s">
        <v>60</v>
      </c>
      <c r="B10" s="120" t="str">
        <f t="shared" si="16"/>
        <v>WINNER</v>
      </c>
      <c r="C10" s="121">
        <f>SUMIFS('9NovTo15Nov'!$L:$L, '9NovTo15Nov'!$J:$J, $A10)</f>
        <v>2</v>
      </c>
      <c r="D10" s="121">
        <f>SUMIFS('9NovTo15Nov'!$K:$K, '9NovTo15Nov'!$J:$J, $A10)</f>
        <v>17</v>
      </c>
      <c r="E10" s="121">
        <f>SUMIFS('9NovTo15Nov'!$O:$O, '9NovTo15Nov'!$J:$J, $A10)</f>
        <v>5.35</v>
      </c>
      <c r="F10" s="121">
        <f>SUMIFS('9NovTo15Nov'!$P:$P, '9NovTo15Nov'!$J:$J, $A10)</f>
        <v>24.94</v>
      </c>
      <c r="G10" s="122">
        <f t="shared" si="0"/>
        <v>21.451483560545306</v>
      </c>
      <c r="H10" s="121">
        <f>SUMIFS('2NovTo8Nov'!$L:$L, '2NovTo8Nov'!$J:$J, $A10)</f>
        <v>5</v>
      </c>
      <c r="I10" s="121">
        <f>SUMIFS('2NovTo8Nov'!$K:$K, '2NovTo8Nov'!$J:$J, $A10)</f>
        <v>66</v>
      </c>
      <c r="J10" s="121">
        <f>SUMIFS('2NovTo8Nov'!$O:$O, '2NovTo8Nov'!$J:$J, $A10)</f>
        <v>14.93</v>
      </c>
      <c r="K10" s="121">
        <f>SUMIFS('2NovTo8Nov'!$P:$P, '2NovTo8Nov'!$J:$J, $A10)</f>
        <v>24.94</v>
      </c>
      <c r="L10" s="122">
        <f t="shared" si="1"/>
        <v>59.863672814755411</v>
      </c>
      <c r="M10" s="121">
        <f>SUMIFS('26OctTo1Nov'!$L:$L, '26OctTo1Nov'!$J:$J, $A10)</f>
        <v>6</v>
      </c>
      <c r="N10" s="121">
        <f>SUMIFS('26OctTo1Nov'!$K:$K, '26OctTo1Nov'!$J:$J, $A10)</f>
        <v>58</v>
      </c>
      <c r="O10" s="121">
        <f>SUMIFS('26OctTo1Nov'!$O:$O, '26OctTo1Nov'!$J:$J, $A10)</f>
        <v>21.810000000000002</v>
      </c>
      <c r="P10" s="121">
        <f>SUMIFS('26OctTo1Nov'!$P:$P, '26OctTo1Nov'!$J:$J, $A10)</f>
        <v>74.820000000000007</v>
      </c>
      <c r="Q10" s="122">
        <f t="shared" si="2"/>
        <v>29.149959903769044</v>
      </c>
      <c r="R10" s="121">
        <f>SUMIFS('19OctTo25Oct'!$L:$L, '19OctTo25Oct'!$J:$J, $A10)</f>
        <v>0</v>
      </c>
      <c r="S10" s="121">
        <f>SUMIFS('19OctTo25Oct'!$K:$K, '19OctTo25Oct'!$J:$J, $A10)</f>
        <v>0</v>
      </c>
      <c r="T10" s="121">
        <f>SUMIFS('19OctTo25Oct'!$O:$O, '19OctTo25Oct'!$J:$J, $A10)</f>
        <v>0</v>
      </c>
      <c r="U10" s="121">
        <f>SUMIFS('19OctTo25Oct'!$P:$P, '19OctTo25Oct'!$J:$J, $A10)</f>
        <v>0</v>
      </c>
      <c r="V10" s="122">
        <f t="shared" si="3"/>
        <v>0</v>
      </c>
      <c r="W10" s="121">
        <f>SUMIFS('12OctTo18Oct'!$L:$L, '12OctTo18Oct'!$J:$J, $A10)</f>
        <v>0</v>
      </c>
      <c r="X10" s="121">
        <f>SUMIFS('12OctTo18Oct'!$K:$K, '12OctTo18Oct'!$J:$J, $A10)</f>
        <v>0</v>
      </c>
      <c r="Y10" s="121">
        <f>SUMIFS('12OctTo18Oct'!$O:$O, '12OctTo18Oct'!$J:$J, $A10)</f>
        <v>0</v>
      </c>
      <c r="Z10" s="121">
        <f>SUMIFS('12OctTo18Oct'!$P:$P, '12OctTo18Oct'!$J:$J, $A10)</f>
        <v>0</v>
      </c>
      <c r="AA10" s="122">
        <f t="shared" si="4"/>
        <v>0</v>
      </c>
      <c r="AB10" s="121">
        <f>SUMIFS('5OctTo11Oct'!$L:$L, '5OctTo11Oct'!$J:$J, $A10)</f>
        <v>0</v>
      </c>
      <c r="AC10" s="121">
        <f>SUMIFS('5OctTo11Oct'!$K:$K, '5OctTo11Oct'!$J:$J, $A10)</f>
        <v>0</v>
      </c>
      <c r="AD10" s="121">
        <f>SUMIFS('5OctTo11Oct'!$O:$O, '5OctTo11Oct'!$J:$J, $A10)</f>
        <v>0</v>
      </c>
      <c r="AE10" s="121">
        <f>SUMIFS('5OctTo11Oct'!$P:$P, '5OctTo11Oct'!$J:$J, $A10)</f>
        <v>0</v>
      </c>
      <c r="AF10" s="123">
        <f t="shared" si="5"/>
        <v>0</v>
      </c>
      <c r="AG10" s="121">
        <f>SUMIFS('28SepTo4Oct'!$L:$L, '28SepTo4Oct'!$J:$J, $A10)</f>
        <v>6</v>
      </c>
      <c r="AH10" s="121">
        <f>SUMIFS('28SepTo4Oct'!$K:$K, '28SepTo4Oct'!$J:$J, $A10)</f>
        <v>184</v>
      </c>
      <c r="AI10" s="121">
        <f>SUMIFS('28SepTo4Oct'!$O:$O, '28SepTo4Oct'!$J:$J, $A10)</f>
        <v>18.93</v>
      </c>
      <c r="AJ10" s="121">
        <f>SUMIFS('28SepTo4Oct'!$P:$P, '28SepTo4Oct'!$J:$J, $A10)</f>
        <v>49.88</v>
      </c>
      <c r="AK10" s="123">
        <f t="shared" si="6"/>
        <v>37.951082598235764</v>
      </c>
      <c r="AL10" s="121">
        <f>SUMIFS('21SepTo27Sep'!$L:$L, '21SepTo27Sep'!$J:$J, $A10)</f>
        <v>7</v>
      </c>
      <c r="AM10" s="121">
        <f>SUMIFS('21SepTo27Sep'!$K:$K, '21SepTo27Sep'!$J:$J, $A10)</f>
        <v>59</v>
      </c>
      <c r="AN10" s="121">
        <f>SUMIFS('21SepTo27Sep'!$O:$O, '21SepTo27Sep'!$J:$J, $A10)</f>
        <v>21.49</v>
      </c>
      <c r="AO10" s="121">
        <f>SUMIFS('21SepTo27Sep'!$P:$P, '21SepTo27Sep'!$J:$J, $A10)</f>
        <v>49.88</v>
      </c>
      <c r="AP10" s="123">
        <f t="shared" si="7"/>
        <v>43.083400160384919</v>
      </c>
      <c r="AQ10" s="121">
        <f>SUMIFS('14SepTo20Sep'!$L:$L, '14SepTo20Sep'!$J:$J, $A10)</f>
        <v>0</v>
      </c>
      <c r="AR10" s="121">
        <f>SUMIFS('14SepTo20Sep'!$K:$K, '14SepTo20Sep'!$J:$J, $A10)</f>
        <v>0</v>
      </c>
      <c r="AS10" s="121">
        <f>SUMIFS('14SepTo20Sep'!$O:$O, '14SepTo20Sep'!$J:$J, $A10)</f>
        <v>0</v>
      </c>
      <c r="AT10" s="121">
        <f>SUMIFS('14SepTo20Sep'!$P:$P, '14SepTo20Sep'!$J:$J, $A10)</f>
        <v>0</v>
      </c>
      <c r="AU10" s="123">
        <f t="shared" si="8"/>
        <v>0</v>
      </c>
      <c r="AV10" s="121">
        <f>SUMIFS('7SepTo13Sep'!$L:$L, '7SepTo13Sep'!$J:$J, $A10)</f>
        <v>0</v>
      </c>
      <c r="AW10" s="121">
        <f>SUMIFS('7SepTo13Sep'!$K:$K, '7SepTo13Sep'!$J:$J, $A10)</f>
        <v>0</v>
      </c>
      <c r="AX10" s="121">
        <f>SUMIFS('7SepTo13Sep'!$O:$O, '7SepTo13Sep'!$J:$J, $A10)</f>
        <v>0</v>
      </c>
      <c r="AY10" s="121">
        <f>SUMIFS('7SepTo13Sep'!$P:$P, '7SepTo13Sep'!$J:$J, $A10)</f>
        <v>0</v>
      </c>
      <c r="AZ10" s="123">
        <f t="shared" si="9"/>
        <v>0</v>
      </c>
      <c r="BA10" s="121">
        <f>SUMIFS('31AugTo6Sep'!$L:$L, '31AugTo6Sep'!$J:$J, $A10)</f>
        <v>3</v>
      </c>
      <c r="BB10" s="121">
        <f>SUMIFS('31AugTo6Sep'!$K:$K, '31AugTo6Sep'!$J:$J, $A10)</f>
        <v>66</v>
      </c>
      <c r="BC10" s="121">
        <f>SUMIFS('31AugTo6Sep'!$O:$O, '31AugTo6Sep'!$J:$J, $A10)</f>
        <v>10.050000000000001</v>
      </c>
      <c r="BD10" s="121">
        <f>SUMIFS('31AugTo6Sep'!$P:$P, '31AugTo6Sep'!$J:$J, $A10)</f>
        <v>24.94</v>
      </c>
      <c r="BE10" s="123">
        <f t="shared" si="10"/>
        <v>40.296712109061751</v>
      </c>
      <c r="BF10" s="121">
        <f>SUMIFS('24AugTo29Aug'!$L:$L, '24AugTo29Aug'!$J:$J, $A10)</f>
        <v>0</v>
      </c>
      <c r="BG10" s="121">
        <f>SUMIFS('24AugTo29Aug'!$K:$K, '24AugTo29Aug'!$J:$J, $A10)</f>
        <v>0</v>
      </c>
      <c r="BH10" s="121">
        <f>SUMIFS('24AugTo29Aug'!$O:$O, '24AugTo29Aug'!$J:$J, $A10)</f>
        <v>0</v>
      </c>
      <c r="BI10" s="121">
        <f>SUMIFS('24AugTo29Aug'!$P:$P, '24AugTo29Aug'!$J:$J, $A10)</f>
        <v>0</v>
      </c>
      <c r="BJ10" s="123">
        <f t="shared" si="11"/>
        <v>0</v>
      </c>
      <c r="BK10" s="121">
        <f>SUMIFS('17AugTo21Aug'!$L:$L, '17AugTo21Aug'!$J:$J, $A10)</f>
        <v>2</v>
      </c>
      <c r="BL10" s="121">
        <f>SUMIFS('17AugTo21Aug'!$K:$K, '17AugTo21Aug'!$J:$J, $A10)</f>
        <v>12</v>
      </c>
      <c r="BM10" s="121">
        <f>SUMIFS('17AugTo21Aug'!$O:$O, '17AugTo21Aug'!$J:$J, $A10)</f>
        <v>6.54</v>
      </c>
      <c r="BN10" s="121">
        <f>SUMIFS('17AugTo21Aug'!$P:$P, '17AugTo21Aug'!$J:$J, $A10)</f>
        <v>24.94</v>
      </c>
      <c r="BO10" s="123">
        <f t="shared" si="12"/>
        <v>26.222935044105856</v>
      </c>
      <c r="BP10" s="121">
        <f>SUMIFS('10AugTo16Aug'!$L:$L, '10AugTo16Aug'!$J:$J, $A10)</f>
        <v>0</v>
      </c>
      <c r="BQ10" s="121">
        <f>SUMIFS('10AugTo16Aug'!$K:$K, '10AugTo16Aug'!$J:$J, $A10)</f>
        <v>0</v>
      </c>
      <c r="BR10" s="121">
        <f>SUMIFS('10AugTo16Aug'!$O:$O, '10AugTo16Aug'!$J:$J, $A10)</f>
        <v>0</v>
      </c>
      <c r="BS10" s="121">
        <f>SUMIFS('10AugTo16Aug'!$P:$P, '10AugTo16Aug'!$J:$J, $A10)</f>
        <v>0</v>
      </c>
      <c r="BT10" s="123">
        <f t="shared" si="13"/>
        <v>0</v>
      </c>
      <c r="BU10" s="121">
        <f>SUMIFS('3AugTo9Aug'!$L:$L, '3AugTo9Aug'!$J:$J, $A10)</f>
        <v>6</v>
      </c>
      <c r="BV10" s="121">
        <f>SUMIFS('3AugTo9Aug'!$K:$K, '3AugTo9Aug'!$J:$J, $A10)</f>
        <v>39</v>
      </c>
      <c r="BW10" s="121">
        <f>SUMIFS('3AugTo9Aug'!$O:$O, '3AugTo9Aug'!$J:$J, $A10)</f>
        <v>19.829999999999998</v>
      </c>
      <c r="BX10" s="121">
        <f>SUMIFS('3AugTo9Aug'!$P:$P, '3AugTo9Aug'!$J:$J, $A10)</f>
        <v>24.94</v>
      </c>
      <c r="BY10" s="123">
        <f t="shared" si="14"/>
        <v>79.510825982357645</v>
      </c>
      <c r="BZ10" s="121">
        <f>SUMIFS('27JulyTo2Aug'!$L:$L, '27JulyTo2Aug'!$J:$J, $A10)</f>
        <v>7</v>
      </c>
      <c r="CA10" s="121">
        <f>SUMIFS('27JulyTo2Aug'!$K:$K, '27JulyTo2Aug'!$J:$J, $A10)</f>
        <v>32</v>
      </c>
      <c r="CB10" s="121">
        <f>SUMIFS('27JulyTo2Aug'!$O:$O, '27JulyTo2Aug'!$J:$J, $A10)</f>
        <v>23.35</v>
      </c>
      <c r="CC10" s="121">
        <f>SUMIFS('27JulyTo2Aug'!$P:$P, '27JulyTo2Aug'!$J:$J, $A10)</f>
        <v>74.820000000000007</v>
      </c>
      <c r="CD10" s="123">
        <f t="shared" si="15"/>
        <v>31.208233092755943</v>
      </c>
    </row>
    <row r="11" spans="1:82" ht="14.25" customHeight="1" x14ac:dyDescent="0.3">
      <c r="A11" s="124" t="s">
        <v>87</v>
      </c>
      <c r="B11" s="120" t="str">
        <f t="shared" si="16"/>
        <v>HIGH ACOS</v>
      </c>
      <c r="C11" s="121">
        <f>SUMIFS('9NovTo15Nov'!$L:$L, '9NovTo15Nov'!$J:$J, $A11)</f>
        <v>4</v>
      </c>
      <c r="D11" s="121">
        <f>SUMIFS('9NovTo15Nov'!$K:$K, '9NovTo15Nov'!$J:$J, $A11)</f>
        <v>37</v>
      </c>
      <c r="E11" s="121">
        <f>SUMIFS('9NovTo15Nov'!$O:$O, '9NovTo15Nov'!$J:$J, $A11)</f>
        <v>18.14</v>
      </c>
      <c r="F11" s="121">
        <f>SUMIFS('9NovTo15Nov'!$P:$P, '9NovTo15Nov'!$J:$J, $A11)</f>
        <v>21.9</v>
      </c>
      <c r="G11" s="122">
        <f t="shared" si="0"/>
        <v>82.831050228310517</v>
      </c>
      <c r="H11" s="121">
        <f>SUMIFS('2NovTo8Nov'!$L:$L, '2NovTo8Nov'!$J:$J, $A11)</f>
        <v>0</v>
      </c>
      <c r="I11" s="121">
        <f>SUMIFS('2NovTo8Nov'!$K:$K, '2NovTo8Nov'!$J:$J, $A11)</f>
        <v>0</v>
      </c>
      <c r="J11" s="121">
        <f>SUMIFS('2NovTo8Nov'!$O:$O, '2NovTo8Nov'!$J:$J, $A11)</f>
        <v>0</v>
      </c>
      <c r="K11" s="121">
        <f>SUMIFS('2NovTo8Nov'!$P:$P, '2NovTo8Nov'!$J:$J, $A11)</f>
        <v>0</v>
      </c>
      <c r="L11" s="122">
        <f t="shared" si="1"/>
        <v>0</v>
      </c>
      <c r="M11" s="121">
        <f>SUMIFS('26OctTo1Nov'!$L:$L, '26OctTo1Nov'!$J:$J, $A11)</f>
        <v>5</v>
      </c>
      <c r="N11" s="121">
        <f>SUMIFS('26OctTo1Nov'!$K:$K, '26OctTo1Nov'!$J:$J, $A11)</f>
        <v>62</v>
      </c>
      <c r="O11" s="121">
        <f>SUMIFS('26OctTo1Nov'!$O:$O, '26OctTo1Nov'!$J:$J, $A11)</f>
        <v>22.12</v>
      </c>
      <c r="P11" s="121">
        <f>SUMIFS('26OctTo1Nov'!$P:$P, '26OctTo1Nov'!$J:$J, $A11)</f>
        <v>21.9</v>
      </c>
      <c r="Q11" s="122">
        <f t="shared" si="2"/>
        <v>101.00456621004568</v>
      </c>
      <c r="R11" s="121">
        <f>SUMIFS('19OctTo25Oct'!$L:$L, '19OctTo25Oct'!$J:$J, $A11)</f>
        <v>0</v>
      </c>
      <c r="S11" s="121">
        <f>SUMIFS('19OctTo25Oct'!$K:$K, '19OctTo25Oct'!$J:$J, $A11)</f>
        <v>0</v>
      </c>
      <c r="T11" s="121">
        <f>SUMIFS('19OctTo25Oct'!$O:$O, '19OctTo25Oct'!$J:$J, $A11)</f>
        <v>0</v>
      </c>
      <c r="U11" s="121">
        <f>SUMIFS('19OctTo25Oct'!$P:$P, '19OctTo25Oct'!$J:$J, $A11)</f>
        <v>0</v>
      </c>
      <c r="V11" s="122">
        <f t="shared" si="3"/>
        <v>0</v>
      </c>
      <c r="W11" s="121">
        <f>SUMIFS('12OctTo18Oct'!$L:$L, '12OctTo18Oct'!$J:$J, $A11)</f>
        <v>0</v>
      </c>
      <c r="X11" s="121">
        <f>SUMIFS('12OctTo18Oct'!$K:$K, '12OctTo18Oct'!$J:$J, $A11)</f>
        <v>0</v>
      </c>
      <c r="Y11" s="121">
        <f>SUMIFS('12OctTo18Oct'!$O:$O, '12OctTo18Oct'!$J:$J, $A11)</f>
        <v>0</v>
      </c>
      <c r="Z11" s="121">
        <f>SUMIFS('12OctTo18Oct'!$P:$P, '12OctTo18Oct'!$J:$J, $A11)</f>
        <v>0</v>
      </c>
      <c r="AA11" s="122">
        <f t="shared" si="4"/>
        <v>0</v>
      </c>
      <c r="AB11" s="121">
        <f>SUMIFS('5OctTo11Oct'!$L:$L, '5OctTo11Oct'!$J:$J, $A11)</f>
        <v>2</v>
      </c>
      <c r="AC11" s="121">
        <f>SUMIFS('5OctTo11Oct'!$K:$K, '5OctTo11Oct'!$J:$J, $A11)</f>
        <v>31</v>
      </c>
      <c r="AD11" s="121">
        <f>SUMIFS('5OctTo11Oct'!$O:$O, '5OctTo11Oct'!$J:$J, $A11)</f>
        <v>8.98</v>
      </c>
      <c r="AE11" s="121">
        <f>SUMIFS('5OctTo11Oct'!$P:$P, '5OctTo11Oct'!$J:$J, $A11)</f>
        <v>21.9</v>
      </c>
      <c r="AF11" s="123">
        <f t="shared" si="5"/>
        <v>41.004566210045667</v>
      </c>
      <c r="AG11" s="121">
        <f>SUMIFS('28SepTo4Oct'!$L:$L, '28SepTo4Oct'!$J:$J, $A11)</f>
        <v>0</v>
      </c>
      <c r="AH11" s="121">
        <f>SUMIFS('28SepTo4Oct'!$K:$K, '28SepTo4Oct'!$J:$J, $A11)</f>
        <v>0</v>
      </c>
      <c r="AI11" s="121">
        <f>SUMIFS('28SepTo4Oct'!$O:$O, '28SepTo4Oct'!$J:$J, $A11)</f>
        <v>0</v>
      </c>
      <c r="AJ11" s="121">
        <f>SUMIFS('28SepTo4Oct'!$P:$P, '28SepTo4Oct'!$J:$J, $A11)</f>
        <v>0</v>
      </c>
      <c r="AK11" s="123">
        <f t="shared" si="6"/>
        <v>0</v>
      </c>
      <c r="AL11" s="121">
        <f>SUMIFS('21SepTo27Sep'!$L:$L, '21SepTo27Sep'!$J:$J, $A11)</f>
        <v>0</v>
      </c>
      <c r="AM11" s="121">
        <f>SUMIFS('21SepTo27Sep'!$K:$K, '21SepTo27Sep'!$J:$J, $A11)</f>
        <v>0</v>
      </c>
      <c r="AN11" s="121">
        <f>SUMIFS('21SepTo27Sep'!$O:$O, '21SepTo27Sep'!$J:$J, $A11)</f>
        <v>0</v>
      </c>
      <c r="AO11" s="121">
        <f>SUMIFS('21SepTo27Sep'!$P:$P, '21SepTo27Sep'!$J:$J, $A11)</f>
        <v>0</v>
      </c>
      <c r="AP11" s="123">
        <f t="shared" si="7"/>
        <v>0</v>
      </c>
      <c r="AQ11" s="121">
        <f>SUMIFS('14SepTo20Sep'!$L:$L, '14SepTo20Sep'!$J:$J, $A11)</f>
        <v>4</v>
      </c>
      <c r="AR11" s="121">
        <f>SUMIFS('14SepTo20Sep'!$K:$K, '14SepTo20Sep'!$J:$J, $A11)</f>
        <v>34</v>
      </c>
      <c r="AS11" s="121">
        <f>SUMIFS('14SepTo20Sep'!$O:$O, '14SepTo20Sep'!$J:$J, $A11)</f>
        <v>16.25</v>
      </c>
      <c r="AT11" s="121">
        <f>SUMIFS('14SepTo20Sep'!$P:$P, '14SepTo20Sep'!$J:$J, $A11)</f>
        <v>43.8</v>
      </c>
      <c r="AU11" s="123">
        <f t="shared" si="8"/>
        <v>37.100456621004568</v>
      </c>
      <c r="AV11" s="121">
        <f>SUMIFS('7SepTo13Sep'!$L:$L, '7SepTo13Sep'!$J:$J, $A11)</f>
        <v>0</v>
      </c>
      <c r="AW11" s="121">
        <f>SUMIFS('7SepTo13Sep'!$K:$K, '7SepTo13Sep'!$J:$J, $A11)</f>
        <v>0</v>
      </c>
      <c r="AX11" s="121">
        <f>SUMIFS('7SepTo13Sep'!$O:$O, '7SepTo13Sep'!$J:$J, $A11)</f>
        <v>0</v>
      </c>
      <c r="AY11" s="121">
        <f>SUMIFS('7SepTo13Sep'!$P:$P, '7SepTo13Sep'!$J:$J, $A11)</f>
        <v>0</v>
      </c>
      <c r="AZ11" s="123">
        <f t="shared" si="9"/>
        <v>0</v>
      </c>
      <c r="BA11" s="121">
        <f>SUMIFS('31AugTo6Sep'!$L:$L, '31AugTo6Sep'!$J:$J, $A11)</f>
        <v>4</v>
      </c>
      <c r="BB11" s="121">
        <f>SUMIFS('31AugTo6Sep'!$K:$K, '31AugTo6Sep'!$J:$J, $A11)</f>
        <v>15</v>
      </c>
      <c r="BC11" s="121">
        <f>SUMIFS('31AugTo6Sep'!$O:$O, '31AugTo6Sep'!$J:$J, $A11)</f>
        <v>11.38</v>
      </c>
      <c r="BD11" s="121">
        <f>SUMIFS('31AugTo6Sep'!$P:$P, '31AugTo6Sep'!$J:$J, $A11)</f>
        <v>43.8</v>
      </c>
      <c r="BE11" s="123">
        <f t="shared" si="10"/>
        <v>25.981735159817354</v>
      </c>
      <c r="BF11" s="121">
        <f>SUMIFS('24AugTo29Aug'!$L:$L, '24AugTo29Aug'!$J:$J, $A11)</f>
        <v>5</v>
      </c>
      <c r="BG11" s="121">
        <f>SUMIFS('24AugTo29Aug'!$K:$K, '24AugTo29Aug'!$J:$J, $A11)</f>
        <v>48</v>
      </c>
      <c r="BH11" s="121">
        <f>SUMIFS('24AugTo29Aug'!$O:$O, '24AugTo29Aug'!$J:$J, $A11)</f>
        <v>16.399999999999999</v>
      </c>
      <c r="BI11" s="121">
        <f>SUMIFS('24AugTo29Aug'!$P:$P, '24AugTo29Aug'!$J:$J, $A11)</f>
        <v>21.9</v>
      </c>
      <c r="BJ11" s="123">
        <f t="shared" si="11"/>
        <v>74.885844748858446</v>
      </c>
      <c r="BK11" s="121">
        <f>SUMIFS('17AugTo21Aug'!$L:$L, '17AugTo21Aug'!$J:$J, $A11)</f>
        <v>0</v>
      </c>
      <c r="BL11" s="121">
        <f>SUMIFS('17AugTo21Aug'!$K:$K, '17AugTo21Aug'!$J:$J, $A11)</f>
        <v>0</v>
      </c>
      <c r="BM11" s="121">
        <f>SUMIFS('17AugTo21Aug'!$O:$O, '17AugTo21Aug'!$J:$J, $A11)</f>
        <v>0</v>
      </c>
      <c r="BN11" s="121">
        <f>SUMIFS('17AugTo21Aug'!$P:$P, '17AugTo21Aug'!$J:$J, $A11)</f>
        <v>0</v>
      </c>
      <c r="BO11" s="123">
        <f t="shared" si="12"/>
        <v>0</v>
      </c>
      <c r="BP11" s="121">
        <f>SUMIFS('10AugTo16Aug'!$L:$L, '10AugTo16Aug'!$J:$J, $A11)</f>
        <v>2</v>
      </c>
      <c r="BQ11" s="121">
        <f>SUMIFS('10AugTo16Aug'!$K:$K, '10AugTo16Aug'!$J:$J, $A11)</f>
        <v>20</v>
      </c>
      <c r="BR11" s="121">
        <f>SUMIFS('10AugTo16Aug'!$O:$O, '10AugTo16Aug'!$J:$J, $A11)</f>
        <v>6.52</v>
      </c>
      <c r="BS11" s="121">
        <f>SUMIFS('10AugTo16Aug'!$P:$P, '10AugTo16Aug'!$J:$J, $A11)</f>
        <v>21.95</v>
      </c>
      <c r="BT11" s="123">
        <f t="shared" si="13"/>
        <v>29.703872437357631</v>
      </c>
      <c r="BU11" s="121">
        <f>SUMIFS('3AugTo9Aug'!$L:$L, '3AugTo9Aug'!$J:$J, $A11)</f>
        <v>3</v>
      </c>
      <c r="BV11" s="121">
        <f>SUMIFS('3AugTo9Aug'!$K:$K, '3AugTo9Aug'!$J:$J, $A11)</f>
        <v>16</v>
      </c>
      <c r="BW11" s="121">
        <f>SUMIFS('3AugTo9Aug'!$O:$O, '3AugTo9Aug'!$J:$J, $A11)</f>
        <v>9.69</v>
      </c>
      <c r="BX11" s="121">
        <f>SUMIFS('3AugTo9Aug'!$P:$P, '3AugTo9Aug'!$J:$J, $A11)</f>
        <v>65.849999999999994</v>
      </c>
      <c r="BY11" s="123">
        <f t="shared" si="14"/>
        <v>14.715261958997722</v>
      </c>
      <c r="BZ11" s="121">
        <f>SUMIFS('27JulyTo2Aug'!$L:$L, '27JulyTo2Aug'!$J:$J, $A11)</f>
        <v>0</v>
      </c>
      <c r="CA11" s="121">
        <f>SUMIFS('27JulyTo2Aug'!$K:$K, '27JulyTo2Aug'!$J:$J, $A11)</f>
        <v>0</v>
      </c>
      <c r="CB11" s="121">
        <f>SUMIFS('27JulyTo2Aug'!$O:$O, '27JulyTo2Aug'!$J:$J, $A11)</f>
        <v>0</v>
      </c>
      <c r="CC11" s="121">
        <f>SUMIFS('27JulyTo2Aug'!$P:$P, '27JulyTo2Aug'!$J:$J, $A11)</f>
        <v>0</v>
      </c>
      <c r="CD11" s="123">
        <f t="shared" si="15"/>
        <v>0</v>
      </c>
    </row>
    <row r="12" spans="1:82" ht="14.25" customHeight="1" x14ac:dyDescent="0.3">
      <c r="A12" s="119" t="s">
        <v>173</v>
      </c>
      <c r="B12" s="120" t="str">
        <f t="shared" si="16"/>
        <v>WINNER</v>
      </c>
      <c r="C12" s="121">
        <f>SUMIFS('9NovTo15Nov'!$L:$L, '9NovTo15Nov'!$J:$J, $A12)</f>
        <v>0</v>
      </c>
      <c r="D12" s="121">
        <f>SUMIFS('9NovTo15Nov'!$K:$K, '9NovTo15Nov'!$J:$J, $A12)</f>
        <v>0</v>
      </c>
      <c r="E12" s="121">
        <f>SUMIFS('9NovTo15Nov'!$O:$O, '9NovTo15Nov'!$J:$J, $A12)</f>
        <v>0</v>
      </c>
      <c r="F12" s="121">
        <f>SUMIFS('9NovTo15Nov'!$P:$P, '9NovTo15Nov'!$J:$J, $A12)</f>
        <v>0</v>
      </c>
      <c r="G12" s="122">
        <f t="shared" si="0"/>
        <v>0</v>
      </c>
      <c r="H12" s="121">
        <f>SUMIFS('2NovTo8Nov'!$L:$L, '2NovTo8Nov'!$J:$J, $A12)</f>
        <v>3</v>
      </c>
      <c r="I12" s="121">
        <f>SUMIFS('2NovTo8Nov'!$K:$K, '2NovTo8Nov'!$J:$J, $A12)</f>
        <v>185</v>
      </c>
      <c r="J12" s="121">
        <f>SUMIFS('2NovTo8Nov'!$O:$O, '2NovTo8Nov'!$J:$J, $A12)</f>
        <v>2.48</v>
      </c>
      <c r="K12" s="121">
        <f>SUMIFS('2NovTo8Nov'!$P:$P, '2NovTo8Nov'!$J:$J, $A12)</f>
        <v>49.88</v>
      </c>
      <c r="L12" s="122">
        <f t="shared" si="1"/>
        <v>4.9719326383319968</v>
      </c>
      <c r="M12" s="121">
        <f>SUMIFS('26OctTo1Nov'!$L:$L, '26OctTo1Nov'!$J:$J, $A12)</f>
        <v>4</v>
      </c>
      <c r="N12" s="121">
        <f>SUMIFS('26OctTo1Nov'!$K:$K, '26OctTo1Nov'!$J:$J, $A12)</f>
        <v>232</v>
      </c>
      <c r="O12" s="121">
        <f>SUMIFS('26OctTo1Nov'!$O:$O, '26OctTo1Nov'!$J:$J, $A12)</f>
        <v>3.08</v>
      </c>
      <c r="P12" s="121">
        <f>SUMIFS('26OctTo1Nov'!$P:$P, '26OctTo1Nov'!$J:$J, $A12)</f>
        <v>49.88</v>
      </c>
      <c r="Q12" s="122">
        <f t="shared" si="2"/>
        <v>6.1748195669607053</v>
      </c>
      <c r="R12" s="121">
        <f>SUMIFS('19OctTo25Oct'!$L:$L, '19OctTo25Oct'!$J:$J, $A12)</f>
        <v>0</v>
      </c>
      <c r="S12" s="121">
        <f>SUMIFS('19OctTo25Oct'!$K:$K, '19OctTo25Oct'!$J:$J, $A12)</f>
        <v>0</v>
      </c>
      <c r="T12" s="121">
        <f>SUMIFS('19OctTo25Oct'!$O:$O, '19OctTo25Oct'!$J:$J, $A12)</f>
        <v>0</v>
      </c>
      <c r="U12" s="121">
        <f>SUMIFS('19OctTo25Oct'!$P:$P, '19OctTo25Oct'!$J:$J, $A12)</f>
        <v>0</v>
      </c>
      <c r="V12" s="122">
        <f t="shared" si="3"/>
        <v>0</v>
      </c>
      <c r="W12" s="121">
        <f>SUMIFS('12OctTo18Oct'!$L:$L, '12OctTo18Oct'!$J:$J, $A12)</f>
        <v>0</v>
      </c>
      <c r="X12" s="121">
        <f>SUMIFS('12OctTo18Oct'!$K:$K, '12OctTo18Oct'!$J:$J, $A12)</f>
        <v>0</v>
      </c>
      <c r="Y12" s="121">
        <f>SUMIFS('12OctTo18Oct'!$O:$O, '12OctTo18Oct'!$J:$J, $A12)</f>
        <v>0</v>
      </c>
      <c r="Z12" s="121">
        <f>SUMIFS('12OctTo18Oct'!$P:$P, '12OctTo18Oct'!$J:$J, $A12)</f>
        <v>0</v>
      </c>
      <c r="AA12" s="122">
        <f t="shared" si="4"/>
        <v>0</v>
      </c>
      <c r="AB12" s="121">
        <f>SUMIFS('5OctTo11Oct'!$L:$L, '5OctTo11Oct'!$J:$J, $A12)</f>
        <v>0</v>
      </c>
      <c r="AC12" s="121">
        <f>SUMIFS('5OctTo11Oct'!$K:$K, '5OctTo11Oct'!$J:$J, $A12)</f>
        <v>0</v>
      </c>
      <c r="AD12" s="121">
        <f>SUMIFS('5OctTo11Oct'!$O:$O, '5OctTo11Oct'!$J:$J, $A12)</f>
        <v>0</v>
      </c>
      <c r="AE12" s="121">
        <f>SUMIFS('5OctTo11Oct'!$P:$P, '5OctTo11Oct'!$J:$J, $A12)</f>
        <v>0</v>
      </c>
      <c r="AF12" s="123">
        <f t="shared" si="5"/>
        <v>0</v>
      </c>
      <c r="AG12" s="121">
        <f>SUMIFS('28SepTo4Oct'!$L:$L, '28SepTo4Oct'!$J:$J, $A12)</f>
        <v>3</v>
      </c>
      <c r="AH12" s="121">
        <f>SUMIFS('28SepTo4Oct'!$K:$K, '28SepTo4Oct'!$J:$J, $A12)</f>
        <v>132</v>
      </c>
      <c r="AI12" s="121">
        <f>SUMIFS('28SepTo4Oct'!$O:$O, '28SepTo4Oct'!$J:$J, $A12)</f>
        <v>1.47</v>
      </c>
      <c r="AJ12" s="121">
        <f>SUMIFS('28SepTo4Oct'!$P:$P, '28SepTo4Oct'!$J:$J, $A12)</f>
        <v>24.94</v>
      </c>
      <c r="AK12" s="123">
        <f t="shared" si="6"/>
        <v>5.8941459502806737</v>
      </c>
      <c r="AL12" s="121">
        <f>SUMIFS('21SepTo27Sep'!$L:$L, '21SepTo27Sep'!$J:$J, $A12)</f>
        <v>4</v>
      </c>
      <c r="AM12" s="121">
        <f>SUMIFS('21SepTo27Sep'!$K:$K, '21SepTo27Sep'!$J:$J, $A12)</f>
        <v>43</v>
      </c>
      <c r="AN12" s="121">
        <f>SUMIFS('21SepTo27Sep'!$O:$O, '21SepTo27Sep'!$J:$J, $A12)</f>
        <v>4.88</v>
      </c>
      <c r="AO12" s="121">
        <f>SUMIFS('21SepTo27Sep'!$P:$P, '21SepTo27Sep'!$J:$J, $A12)</f>
        <v>24.94</v>
      </c>
      <c r="AP12" s="123">
        <f t="shared" si="7"/>
        <v>19.566960705693663</v>
      </c>
      <c r="AQ12" s="121">
        <f>SUMIFS('14SepTo20Sep'!$L:$L, '14SepTo20Sep'!$J:$J, $A12)</f>
        <v>3</v>
      </c>
      <c r="AR12" s="121">
        <f>SUMIFS('14SepTo20Sep'!$K:$K, '14SepTo20Sep'!$J:$J, $A12)</f>
        <v>393</v>
      </c>
      <c r="AS12" s="121">
        <f>SUMIFS('14SepTo20Sep'!$O:$O, '14SepTo20Sep'!$J:$J, $A12)</f>
        <v>0.23</v>
      </c>
      <c r="AT12" s="121">
        <f>SUMIFS('14SepTo20Sep'!$P:$P, '14SepTo20Sep'!$J:$J, $A12)</f>
        <v>24.94</v>
      </c>
      <c r="AU12" s="123">
        <f t="shared" si="8"/>
        <v>0.92221331194867684</v>
      </c>
      <c r="AV12" s="121">
        <f>SUMIFS('7SepTo13Sep'!$L:$L, '7SepTo13Sep'!$J:$J, $A12)</f>
        <v>0</v>
      </c>
      <c r="AW12" s="121">
        <f>SUMIFS('7SepTo13Sep'!$K:$K, '7SepTo13Sep'!$J:$J, $A12)</f>
        <v>0</v>
      </c>
      <c r="AX12" s="121">
        <f>SUMIFS('7SepTo13Sep'!$O:$O, '7SepTo13Sep'!$J:$J, $A12)</f>
        <v>0</v>
      </c>
      <c r="AY12" s="121">
        <f>SUMIFS('7SepTo13Sep'!$P:$P, '7SepTo13Sep'!$J:$J, $A12)</f>
        <v>0</v>
      </c>
      <c r="AZ12" s="123">
        <f t="shared" si="9"/>
        <v>0</v>
      </c>
      <c r="BA12" s="121">
        <f>SUMIFS('31AugTo6Sep'!$L:$L, '31AugTo6Sep'!$J:$J, $A12)</f>
        <v>0</v>
      </c>
      <c r="BB12" s="121">
        <f>SUMIFS('31AugTo6Sep'!$K:$K, '31AugTo6Sep'!$J:$J, $A12)</f>
        <v>0</v>
      </c>
      <c r="BC12" s="121">
        <f>SUMIFS('31AugTo6Sep'!$O:$O, '31AugTo6Sep'!$J:$J, $A12)</f>
        <v>0</v>
      </c>
      <c r="BD12" s="121">
        <f>SUMIFS('31AugTo6Sep'!$P:$P, '31AugTo6Sep'!$J:$J, $A12)</f>
        <v>0</v>
      </c>
      <c r="BE12" s="123">
        <f t="shared" si="10"/>
        <v>0</v>
      </c>
      <c r="BF12" s="121">
        <f>SUMIFS('24AugTo29Aug'!$L:$L, '24AugTo29Aug'!$J:$J, $A12)</f>
        <v>0</v>
      </c>
      <c r="BG12" s="121">
        <f>SUMIFS('24AugTo29Aug'!$K:$K, '24AugTo29Aug'!$J:$J, $A12)</f>
        <v>0</v>
      </c>
      <c r="BH12" s="121">
        <f>SUMIFS('24AugTo29Aug'!$O:$O, '24AugTo29Aug'!$J:$J, $A12)</f>
        <v>0</v>
      </c>
      <c r="BI12" s="121">
        <f>SUMIFS('24AugTo29Aug'!$P:$P, '24AugTo29Aug'!$J:$J, $A12)</f>
        <v>0</v>
      </c>
      <c r="BJ12" s="123">
        <f t="shared" si="11"/>
        <v>0</v>
      </c>
      <c r="BK12" s="121">
        <f>SUMIFS('17AugTo21Aug'!$L:$L, '17AugTo21Aug'!$J:$J, $A12)</f>
        <v>0</v>
      </c>
      <c r="BL12" s="121">
        <f>SUMIFS('17AugTo21Aug'!$K:$K, '17AugTo21Aug'!$J:$J, $A12)</f>
        <v>0</v>
      </c>
      <c r="BM12" s="121">
        <f>SUMIFS('17AugTo21Aug'!$O:$O, '17AugTo21Aug'!$J:$J, $A12)</f>
        <v>0</v>
      </c>
      <c r="BN12" s="121">
        <f>SUMIFS('17AugTo21Aug'!$P:$P, '17AugTo21Aug'!$J:$J, $A12)</f>
        <v>0</v>
      </c>
      <c r="BO12" s="123">
        <f t="shared" si="12"/>
        <v>0</v>
      </c>
      <c r="BP12" s="121">
        <f>SUMIFS('10AugTo16Aug'!$L:$L, '10AugTo16Aug'!$J:$J, $A12)</f>
        <v>6</v>
      </c>
      <c r="BQ12" s="121">
        <f>SUMIFS('10AugTo16Aug'!$K:$K, '10AugTo16Aug'!$J:$J, $A12)</f>
        <v>275</v>
      </c>
      <c r="BR12" s="121">
        <f>SUMIFS('10AugTo16Aug'!$O:$O, '10AugTo16Aug'!$J:$J, $A12)</f>
        <v>4.1399999999999997</v>
      </c>
      <c r="BS12" s="121">
        <f>SUMIFS('10AugTo16Aug'!$P:$P, '10AugTo16Aug'!$J:$J, $A12)</f>
        <v>49.88</v>
      </c>
      <c r="BT12" s="123">
        <f t="shared" si="13"/>
        <v>8.2999198075380907</v>
      </c>
      <c r="BU12" s="121">
        <f>SUMIFS('3AugTo9Aug'!$L:$L, '3AugTo9Aug'!$J:$J, $A12)</f>
        <v>0</v>
      </c>
      <c r="BV12" s="121">
        <f>SUMIFS('3AugTo9Aug'!$K:$K, '3AugTo9Aug'!$J:$J, $A12)</f>
        <v>0</v>
      </c>
      <c r="BW12" s="121">
        <f>SUMIFS('3AugTo9Aug'!$O:$O, '3AugTo9Aug'!$J:$J, $A12)</f>
        <v>0</v>
      </c>
      <c r="BX12" s="121">
        <v>448.92</v>
      </c>
      <c r="BY12" s="123">
        <f t="shared" si="14"/>
        <v>0</v>
      </c>
      <c r="BZ12" s="121">
        <f>SUMIFS('27JulyTo2Aug'!$L:$L, '27JulyTo2Aug'!$J:$J, $A12)</f>
        <v>0</v>
      </c>
      <c r="CA12" s="121">
        <f>SUMIFS('27JulyTo2Aug'!$K:$K, '27JulyTo2Aug'!$J:$J, $A12)</f>
        <v>0</v>
      </c>
      <c r="CB12" s="121">
        <f>SUMIFS('27JulyTo2Aug'!$O:$O, '27JulyTo2Aug'!$J:$J, $A12)</f>
        <v>0</v>
      </c>
      <c r="CC12" s="121">
        <f>SUMIFS('27JulyTo2Aug'!$P:$P, '27JulyTo2Aug'!$J:$J, $A12)</f>
        <v>0</v>
      </c>
      <c r="CD12" s="123">
        <f t="shared" si="15"/>
        <v>0</v>
      </c>
    </row>
    <row r="13" spans="1:82" ht="14.25" customHeight="1" x14ac:dyDescent="0.3">
      <c r="A13" s="124" t="s">
        <v>97</v>
      </c>
      <c r="B13" s="120" t="str">
        <f t="shared" si="16"/>
        <v>WINNER</v>
      </c>
      <c r="C13" s="121">
        <f>SUMIFS('9NovTo15Nov'!$L:$L, '9NovTo15Nov'!$J:$J, $A13)</f>
        <v>2</v>
      </c>
      <c r="D13" s="121">
        <f>SUMIFS('9NovTo15Nov'!$K:$K, '9NovTo15Nov'!$J:$J, $A13)</f>
        <v>16</v>
      </c>
      <c r="E13" s="121">
        <f>SUMIFS('9NovTo15Nov'!$O:$O, '9NovTo15Nov'!$J:$J, $A13)</f>
        <v>6.38</v>
      </c>
      <c r="F13" s="121">
        <f>SUMIFS('9NovTo15Nov'!$P:$P, '9NovTo15Nov'!$J:$J, $A13)</f>
        <v>24.94</v>
      </c>
      <c r="G13" s="122">
        <f t="shared" si="0"/>
        <v>25.581395348837212</v>
      </c>
      <c r="H13" s="121">
        <f>SUMIFS('2NovTo8Nov'!$L:$L, '2NovTo8Nov'!$J:$J, $A13)</f>
        <v>0</v>
      </c>
      <c r="I13" s="121">
        <f>SUMIFS('2NovTo8Nov'!$K:$K, '2NovTo8Nov'!$J:$J, $A13)</f>
        <v>0</v>
      </c>
      <c r="J13" s="121">
        <f>SUMIFS('2NovTo8Nov'!$O:$O, '2NovTo8Nov'!$J:$J, $A13)</f>
        <v>0</v>
      </c>
      <c r="K13" s="121">
        <f>SUMIFS('2NovTo8Nov'!$P:$P, '2NovTo8Nov'!$J:$J, $A13)</f>
        <v>0</v>
      </c>
      <c r="L13" s="122">
        <f t="shared" si="1"/>
        <v>0</v>
      </c>
      <c r="M13" s="121">
        <f>SUMIFS('26OctTo1Nov'!$L:$L, '26OctTo1Nov'!$J:$J, $A13)</f>
        <v>3</v>
      </c>
      <c r="N13" s="121">
        <f>SUMIFS('26OctTo1Nov'!$K:$K, '26OctTo1Nov'!$J:$J, $A13)</f>
        <v>55</v>
      </c>
      <c r="O13" s="121">
        <f>SUMIFS('26OctTo1Nov'!$O:$O, '26OctTo1Nov'!$J:$J, $A13)</f>
        <v>11.19</v>
      </c>
      <c r="P13" s="121">
        <f>SUMIFS('26OctTo1Nov'!$P:$P, '26OctTo1Nov'!$J:$J, $A13)</f>
        <v>49.88</v>
      </c>
      <c r="Q13" s="122">
        <f t="shared" si="2"/>
        <v>22.433841218925419</v>
      </c>
      <c r="R13" s="121">
        <f>SUMIFS('19OctTo25Oct'!$L:$L, '19OctTo25Oct'!$J:$J, $A13)</f>
        <v>0</v>
      </c>
      <c r="S13" s="121">
        <f>SUMIFS('19OctTo25Oct'!$K:$K, '19OctTo25Oct'!$J:$J, $A13)</f>
        <v>0</v>
      </c>
      <c r="T13" s="121">
        <f>SUMIFS('19OctTo25Oct'!$O:$O, '19OctTo25Oct'!$J:$J, $A13)</f>
        <v>0</v>
      </c>
      <c r="U13" s="121">
        <f>SUMIFS('19OctTo25Oct'!$P:$P, '19OctTo25Oct'!$J:$J, $A13)</f>
        <v>0</v>
      </c>
      <c r="V13" s="122">
        <f t="shared" si="3"/>
        <v>0</v>
      </c>
      <c r="W13" s="121">
        <f>SUMIFS('12OctTo18Oct'!$L:$L, '12OctTo18Oct'!$J:$J, $A13)</f>
        <v>0</v>
      </c>
      <c r="X13" s="121">
        <f>SUMIFS('12OctTo18Oct'!$K:$K, '12OctTo18Oct'!$J:$J, $A13)</f>
        <v>0</v>
      </c>
      <c r="Y13" s="121">
        <f>SUMIFS('12OctTo18Oct'!$O:$O, '12OctTo18Oct'!$J:$J, $A13)</f>
        <v>0</v>
      </c>
      <c r="Z13" s="121">
        <f>SUMIFS('12OctTo18Oct'!$P:$P, '12OctTo18Oct'!$J:$J, $A13)</f>
        <v>0</v>
      </c>
      <c r="AA13" s="122">
        <f t="shared" si="4"/>
        <v>0</v>
      </c>
      <c r="AB13" s="121">
        <f>SUMIFS('5OctTo11Oct'!$L:$L, '5OctTo11Oct'!$J:$J, $A13)</f>
        <v>0</v>
      </c>
      <c r="AC13" s="121">
        <f>SUMIFS('5OctTo11Oct'!$K:$K, '5OctTo11Oct'!$J:$J, $A13)</f>
        <v>0</v>
      </c>
      <c r="AD13" s="121">
        <f>SUMIFS('5OctTo11Oct'!$O:$O, '5OctTo11Oct'!$J:$J, $A13)</f>
        <v>0</v>
      </c>
      <c r="AE13" s="121">
        <f>SUMIFS('5OctTo11Oct'!$P:$P, '5OctTo11Oct'!$J:$J, $A13)</f>
        <v>0</v>
      </c>
      <c r="AF13" s="123">
        <f t="shared" si="5"/>
        <v>0</v>
      </c>
      <c r="AG13" s="121">
        <f>SUMIFS('28SepTo4Oct'!$L:$L, '28SepTo4Oct'!$J:$J, $A13)</f>
        <v>0</v>
      </c>
      <c r="AH13" s="121">
        <f>SUMIFS('28SepTo4Oct'!$K:$K, '28SepTo4Oct'!$J:$J, $A13)</f>
        <v>0</v>
      </c>
      <c r="AI13" s="121">
        <f>SUMIFS('28SepTo4Oct'!$O:$O, '28SepTo4Oct'!$J:$J, $A13)</f>
        <v>0</v>
      </c>
      <c r="AJ13" s="121">
        <f>SUMIFS('28SepTo4Oct'!$P:$P, '28SepTo4Oct'!$J:$J, $A13)</f>
        <v>0</v>
      </c>
      <c r="AK13" s="123">
        <f t="shared" si="6"/>
        <v>0</v>
      </c>
      <c r="AL13" s="121">
        <f>SUMIFS('21SepTo27Sep'!$L:$L, '21SepTo27Sep'!$J:$J, $A13)</f>
        <v>0</v>
      </c>
      <c r="AM13" s="121">
        <f>SUMIFS('21SepTo27Sep'!$K:$K, '21SepTo27Sep'!$J:$J, $A13)</f>
        <v>0</v>
      </c>
      <c r="AN13" s="121">
        <f>SUMIFS('21SepTo27Sep'!$O:$O, '21SepTo27Sep'!$J:$J, $A13)</f>
        <v>0</v>
      </c>
      <c r="AO13" s="121">
        <f>SUMIFS('21SepTo27Sep'!$P:$P, '21SepTo27Sep'!$J:$J, $A13)</f>
        <v>0</v>
      </c>
      <c r="AP13" s="123">
        <f t="shared" si="7"/>
        <v>0</v>
      </c>
      <c r="AQ13" s="121">
        <f>SUMIFS('14SepTo20Sep'!$L:$L, '14SepTo20Sep'!$J:$J, $A13)</f>
        <v>0</v>
      </c>
      <c r="AR13" s="121">
        <f>SUMIFS('14SepTo20Sep'!$K:$K, '14SepTo20Sep'!$J:$J, $A13)</f>
        <v>0</v>
      </c>
      <c r="AS13" s="121">
        <f>SUMIFS('14SepTo20Sep'!$O:$O, '14SepTo20Sep'!$J:$J, $A13)</f>
        <v>0</v>
      </c>
      <c r="AT13" s="121">
        <f>SUMIFS('14SepTo20Sep'!$P:$P, '14SepTo20Sep'!$J:$J, $A13)</f>
        <v>0</v>
      </c>
      <c r="AU13" s="123">
        <f t="shared" si="8"/>
        <v>0</v>
      </c>
      <c r="AV13" s="121">
        <f>SUMIFS('7SepTo13Sep'!$L:$L, '7SepTo13Sep'!$J:$J, $A13)</f>
        <v>0</v>
      </c>
      <c r="AW13" s="121">
        <f>SUMIFS('7SepTo13Sep'!$K:$K, '7SepTo13Sep'!$J:$J, $A13)</f>
        <v>0</v>
      </c>
      <c r="AX13" s="121">
        <f>SUMIFS('7SepTo13Sep'!$O:$O, '7SepTo13Sep'!$J:$J, $A13)</f>
        <v>0</v>
      </c>
      <c r="AY13" s="121">
        <f>SUMIFS('7SepTo13Sep'!$P:$P, '7SepTo13Sep'!$J:$J, $A13)</f>
        <v>0</v>
      </c>
      <c r="AZ13" s="123">
        <f t="shared" si="9"/>
        <v>0</v>
      </c>
      <c r="BA13" s="121">
        <f>SUMIFS('31AugTo6Sep'!$L:$L, '31AugTo6Sep'!$J:$J, $A13)</f>
        <v>0</v>
      </c>
      <c r="BB13" s="121">
        <f>SUMIFS('31AugTo6Sep'!$K:$K, '31AugTo6Sep'!$J:$J, $A13)</f>
        <v>0</v>
      </c>
      <c r="BC13" s="121">
        <f>SUMIFS('31AugTo6Sep'!$O:$O, '31AugTo6Sep'!$J:$J, $A13)</f>
        <v>0</v>
      </c>
      <c r="BD13" s="121">
        <f>SUMIFS('31AugTo6Sep'!$P:$P, '31AugTo6Sep'!$J:$J, $A13)</f>
        <v>0</v>
      </c>
      <c r="BE13" s="123">
        <f t="shared" si="10"/>
        <v>0</v>
      </c>
      <c r="BF13" s="121">
        <f>SUMIFS('24AugTo29Aug'!$L:$L, '24AugTo29Aug'!$J:$J, $A13)</f>
        <v>0</v>
      </c>
      <c r="BG13" s="121">
        <f>SUMIFS('24AugTo29Aug'!$K:$K, '24AugTo29Aug'!$J:$J, $A13)</f>
        <v>0</v>
      </c>
      <c r="BH13" s="121">
        <f>SUMIFS('24AugTo29Aug'!$O:$O, '24AugTo29Aug'!$J:$J, $A13)</f>
        <v>0</v>
      </c>
      <c r="BI13" s="121">
        <f>SUMIFS('24AugTo29Aug'!$P:$P, '24AugTo29Aug'!$J:$J, $A13)</f>
        <v>0</v>
      </c>
      <c r="BJ13" s="123">
        <f t="shared" si="11"/>
        <v>0</v>
      </c>
      <c r="BK13" s="121">
        <f>SUMIFS('17AugTo21Aug'!$L:$L, '17AugTo21Aug'!$J:$J, $A13)</f>
        <v>0</v>
      </c>
      <c r="BL13" s="121">
        <f>SUMIFS('17AugTo21Aug'!$K:$K, '17AugTo21Aug'!$J:$J, $A13)</f>
        <v>0</v>
      </c>
      <c r="BM13" s="121">
        <f>SUMIFS('17AugTo21Aug'!$O:$O, '17AugTo21Aug'!$J:$J, $A13)</f>
        <v>0</v>
      </c>
      <c r="BN13" s="121">
        <f>SUMIFS('17AugTo21Aug'!$P:$P, '17AugTo21Aug'!$J:$J, $A13)</f>
        <v>0</v>
      </c>
      <c r="BO13" s="123">
        <f t="shared" si="12"/>
        <v>0</v>
      </c>
      <c r="BP13" s="121">
        <f>SUMIFS('10AugTo16Aug'!$L:$L, '10AugTo16Aug'!$J:$J, $A13)</f>
        <v>0</v>
      </c>
      <c r="BQ13" s="121">
        <f>SUMIFS('10AugTo16Aug'!$K:$K, '10AugTo16Aug'!$J:$J, $A13)</f>
        <v>0</v>
      </c>
      <c r="BR13" s="121">
        <f>SUMIFS('10AugTo16Aug'!$O:$O, '10AugTo16Aug'!$J:$J, $A13)</f>
        <v>0</v>
      </c>
      <c r="BS13" s="121">
        <f>SUMIFS('10AugTo16Aug'!$P:$P, '10AugTo16Aug'!$J:$J, $A13)</f>
        <v>0</v>
      </c>
      <c r="BT13" s="123">
        <f t="shared" si="13"/>
        <v>0</v>
      </c>
      <c r="BU13" s="121">
        <f>SUMIFS('3AugTo9Aug'!$L:$L, '3AugTo9Aug'!$J:$J, $A13)</f>
        <v>3</v>
      </c>
      <c r="BV13" s="121">
        <f>SUMIFS('3AugTo9Aug'!$K:$K, '3AugTo9Aug'!$J:$J, $A13)</f>
        <v>23</v>
      </c>
      <c r="BW13" s="121">
        <f>SUMIFS('3AugTo9Aug'!$O:$O, '3AugTo9Aug'!$J:$J, $A13)</f>
        <v>11.33</v>
      </c>
      <c r="BX13" s="121">
        <f>SUMIFS('3AugTo9Aug'!$P:$P, '3AugTo9Aug'!$J:$J, $A13)</f>
        <v>24.94</v>
      </c>
      <c r="BY13" s="123">
        <f t="shared" si="14"/>
        <v>45.429029671210905</v>
      </c>
      <c r="BZ13" s="121">
        <f>SUMIFS('27JulyTo2Aug'!$L:$L, '27JulyTo2Aug'!$J:$J, $A13)</f>
        <v>0</v>
      </c>
      <c r="CA13" s="121">
        <f>SUMIFS('27JulyTo2Aug'!$K:$K, '27JulyTo2Aug'!$J:$J, $A13)</f>
        <v>0</v>
      </c>
      <c r="CB13" s="121">
        <f>SUMIFS('27JulyTo2Aug'!$O:$O, '27JulyTo2Aug'!$J:$J, $A13)</f>
        <v>0</v>
      </c>
      <c r="CC13" s="121">
        <f>SUMIFS('27JulyTo2Aug'!$P:$P, '27JulyTo2Aug'!$J:$J, $A13)</f>
        <v>0</v>
      </c>
      <c r="CD13" s="123">
        <f t="shared" si="15"/>
        <v>0</v>
      </c>
    </row>
    <row r="14" spans="1:82" ht="14.25" customHeight="1" x14ac:dyDescent="0.3">
      <c r="A14" s="119" t="s">
        <v>74</v>
      </c>
      <c r="B14" s="120" t="str">
        <f t="shared" si="16"/>
        <v>HIGH ACOS</v>
      </c>
      <c r="C14" s="121">
        <f>SUMIFS('9NovTo15Nov'!$L:$L, '9NovTo15Nov'!$J:$J, $A14)</f>
        <v>3</v>
      </c>
      <c r="D14" s="121">
        <f>SUMIFS('9NovTo15Nov'!$K:$K, '9NovTo15Nov'!$J:$J, $A14)</f>
        <v>17</v>
      </c>
      <c r="E14" s="121">
        <f>SUMIFS('9NovTo15Nov'!$O:$O, '9NovTo15Nov'!$J:$J, $A14)</f>
        <v>10.81</v>
      </c>
      <c r="F14" s="121">
        <f>SUMIFS('9NovTo15Nov'!$P:$P, '9NovTo15Nov'!$J:$J, $A14)</f>
        <v>24.94</v>
      </c>
      <c r="G14" s="122">
        <f t="shared" si="0"/>
        <v>43.344025661587807</v>
      </c>
      <c r="H14" s="121">
        <f>SUMIFS('2NovTo8Nov'!$L:$L, '2NovTo8Nov'!$J:$J, $A14)</f>
        <v>0</v>
      </c>
      <c r="I14" s="121">
        <f>SUMIFS('2NovTo8Nov'!$K:$K, '2NovTo8Nov'!$J:$J, $A14)</f>
        <v>0</v>
      </c>
      <c r="J14" s="121">
        <f>SUMIFS('2NovTo8Nov'!$O:$O, '2NovTo8Nov'!$J:$J, $A14)</f>
        <v>0</v>
      </c>
      <c r="K14" s="121">
        <f>SUMIFS('2NovTo8Nov'!$P:$P, '2NovTo8Nov'!$J:$J, $A14)</f>
        <v>0</v>
      </c>
      <c r="L14" s="122">
        <f t="shared" si="1"/>
        <v>0</v>
      </c>
      <c r="M14" s="121">
        <f>SUMIFS('26OctTo1Nov'!$L:$L, '26OctTo1Nov'!$J:$J, $A14)</f>
        <v>2</v>
      </c>
      <c r="N14" s="121">
        <f>SUMIFS('26OctTo1Nov'!$K:$K, '26OctTo1Nov'!$J:$J, $A14)</f>
        <v>10</v>
      </c>
      <c r="O14" s="121">
        <f>SUMIFS('26OctTo1Nov'!$O:$O, '26OctTo1Nov'!$J:$J, $A14)</f>
        <v>7.31</v>
      </c>
      <c r="P14" s="121">
        <f>SUMIFS('26OctTo1Nov'!$P:$P, '26OctTo1Nov'!$J:$J, $A14)</f>
        <v>24.94</v>
      </c>
      <c r="Q14" s="122">
        <f t="shared" si="2"/>
        <v>29.310344827586203</v>
      </c>
      <c r="R14" s="121">
        <f>SUMIFS('19OctTo25Oct'!$L:$L, '19OctTo25Oct'!$J:$J, $A14)</f>
        <v>0</v>
      </c>
      <c r="S14" s="121">
        <f>SUMIFS('19OctTo25Oct'!$K:$K, '19OctTo25Oct'!$J:$J, $A14)</f>
        <v>0</v>
      </c>
      <c r="T14" s="121">
        <f>SUMIFS('19OctTo25Oct'!$O:$O, '19OctTo25Oct'!$J:$J, $A14)</f>
        <v>0</v>
      </c>
      <c r="U14" s="121">
        <f>SUMIFS('19OctTo25Oct'!$P:$P, '19OctTo25Oct'!$J:$J, $A14)</f>
        <v>0</v>
      </c>
      <c r="V14" s="122">
        <f t="shared" si="3"/>
        <v>0</v>
      </c>
      <c r="W14" s="121">
        <f>SUMIFS('12OctTo18Oct'!$L:$L, '12OctTo18Oct'!$J:$J, $A14)</f>
        <v>0</v>
      </c>
      <c r="X14" s="121">
        <f>SUMIFS('12OctTo18Oct'!$K:$K, '12OctTo18Oct'!$J:$J, $A14)</f>
        <v>0</v>
      </c>
      <c r="Y14" s="121">
        <f>SUMIFS('12OctTo18Oct'!$O:$O, '12OctTo18Oct'!$J:$J, $A14)</f>
        <v>0</v>
      </c>
      <c r="Z14" s="121">
        <f>SUMIFS('12OctTo18Oct'!$P:$P, '12OctTo18Oct'!$J:$J, $A14)</f>
        <v>0</v>
      </c>
      <c r="AA14" s="122">
        <f t="shared" si="4"/>
        <v>0</v>
      </c>
      <c r="AB14" s="121">
        <f>SUMIFS('5OctTo11Oct'!$L:$L, '5OctTo11Oct'!$J:$J, $A14)</f>
        <v>0</v>
      </c>
      <c r="AC14" s="121">
        <f>SUMIFS('5OctTo11Oct'!$K:$K, '5OctTo11Oct'!$J:$J, $A14)</f>
        <v>0</v>
      </c>
      <c r="AD14" s="121">
        <f>SUMIFS('5OctTo11Oct'!$O:$O, '5OctTo11Oct'!$J:$J, $A14)</f>
        <v>0</v>
      </c>
      <c r="AE14" s="121">
        <f>SUMIFS('5OctTo11Oct'!$P:$P, '5OctTo11Oct'!$J:$J, $A14)</f>
        <v>0</v>
      </c>
      <c r="AF14" s="123">
        <f t="shared" si="5"/>
        <v>0</v>
      </c>
      <c r="AG14" s="121">
        <f>SUMIFS('28SepTo4Oct'!$L:$L, '28SepTo4Oct'!$J:$J, $A14)</f>
        <v>0</v>
      </c>
      <c r="AH14" s="121">
        <f>SUMIFS('28SepTo4Oct'!$K:$K, '28SepTo4Oct'!$J:$J, $A14)</f>
        <v>0</v>
      </c>
      <c r="AI14" s="121">
        <f>SUMIFS('28SepTo4Oct'!$O:$O, '28SepTo4Oct'!$J:$J, $A14)</f>
        <v>0</v>
      </c>
      <c r="AJ14" s="121">
        <f>SUMIFS('28SepTo4Oct'!$P:$P, '28SepTo4Oct'!$J:$J, $A14)</f>
        <v>0</v>
      </c>
      <c r="AK14" s="123">
        <f t="shared" si="6"/>
        <v>0</v>
      </c>
      <c r="AL14" s="121">
        <f>SUMIFS('21SepTo27Sep'!$L:$L, '21SepTo27Sep'!$J:$J, $A14)</f>
        <v>2</v>
      </c>
      <c r="AM14" s="121">
        <f>SUMIFS('21SepTo27Sep'!$K:$K, '21SepTo27Sep'!$J:$J, $A14)</f>
        <v>7</v>
      </c>
      <c r="AN14" s="121">
        <f>SUMIFS('21SepTo27Sep'!$O:$O, '21SepTo27Sep'!$J:$J, $A14)</f>
        <v>7.77</v>
      </c>
      <c r="AO14" s="121">
        <f>SUMIFS('21SepTo27Sep'!$P:$P, '21SepTo27Sep'!$J:$J, $A14)</f>
        <v>24.94</v>
      </c>
      <c r="AP14" s="123">
        <f t="shared" si="7"/>
        <v>31.154771451483558</v>
      </c>
      <c r="AQ14" s="121">
        <f>SUMIFS('14SepTo20Sep'!$L:$L, '14SepTo20Sep'!$J:$J, $A14)</f>
        <v>2</v>
      </c>
      <c r="AR14" s="121">
        <f>SUMIFS('14SepTo20Sep'!$K:$K, '14SepTo20Sep'!$J:$J, $A14)</f>
        <v>7</v>
      </c>
      <c r="AS14" s="121">
        <f>SUMIFS('14SepTo20Sep'!$O:$O, '14SepTo20Sep'!$J:$J, $A14)</f>
        <v>7.97</v>
      </c>
      <c r="AT14" s="121">
        <f>SUMIFS('14SepTo20Sep'!$P:$P, '14SepTo20Sep'!$J:$J, $A14)</f>
        <v>24.94</v>
      </c>
      <c r="AU14" s="123">
        <f t="shared" si="8"/>
        <v>31.956696070569361</v>
      </c>
      <c r="AV14" s="121">
        <f>SUMIFS('7SepTo13Sep'!$L:$L, '7SepTo13Sep'!$J:$J, $A14)</f>
        <v>0</v>
      </c>
      <c r="AW14" s="121">
        <f>SUMIFS('7SepTo13Sep'!$K:$K, '7SepTo13Sep'!$J:$J, $A14)</f>
        <v>0</v>
      </c>
      <c r="AX14" s="121">
        <f>SUMIFS('7SepTo13Sep'!$O:$O, '7SepTo13Sep'!$J:$J, $A14)</f>
        <v>0</v>
      </c>
      <c r="AY14" s="121">
        <f>SUMIFS('7SepTo13Sep'!$P:$P, '7SepTo13Sep'!$J:$J, $A14)</f>
        <v>0</v>
      </c>
      <c r="AZ14" s="123">
        <f t="shared" si="9"/>
        <v>0</v>
      </c>
      <c r="BA14" s="121">
        <f>SUMIFS('31AugTo6Sep'!$L:$L, '31AugTo6Sep'!$J:$J, $A14)</f>
        <v>0</v>
      </c>
      <c r="BB14" s="121">
        <f>SUMIFS('31AugTo6Sep'!$K:$K, '31AugTo6Sep'!$J:$J, $A14)</f>
        <v>0</v>
      </c>
      <c r="BC14" s="121">
        <f>SUMIFS('31AugTo6Sep'!$O:$O, '31AugTo6Sep'!$J:$J, $A14)</f>
        <v>0</v>
      </c>
      <c r="BD14" s="121">
        <f>SUMIFS('31AugTo6Sep'!$P:$P, '31AugTo6Sep'!$J:$J, $A14)</f>
        <v>0</v>
      </c>
      <c r="BE14" s="123">
        <f t="shared" si="10"/>
        <v>0</v>
      </c>
      <c r="BF14" s="121">
        <f>SUMIFS('24AugTo29Aug'!$L:$L, '24AugTo29Aug'!$J:$J, $A14)</f>
        <v>0</v>
      </c>
      <c r="BG14" s="121">
        <f>SUMIFS('24AugTo29Aug'!$K:$K, '24AugTo29Aug'!$J:$J, $A14)</f>
        <v>0</v>
      </c>
      <c r="BH14" s="121">
        <f>SUMIFS('24AugTo29Aug'!$O:$O, '24AugTo29Aug'!$J:$J, $A14)</f>
        <v>0</v>
      </c>
      <c r="BI14" s="121">
        <f>SUMIFS('24AugTo29Aug'!$P:$P, '24AugTo29Aug'!$J:$J, $A14)</f>
        <v>0</v>
      </c>
      <c r="BJ14" s="123">
        <f t="shared" si="11"/>
        <v>0</v>
      </c>
      <c r="BK14" s="121">
        <f>SUMIFS('17AugTo21Aug'!$L:$L, '17AugTo21Aug'!$J:$J, $A14)</f>
        <v>1</v>
      </c>
      <c r="BL14" s="121">
        <f>SUMIFS('17AugTo21Aug'!$K:$K, '17AugTo21Aug'!$J:$J, $A14)</f>
        <v>2</v>
      </c>
      <c r="BM14" s="121">
        <f>SUMIFS('17AugTo21Aug'!$O:$O, '17AugTo21Aug'!$J:$J, $A14)</f>
        <v>3.5</v>
      </c>
      <c r="BN14" s="121">
        <f>SUMIFS('17AugTo21Aug'!$P:$P, '17AugTo21Aug'!$J:$J, $A14)</f>
        <v>24.94</v>
      </c>
      <c r="BO14" s="123">
        <f t="shared" si="12"/>
        <v>14.033680834001602</v>
      </c>
      <c r="BP14" s="121">
        <f>SUMIFS('10AugTo16Aug'!$L:$L, '10AugTo16Aug'!$J:$J, $A14)</f>
        <v>4</v>
      </c>
      <c r="BQ14" s="121">
        <f>SUMIFS('10AugTo16Aug'!$K:$K, '10AugTo16Aug'!$J:$J, $A14)</f>
        <v>27</v>
      </c>
      <c r="BR14" s="121">
        <f>SUMIFS('10AugTo16Aug'!$O:$O, '10AugTo16Aug'!$J:$J, $A14)</f>
        <v>12.38</v>
      </c>
      <c r="BS14" s="121">
        <f>SUMIFS('10AugTo16Aug'!$P:$P, '10AugTo16Aug'!$J:$J, $A14)</f>
        <v>24.94</v>
      </c>
      <c r="BT14" s="123">
        <f t="shared" si="13"/>
        <v>49.639133921411386</v>
      </c>
      <c r="BU14" s="121">
        <f>SUMIFS('3AugTo9Aug'!$L:$L, '3AugTo9Aug'!$J:$J, $A14)</f>
        <v>0</v>
      </c>
      <c r="BV14" s="121">
        <f>SUMIFS('3AugTo9Aug'!$K:$K, '3AugTo9Aug'!$J:$J, $A14)</f>
        <v>0</v>
      </c>
      <c r="BW14" s="121">
        <f>SUMIFS('3AugTo9Aug'!$O:$O, '3AugTo9Aug'!$J:$J, $A14)</f>
        <v>0</v>
      </c>
      <c r="BX14" s="121">
        <f>SUMIFS('3AugTo9Aug'!$P:$P, '3AugTo9Aug'!$J:$J, $A14)</f>
        <v>0</v>
      </c>
      <c r="BY14" s="123">
        <f t="shared" si="14"/>
        <v>0</v>
      </c>
      <c r="BZ14" s="121">
        <f>SUMIFS('27JulyTo2Aug'!$L:$L, '27JulyTo2Aug'!$J:$J, $A14)</f>
        <v>0</v>
      </c>
      <c r="CA14" s="121">
        <f>SUMIFS('27JulyTo2Aug'!$K:$K, '27JulyTo2Aug'!$J:$J, $A14)</f>
        <v>0</v>
      </c>
      <c r="CB14" s="121">
        <f>SUMIFS('27JulyTo2Aug'!$O:$O, '27JulyTo2Aug'!$J:$J, $A14)</f>
        <v>0</v>
      </c>
      <c r="CC14" s="121">
        <f>SUMIFS('27JulyTo2Aug'!$P:$P, '27JulyTo2Aug'!$J:$J, $A14)</f>
        <v>0</v>
      </c>
      <c r="CD14" s="123">
        <f t="shared" si="15"/>
        <v>0</v>
      </c>
    </row>
    <row r="15" spans="1:82" ht="14.25" customHeight="1" x14ac:dyDescent="0.3">
      <c r="A15" s="119" t="s">
        <v>221</v>
      </c>
      <c r="B15" s="120" t="str">
        <f t="shared" si="16"/>
        <v>WINNER</v>
      </c>
      <c r="C15" s="121">
        <f>SUMIFS('9NovTo15Nov'!$L:$L, '9NovTo15Nov'!$J:$J, $A15)</f>
        <v>0</v>
      </c>
      <c r="D15" s="121">
        <f>SUMIFS('9NovTo15Nov'!$K:$K, '9NovTo15Nov'!$J:$J, $A15)</f>
        <v>0</v>
      </c>
      <c r="E15" s="121">
        <f>SUMIFS('9NovTo15Nov'!$O:$O, '9NovTo15Nov'!$J:$J, $A15)</f>
        <v>0</v>
      </c>
      <c r="F15" s="121">
        <f>SUMIFS('9NovTo15Nov'!$P:$P, '9NovTo15Nov'!$J:$J, $A15)</f>
        <v>0</v>
      </c>
      <c r="G15" s="122">
        <f t="shared" si="0"/>
        <v>0</v>
      </c>
      <c r="H15" s="121">
        <f>SUMIFS('2NovTo8Nov'!$L:$L, '2NovTo8Nov'!$J:$J, $A15)</f>
        <v>0</v>
      </c>
      <c r="I15" s="121">
        <f>SUMIFS('2NovTo8Nov'!$K:$K, '2NovTo8Nov'!$J:$J, $A15)</f>
        <v>0</v>
      </c>
      <c r="J15" s="121">
        <f>SUMIFS('2NovTo8Nov'!$O:$O, '2NovTo8Nov'!$J:$J, $A15)</f>
        <v>0</v>
      </c>
      <c r="K15" s="121">
        <f>SUMIFS('2NovTo8Nov'!$P:$P, '2NovTo8Nov'!$J:$J, $A15)</f>
        <v>0</v>
      </c>
      <c r="L15" s="122">
        <f t="shared" si="1"/>
        <v>0</v>
      </c>
      <c r="M15" s="121">
        <f>SUMIFS('26OctTo1Nov'!$L:$L, '26OctTo1Nov'!$J:$J, $A15)</f>
        <v>1</v>
      </c>
      <c r="N15" s="121">
        <f>SUMIFS('26OctTo1Nov'!$K:$K, '26OctTo1Nov'!$J:$J, $A15)</f>
        <v>1</v>
      </c>
      <c r="O15" s="121">
        <f>SUMIFS('26OctTo1Nov'!$O:$O, '26OctTo1Nov'!$J:$J, $A15)</f>
        <v>2.54</v>
      </c>
      <c r="P15" s="121">
        <f>SUMIFS('26OctTo1Nov'!$P:$P, '26OctTo1Nov'!$J:$J, $A15)</f>
        <v>43.8</v>
      </c>
      <c r="Q15" s="122">
        <f t="shared" si="2"/>
        <v>5.7990867579908674</v>
      </c>
      <c r="R15" s="121">
        <f>SUMIFS('19OctTo25Oct'!$L:$L, '19OctTo25Oct'!$J:$J, $A15)</f>
        <v>0</v>
      </c>
      <c r="S15" s="121">
        <f>SUMIFS('19OctTo25Oct'!$K:$K, '19OctTo25Oct'!$J:$J, $A15)</f>
        <v>0</v>
      </c>
      <c r="T15" s="121">
        <f>SUMIFS('19OctTo25Oct'!$O:$O, '19OctTo25Oct'!$J:$J, $A15)</f>
        <v>0</v>
      </c>
      <c r="U15" s="121">
        <f>SUMIFS('19OctTo25Oct'!$P:$P, '19OctTo25Oct'!$J:$J, $A15)</f>
        <v>0</v>
      </c>
      <c r="V15" s="122">
        <f t="shared" si="3"/>
        <v>0</v>
      </c>
      <c r="W15" s="121">
        <f>SUMIFS('12OctTo18Oct'!$L:$L, '12OctTo18Oct'!$J:$J, $A15)</f>
        <v>0</v>
      </c>
      <c r="X15" s="121">
        <f>SUMIFS('12OctTo18Oct'!$K:$K, '12OctTo18Oct'!$J:$J, $A15)</f>
        <v>0</v>
      </c>
      <c r="Y15" s="121">
        <f>SUMIFS('12OctTo18Oct'!$O:$O, '12OctTo18Oct'!$J:$J, $A15)</f>
        <v>0</v>
      </c>
      <c r="Z15" s="121">
        <f>SUMIFS('12OctTo18Oct'!$P:$P, '12OctTo18Oct'!$J:$J, $A15)</f>
        <v>0</v>
      </c>
      <c r="AA15" s="122">
        <f t="shared" si="4"/>
        <v>0</v>
      </c>
      <c r="AB15" s="121">
        <f>SUMIFS('5OctTo11Oct'!$L:$L, '5OctTo11Oct'!$J:$J, $A15)</f>
        <v>0</v>
      </c>
      <c r="AC15" s="121">
        <f>SUMIFS('5OctTo11Oct'!$K:$K, '5OctTo11Oct'!$J:$J, $A15)</f>
        <v>0</v>
      </c>
      <c r="AD15" s="121">
        <f>SUMIFS('5OctTo11Oct'!$O:$O, '5OctTo11Oct'!$J:$J, $A15)</f>
        <v>0</v>
      </c>
      <c r="AE15" s="121">
        <f>SUMIFS('5OctTo11Oct'!$P:$P, '5OctTo11Oct'!$J:$J, $A15)</f>
        <v>0</v>
      </c>
      <c r="AF15" s="123">
        <f t="shared" si="5"/>
        <v>0</v>
      </c>
      <c r="AG15" s="121">
        <f>SUMIFS('28SepTo4Oct'!$L:$L, '28SepTo4Oct'!$J:$J, $A15)</f>
        <v>0</v>
      </c>
      <c r="AH15" s="121">
        <f>SUMIFS('28SepTo4Oct'!$K:$K, '28SepTo4Oct'!$J:$J, $A15)</f>
        <v>0</v>
      </c>
      <c r="AI15" s="121">
        <f>SUMIFS('28SepTo4Oct'!$O:$O, '28SepTo4Oct'!$J:$J, $A15)</f>
        <v>0</v>
      </c>
      <c r="AJ15" s="121">
        <f>SUMIFS('28SepTo4Oct'!$P:$P, '28SepTo4Oct'!$J:$J, $A15)</f>
        <v>0</v>
      </c>
      <c r="AK15" s="123">
        <f t="shared" si="6"/>
        <v>0</v>
      </c>
      <c r="AL15" s="121">
        <f>SUMIFS('21SepTo27Sep'!$L:$L, '21SepTo27Sep'!$J:$J, $A15)</f>
        <v>2</v>
      </c>
      <c r="AM15" s="121">
        <f>SUMIFS('21SepTo27Sep'!$K:$K, '21SepTo27Sep'!$J:$J, $A15)</f>
        <v>3</v>
      </c>
      <c r="AN15" s="121">
        <f>SUMIFS('21SepTo27Sep'!$O:$O, '21SepTo27Sep'!$J:$J, $A15)</f>
        <v>8.06</v>
      </c>
      <c r="AO15" s="121">
        <f>SUMIFS('21SepTo27Sep'!$P:$P, '21SepTo27Sep'!$J:$J, $A15)</f>
        <v>21.9</v>
      </c>
      <c r="AP15" s="123">
        <f t="shared" si="7"/>
        <v>36.803652968036531</v>
      </c>
      <c r="AQ15" s="121">
        <f>SUMIFS('14SepTo20Sep'!$L:$L, '14SepTo20Sep'!$J:$J, $A15)</f>
        <v>0</v>
      </c>
      <c r="AR15" s="121">
        <f>SUMIFS('14SepTo20Sep'!$K:$K, '14SepTo20Sep'!$J:$J, $A15)</f>
        <v>0</v>
      </c>
      <c r="AS15" s="121">
        <f>SUMIFS('14SepTo20Sep'!$O:$O, '14SepTo20Sep'!$J:$J, $A15)</f>
        <v>0</v>
      </c>
      <c r="AT15" s="121">
        <f>SUMIFS('14SepTo20Sep'!$P:$P, '14SepTo20Sep'!$J:$J, $A15)</f>
        <v>0</v>
      </c>
      <c r="AU15" s="123">
        <f t="shared" si="8"/>
        <v>0</v>
      </c>
      <c r="AV15" s="121">
        <f>SUMIFS('7SepTo13Sep'!$L:$L, '7SepTo13Sep'!$J:$J, $A15)</f>
        <v>0</v>
      </c>
      <c r="AW15" s="121">
        <f>SUMIFS('7SepTo13Sep'!$K:$K, '7SepTo13Sep'!$J:$J, $A15)</f>
        <v>0</v>
      </c>
      <c r="AX15" s="121">
        <f>SUMIFS('7SepTo13Sep'!$O:$O, '7SepTo13Sep'!$J:$J, $A15)</f>
        <v>0</v>
      </c>
      <c r="AY15" s="121">
        <f>SUMIFS('7SepTo13Sep'!$P:$P, '7SepTo13Sep'!$J:$J, $A15)</f>
        <v>0</v>
      </c>
      <c r="AZ15" s="123">
        <f t="shared" si="9"/>
        <v>0</v>
      </c>
      <c r="BA15" s="121">
        <f>SUMIFS('31AugTo6Sep'!$L:$L, '31AugTo6Sep'!$J:$J, $A15)</f>
        <v>0</v>
      </c>
      <c r="BB15" s="121">
        <f>SUMIFS('31AugTo6Sep'!$K:$K, '31AugTo6Sep'!$J:$J, $A15)</f>
        <v>0</v>
      </c>
      <c r="BC15" s="121">
        <f>SUMIFS('31AugTo6Sep'!$O:$O, '31AugTo6Sep'!$J:$J, $A15)</f>
        <v>0</v>
      </c>
      <c r="BD15" s="121">
        <f>SUMIFS('31AugTo6Sep'!$P:$P, '31AugTo6Sep'!$J:$J, $A15)</f>
        <v>0</v>
      </c>
      <c r="BE15" s="123">
        <f t="shared" si="10"/>
        <v>0</v>
      </c>
      <c r="BF15" s="121">
        <f>SUMIFS('24AugTo29Aug'!$L:$L, '24AugTo29Aug'!$J:$J, $A15)</f>
        <v>0</v>
      </c>
      <c r="BG15" s="121">
        <f>SUMIFS('24AugTo29Aug'!$K:$K, '24AugTo29Aug'!$J:$J, $A15)</f>
        <v>0</v>
      </c>
      <c r="BH15" s="121">
        <f>SUMIFS('24AugTo29Aug'!$O:$O, '24AugTo29Aug'!$J:$J, $A15)</f>
        <v>0</v>
      </c>
      <c r="BI15" s="121">
        <f>SUMIFS('24AugTo29Aug'!$P:$P, '24AugTo29Aug'!$J:$J, $A15)</f>
        <v>0</v>
      </c>
      <c r="BJ15" s="123">
        <f t="shared" si="11"/>
        <v>0</v>
      </c>
      <c r="BK15" s="121">
        <f>SUMIFS('17AugTo21Aug'!$L:$L, '17AugTo21Aug'!$J:$J, $A15)</f>
        <v>0</v>
      </c>
      <c r="BL15" s="121">
        <f>SUMIFS('17AugTo21Aug'!$K:$K, '17AugTo21Aug'!$J:$J, $A15)</f>
        <v>0</v>
      </c>
      <c r="BM15" s="121">
        <f>SUMIFS('17AugTo21Aug'!$O:$O, '17AugTo21Aug'!$J:$J, $A15)</f>
        <v>0</v>
      </c>
      <c r="BN15" s="121">
        <f>SUMIFS('17AugTo21Aug'!$P:$P, '17AugTo21Aug'!$J:$J, $A15)</f>
        <v>0</v>
      </c>
      <c r="BO15" s="123">
        <f t="shared" si="12"/>
        <v>0</v>
      </c>
      <c r="BP15" s="121">
        <f>SUMIFS('10AugTo16Aug'!$L:$L, '10AugTo16Aug'!$J:$J, $A15)</f>
        <v>0</v>
      </c>
      <c r="BQ15" s="121">
        <f>SUMIFS('10AugTo16Aug'!$K:$K, '10AugTo16Aug'!$J:$J, $A15)</f>
        <v>0</v>
      </c>
      <c r="BR15" s="121">
        <f>SUMIFS('10AugTo16Aug'!$O:$O, '10AugTo16Aug'!$J:$J, $A15)</f>
        <v>0</v>
      </c>
      <c r="BS15" s="121">
        <f>SUMIFS('10AugTo16Aug'!$P:$P, '10AugTo16Aug'!$J:$J, $A15)</f>
        <v>0</v>
      </c>
      <c r="BT15" s="123">
        <f t="shared" si="13"/>
        <v>0</v>
      </c>
      <c r="BU15" s="121">
        <f>SUMIFS('3AugTo9Aug'!$L:$L, '3AugTo9Aug'!$J:$J, $A15)</f>
        <v>0</v>
      </c>
      <c r="BV15" s="121">
        <f>SUMIFS('3AugTo9Aug'!$K:$K, '3AugTo9Aug'!$J:$J, $A15)</f>
        <v>0</v>
      </c>
      <c r="BW15" s="121">
        <f>SUMIFS('3AugTo9Aug'!$O:$O, '3AugTo9Aug'!$J:$J, $A15)</f>
        <v>0</v>
      </c>
      <c r="BX15" s="121">
        <f>SUMIFS('3AugTo9Aug'!$P:$P, '3AugTo9Aug'!$J:$J, $A15)</f>
        <v>0</v>
      </c>
      <c r="BY15" s="123">
        <f t="shared" si="14"/>
        <v>0</v>
      </c>
      <c r="BZ15" s="121">
        <f>SUMIFS('27JulyTo2Aug'!$L:$L, '27JulyTo2Aug'!$J:$J, $A15)</f>
        <v>0</v>
      </c>
      <c r="CA15" s="121">
        <f>SUMIFS('27JulyTo2Aug'!$K:$K, '27JulyTo2Aug'!$J:$J, $A15)</f>
        <v>0</v>
      </c>
      <c r="CB15" s="121">
        <f>SUMIFS('27JulyTo2Aug'!$O:$O, '27JulyTo2Aug'!$J:$J, $A15)</f>
        <v>0</v>
      </c>
      <c r="CC15" s="121">
        <f>SUMIFS('27JulyTo2Aug'!$P:$P, '27JulyTo2Aug'!$J:$J, $A15)</f>
        <v>0</v>
      </c>
      <c r="CD15" s="123">
        <f t="shared" si="15"/>
        <v>0</v>
      </c>
    </row>
    <row r="16" spans="1:82" ht="14.25" customHeight="1" x14ac:dyDescent="0.3">
      <c r="A16" s="125" t="s">
        <v>145</v>
      </c>
      <c r="B16" s="120" t="str">
        <f t="shared" si="16"/>
        <v>WINNER</v>
      </c>
      <c r="C16" s="121">
        <f>SUMIFS('9NovTo15Nov'!$L:$L, '9NovTo15Nov'!$J:$J, $A16)</f>
        <v>0</v>
      </c>
      <c r="D16" s="121">
        <f>SUMIFS('9NovTo15Nov'!$K:$K, '9NovTo15Nov'!$J:$J, $A16)</f>
        <v>0</v>
      </c>
      <c r="E16" s="121">
        <f>SUMIFS('9NovTo15Nov'!$O:$O, '9NovTo15Nov'!$J:$J, $A16)</f>
        <v>0</v>
      </c>
      <c r="F16" s="121">
        <f>SUMIFS('9NovTo15Nov'!$P:$P, '9NovTo15Nov'!$J:$J, $A16)</f>
        <v>0</v>
      </c>
      <c r="G16" s="122">
        <f t="shared" si="0"/>
        <v>0</v>
      </c>
      <c r="H16" s="121">
        <f>SUMIFS('2NovTo8Nov'!$L:$L, '2NovTo8Nov'!$J:$J, $A16)</f>
        <v>2</v>
      </c>
      <c r="I16" s="121">
        <f>SUMIFS('2NovTo8Nov'!$K:$K, '2NovTo8Nov'!$J:$J, $A16)</f>
        <v>121</v>
      </c>
      <c r="J16" s="121">
        <f>SUMIFS('2NovTo8Nov'!$O:$O, '2NovTo8Nov'!$J:$J, $A16)</f>
        <v>3.26</v>
      </c>
      <c r="K16" s="121">
        <f>SUMIFS('2NovTo8Nov'!$P:$P, '2NovTo8Nov'!$J:$J, $A16)</f>
        <v>49.88</v>
      </c>
      <c r="L16" s="122">
        <f t="shared" si="1"/>
        <v>6.535685645549318</v>
      </c>
      <c r="M16" s="121">
        <f>SUMIFS('26OctTo1Nov'!$L:$L, '26OctTo1Nov'!$J:$J, $A16)</f>
        <v>0</v>
      </c>
      <c r="N16" s="121">
        <f>SUMIFS('26OctTo1Nov'!$K:$K, '26OctTo1Nov'!$J:$J, $A16)</f>
        <v>0</v>
      </c>
      <c r="O16" s="121">
        <f>SUMIFS('26OctTo1Nov'!$O:$O, '26OctTo1Nov'!$J:$J, $A16)</f>
        <v>0</v>
      </c>
      <c r="P16" s="121">
        <f>SUMIFS('26OctTo1Nov'!$P:$P, '26OctTo1Nov'!$J:$J, $A16)</f>
        <v>0</v>
      </c>
      <c r="Q16" s="122">
        <f t="shared" si="2"/>
        <v>0</v>
      </c>
      <c r="R16" s="121">
        <f>SUMIFS('19OctTo25Oct'!$L:$L, '19OctTo25Oct'!$J:$J, $A16)</f>
        <v>1</v>
      </c>
      <c r="S16" s="121">
        <f>SUMIFS('19OctTo25Oct'!$K:$K, '19OctTo25Oct'!$J:$J, $A16)</f>
        <v>4</v>
      </c>
      <c r="T16" s="121">
        <f>SUMIFS('19OctTo25Oct'!$O:$O, '19OctTo25Oct'!$J:$J, $A16)</f>
        <v>1.82</v>
      </c>
      <c r="U16" s="121">
        <f>SUMIFS('19OctTo25Oct'!$P:$P, '19OctTo25Oct'!$J:$J, $A16)</f>
        <v>24.94</v>
      </c>
      <c r="V16" s="122">
        <f t="shared" si="3"/>
        <v>7.2975140336808337</v>
      </c>
      <c r="W16" s="121">
        <f>SUMIFS('12OctTo18Oct'!$L:$L, '12OctTo18Oct'!$J:$J, $A16)</f>
        <v>0</v>
      </c>
      <c r="X16" s="121">
        <f>SUMIFS('12OctTo18Oct'!$K:$K, '12OctTo18Oct'!$J:$J, $A16)</f>
        <v>0</v>
      </c>
      <c r="Y16" s="121">
        <f>SUMIFS('12OctTo18Oct'!$O:$O, '12OctTo18Oct'!$J:$J, $A16)</f>
        <v>0</v>
      </c>
      <c r="Z16" s="121">
        <f>SUMIFS('12OctTo18Oct'!$P:$P, '12OctTo18Oct'!$J:$J, $A16)</f>
        <v>0</v>
      </c>
      <c r="AA16" s="122">
        <f t="shared" si="4"/>
        <v>0</v>
      </c>
      <c r="AB16" s="121">
        <f>SUMIFS('5OctTo11Oct'!$L:$L, '5OctTo11Oct'!$J:$J, $A16)</f>
        <v>9</v>
      </c>
      <c r="AC16" s="121">
        <f>SUMIFS('5OctTo11Oct'!$K:$K, '5OctTo11Oct'!$J:$J, $A16)</f>
        <v>216</v>
      </c>
      <c r="AD16" s="121">
        <f>SUMIFS('5OctTo11Oct'!$O:$O, '5OctTo11Oct'!$J:$J, $A16)</f>
        <v>22.77</v>
      </c>
      <c r="AE16" s="121">
        <f>SUMIFS('5OctTo11Oct'!$P:$P, '5OctTo11Oct'!$J:$J, $A16)</f>
        <v>49.88</v>
      </c>
      <c r="AF16" s="123">
        <f t="shared" si="5"/>
        <v>45.649558941459503</v>
      </c>
      <c r="AG16" s="121">
        <f>SUMIFS('28SepTo4Oct'!$L:$L, '28SepTo4Oct'!$J:$J, $A16)</f>
        <v>0</v>
      </c>
      <c r="AH16" s="121">
        <f>SUMIFS('28SepTo4Oct'!$K:$K, '28SepTo4Oct'!$J:$J, $A16)</f>
        <v>0</v>
      </c>
      <c r="AI16" s="121">
        <f>SUMIFS('28SepTo4Oct'!$O:$O, '28SepTo4Oct'!$J:$J, $A16)</f>
        <v>0</v>
      </c>
      <c r="AJ16" s="121">
        <f>SUMIFS('28SepTo4Oct'!$P:$P, '28SepTo4Oct'!$J:$J, $A16)</f>
        <v>0</v>
      </c>
      <c r="AK16" s="123">
        <f t="shared" si="6"/>
        <v>0</v>
      </c>
      <c r="AL16" s="121">
        <f>SUMIFS('21SepTo27Sep'!$L:$L, '21SepTo27Sep'!$J:$J, $A16)</f>
        <v>8</v>
      </c>
      <c r="AM16" s="121">
        <f>SUMIFS('21SepTo27Sep'!$K:$K, '21SepTo27Sep'!$J:$J, $A16)</f>
        <v>616</v>
      </c>
      <c r="AN16" s="121">
        <f>SUMIFS('21SepTo27Sep'!$O:$O, '21SepTo27Sep'!$J:$J, $A16)</f>
        <v>23.1</v>
      </c>
      <c r="AO16" s="121">
        <f>SUMIFS('21SepTo27Sep'!$P:$P, '21SepTo27Sep'!$J:$J, $A16)</f>
        <v>99.76</v>
      </c>
      <c r="AP16" s="123">
        <f t="shared" si="7"/>
        <v>23.155573376102648</v>
      </c>
      <c r="AQ16" s="121">
        <f>SUMIFS('14SepTo20Sep'!$L:$L, '14SepTo20Sep'!$J:$J, $A16)</f>
        <v>0</v>
      </c>
      <c r="AR16" s="121">
        <f>SUMIFS('14SepTo20Sep'!$K:$K, '14SepTo20Sep'!$J:$J, $A16)</f>
        <v>0</v>
      </c>
      <c r="AS16" s="121">
        <f>SUMIFS('14SepTo20Sep'!$O:$O, '14SepTo20Sep'!$J:$J, $A16)</f>
        <v>0</v>
      </c>
      <c r="AT16" s="121">
        <f>SUMIFS('14SepTo20Sep'!$P:$P, '14SepTo20Sep'!$J:$J, $A16)</f>
        <v>0</v>
      </c>
      <c r="AU16" s="123">
        <f t="shared" si="8"/>
        <v>0</v>
      </c>
      <c r="AV16" s="121">
        <f>SUMIFS('7SepTo13Sep'!$L:$L, '7SepTo13Sep'!$J:$J, $A16)</f>
        <v>0</v>
      </c>
      <c r="AW16" s="121">
        <f>SUMIFS('7SepTo13Sep'!$K:$K, '7SepTo13Sep'!$J:$J, $A16)</f>
        <v>0</v>
      </c>
      <c r="AX16" s="121">
        <f>SUMIFS('7SepTo13Sep'!$O:$O, '7SepTo13Sep'!$J:$J, $A16)</f>
        <v>0</v>
      </c>
      <c r="AY16" s="121">
        <f>SUMIFS('7SepTo13Sep'!$P:$P, '7SepTo13Sep'!$J:$J, $A16)</f>
        <v>0</v>
      </c>
      <c r="AZ16" s="123">
        <f t="shared" si="9"/>
        <v>0</v>
      </c>
      <c r="BA16" s="121">
        <f>SUMIFS('31AugTo6Sep'!$L:$L, '31AugTo6Sep'!$J:$J, $A16)</f>
        <v>0</v>
      </c>
      <c r="BB16" s="121">
        <f>SUMIFS('31AugTo6Sep'!$K:$K, '31AugTo6Sep'!$J:$J, $A16)</f>
        <v>0</v>
      </c>
      <c r="BC16" s="121">
        <f>SUMIFS('31AugTo6Sep'!$O:$O, '31AugTo6Sep'!$J:$J, $A16)</f>
        <v>0</v>
      </c>
      <c r="BD16" s="121">
        <f>SUMIFS('31AugTo6Sep'!$P:$P, '31AugTo6Sep'!$J:$J, $A16)</f>
        <v>0</v>
      </c>
      <c r="BE16" s="123">
        <f t="shared" si="10"/>
        <v>0</v>
      </c>
      <c r="BF16" s="121">
        <f>SUMIFS('24AugTo29Aug'!$L:$L, '24AugTo29Aug'!$J:$J, $A16)</f>
        <v>0</v>
      </c>
      <c r="BG16" s="121">
        <f>SUMIFS('24AugTo29Aug'!$K:$K, '24AugTo29Aug'!$J:$J, $A16)</f>
        <v>0</v>
      </c>
      <c r="BH16" s="121">
        <f>SUMIFS('24AugTo29Aug'!$O:$O, '24AugTo29Aug'!$J:$J, $A16)</f>
        <v>0</v>
      </c>
      <c r="BI16" s="121">
        <f>SUMIFS('24AugTo29Aug'!$P:$P, '24AugTo29Aug'!$J:$J, $A16)</f>
        <v>0</v>
      </c>
      <c r="BJ16" s="123">
        <f t="shared" si="11"/>
        <v>0</v>
      </c>
      <c r="BK16" s="121">
        <f>SUMIFS('17AugTo21Aug'!$L:$L, '17AugTo21Aug'!$J:$J, $A16)</f>
        <v>4</v>
      </c>
      <c r="BL16" s="121">
        <f>SUMIFS('17AugTo21Aug'!$K:$K, '17AugTo21Aug'!$J:$J, $A16)</f>
        <v>469</v>
      </c>
      <c r="BM16" s="121">
        <f>SUMIFS('17AugTo21Aug'!$O:$O, '17AugTo21Aug'!$J:$J, $A16)</f>
        <v>5.23</v>
      </c>
      <c r="BN16" s="121">
        <f>SUMIFS('17AugTo21Aug'!$P:$P, '17AugTo21Aug'!$J:$J, $A16)</f>
        <v>24.94</v>
      </c>
      <c r="BO16" s="123">
        <f t="shared" si="12"/>
        <v>20.970328789093827</v>
      </c>
      <c r="BP16" s="121">
        <f>SUMIFS('10AugTo16Aug'!$L:$L, '10AugTo16Aug'!$J:$J, $A16)</f>
        <v>1</v>
      </c>
      <c r="BQ16" s="121">
        <f>SUMIFS('10AugTo16Aug'!$K:$K, '10AugTo16Aug'!$J:$J, $A16)</f>
        <v>35</v>
      </c>
      <c r="BR16" s="121">
        <f>SUMIFS('10AugTo16Aug'!$O:$O, '10AugTo16Aug'!$J:$J, $A16)</f>
        <v>2.2599999999999998</v>
      </c>
      <c r="BS16" s="121">
        <f>SUMIFS('10AugTo16Aug'!$P:$P, '10AugTo16Aug'!$J:$J, $A16)</f>
        <v>24.94</v>
      </c>
      <c r="BT16" s="123">
        <f t="shared" si="13"/>
        <v>9.0617481956696047</v>
      </c>
      <c r="BU16" s="121">
        <f>SUMIFS('3AugTo9Aug'!$L:$L, '3AugTo9Aug'!$J:$J, $A16)</f>
        <v>0</v>
      </c>
      <c r="BV16" s="121">
        <f>SUMIFS('3AugTo9Aug'!$K:$K, '3AugTo9Aug'!$J:$J, $A16)</f>
        <v>0</v>
      </c>
      <c r="BW16" s="121">
        <f>SUMIFS('3AugTo9Aug'!$O:$O, '3AugTo9Aug'!$J:$J, $A16)</f>
        <v>0</v>
      </c>
      <c r="BX16" s="121">
        <f>SUMIFS('3AugTo9Aug'!$P:$P, '3AugTo9Aug'!$J:$J, $A16)</f>
        <v>0</v>
      </c>
      <c r="BY16" s="123">
        <f t="shared" si="14"/>
        <v>0</v>
      </c>
      <c r="BZ16" s="121">
        <f>SUMIFS('27JulyTo2Aug'!$L:$L, '27JulyTo2Aug'!$J:$J, $A16)</f>
        <v>0</v>
      </c>
      <c r="CA16" s="121">
        <f>SUMIFS('27JulyTo2Aug'!$K:$K, '27JulyTo2Aug'!$J:$J, $A16)</f>
        <v>0</v>
      </c>
      <c r="CB16" s="121">
        <f>SUMIFS('27JulyTo2Aug'!$O:$O, '27JulyTo2Aug'!$J:$J, $A16)</f>
        <v>0</v>
      </c>
      <c r="CC16" s="121">
        <f>SUMIFS('27JulyTo2Aug'!$P:$P, '27JulyTo2Aug'!$J:$J, $A16)</f>
        <v>0</v>
      </c>
      <c r="CD16" s="123">
        <f t="shared" si="15"/>
        <v>0</v>
      </c>
    </row>
    <row r="17" spans="1:82" ht="14.25" customHeight="1" x14ac:dyDescent="0.3">
      <c r="A17" s="119" t="s">
        <v>68</v>
      </c>
      <c r="B17" s="120" t="str">
        <f t="shared" si="16"/>
        <v>HIGH ACOS</v>
      </c>
      <c r="C17" s="121">
        <f>SUMIFS('9NovTo15Nov'!$L:$L, '9NovTo15Nov'!$J:$J, $A17)</f>
        <v>0</v>
      </c>
      <c r="D17" s="121">
        <f>SUMIFS('9NovTo15Nov'!$K:$K, '9NovTo15Nov'!$J:$J, $A17)</f>
        <v>0</v>
      </c>
      <c r="E17" s="121">
        <f>SUMIFS('9NovTo15Nov'!$O:$O, '9NovTo15Nov'!$J:$J, $A17)</f>
        <v>0</v>
      </c>
      <c r="F17" s="121">
        <f>SUMIFS('9NovTo15Nov'!$P:$P, '9NovTo15Nov'!$J:$J, $A17)</f>
        <v>0</v>
      </c>
      <c r="G17" s="122">
        <f t="shared" si="0"/>
        <v>0</v>
      </c>
      <c r="H17" s="121">
        <f>SUMIFS('2NovTo8Nov'!$L:$L, '2NovTo8Nov'!$J:$J, $A17)</f>
        <v>0</v>
      </c>
      <c r="I17" s="121">
        <f>SUMIFS('2NovTo8Nov'!$K:$K, '2NovTo8Nov'!$J:$J, $A17)</f>
        <v>0</v>
      </c>
      <c r="J17" s="121">
        <f>SUMIFS('2NovTo8Nov'!$O:$O, '2NovTo8Nov'!$J:$J, $A17)</f>
        <v>0</v>
      </c>
      <c r="K17" s="121">
        <f>SUMIFS('2NovTo8Nov'!$P:$P, '2NovTo8Nov'!$J:$J, $A17)</f>
        <v>0</v>
      </c>
      <c r="L17" s="122">
        <f t="shared" si="1"/>
        <v>0</v>
      </c>
      <c r="M17" s="121">
        <f>SUMIFS('26OctTo1Nov'!$L:$L, '26OctTo1Nov'!$J:$J, $A17)</f>
        <v>0</v>
      </c>
      <c r="N17" s="121">
        <f>SUMIFS('26OctTo1Nov'!$K:$K, '26OctTo1Nov'!$J:$J, $A17)</f>
        <v>0</v>
      </c>
      <c r="O17" s="121">
        <f>SUMIFS('26OctTo1Nov'!$O:$O, '26OctTo1Nov'!$J:$J, $A17)</f>
        <v>0</v>
      </c>
      <c r="P17" s="121">
        <f>SUMIFS('26OctTo1Nov'!$P:$P, '26OctTo1Nov'!$J:$J, $A17)</f>
        <v>0</v>
      </c>
      <c r="Q17" s="122">
        <f t="shared" si="2"/>
        <v>0</v>
      </c>
      <c r="R17" s="121">
        <f>SUMIFS('19OctTo25Oct'!$L:$L, '19OctTo25Oct'!$J:$J, $A17)</f>
        <v>8</v>
      </c>
      <c r="S17" s="121">
        <f>SUMIFS('19OctTo25Oct'!$K:$K, '19OctTo25Oct'!$J:$J, $A17)</f>
        <v>158</v>
      </c>
      <c r="T17" s="121">
        <f>SUMIFS('19OctTo25Oct'!$O:$O, '19OctTo25Oct'!$J:$J, $A17)</f>
        <v>32.68</v>
      </c>
      <c r="U17" s="121">
        <f>SUMIFS('19OctTo25Oct'!$P:$P, '19OctTo25Oct'!$J:$J, $A17)</f>
        <v>65.7</v>
      </c>
      <c r="V17" s="122">
        <f t="shared" si="3"/>
        <v>49.74124809741248</v>
      </c>
      <c r="W17" s="121">
        <f>SUMIFS('12OctTo18Oct'!$L:$L, '12OctTo18Oct'!$J:$J, $A17)</f>
        <v>8</v>
      </c>
      <c r="X17" s="121">
        <f>SUMIFS('12OctTo18Oct'!$K:$K, '12OctTo18Oct'!$J:$J, $A17)</f>
        <v>246</v>
      </c>
      <c r="Y17" s="121">
        <f>SUMIFS('12OctTo18Oct'!$O:$O, '12OctTo18Oct'!$J:$J, $A17)</f>
        <v>32.25</v>
      </c>
      <c r="Z17" s="121">
        <f>SUMIFS('12OctTo18Oct'!$P:$P, '12OctTo18Oct'!$J:$J, $A17)</f>
        <v>65.7</v>
      </c>
      <c r="AA17" s="122">
        <f t="shared" si="4"/>
        <v>49.086757990867582</v>
      </c>
      <c r="AB17" s="121">
        <f>SUMIFS('5OctTo11Oct'!$L:$L, '5OctTo11Oct'!$J:$J, $A17)</f>
        <v>5</v>
      </c>
      <c r="AC17" s="121">
        <f>SUMIFS('5OctTo11Oct'!$K:$K, '5OctTo11Oct'!$J:$J, $A17)</f>
        <v>291</v>
      </c>
      <c r="AD17" s="121">
        <f>SUMIFS('5OctTo11Oct'!$O:$O, '5OctTo11Oct'!$J:$J, $A17)</f>
        <v>18.260000000000002</v>
      </c>
      <c r="AE17" s="121">
        <f>SUMIFS('5OctTo11Oct'!$P:$P, '5OctTo11Oct'!$J:$J, $A17)</f>
        <v>17.52</v>
      </c>
      <c r="AF17" s="123">
        <f t="shared" si="5"/>
        <v>104.22374429223747</v>
      </c>
      <c r="AG17" s="121">
        <f>SUMIFS('28SepTo4Oct'!$L:$L, '28SepTo4Oct'!$J:$J, $A17)</f>
        <v>7</v>
      </c>
      <c r="AH17" s="121">
        <f>SUMIFS('28SepTo4Oct'!$K:$K, '28SepTo4Oct'!$J:$J, $A17)</f>
        <v>78</v>
      </c>
      <c r="AI17" s="121">
        <f>SUMIFS('28SepTo4Oct'!$O:$O, '28SepTo4Oct'!$J:$J, $A17)</f>
        <v>26.03</v>
      </c>
      <c r="AJ17" s="121">
        <f>SUMIFS('28SepTo4Oct'!$P:$P, '28SepTo4Oct'!$J:$J, $A17)</f>
        <v>21.9</v>
      </c>
      <c r="AK17" s="123">
        <f t="shared" si="6"/>
        <v>118.85844748858449</v>
      </c>
      <c r="AL17" s="121">
        <f>SUMIFS('21SepTo27Sep'!$L:$L, '21SepTo27Sep'!$J:$J, $A17)</f>
        <v>1</v>
      </c>
      <c r="AM17" s="121">
        <f>SUMIFS('21SepTo27Sep'!$K:$K, '21SepTo27Sep'!$J:$J, $A17)</f>
        <v>30</v>
      </c>
      <c r="AN17" s="121">
        <f>SUMIFS('21SepTo27Sep'!$O:$O, '21SepTo27Sep'!$J:$J, $A17)</f>
        <v>3.74</v>
      </c>
      <c r="AO17" s="121">
        <f>SUMIFS('21SepTo27Sep'!$P:$P, '21SepTo27Sep'!$J:$J, $A17)</f>
        <v>21.9</v>
      </c>
      <c r="AP17" s="123">
        <f t="shared" si="7"/>
        <v>17.077625570776259</v>
      </c>
      <c r="AQ17" s="121">
        <f>SUMIFS('14SepTo20Sep'!$L:$L, '14SepTo20Sep'!$J:$J, $A17)</f>
        <v>0</v>
      </c>
      <c r="AR17" s="121">
        <f>SUMIFS('14SepTo20Sep'!$K:$K, '14SepTo20Sep'!$J:$J, $A17)</f>
        <v>0</v>
      </c>
      <c r="AS17" s="121">
        <f>SUMIFS('14SepTo20Sep'!$O:$O, '14SepTo20Sep'!$J:$J, $A17)</f>
        <v>0</v>
      </c>
      <c r="AT17" s="121">
        <f>SUMIFS('14SepTo20Sep'!$P:$P, '14SepTo20Sep'!$J:$J, $A17)</f>
        <v>0</v>
      </c>
      <c r="AU17" s="123">
        <f t="shared" si="8"/>
        <v>0</v>
      </c>
      <c r="AV17" s="121">
        <f>SUMIFS('7SepTo13Sep'!$L:$L, '7SepTo13Sep'!$J:$J, $A17)</f>
        <v>0</v>
      </c>
      <c r="AW17" s="121">
        <f>SUMIFS('7SepTo13Sep'!$K:$K, '7SepTo13Sep'!$J:$J, $A17)</f>
        <v>0</v>
      </c>
      <c r="AX17" s="121">
        <f>SUMIFS('7SepTo13Sep'!$O:$O, '7SepTo13Sep'!$J:$J, $A17)</f>
        <v>0</v>
      </c>
      <c r="AY17" s="121">
        <f>SUMIFS('7SepTo13Sep'!$P:$P, '7SepTo13Sep'!$J:$J, $A17)</f>
        <v>0</v>
      </c>
      <c r="AZ17" s="123">
        <f t="shared" si="9"/>
        <v>0</v>
      </c>
      <c r="BA17" s="121">
        <f>SUMIFS('31AugTo6Sep'!$L:$L, '31AugTo6Sep'!$J:$J, $A17)</f>
        <v>0</v>
      </c>
      <c r="BB17" s="121">
        <f>SUMIFS('31AugTo6Sep'!$K:$K, '31AugTo6Sep'!$J:$J, $A17)</f>
        <v>0</v>
      </c>
      <c r="BC17" s="121">
        <f>SUMIFS('31AugTo6Sep'!$O:$O, '31AugTo6Sep'!$J:$J, $A17)</f>
        <v>0</v>
      </c>
      <c r="BD17" s="121">
        <f>SUMIFS('31AugTo6Sep'!$P:$P, '31AugTo6Sep'!$J:$J, $A17)</f>
        <v>0</v>
      </c>
      <c r="BE17" s="123">
        <f t="shared" si="10"/>
        <v>0</v>
      </c>
      <c r="BF17" s="121">
        <f>SUMIFS('24AugTo29Aug'!$L:$L, '24AugTo29Aug'!$J:$J, $A17)</f>
        <v>3</v>
      </c>
      <c r="BG17" s="121">
        <f>SUMIFS('24AugTo29Aug'!$K:$K, '24AugTo29Aug'!$J:$J, $A17)</f>
        <v>77</v>
      </c>
      <c r="BH17" s="121">
        <f>SUMIFS('24AugTo29Aug'!$O:$O, '24AugTo29Aug'!$J:$J, $A17)</f>
        <v>12.19</v>
      </c>
      <c r="BI17" s="121">
        <f>SUMIFS('24AugTo29Aug'!$P:$P, '24AugTo29Aug'!$J:$J, $A17)</f>
        <v>21.9</v>
      </c>
      <c r="BJ17" s="123">
        <f t="shared" si="11"/>
        <v>55.662100456621012</v>
      </c>
      <c r="BK17" s="121">
        <f>SUMIFS('17AugTo21Aug'!$L:$L, '17AugTo21Aug'!$J:$J, $A17)</f>
        <v>5</v>
      </c>
      <c r="BL17" s="121">
        <f>SUMIFS('17AugTo21Aug'!$K:$K, '17AugTo21Aug'!$J:$J, $A17)</f>
        <v>103</v>
      </c>
      <c r="BM17" s="121">
        <f>SUMIFS('17AugTo21Aug'!$O:$O, '17AugTo21Aug'!$J:$J, $A17)</f>
        <v>18.57</v>
      </c>
      <c r="BN17" s="121">
        <f>SUMIFS('17AugTo21Aug'!$P:$P, '17AugTo21Aug'!$J:$J, $A17)</f>
        <v>21.95</v>
      </c>
      <c r="BO17" s="123">
        <f t="shared" si="12"/>
        <v>84.601366742596824</v>
      </c>
      <c r="BP17" s="121">
        <f>SUMIFS('10AugTo16Aug'!$L:$L, '10AugTo16Aug'!$J:$J, $A17)</f>
        <v>0</v>
      </c>
      <c r="BQ17" s="121">
        <f>SUMIFS('10AugTo16Aug'!$K:$K, '10AugTo16Aug'!$J:$J, $A17)</f>
        <v>0</v>
      </c>
      <c r="BR17" s="121">
        <f>SUMIFS('10AugTo16Aug'!$O:$O, '10AugTo16Aug'!$J:$J, $A17)</f>
        <v>0</v>
      </c>
      <c r="BS17" s="126">
        <v>0</v>
      </c>
      <c r="BT17" s="123">
        <f t="shared" si="13"/>
        <v>0</v>
      </c>
      <c r="BU17" s="121">
        <f>SUMIFS('3AugTo9Aug'!$L:$L, '3AugTo9Aug'!$J:$J, $A17)</f>
        <v>3</v>
      </c>
      <c r="BV17" s="121">
        <f>SUMIFS('3AugTo9Aug'!$K:$K, '3AugTo9Aug'!$J:$J, $A17)</f>
        <v>47</v>
      </c>
      <c r="BW17" s="121">
        <f>SUMIFS('3AugTo9Aug'!$O:$O, '3AugTo9Aug'!$J:$J, $A17)</f>
        <v>12.03</v>
      </c>
      <c r="BX17" s="121">
        <f>SUMIFS('3AugTo9Aug'!$P:$P, '3AugTo9Aug'!$J:$J, $A17)</f>
        <v>21.95</v>
      </c>
      <c r="BY17" s="123">
        <f t="shared" si="14"/>
        <v>54.806378132118446</v>
      </c>
      <c r="BZ17" s="121">
        <f>SUMIFS('27JulyTo2Aug'!$L:$L, '27JulyTo2Aug'!$J:$J, $A17)</f>
        <v>4</v>
      </c>
      <c r="CA17" s="121">
        <f>SUMIFS('27JulyTo2Aug'!$K:$K, '27JulyTo2Aug'!$J:$J, $A17)</f>
        <v>97</v>
      </c>
      <c r="CB17" s="121">
        <f>SUMIFS('27JulyTo2Aug'!$O:$O, '27JulyTo2Aug'!$J:$J, $A17)</f>
        <v>15.11</v>
      </c>
      <c r="CC17" s="121">
        <f>SUMIFS('27JulyTo2Aug'!$P:$P, '27JulyTo2Aug'!$J:$J, $A17)</f>
        <v>49.9</v>
      </c>
      <c r="CD17" s="123">
        <f t="shared" si="15"/>
        <v>30.280561122244485</v>
      </c>
    </row>
    <row r="18" spans="1:82" ht="14.25" customHeight="1" x14ac:dyDescent="0.3">
      <c r="A18" s="119" t="s">
        <v>162</v>
      </c>
      <c r="B18" s="120" t="str">
        <f t="shared" si="16"/>
        <v>WINNER</v>
      </c>
      <c r="C18" s="121">
        <f>SUMIFS('9NovTo15Nov'!$L:$L, '9NovTo15Nov'!$J:$J, $A18)</f>
        <v>0</v>
      </c>
      <c r="D18" s="121">
        <f>SUMIFS('9NovTo15Nov'!$K:$K, '9NovTo15Nov'!$J:$J, $A18)</f>
        <v>0</v>
      </c>
      <c r="E18" s="121">
        <f>SUMIFS('9NovTo15Nov'!$O:$O, '9NovTo15Nov'!$J:$J, $A18)</f>
        <v>0</v>
      </c>
      <c r="F18" s="121">
        <f>SUMIFS('9NovTo15Nov'!$P:$P, '9NovTo15Nov'!$J:$J, $A18)</f>
        <v>0</v>
      </c>
      <c r="G18" s="122">
        <f t="shared" si="0"/>
        <v>0</v>
      </c>
      <c r="H18" s="121">
        <f>SUMIFS('2NovTo8Nov'!$L:$L, '2NovTo8Nov'!$J:$J, $A18)</f>
        <v>4</v>
      </c>
      <c r="I18" s="121">
        <f>SUMIFS('2NovTo8Nov'!$K:$K, '2NovTo8Nov'!$J:$J, $A18)</f>
        <v>71</v>
      </c>
      <c r="J18" s="121">
        <f>SUMIFS('2NovTo8Nov'!$O:$O, '2NovTo8Nov'!$J:$J, $A18)</f>
        <v>14.27</v>
      </c>
      <c r="K18" s="121">
        <f>SUMIFS('2NovTo8Nov'!$P:$P, '2NovTo8Nov'!$J:$J, $A18)</f>
        <v>74.820000000000007</v>
      </c>
      <c r="L18" s="122">
        <f t="shared" si="1"/>
        <v>19.07244052392408</v>
      </c>
      <c r="M18" s="121">
        <f>SUMIFS('26OctTo1Nov'!$L:$L, '26OctTo1Nov'!$J:$J, $A18)</f>
        <v>0</v>
      </c>
      <c r="N18" s="121">
        <f>SUMIFS('26OctTo1Nov'!$K:$K, '26OctTo1Nov'!$J:$J, $A18)</f>
        <v>0</v>
      </c>
      <c r="O18" s="121">
        <f>SUMIFS('26OctTo1Nov'!$O:$O, '26OctTo1Nov'!$J:$J, $A18)</f>
        <v>0</v>
      </c>
      <c r="P18" s="121">
        <f>SUMIFS('26OctTo1Nov'!$P:$P, '26OctTo1Nov'!$J:$J, $A18)</f>
        <v>0</v>
      </c>
      <c r="Q18" s="122">
        <f t="shared" si="2"/>
        <v>0</v>
      </c>
      <c r="R18" s="121">
        <f>SUMIFS('19OctTo25Oct'!$L:$L, '19OctTo25Oct'!$J:$J, $A18)</f>
        <v>1</v>
      </c>
      <c r="S18" s="121">
        <f>SUMIFS('19OctTo25Oct'!$K:$K, '19OctTo25Oct'!$J:$J, $A18)</f>
        <v>48</v>
      </c>
      <c r="T18" s="121">
        <f>SUMIFS('19OctTo25Oct'!$O:$O, '19OctTo25Oct'!$J:$J, $A18)</f>
        <v>2.83</v>
      </c>
      <c r="U18" s="121">
        <f>SUMIFS('19OctTo25Oct'!$P:$P, '19OctTo25Oct'!$J:$J, $A18)</f>
        <v>24.94</v>
      </c>
      <c r="V18" s="122">
        <f t="shared" si="3"/>
        <v>11.347233360064154</v>
      </c>
      <c r="W18" s="121">
        <f>SUMIFS('12OctTo18Oct'!$L:$L, '12OctTo18Oct'!$J:$J, $A18)</f>
        <v>0</v>
      </c>
      <c r="X18" s="121">
        <f>SUMIFS('12OctTo18Oct'!$K:$K, '12OctTo18Oct'!$J:$J, $A18)</f>
        <v>0</v>
      </c>
      <c r="Y18" s="121">
        <f>SUMIFS('12OctTo18Oct'!$O:$O, '12OctTo18Oct'!$J:$J, $A18)</f>
        <v>0</v>
      </c>
      <c r="Z18" s="121">
        <f>SUMIFS('12OctTo18Oct'!$P:$P, '12OctTo18Oct'!$J:$J, $A18)</f>
        <v>0</v>
      </c>
      <c r="AA18" s="122">
        <f t="shared" si="4"/>
        <v>0</v>
      </c>
      <c r="AB18" s="121">
        <f>SUMIFS('5OctTo11Oct'!$L:$L, '5OctTo11Oct'!$J:$J, $A18)</f>
        <v>5</v>
      </c>
      <c r="AC18" s="121">
        <f>SUMIFS('5OctTo11Oct'!$K:$K, '5OctTo11Oct'!$J:$J, $A18)</f>
        <v>203</v>
      </c>
      <c r="AD18" s="121">
        <f>SUMIFS('5OctTo11Oct'!$O:$O, '5OctTo11Oct'!$J:$J, $A18)</f>
        <v>18.48</v>
      </c>
      <c r="AE18" s="121">
        <f>SUMIFS('5OctTo11Oct'!$P:$P, '5OctTo11Oct'!$J:$J, $A18)</f>
        <v>44.89</v>
      </c>
      <c r="AF18" s="123">
        <f t="shared" si="5"/>
        <v>41.167297839162401</v>
      </c>
      <c r="AG18" s="121">
        <f>SUMIFS('28SepTo4Oct'!$L:$L, '28SepTo4Oct'!$J:$J, $A18)</f>
        <v>9</v>
      </c>
      <c r="AH18" s="121">
        <f>SUMIFS('28SepTo4Oct'!$K:$K, '28SepTo4Oct'!$J:$J, $A18)</f>
        <v>112</v>
      </c>
      <c r="AI18" s="121">
        <f>SUMIFS('28SepTo4Oct'!$O:$O, '28SepTo4Oct'!$J:$J, $A18)</f>
        <v>39.980000000000004</v>
      </c>
      <c r="AJ18" s="121">
        <f>SUMIFS('28SepTo4Oct'!$P:$P, '28SepTo4Oct'!$J:$J, $A18)</f>
        <v>74.820000000000007</v>
      </c>
      <c r="AK18" s="123">
        <f t="shared" si="6"/>
        <v>53.434910451750874</v>
      </c>
      <c r="AL18" s="121">
        <f>SUMIFS('21SepTo27Sep'!$L:$L, '21SepTo27Sep'!$J:$J, $A18)</f>
        <v>4</v>
      </c>
      <c r="AM18" s="121">
        <f>SUMIFS('21SepTo27Sep'!$K:$K, '21SepTo27Sep'!$J:$J, $A18)</f>
        <v>217</v>
      </c>
      <c r="AN18" s="121">
        <f>SUMIFS('21SepTo27Sep'!$O:$O, '21SepTo27Sep'!$J:$J, $A18)</f>
        <v>20.94</v>
      </c>
      <c r="AO18" s="121">
        <f>SUMIFS('21SepTo27Sep'!$P:$P, '21SepTo27Sep'!$J:$J, $A18)</f>
        <v>24.94</v>
      </c>
      <c r="AP18" s="123">
        <f t="shared" si="7"/>
        <v>83.961507618283875</v>
      </c>
      <c r="AQ18" s="121">
        <f>SUMIFS('14SepTo20Sep'!$L:$L, '14SepTo20Sep'!$J:$J, $A18)</f>
        <v>4</v>
      </c>
      <c r="AR18" s="121">
        <f>SUMIFS('14SepTo20Sep'!$K:$K, '14SepTo20Sep'!$J:$J, $A18)</f>
        <v>110</v>
      </c>
      <c r="AS18" s="121">
        <f>SUMIFS('14SepTo20Sep'!$O:$O, '14SepTo20Sep'!$J:$J, $A18)</f>
        <v>20.72</v>
      </c>
      <c r="AT18" s="121">
        <f>SUMIFS('14SepTo20Sep'!$P:$P, '14SepTo20Sep'!$J:$J, $A18)</f>
        <v>24.94</v>
      </c>
      <c r="AU18" s="123">
        <f t="shared" si="8"/>
        <v>83.079390537289484</v>
      </c>
      <c r="AV18" s="121">
        <f>SUMIFS('7SepTo13Sep'!$L:$L, '7SepTo13Sep'!$J:$J, $A18)</f>
        <v>7</v>
      </c>
      <c r="AW18" s="121">
        <f>SUMIFS('7SepTo13Sep'!$K:$K, '7SepTo13Sep'!$J:$J, $A18)</f>
        <v>182</v>
      </c>
      <c r="AX18" s="121">
        <f>SUMIFS('7SepTo13Sep'!$O:$O, '7SepTo13Sep'!$J:$J, $A18)</f>
        <v>28.94</v>
      </c>
      <c r="AY18" s="121">
        <f>SUMIFS('7SepTo13Sep'!$P:$P, '7SepTo13Sep'!$J:$J, $A18)</f>
        <v>74.820000000000007</v>
      </c>
      <c r="AZ18" s="123">
        <f t="shared" si="9"/>
        <v>38.679497460572037</v>
      </c>
      <c r="BA18" s="121">
        <f>SUMIFS('31AugTo6Sep'!$L:$L, '31AugTo6Sep'!$J:$J, $A18)</f>
        <v>1</v>
      </c>
      <c r="BB18" s="121">
        <f>SUMIFS('31AugTo6Sep'!$K:$K, '31AugTo6Sep'!$J:$J, $A18)</f>
        <v>8</v>
      </c>
      <c r="BC18" s="121">
        <f>SUMIFS('31AugTo6Sep'!$O:$O, '31AugTo6Sep'!$J:$J, $A18)</f>
        <v>4.13</v>
      </c>
      <c r="BD18" s="121">
        <f>SUMIFS('31AugTo6Sep'!$P:$P, '31AugTo6Sep'!$J:$J, $A18)</f>
        <v>24.94</v>
      </c>
      <c r="BE18" s="123">
        <f t="shared" si="10"/>
        <v>16.559743384121891</v>
      </c>
      <c r="BF18" s="121">
        <f>SUMIFS('24AugTo29Aug'!$L:$L, '24AugTo29Aug'!$J:$J, $A18)</f>
        <v>0</v>
      </c>
      <c r="BG18" s="121">
        <f>SUMIFS('24AugTo29Aug'!$K:$K, '24AugTo29Aug'!$J:$J, $A18)</f>
        <v>0</v>
      </c>
      <c r="BH18" s="121">
        <f>SUMIFS('24AugTo29Aug'!$O:$O, '24AugTo29Aug'!$J:$J, $A18)</f>
        <v>0</v>
      </c>
      <c r="BI18" s="121">
        <f>SUMIFS('24AugTo29Aug'!$P:$P, '24AugTo29Aug'!$J:$J, $A18)</f>
        <v>0</v>
      </c>
      <c r="BJ18" s="123">
        <f t="shared" si="11"/>
        <v>0</v>
      </c>
      <c r="BK18" s="121">
        <f>SUMIFS('17AugTo21Aug'!$L:$L, '17AugTo21Aug'!$J:$J, $A18)</f>
        <v>0</v>
      </c>
      <c r="BL18" s="121">
        <f>SUMIFS('17AugTo21Aug'!$K:$K, '17AugTo21Aug'!$J:$J, $A18)</f>
        <v>0</v>
      </c>
      <c r="BM18" s="121">
        <f>SUMIFS('17AugTo21Aug'!$O:$O, '17AugTo21Aug'!$J:$J, $A18)</f>
        <v>0</v>
      </c>
      <c r="BN18" s="121">
        <f>SUMIFS('17AugTo21Aug'!$P:$P, '17AugTo21Aug'!$J:$J, $A18)</f>
        <v>0</v>
      </c>
      <c r="BO18" s="123">
        <f t="shared" si="12"/>
        <v>0</v>
      </c>
      <c r="BP18" s="121">
        <f>SUMIFS('10AugTo16Aug'!$L:$L, '10AugTo16Aug'!$J:$J, $A18)</f>
        <v>5</v>
      </c>
      <c r="BQ18" s="121">
        <f>SUMIFS('10AugTo16Aug'!$K:$K, '10AugTo16Aug'!$J:$J, $A18)</f>
        <v>123</v>
      </c>
      <c r="BR18" s="121">
        <f>SUMIFS('10AugTo16Aug'!$O:$O, '10AugTo16Aug'!$J:$J, $A18)</f>
        <v>15.82</v>
      </c>
      <c r="BS18" s="121">
        <f>SUMIFS('10AugTo16Aug'!$P:$P, '10AugTo16Aug'!$J:$J, $A18)</f>
        <v>49.88</v>
      </c>
      <c r="BT18" s="123">
        <f t="shared" si="13"/>
        <v>31.716118684843625</v>
      </c>
      <c r="BU18" s="121">
        <f>SUMIFS('3AugTo9Aug'!$L:$L, '3AugTo9Aug'!$J:$J, $A18)</f>
        <v>4</v>
      </c>
      <c r="BV18" s="121">
        <f>SUMIFS('3AugTo9Aug'!$K:$K, '3AugTo9Aug'!$J:$J, $A18)</f>
        <v>251</v>
      </c>
      <c r="BW18" s="121">
        <f>SUMIFS('3AugTo9Aug'!$O:$O, '3AugTo9Aug'!$J:$J, $A18)</f>
        <v>13.18</v>
      </c>
      <c r="BX18" s="121">
        <f>SUMIFS('3AugTo9Aug'!$P:$P, '3AugTo9Aug'!$J:$J, $A18)</f>
        <v>24.94</v>
      </c>
      <c r="BY18" s="123">
        <f t="shared" si="14"/>
        <v>52.846832397754604</v>
      </c>
      <c r="BZ18" s="121">
        <f>SUMIFS('27JulyTo2Aug'!$L:$L, '27JulyTo2Aug'!$J:$J, $A18)</f>
        <v>0</v>
      </c>
      <c r="CA18" s="121">
        <f>SUMIFS('27JulyTo2Aug'!$K:$K, '27JulyTo2Aug'!$J:$J, $A18)</f>
        <v>0</v>
      </c>
      <c r="CB18" s="121">
        <f>SUMIFS('27JulyTo2Aug'!$O:$O, '27JulyTo2Aug'!$J:$J, $A18)</f>
        <v>0</v>
      </c>
      <c r="CC18" s="121">
        <f>SUMIFS('27JulyTo2Aug'!$P:$P, '27JulyTo2Aug'!$J:$J, $A18)</f>
        <v>0</v>
      </c>
      <c r="CD18" s="123">
        <f t="shared" si="15"/>
        <v>0</v>
      </c>
    </row>
    <row r="19" spans="1:82" ht="14.25" customHeight="1" x14ac:dyDescent="0.3">
      <c r="A19" s="124" t="s">
        <v>159</v>
      </c>
      <c r="B19" s="120" t="str">
        <f t="shared" si="16"/>
        <v>WINNER</v>
      </c>
      <c r="C19" s="121">
        <f>SUMIFS('9NovTo15Nov'!$L:$L, '9NovTo15Nov'!$J:$J, $A19)</f>
        <v>0</v>
      </c>
      <c r="D19" s="121">
        <f>SUMIFS('9NovTo15Nov'!$K:$K, '9NovTo15Nov'!$J:$J, $A19)</f>
        <v>0</v>
      </c>
      <c r="E19" s="121">
        <f>SUMIFS('9NovTo15Nov'!$O:$O, '9NovTo15Nov'!$J:$J, $A19)</f>
        <v>0</v>
      </c>
      <c r="F19" s="121">
        <f>SUMIFS('9NovTo15Nov'!$P:$P, '9NovTo15Nov'!$J:$J, $A19)</f>
        <v>0</v>
      </c>
      <c r="G19" s="122">
        <f t="shared" si="0"/>
        <v>0</v>
      </c>
      <c r="H19" s="121">
        <f>SUMIFS('2NovTo8Nov'!$L:$L, '2NovTo8Nov'!$J:$J, $A19)</f>
        <v>3</v>
      </c>
      <c r="I19" s="121">
        <f>SUMIFS('2NovTo8Nov'!$K:$K, '2NovTo8Nov'!$J:$J, $A19)</f>
        <v>54</v>
      </c>
      <c r="J19" s="121">
        <f>SUMIFS('2NovTo8Nov'!$O:$O, '2NovTo8Nov'!$J:$J, $A19)</f>
        <v>11.07</v>
      </c>
      <c r="K19" s="121">
        <f>SUMIFS('2NovTo8Nov'!$P:$P, '2NovTo8Nov'!$J:$J, $A19)</f>
        <v>24.94</v>
      </c>
      <c r="L19" s="122">
        <f t="shared" si="1"/>
        <v>44.386527666399353</v>
      </c>
      <c r="M19" s="121">
        <f>SUMIFS('26OctTo1Nov'!$L:$L, '26OctTo1Nov'!$J:$J, $A19)</f>
        <v>0</v>
      </c>
      <c r="N19" s="121">
        <f>SUMIFS('26OctTo1Nov'!$K:$K, '26OctTo1Nov'!$J:$J, $A19)</f>
        <v>0</v>
      </c>
      <c r="O19" s="121">
        <f>SUMIFS('26OctTo1Nov'!$O:$O, '26OctTo1Nov'!$J:$J, $A19)</f>
        <v>0</v>
      </c>
      <c r="P19" s="121">
        <f>SUMIFS('26OctTo1Nov'!$P:$P, '26OctTo1Nov'!$J:$J, $A19)</f>
        <v>0</v>
      </c>
      <c r="Q19" s="122">
        <f t="shared" si="2"/>
        <v>0</v>
      </c>
      <c r="R19" s="121">
        <f>SUMIFS('19OctTo25Oct'!$L:$L, '19OctTo25Oct'!$J:$J, $A19)</f>
        <v>0</v>
      </c>
      <c r="S19" s="121">
        <f>SUMIFS('19OctTo25Oct'!$K:$K, '19OctTo25Oct'!$J:$J, $A19)</f>
        <v>0</v>
      </c>
      <c r="T19" s="121">
        <f>SUMIFS('19OctTo25Oct'!$O:$O, '19OctTo25Oct'!$J:$J, $A19)</f>
        <v>0</v>
      </c>
      <c r="U19" s="121">
        <f>SUMIFS('19OctTo25Oct'!$P:$P, '19OctTo25Oct'!$J:$J, $A19)</f>
        <v>0</v>
      </c>
      <c r="V19" s="122">
        <f t="shared" si="3"/>
        <v>0</v>
      </c>
      <c r="W19" s="121">
        <f>SUMIFS('12OctTo18Oct'!$L:$L, '12OctTo18Oct'!$J:$J, $A19)</f>
        <v>1</v>
      </c>
      <c r="X19" s="121">
        <f>SUMIFS('12OctTo18Oct'!$K:$K, '12OctTo18Oct'!$J:$J, $A19)</f>
        <v>4</v>
      </c>
      <c r="Y19" s="121">
        <f>SUMIFS('12OctTo18Oct'!$O:$O, '12OctTo18Oct'!$J:$J, $A19)</f>
        <v>1.82</v>
      </c>
      <c r="Z19" s="121">
        <f>SUMIFS('12OctTo18Oct'!$P:$P, '12OctTo18Oct'!$J:$J, $A19)</f>
        <v>24.94</v>
      </c>
      <c r="AA19" s="122">
        <f t="shared" si="4"/>
        <v>7.2975140336808337</v>
      </c>
      <c r="AB19" s="121">
        <f>SUMIFS('5OctTo11Oct'!$L:$L, '5OctTo11Oct'!$J:$J, $A19)</f>
        <v>4</v>
      </c>
      <c r="AC19" s="121">
        <f>SUMIFS('5OctTo11Oct'!$K:$K, '5OctTo11Oct'!$J:$J, $A19)</f>
        <v>59</v>
      </c>
      <c r="AD19" s="121">
        <f>SUMIFS('5OctTo11Oct'!$O:$O, '5OctTo11Oct'!$J:$J, $A19)</f>
        <v>14.8</v>
      </c>
      <c r="AE19" s="121">
        <f>SUMIFS('5OctTo11Oct'!$P:$P, '5OctTo11Oct'!$J:$J, $A19)</f>
        <v>24.94</v>
      </c>
      <c r="AF19" s="123">
        <f t="shared" si="5"/>
        <v>59.342421812349642</v>
      </c>
      <c r="AG19" s="121">
        <f>SUMIFS('28SepTo4Oct'!$L:$L, '28SepTo4Oct'!$J:$J, $A19)</f>
        <v>6</v>
      </c>
      <c r="AH19" s="121">
        <f>SUMIFS('28SepTo4Oct'!$K:$K, '28SepTo4Oct'!$J:$J, $A19)</f>
        <v>37</v>
      </c>
      <c r="AI19" s="121">
        <f>SUMIFS('28SepTo4Oct'!$O:$O, '28SepTo4Oct'!$J:$J, $A19)</f>
        <v>22.48</v>
      </c>
      <c r="AJ19" s="121">
        <f>SUMIFS('28SepTo4Oct'!$P:$P, '28SepTo4Oct'!$J:$J, $A19)</f>
        <v>24.94</v>
      </c>
      <c r="AK19" s="123">
        <f t="shared" si="6"/>
        <v>90.136327185244582</v>
      </c>
      <c r="AL19" s="121">
        <f>SUMIFS('21SepTo27Sep'!$L:$L, '21SepTo27Sep'!$J:$J, $A19)</f>
        <v>0</v>
      </c>
      <c r="AM19" s="121">
        <f>SUMIFS('21SepTo27Sep'!$K:$K, '21SepTo27Sep'!$J:$J, $A19)</f>
        <v>0</v>
      </c>
      <c r="AN19" s="121">
        <f>SUMIFS('21SepTo27Sep'!$O:$O, '21SepTo27Sep'!$J:$J, $A19)</f>
        <v>0</v>
      </c>
      <c r="AO19" s="121">
        <f>SUMIFS('21SepTo27Sep'!$P:$P, '21SepTo27Sep'!$J:$J, $A19)</f>
        <v>0</v>
      </c>
      <c r="AP19" s="123">
        <f t="shared" si="7"/>
        <v>0</v>
      </c>
      <c r="AQ19" s="121">
        <f>SUMIFS('14SepTo20Sep'!$L:$L, '14SepTo20Sep'!$J:$J, $A19)</f>
        <v>1</v>
      </c>
      <c r="AR19" s="121">
        <f>SUMIFS('14SepTo20Sep'!$K:$K, '14SepTo20Sep'!$J:$J, $A19)</f>
        <v>3</v>
      </c>
      <c r="AS19" s="121">
        <f>SUMIFS('14SepTo20Sep'!$O:$O, '14SepTo20Sep'!$J:$J, $A19)</f>
        <v>4.05</v>
      </c>
      <c r="AT19" s="121">
        <f>SUMIFS('14SepTo20Sep'!$P:$P, '14SepTo20Sep'!$J:$J, $A19)</f>
        <v>24.94</v>
      </c>
      <c r="AU19" s="123">
        <f t="shared" si="8"/>
        <v>16.23897353648757</v>
      </c>
      <c r="AV19" s="121">
        <f>SUMIFS('7SepTo13Sep'!$L:$L, '7SepTo13Sep'!$J:$J, $A19)</f>
        <v>0</v>
      </c>
      <c r="AW19" s="121">
        <f>SUMIFS('7SepTo13Sep'!$K:$K, '7SepTo13Sep'!$J:$J, $A19)</f>
        <v>0</v>
      </c>
      <c r="AX19" s="121">
        <f>SUMIFS('7SepTo13Sep'!$O:$O, '7SepTo13Sep'!$J:$J, $A19)</f>
        <v>0</v>
      </c>
      <c r="AY19" s="121">
        <f>SUMIFS('7SepTo13Sep'!$P:$P, '7SepTo13Sep'!$J:$J, $A19)</f>
        <v>0</v>
      </c>
      <c r="AZ19" s="123">
        <f t="shared" si="9"/>
        <v>0</v>
      </c>
      <c r="BA19" s="121">
        <f>SUMIFS('31AugTo6Sep'!$L:$L, '31AugTo6Sep'!$J:$J, $A19)</f>
        <v>0</v>
      </c>
      <c r="BB19" s="121">
        <f>SUMIFS('31AugTo6Sep'!$K:$K, '31AugTo6Sep'!$J:$J, $A19)</f>
        <v>0</v>
      </c>
      <c r="BC19" s="121">
        <f>SUMIFS('31AugTo6Sep'!$O:$O, '31AugTo6Sep'!$J:$J, $A19)</f>
        <v>0</v>
      </c>
      <c r="BD19" s="121">
        <f>SUMIFS('31AugTo6Sep'!$P:$P, '31AugTo6Sep'!$J:$J, $A19)</f>
        <v>0</v>
      </c>
      <c r="BE19" s="123">
        <f t="shared" si="10"/>
        <v>0</v>
      </c>
      <c r="BF19" s="121">
        <f>SUMIFS('24AugTo29Aug'!$L:$L, '24AugTo29Aug'!$J:$J, $A19)</f>
        <v>3</v>
      </c>
      <c r="BG19" s="121">
        <f>SUMIFS('24AugTo29Aug'!$K:$K, '24AugTo29Aug'!$J:$J, $A19)</f>
        <v>14</v>
      </c>
      <c r="BH19" s="121">
        <f>SUMIFS('24AugTo29Aug'!$O:$O, '24AugTo29Aug'!$J:$J, $A19)</f>
        <v>8.48</v>
      </c>
      <c r="BI19" s="121">
        <f>SUMIFS('24AugTo29Aug'!$P:$P, '24AugTo29Aug'!$J:$J, $A19)</f>
        <v>74.820000000000007</v>
      </c>
      <c r="BJ19" s="123">
        <f t="shared" si="11"/>
        <v>11.333867949746057</v>
      </c>
      <c r="BK19" s="121">
        <f>SUMIFS('17AugTo21Aug'!$L:$L, '17AugTo21Aug'!$J:$J, $A19)</f>
        <v>0</v>
      </c>
      <c r="BL19" s="121">
        <f>SUMIFS('17AugTo21Aug'!$K:$K, '17AugTo21Aug'!$J:$J, $A19)</f>
        <v>0</v>
      </c>
      <c r="BM19" s="121">
        <f>SUMIFS('17AugTo21Aug'!$O:$O, '17AugTo21Aug'!$J:$J, $A19)</f>
        <v>0</v>
      </c>
      <c r="BN19" s="121">
        <f>SUMIFS('17AugTo21Aug'!$P:$P, '17AugTo21Aug'!$J:$J, $A19)</f>
        <v>0</v>
      </c>
      <c r="BO19" s="123">
        <f t="shared" si="12"/>
        <v>0</v>
      </c>
      <c r="BP19" s="121">
        <f>SUMIFS('10AugTo16Aug'!$L:$L, '10AugTo16Aug'!$J:$J, $A19)</f>
        <v>1</v>
      </c>
      <c r="BQ19" s="121">
        <f>SUMIFS('10AugTo16Aug'!$K:$K, '10AugTo16Aug'!$J:$J, $A19)</f>
        <v>21</v>
      </c>
      <c r="BR19" s="121">
        <f>SUMIFS('10AugTo16Aug'!$O:$O, '10AugTo16Aug'!$J:$J, $A19)</f>
        <v>3.83</v>
      </c>
      <c r="BS19" s="121">
        <f>SUMIFS('10AugTo16Aug'!$P:$P, '10AugTo16Aug'!$J:$J, $A19)</f>
        <v>24.94</v>
      </c>
      <c r="BT19" s="123">
        <f t="shared" si="13"/>
        <v>15.356856455493183</v>
      </c>
      <c r="BU19" s="121">
        <f>SUMIFS('3AugTo9Aug'!$L:$L, '3AugTo9Aug'!$J:$J, $A19)</f>
        <v>4</v>
      </c>
      <c r="BV19" s="121">
        <f>SUMIFS('3AugTo9Aug'!$K:$K, '3AugTo9Aug'!$J:$J, $A19)</f>
        <v>121</v>
      </c>
      <c r="BW19" s="121">
        <f>SUMIFS('3AugTo9Aug'!$O:$O, '3AugTo9Aug'!$J:$J, $A19)</f>
        <v>2.86</v>
      </c>
      <c r="BX19" s="121">
        <f>SUMIFS('3AugTo9Aug'!$P:$P, '3AugTo9Aug'!$J:$J, $A19)</f>
        <v>49.88</v>
      </c>
      <c r="BY19" s="123">
        <f t="shared" si="14"/>
        <v>5.7337610264635117</v>
      </c>
      <c r="BZ19" s="121">
        <f>SUMIFS('27JulyTo2Aug'!$L:$L, '27JulyTo2Aug'!$J:$J, $A19)</f>
        <v>8</v>
      </c>
      <c r="CA19" s="121">
        <f>SUMIFS('27JulyTo2Aug'!$K:$K, '27JulyTo2Aug'!$J:$J, $A19)</f>
        <v>68</v>
      </c>
      <c r="CB19" s="121">
        <f>SUMIFS('27JulyTo2Aug'!$O:$O, '27JulyTo2Aug'!$J:$J, $A19)</f>
        <v>24.4</v>
      </c>
      <c r="CC19" s="121">
        <f>SUMIFS('27JulyTo2Aug'!$P:$P, '27JulyTo2Aug'!$J:$J, $A19)</f>
        <v>49.88</v>
      </c>
      <c r="CD19" s="123">
        <f t="shared" si="15"/>
        <v>48.917401764234157</v>
      </c>
    </row>
    <row r="20" spans="1:82" ht="14.25" customHeight="1" x14ac:dyDescent="0.3">
      <c r="A20" s="119" t="s">
        <v>111</v>
      </c>
      <c r="B20" s="120" t="str">
        <f t="shared" si="16"/>
        <v>WINNER</v>
      </c>
      <c r="C20" s="121">
        <f>SUMIFS('9NovTo15Nov'!$L:$L, '9NovTo15Nov'!$J:$J, $A20)</f>
        <v>1</v>
      </c>
      <c r="D20" s="121">
        <f>SUMIFS('9NovTo15Nov'!$K:$K, '9NovTo15Nov'!$J:$J, $A20)</f>
        <v>2</v>
      </c>
      <c r="E20" s="121">
        <f>SUMIFS('9NovTo15Nov'!$O:$O, '9NovTo15Nov'!$J:$J, $A20)</f>
        <v>2.57</v>
      </c>
      <c r="F20" s="121">
        <f>SUMIFS('9NovTo15Nov'!$P:$P, '9NovTo15Nov'!$J:$J, $A20)</f>
        <v>21.9</v>
      </c>
      <c r="G20" s="122">
        <f t="shared" si="0"/>
        <v>11.735159817351597</v>
      </c>
      <c r="H20" s="121">
        <f>SUMIFS('2NovTo8Nov'!$L:$L, '2NovTo8Nov'!$J:$J, $A20)</f>
        <v>2</v>
      </c>
      <c r="I20" s="121">
        <f>SUMIFS('2NovTo8Nov'!$K:$K, '2NovTo8Nov'!$J:$J, $A20)</f>
        <v>4</v>
      </c>
      <c r="J20" s="121">
        <f>SUMIFS('2NovTo8Nov'!$O:$O, '2NovTo8Nov'!$J:$J, $A20)</f>
        <v>4.99</v>
      </c>
      <c r="K20" s="121">
        <f>SUMIFS('2NovTo8Nov'!$P:$P, '2NovTo8Nov'!$J:$J, $A20)</f>
        <v>43.8</v>
      </c>
      <c r="L20" s="122">
        <f t="shared" si="1"/>
        <v>11.392694063926943</v>
      </c>
      <c r="M20" s="121">
        <f>SUMIFS('26OctTo1Nov'!$L:$L, '26OctTo1Nov'!$J:$J, $A20)</f>
        <v>0</v>
      </c>
      <c r="N20" s="121">
        <f>SUMIFS('26OctTo1Nov'!$K:$K, '26OctTo1Nov'!$J:$J, $A20)</f>
        <v>0</v>
      </c>
      <c r="O20" s="121">
        <f>SUMIFS('26OctTo1Nov'!$O:$O, '26OctTo1Nov'!$J:$J, $A20)</f>
        <v>0</v>
      </c>
      <c r="P20" s="121">
        <f>SUMIFS('26OctTo1Nov'!$P:$P, '26OctTo1Nov'!$J:$J, $A20)</f>
        <v>0</v>
      </c>
      <c r="Q20" s="122">
        <f t="shared" si="2"/>
        <v>0</v>
      </c>
      <c r="R20" s="121">
        <f>SUMIFS('19OctTo25Oct'!$L:$L, '19OctTo25Oct'!$J:$J, $A20)</f>
        <v>0</v>
      </c>
      <c r="S20" s="121">
        <f>SUMIFS('19OctTo25Oct'!$K:$K, '19OctTo25Oct'!$J:$J, $A20)</f>
        <v>0</v>
      </c>
      <c r="T20" s="121">
        <f>SUMIFS('19OctTo25Oct'!$O:$O, '19OctTo25Oct'!$J:$J, $A20)</f>
        <v>0</v>
      </c>
      <c r="U20" s="121">
        <f>SUMIFS('19OctTo25Oct'!$P:$P, '19OctTo25Oct'!$J:$J, $A20)</f>
        <v>0</v>
      </c>
      <c r="V20" s="122">
        <f t="shared" si="3"/>
        <v>0</v>
      </c>
      <c r="W20" s="121">
        <f>SUMIFS('12OctTo18Oct'!$L:$L, '12OctTo18Oct'!$J:$J, $A20)</f>
        <v>0</v>
      </c>
      <c r="X20" s="121">
        <f>SUMIFS('12OctTo18Oct'!$K:$K, '12OctTo18Oct'!$J:$J, $A20)</f>
        <v>0</v>
      </c>
      <c r="Y20" s="121">
        <f>SUMIFS('12OctTo18Oct'!$O:$O, '12OctTo18Oct'!$J:$J, $A20)</f>
        <v>0</v>
      </c>
      <c r="Z20" s="121">
        <f>SUMIFS('12OctTo18Oct'!$P:$P, '12OctTo18Oct'!$J:$J, $A20)</f>
        <v>0</v>
      </c>
      <c r="AA20" s="122">
        <f t="shared" si="4"/>
        <v>0</v>
      </c>
      <c r="AB20" s="121">
        <f>SUMIFS('5OctTo11Oct'!$L:$L, '5OctTo11Oct'!$J:$J, $A20)</f>
        <v>2</v>
      </c>
      <c r="AC20" s="121">
        <f>SUMIFS('5OctTo11Oct'!$K:$K, '5OctTo11Oct'!$J:$J, $A20)</f>
        <v>4</v>
      </c>
      <c r="AD20" s="121">
        <f>SUMIFS('5OctTo11Oct'!$O:$O, '5OctTo11Oct'!$J:$J, $A20)</f>
        <v>5.07</v>
      </c>
      <c r="AE20" s="121">
        <f>SUMIFS('5OctTo11Oct'!$P:$P, '5OctTo11Oct'!$J:$J, $A20)</f>
        <v>43.8</v>
      </c>
      <c r="AF20" s="123">
        <f t="shared" si="5"/>
        <v>11.575342465753426</v>
      </c>
      <c r="AG20" s="121">
        <f>SUMIFS('28SepTo4Oct'!$L:$L, '28SepTo4Oct'!$J:$J, $A20)</f>
        <v>0</v>
      </c>
      <c r="AH20" s="121">
        <f>SUMIFS('28SepTo4Oct'!$K:$K, '28SepTo4Oct'!$J:$J, $A20)</f>
        <v>0</v>
      </c>
      <c r="AI20" s="121">
        <f>SUMIFS('28SepTo4Oct'!$O:$O, '28SepTo4Oct'!$J:$J, $A20)</f>
        <v>0</v>
      </c>
      <c r="AJ20" s="121">
        <f>SUMIFS('28SepTo4Oct'!$P:$P, '28SepTo4Oct'!$J:$J, $A20)</f>
        <v>0</v>
      </c>
      <c r="AK20" s="123">
        <f t="shared" si="6"/>
        <v>0</v>
      </c>
      <c r="AL20" s="121">
        <f>SUMIFS('21SepTo27Sep'!$L:$L, '21SepTo27Sep'!$J:$J, $A20)</f>
        <v>1</v>
      </c>
      <c r="AM20" s="121">
        <f>SUMIFS('21SepTo27Sep'!$K:$K, '21SepTo27Sep'!$J:$J, $A20)</f>
        <v>1</v>
      </c>
      <c r="AN20" s="121">
        <f>SUMIFS('21SepTo27Sep'!$O:$O, '21SepTo27Sep'!$J:$J, $A20)</f>
        <v>2.4900000000000002</v>
      </c>
      <c r="AO20" s="121">
        <f>SUMIFS('21SepTo27Sep'!$P:$P, '21SepTo27Sep'!$J:$J, $A20)</f>
        <v>21.9</v>
      </c>
      <c r="AP20" s="123">
        <f t="shared" si="7"/>
        <v>11.369863013698632</v>
      </c>
      <c r="AQ20" s="121">
        <f>SUMIFS('14SepTo20Sep'!$L:$L, '14SepTo20Sep'!$J:$J, $A20)</f>
        <v>0</v>
      </c>
      <c r="AR20" s="121">
        <f>SUMIFS('14SepTo20Sep'!$K:$K, '14SepTo20Sep'!$J:$J, $A20)</f>
        <v>0</v>
      </c>
      <c r="AS20" s="121">
        <f>SUMIFS('14SepTo20Sep'!$O:$O, '14SepTo20Sep'!$J:$J, $A20)</f>
        <v>0</v>
      </c>
      <c r="AT20" s="121">
        <f>SUMIFS('14SepTo20Sep'!$P:$P, '14SepTo20Sep'!$J:$J, $A20)</f>
        <v>0</v>
      </c>
      <c r="AU20" s="123">
        <f t="shared" si="8"/>
        <v>0</v>
      </c>
      <c r="AV20" s="121">
        <f>SUMIFS('7SepTo13Sep'!$L:$L, '7SepTo13Sep'!$J:$J, $A20)</f>
        <v>0</v>
      </c>
      <c r="AW20" s="121">
        <f>SUMIFS('7SepTo13Sep'!$K:$K, '7SepTo13Sep'!$J:$J, $A20)</f>
        <v>0</v>
      </c>
      <c r="AX20" s="121">
        <f>SUMIFS('7SepTo13Sep'!$O:$O, '7SepTo13Sep'!$J:$J, $A20)</f>
        <v>0</v>
      </c>
      <c r="AY20" s="121">
        <f>SUMIFS('7SepTo13Sep'!$P:$P, '7SepTo13Sep'!$J:$J, $A20)</f>
        <v>0</v>
      </c>
      <c r="AZ20" s="123">
        <f t="shared" si="9"/>
        <v>0</v>
      </c>
      <c r="BA20" s="121">
        <f>SUMIFS('31AugTo6Sep'!$L:$L, '31AugTo6Sep'!$J:$J, $A20)</f>
        <v>1</v>
      </c>
      <c r="BB20" s="121">
        <f>SUMIFS('31AugTo6Sep'!$K:$K, '31AugTo6Sep'!$J:$J, $A20)</f>
        <v>2</v>
      </c>
      <c r="BC20" s="121">
        <f>SUMIFS('31AugTo6Sep'!$O:$O, '31AugTo6Sep'!$J:$J, $A20)</f>
        <v>1.25</v>
      </c>
      <c r="BD20" s="121">
        <f>SUMIFS('31AugTo6Sep'!$P:$P, '31AugTo6Sep'!$J:$J, $A20)</f>
        <v>21.9</v>
      </c>
      <c r="BE20" s="123">
        <f t="shared" si="10"/>
        <v>5.7077625570776256</v>
      </c>
      <c r="BF20" s="121">
        <f>SUMIFS('24AugTo29Aug'!$L:$L, '24AugTo29Aug'!$J:$J, $A20)</f>
        <v>0</v>
      </c>
      <c r="BG20" s="121">
        <f>SUMIFS('24AugTo29Aug'!$K:$K, '24AugTo29Aug'!$J:$J, $A20)</f>
        <v>0</v>
      </c>
      <c r="BH20" s="121">
        <f>SUMIFS('24AugTo29Aug'!$O:$O, '24AugTo29Aug'!$J:$J, $A20)</f>
        <v>0</v>
      </c>
      <c r="BI20" s="121">
        <f>SUMIFS('24AugTo29Aug'!$P:$P, '24AugTo29Aug'!$J:$J, $A20)</f>
        <v>0</v>
      </c>
      <c r="BJ20" s="123">
        <f t="shared" si="11"/>
        <v>0</v>
      </c>
      <c r="BK20" s="121">
        <f>SUMIFS('17AugTo21Aug'!$L:$L, '17AugTo21Aug'!$J:$J, $A20)</f>
        <v>0</v>
      </c>
      <c r="BL20" s="121">
        <f>SUMIFS('17AugTo21Aug'!$K:$K, '17AugTo21Aug'!$J:$J, $A20)</f>
        <v>0</v>
      </c>
      <c r="BM20" s="121">
        <f>SUMIFS('17AugTo21Aug'!$O:$O, '17AugTo21Aug'!$J:$J, $A20)</f>
        <v>0</v>
      </c>
      <c r="BN20" s="121">
        <f>SUMIFS('17AugTo21Aug'!$P:$P, '17AugTo21Aug'!$J:$J, $A20)</f>
        <v>0</v>
      </c>
      <c r="BO20" s="123">
        <f t="shared" si="12"/>
        <v>0</v>
      </c>
      <c r="BP20" s="121">
        <f>SUMIFS('10AugTo16Aug'!$L:$L, '10AugTo16Aug'!$J:$J, $A20)</f>
        <v>0</v>
      </c>
      <c r="BQ20" s="121">
        <f>SUMIFS('10AugTo16Aug'!$K:$K, '10AugTo16Aug'!$J:$J, $A20)</f>
        <v>0</v>
      </c>
      <c r="BR20" s="121">
        <f>SUMIFS('10AugTo16Aug'!$O:$O, '10AugTo16Aug'!$J:$J, $A20)</f>
        <v>0</v>
      </c>
      <c r="BS20" s="121">
        <f>SUMIFS('10AugTo16Aug'!$P:$P, '10AugTo16Aug'!$J:$J, $A20)</f>
        <v>0</v>
      </c>
      <c r="BT20" s="123">
        <f t="shared" si="13"/>
        <v>0</v>
      </c>
      <c r="BU20" s="121">
        <f>SUMIFS('3AugTo9Aug'!$L:$L, '3AugTo9Aug'!$J:$J, $A20)</f>
        <v>0</v>
      </c>
      <c r="BV20" s="121">
        <f>SUMIFS('3AugTo9Aug'!$K:$K, '3AugTo9Aug'!$J:$J, $A20)</f>
        <v>0</v>
      </c>
      <c r="BW20" s="121">
        <f>SUMIFS('3AugTo9Aug'!$O:$O, '3AugTo9Aug'!$J:$J, $A20)</f>
        <v>0</v>
      </c>
      <c r="BX20" s="121">
        <f>SUMIFS('3AugTo9Aug'!$P:$P, '3AugTo9Aug'!$J:$J, $A20)</f>
        <v>0</v>
      </c>
      <c r="BY20" s="123">
        <f t="shared" si="14"/>
        <v>0</v>
      </c>
      <c r="BZ20" s="121">
        <f>SUMIFS('27JulyTo2Aug'!$L:$L, '27JulyTo2Aug'!$J:$J, $A20)</f>
        <v>0</v>
      </c>
      <c r="CA20" s="121">
        <f>SUMIFS('27JulyTo2Aug'!$K:$K, '27JulyTo2Aug'!$J:$J, $A20)</f>
        <v>0</v>
      </c>
      <c r="CB20" s="121">
        <f>SUMIFS('27JulyTo2Aug'!$O:$O, '27JulyTo2Aug'!$J:$J, $A20)</f>
        <v>0</v>
      </c>
      <c r="CC20" s="121">
        <f>SUMIFS('27JulyTo2Aug'!$P:$P, '27JulyTo2Aug'!$J:$J, $A20)</f>
        <v>0</v>
      </c>
      <c r="CD20" s="123">
        <f t="shared" si="15"/>
        <v>0</v>
      </c>
    </row>
    <row r="21" spans="1:82" ht="14.25" customHeight="1" x14ac:dyDescent="0.3">
      <c r="A21" s="124" t="s">
        <v>351</v>
      </c>
      <c r="B21" s="120" t="str">
        <f t="shared" si="16"/>
        <v>NO TRAFFIC</v>
      </c>
      <c r="C21" s="121">
        <f>SUMIFS('9NovTo15Nov'!$L:$L, '9NovTo15Nov'!$J:$J, $A21)</f>
        <v>0</v>
      </c>
      <c r="D21" s="121">
        <f>SUMIFS('9NovTo15Nov'!$K:$K, '9NovTo15Nov'!$J:$J, $A21)</f>
        <v>0</v>
      </c>
      <c r="E21" s="121">
        <f>SUMIFS('9NovTo15Nov'!$O:$O, '9NovTo15Nov'!$J:$J, $A21)</f>
        <v>0</v>
      </c>
      <c r="F21" s="121">
        <f>SUMIFS('9NovTo15Nov'!$P:$P, '9NovTo15Nov'!$J:$J, $A21)</f>
        <v>0</v>
      </c>
      <c r="G21" s="122">
        <f t="shared" si="0"/>
        <v>0</v>
      </c>
      <c r="H21" s="121">
        <f>SUMIFS('2NovTo8Nov'!$L:$L, '2NovTo8Nov'!$J:$J, $A21)</f>
        <v>0</v>
      </c>
      <c r="I21" s="121">
        <f>SUMIFS('2NovTo8Nov'!$K:$K, '2NovTo8Nov'!$J:$J, $A21)</f>
        <v>0</v>
      </c>
      <c r="J21" s="121">
        <f>SUMIFS('2NovTo8Nov'!$O:$O, '2NovTo8Nov'!$J:$J, $A21)</f>
        <v>0</v>
      </c>
      <c r="K21" s="121">
        <f>SUMIFS('2NovTo8Nov'!$P:$P, '2NovTo8Nov'!$J:$J, $A21)</f>
        <v>0</v>
      </c>
      <c r="L21" s="122">
        <f t="shared" si="1"/>
        <v>0</v>
      </c>
      <c r="M21" s="121">
        <f>SUMIFS('26OctTo1Nov'!$L:$L, '26OctTo1Nov'!$J:$J, $A21)</f>
        <v>0</v>
      </c>
      <c r="N21" s="121">
        <f>SUMIFS('26OctTo1Nov'!$K:$K, '26OctTo1Nov'!$J:$J, $A21)</f>
        <v>0</v>
      </c>
      <c r="O21" s="121">
        <f>SUMIFS('26OctTo1Nov'!$O:$O, '26OctTo1Nov'!$J:$J, $A21)</f>
        <v>0</v>
      </c>
      <c r="P21" s="121">
        <f>SUMIFS('26OctTo1Nov'!$P:$P, '26OctTo1Nov'!$J:$J, $A21)</f>
        <v>0</v>
      </c>
      <c r="Q21" s="122">
        <f t="shared" si="2"/>
        <v>0</v>
      </c>
      <c r="R21" s="121">
        <f>SUMIFS('19OctTo25Oct'!$L:$L, '19OctTo25Oct'!$J:$J, $A21)</f>
        <v>0</v>
      </c>
      <c r="S21" s="121">
        <f>SUMIFS('19OctTo25Oct'!$K:$K, '19OctTo25Oct'!$J:$J, $A21)</f>
        <v>0</v>
      </c>
      <c r="T21" s="121">
        <f>SUMIFS('19OctTo25Oct'!$O:$O, '19OctTo25Oct'!$J:$J, $A21)</f>
        <v>0</v>
      </c>
      <c r="U21" s="121">
        <f>SUMIFS('19OctTo25Oct'!$P:$P, '19OctTo25Oct'!$J:$J, $A21)</f>
        <v>0</v>
      </c>
      <c r="V21" s="122">
        <f t="shared" si="3"/>
        <v>0</v>
      </c>
      <c r="W21" s="121">
        <f>SUMIFS('12OctTo18Oct'!$L:$L, '12OctTo18Oct'!$J:$J, $A21)</f>
        <v>0</v>
      </c>
      <c r="X21" s="121">
        <f>SUMIFS('12OctTo18Oct'!$K:$K, '12OctTo18Oct'!$J:$J, $A21)</f>
        <v>0</v>
      </c>
      <c r="Y21" s="121">
        <f>SUMIFS('12OctTo18Oct'!$O:$O, '12OctTo18Oct'!$J:$J, $A21)</f>
        <v>0</v>
      </c>
      <c r="Z21" s="121">
        <f>SUMIFS('12OctTo18Oct'!$P:$P, '12OctTo18Oct'!$J:$J, $A21)</f>
        <v>0</v>
      </c>
      <c r="AA21" s="122">
        <f t="shared" si="4"/>
        <v>0</v>
      </c>
      <c r="AB21" s="121">
        <f>SUMIFS('5OctTo11Oct'!$L:$L, '5OctTo11Oct'!$J:$J, $A21)</f>
        <v>1</v>
      </c>
      <c r="AC21" s="121">
        <f>SUMIFS('5OctTo11Oct'!$K:$K, '5OctTo11Oct'!$J:$J, $A21)</f>
        <v>16</v>
      </c>
      <c r="AD21" s="121">
        <f>SUMIFS('5OctTo11Oct'!$O:$O, '5OctTo11Oct'!$J:$J, $A21)</f>
        <v>4.7699999999999996</v>
      </c>
      <c r="AE21" s="121">
        <f>SUMIFS('5OctTo11Oct'!$P:$P, '5OctTo11Oct'!$J:$J, $A21)</f>
        <v>19.95</v>
      </c>
      <c r="AF21" s="123">
        <f t="shared" si="5"/>
        <v>23.909774436090224</v>
      </c>
      <c r="AG21" s="121">
        <f>SUMIFS('28SepTo4Oct'!$L:$L, '28SepTo4Oct'!$J:$J, $A21)</f>
        <v>0</v>
      </c>
      <c r="AH21" s="121">
        <f>SUMIFS('28SepTo4Oct'!$K:$K, '28SepTo4Oct'!$J:$J, $A21)</f>
        <v>0</v>
      </c>
      <c r="AI21" s="121">
        <f>SUMIFS('28SepTo4Oct'!$O:$O, '28SepTo4Oct'!$J:$J, $A21)</f>
        <v>0</v>
      </c>
      <c r="AJ21" s="121">
        <f>SUMIFS('28SepTo4Oct'!$P:$P, '28SepTo4Oct'!$J:$J, $A21)</f>
        <v>0</v>
      </c>
      <c r="AK21" s="123">
        <f t="shared" si="6"/>
        <v>0</v>
      </c>
      <c r="AL21" s="121">
        <f>SUMIFS('21SepTo27Sep'!$L:$L, '21SepTo27Sep'!$J:$J, $A21)</f>
        <v>0</v>
      </c>
      <c r="AM21" s="121">
        <f>SUMIFS('21SepTo27Sep'!$K:$K, '21SepTo27Sep'!$J:$J, $A21)</f>
        <v>0</v>
      </c>
      <c r="AN21" s="121">
        <f>SUMIFS('21SepTo27Sep'!$O:$O, '21SepTo27Sep'!$J:$J, $A21)</f>
        <v>0</v>
      </c>
      <c r="AO21" s="121">
        <f>SUMIFS('21SepTo27Sep'!$P:$P, '21SepTo27Sep'!$J:$J, $A21)</f>
        <v>0</v>
      </c>
      <c r="AP21" s="123">
        <f t="shared" si="7"/>
        <v>0</v>
      </c>
      <c r="AQ21" s="121">
        <f>SUMIFS('14SepTo20Sep'!$L:$L, '14SepTo20Sep'!$J:$J, $A21)</f>
        <v>0</v>
      </c>
      <c r="AR21" s="121">
        <f>SUMIFS('14SepTo20Sep'!$K:$K, '14SepTo20Sep'!$J:$J, $A21)</f>
        <v>0</v>
      </c>
      <c r="AS21" s="121">
        <f>SUMIFS('14SepTo20Sep'!$O:$O, '14SepTo20Sep'!$J:$J, $A21)</f>
        <v>0</v>
      </c>
      <c r="AT21" s="121">
        <f>SUMIFS('14SepTo20Sep'!$P:$P, '14SepTo20Sep'!$J:$J, $A21)</f>
        <v>0</v>
      </c>
      <c r="AU21" s="123">
        <f t="shared" si="8"/>
        <v>0</v>
      </c>
      <c r="AV21" s="121">
        <f>SUMIFS('7SepTo13Sep'!$L:$L, '7SepTo13Sep'!$J:$J, $A21)</f>
        <v>0</v>
      </c>
      <c r="AW21" s="121">
        <f>SUMIFS('7SepTo13Sep'!$K:$K, '7SepTo13Sep'!$J:$J, $A21)</f>
        <v>0</v>
      </c>
      <c r="AX21" s="121">
        <f>SUMIFS('7SepTo13Sep'!$O:$O, '7SepTo13Sep'!$J:$J, $A21)</f>
        <v>0</v>
      </c>
      <c r="AY21" s="121">
        <f>SUMIFS('7SepTo13Sep'!$P:$P, '7SepTo13Sep'!$J:$J, $A21)</f>
        <v>0</v>
      </c>
      <c r="AZ21" s="123">
        <f t="shared" si="9"/>
        <v>0</v>
      </c>
      <c r="BA21" s="121">
        <f>SUMIFS('31AugTo6Sep'!$L:$L, '31AugTo6Sep'!$J:$J, $A21)</f>
        <v>0</v>
      </c>
      <c r="BB21" s="121">
        <f>SUMIFS('31AugTo6Sep'!$K:$K, '31AugTo6Sep'!$J:$J, $A21)</f>
        <v>0</v>
      </c>
      <c r="BC21" s="121">
        <f>SUMIFS('31AugTo6Sep'!$O:$O, '31AugTo6Sep'!$J:$J, $A21)</f>
        <v>0</v>
      </c>
      <c r="BD21" s="121">
        <f>SUMIFS('31AugTo6Sep'!$P:$P, '31AugTo6Sep'!$J:$J, $A21)</f>
        <v>0</v>
      </c>
      <c r="BE21" s="123">
        <f t="shared" si="10"/>
        <v>0</v>
      </c>
      <c r="BF21" s="121">
        <f>SUMIFS('24AugTo29Aug'!$L:$L, '24AugTo29Aug'!$J:$J, $A21)</f>
        <v>0</v>
      </c>
      <c r="BG21" s="121">
        <f>SUMIFS('24AugTo29Aug'!$K:$K, '24AugTo29Aug'!$J:$J, $A21)</f>
        <v>0</v>
      </c>
      <c r="BH21" s="121">
        <f>SUMIFS('24AugTo29Aug'!$O:$O, '24AugTo29Aug'!$J:$J, $A21)</f>
        <v>0</v>
      </c>
      <c r="BI21" s="121">
        <f>SUMIFS('24AugTo29Aug'!$P:$P, '24AugTo29Aug'!$J:$J, $A21)</f>
        <v>0</v>
      </c>
      <c r="BJ21" s="123">
        <f t="shared" si="11"/>
        <v>0</v>
      </c>
      <c r="BK21" s="121">
        <f>SUMIFS('17AugTo21Aug'!$L:$L, '17AugTo21Aug'!$J:$J, $A21)</f>
        <v>0</v>
      </c>
      <c r="BL21" s="121">
        <f>SUMIFS('17AugTo21Aug'!$K:$K, '17AugTo21Aug'!$J:$J, $A21)</f>
        <v>0</v>
      </c>
      <c r="BM21" s="121">
        <f>SUMIFS('17AugTo21Aug'!$O:$O, '17AugTo21Aug'!$J:$J, $A21)</f>
        <v>0</v>
      </c>
      <c r="BN21" s="121">
        <f>SUMIFS('17AugTo21Aug'!$P:$P, '17AugTo21Aug'!$J:$J, $A21)</f>
        <v>0</v>
      </c>
      <c r="BO21" s="123">
        <f t="shared" si="12"/>
        <v>0</v>
      </c>
      <c r="BP21" s="121">
        <f>SUMIFS('10AugTo16Aug'!$L:$L, '10AugTo16Aug'!$J:$J, $A21)</f>
        <v>9</v>
      </c>
      <c r="BQ21" s="121">
        <f>SUMIFS('10AugTo16Aug'!$K:$K, '10AugTo16Aug'!$J:$J, $A21)</f>
        <v>1132</v>
      </c>
      <c r="BR21" s="121">
        <f>SUMIFS('10AugTo16Aug'!$O:$O, '10AugTo16Aug'!$J:$J, $A21)</f>
        <v>20.7</v>
      </c>
      <c r="BS21" s="121">
        <f>SUMIFS('10AugTo16Aug'!$P:$P, '10AugTo16Aug'!$J:$J, $A21)</f>
        <v>49.88</v>
      </c>
      <c r="BT21" s="123">
        <f t="shared" si="13"/>
        <v>41.499599037690452</v>
      </c>
      <c r="BU21" s="121">
        <f>SUMIFS('3AugTo9Aug'!$L:$L, '3AugTo9Aug'!$J:$J, $A21)</f>
        <v>0</v>
      </c>
      <c r="BV21" s="121">
        <f>SUMIFS('3AugTo9Aug'!$K:$K, '3AugTo9Aug'!$J:$J, $A21)</f>
        <v>0</v>
      </c>
      <c r="BW21" s="121">
        <f>SUMIFS('3AugTo9Aug'!$O:$O, '3AugTo9Aug'!$J:$J, $A21)</f>
        <v>0</v>
      </c>
      <c r="BX21" s="121">
        <f>SUMIFS('3AugTo9Aug'!$P:$P, '3AugTo9Aug'!$J:$J, $A21)</f>
        <v>0</v>
      </c>
      <c r="BY21" s="123">
        <f t="shared" si="14"/>
        <v>0</v>
      </c>
      <c r="BZ21" s="121">
        <f>SUMIFS('27JulyTo2Aug'!$L:$L, '27JulyTo2Aug'!$J:$J, $A21)</f>
        <v>7</v>
      </c>
      <c r="CA21" s="121">
        <f>SUMIFS('27JulyTo2Aug'!$K:$K, '27JulyTo2Aug'!$J:$J, $A21)</f>
        <v>805</v>
      </c>
      <c r="CB21" s="121">
        <f>SUMIFS('27JulyTo2Aug'!$O:$O, '27JulyTo2Aug'!$J:$J, $A21)</f>
        <v>16.59</v>
      </c>
      <c r="CC21" s="121">
        <f>SUMIFS('27JulyTo2Aug'!$P:$P, '27JulyTo2Aug'!$J:$J, $A21)</f>
        <v>24.94</v>
      </c>
      <c r="CD21" s="123">
        <f t="shared" si="15"/>
        <v>66.519647153167597</v>
      </c>
    </row>
    <row r="22" spans="1:82" ht="14.25" customHeight="1" x14ac:dyDescent="0.3">
      <c r="A22" s="124" t="s">
        <v>330</v>
      </c>
      <c r="B22" s="120" t="str">
        <f t="shared" si="16"/>
        <v>NO TRAFFIC</v>
      </c>
      <c r="C22" s="121">
        <f>SUMIFS('9NovTo15Nov'!$L:$L, '9NovTo15Nov'!$J:$J, $A22)</f>
        <v>0</v>
      </c>
      <c r="D22" s="121">
        <f>SUMIFS('9NovTo15Nov'!$K:$K, '9NovTo15Nov'!$J:$J, $A22)</f>
        <v>0</v>
      </c>
      <c r="E22" s="121">
        <f>SUMIFS('9NovTo15Nov'!$O:$O, '9NovTo15Nov'!$J:$J, $A22)</f>
        <v>0</v>
      </c>
      <c r="F22" s="121">
        <f>SUMIFS('9NovTo15Nov'!$P:$P, '9NovTo15Nov'!$J:$J, $A22)</f>
        <v>0</v>
      </c>
      <c r="G22" s="122">
        <f t="shared" si="0"/>
        <v>0</v>
      </c>
      <c r="H22" s="121">
        <f>SUMIFS('2NovTo8Nov'!$L:$L, '2NovTo8Nov'!$J:$J, $A22)</f>
        <v>0</v>
      </c>
      <c r="I22" s="121">
        <f>SUMIFS('2NovTo8Nov'!$K:$K, '2NovTo8Nov'!$J:$J, $A22)</f>
        <v>0</v>
      </c>
      <c r="J22" s="121">
        <f>SUMIFS('2NovTo8Nov'!$O:$O, '2NovTo8Nov'!$J:$J, $A22)</f>
        <v>0</v>
      </c>
      <c r="K22" s="121">
        <f>SUMIFS('2NovTo8Nov'!$P:$P, '2NovTo8Nov'!$J:$J, $A22)</f>
        <v>0</v>
      </c>
      <c r="L22" s="122">
        <f t="shared" si="1"/>
        <v>0</v>
      </c>
      <c r="M22" s="121">
        <f>SUMIFS('26OctTo1Nov'!$L:$L, '26OctTo1Nov'!$J:$J, $A22)</f>
        <v>0</v>
      </c>
      <c r="N22" s="121">
        <f>SUMIFS('26OctTo1Nov'!$K:$K, '26OctTo1Nov'!$J:$J, $A22)</f>
        <v>0</v>
      </c>
      <c r="O22" s="121">
        <f>SUMIFS('26OctTo1Nov'!$O:$O, '26OctTo1Nov'!$J:$J, $A22)</f>
        <v>0</v>
      </c>
      <c r="P22" s="121">
        <f>SUMIFS('26OctTo1Nov'!$P:$P, '26OctTo1Nov'!$J:$J, $A22)</f>
        <v>0</v>
      </c>
      <c r="Q22" s="122">
        <f t="shared" si="2"/>
        <v>0</v>
      </c>
      <c r="R22" s="121">
        <f>SUMIFS('19OctTo25Oct'!$L:$L, '19OctTo25Oct'!$J:$J, $A22)</f>
        <v>0</v>
      </c>
      <c r="S22" s="121">
        <f>SUMIFS('19OctTo25Oct'!$K:$K, '19OctTo25Oct'!$J:$J, $A22)</f>
        <v>0</v>
      </c>
      <c r="T22" s="121">
        <f>SUMIFS('19OctTo25Oct'!$O:$O, '19OctTo25Oct'!$J:$J, $A22)</f>
        <v>0</v>
      </c>
      <c r="U22" s="121">
        <f>SUMIFS('19OctTo25Oct'!$P:$P, '19OctTo25Oct'!$J:$J, $A22)</f>
        <v>0</v>
      </c>
      <c r="V22" s="122">
        <f t="shared" si="3"/>
        <v>0</v>
      </c>
      <c r="W22" s="121">
        <f>SUMIFS('12OctTo18Oct'!$L:$L, '12OctTo18Oct'!$J:$J, $A22)</f>
        <v>0</v>
      </c>
      <c r="X22" s="121">
        <f>SUMIFS('12OctTo18Oct'!$K:$K, '12OctTo18Oct'!$J:$J, $A22)</f>
        <v>0</v>
      </c>
      <c r="Y22" s="121">
        <f>SUMIFS('12OctTo18Oct'!$O:$O, '12OctTo18Oct'!$J:$J, $A22)</f>
        <v>0</v>
      </c>
      <c r="Z22" s="121">
        <f>SUMIFS('12OctTo18Oct'!$P:$P, '12OctTo18Oct'!$J:$J, $A22)</f>
        <v>0</v>
      </c>
      <c r="AA22" s="122">
        <f t="shared" si="4"/>
        <v>0</v>
      </c>
      <c r="AB22" s="121">
        <f>SUMIFS('5OctTo11Oct'!$L:$L, '5OctTo11Oct'!$J:$J, $A22)</f>
        <v>1</v>
      </c>
      <c r="AC22" s="121">
        <f>SUMIFS('5OctTo11Oct'!$K:$K, '5OctTo11Oct'!$J:$J, $A22)</f>
        <v>5</v>
      </c>
      <c r="AD22" s="121">
        <f>SUMIFS('5OctTo11Oct'!$O:$O, '5OctTo11Oct'!$J:$J, $A22)</f>
        <v>1.89</v>
      </c>
      <c r="AE22" s="121">
        <f>SUMIFS('5OctTo11Oct'!$P:$P, '5OctTo11Oct'!$J:$J, $A22)</f>
        <v>24.94</v>
      </c>
      <c r="AF22" s="123">
        <f t="shared" si="5"/>
        <v>7.5781876503608654</v>
      </c>
      <c r="AG22" s="121">
        <f>SUMIFS('28SepTo4Oct'!$L:$L, '28SepTo4Oct'!$J:$J, $A22)</f>
        <v>0</v>
      </c>
      <c r="AH22" s="121">
        <f>SUMIFS('28SepTo4Oct'!$K:$K, '28SepTo4Oct'!$J:$J, $A22)</f>
        <v>0</v>
      </c>
      <c r="AI22" s="121">
        <f>SUMIFS('28SepTo4Oct'!$O:$O, '28SepTo4Oct'!$J:$J, $A22)</f>
        <v>0</v>
      </c>
      <c r="AJ22" s="121">
        <f>SUMIFS('28SepTo4Oct'!$P:$P, '28SepTo4Oct'!$J:$J, $A22)</f>
        <v>0</v>
      </c>
      <c r="AK22" s="123">
        <f t="shared" si="6"/>
        <v>0</v>
      </c>
      <c r="AL22" s="121">
        <f>SUMIFS('21SepTo27Sep'!$L:$L, '21SepTo27Sep'!$J:$J, $A22)</f>
        <v>0</v>
      </c>
      <c r="AM22" s="121">
        <f>SUMIFS('21SepTo27Sep'!$K:$K, '21SepTo27Sep'!$J:$J, $A22)</f>
        <v>0</v>
      </c>
      <c r="AN22" s="121">
        <f>SUMIFS('21SepTo27Sep'!$O:$O, '21SepTo27Sep'!$J:$J, $A22)</f>
        <v>0</v>
      </c>
      <c r="AO22" s="121">
        <f>SUMIFS('21SepTo27Sep'!$P:$P, '21SepTo27Sep'!$J:$J, $A22)</f>
        <v>0</v>
      </c>
      <c r="AP22" s="123">
        <f t="shared" si="7"/>
        <v>0</v>
      </c>
      <c r="AQ22" s="121">
        <f>SUMIFS('14SepTo20Sep'!$L:$L, '14SepTo20Sep'!$J:$J, $A22)</f>
        <v>0</v>
      </c>
      <c r="AR22" s="121">
        <f>SUMIFS('14SepTo20Sep'!$K:$K, '14SepTo20Sep'!$J:$J, $A22)</f>
        <v>0</v>
      </c>
      <c r="AS22" s="121">
        <f>SUMIFS('14SepTo20Sep'!$O:$O, '14SepTo20Sep'!$J:$J, $A22)</f>
        <v>0</v>
      </c>
      <c r="AT22" s="121">
        <f>SUMIFS('14SepTo20Sep'!$P:$P, '14SepTo20Sep'!$J:$J, $A22)</f>
        <v>0</v>
      </c>
      <c r="AU22" s="123">
        <f t="shared" si="8"/>
        <v>0</v>
      </c>
      <c r="AV22" s="121">
        <f>SUMIFS('7SepTo13Sep'!$L:$L, '7SepTo13Sep'!$J:$J, $A22)</f>
        <v>0</v>
      </c>
      <c r="AW22" s="121">
        <f>SUMIFS('7SepTo13Sep'!$K:$K, '7SepTo13Sep'!$J:$J, $A22)</f>
        <v>0</v>
      </c>
      <c r="AX22" s="121">
        <f>SUMIFS('7SepTo13Sep'!$O:$O, '7SepTo13Sep'!$J:$J, $A22)</f>
        <v>0</v>
      </c>
      <c r="AY22" s="121">
        <f>SUMIFS('7SepTo13Sep'!$P:$P, '7SepTo13Sep'!$J:$J, $A22)</f>
        <v>0</v>
      </c>
      <c r="AZ22" s="123">
        <f t="shared" si="9"/>
        <v>0</v>
      </c>
      <c r="BA22" s="121">
        <f>SUMIFS('31AugTo6Sep'!$L:$L, '31AugTo6Sep'!$J:$J, $A22)</f>
        <v>0</v>
      </c>
      <c r="BB22" s="121">
        <f>SUMIFS('31AugTo6Sep'!$K:$K, '31AugTo6Sep'!$J:$J, $A22)</f>
        <v>0</v>
      </c>
      <c r="BC22" s="121">
        <f>SUMIFS('31AugTo6Sep'!$O:$O, '31AugTo6Sep'!$J:$J, $A22)</f>
        <v>0</v>
      </c>
      <c r="BD22" s="121">
        <f>SUMIFS('31AugTo6Sep'!$P:$P, '31AugTo6Sep'!$J:$J, $A22)</f>
        <v>0</v>
      </c>
      <c r="BE22" s="123">
        <f t="shared" si="10"/>
        <v>0</v>
      </c>
      <c r="BF22" s="121">
        <f>SUMIFS('24AugTo29Aug'!$L:$L, '24AugTo29Aug'!$J:$J, $A22)</f>
        <v>1</v>
      </c>
      <c r="BG22" s="121">
        <f>SUMIFS('24AugTo29Aug'!$K:$K, '24AugTo29Aug'!$J:$J, $A22)</f>
        <v>1</v>
      </c>
      <c r="BH22" s="121">
        <f>SUMIFS('24AugTo29Aug'!$O:$O, '24AugTo29Aug'!$J:$J, $A22)</f>
        <v>3.33</v>
      </c>
      <c r="BI22" s="121">
        <f>SUMIFS('24AugTo29Aug'!$P:$P, '24AugTo29Aug'!$J:$J, $A22)</f>
        <v>24.94</v>
      </c>
      <c r="BJ22" s="123">
        <f t="shared" si="11"/>
        <v>13.352044907778668</v>
      </c>
      <c r="BK22" s="121">
        <f>SUMIFS('17AugTo21Aug'!$L:$L, '17AugTo21Aug'!$J:$J, $A22)</f>
        <v>0</v>
      </c>
      <c r="BL22" s="121">
        <f>SUMIFS('17AugTo21Aug'!$K:$K, '17AugTo21Aug'!$J:$J, $A22)</f>
        <v>0</v>
      </c>
      <c r="BM22" s="121">
        <f>SUMIFS('17AugTo21Aug'!$O:$O, '17AugTo21Aug'!$J:$J, $A22)</f>
        <v>0</v>
      </c>
      <c r="BN22" s="121">
        <f>SUMIFS('17AugTo21Aug'!$P:$P, '17AugTo21Aug'!$J:$J, $A22)</f>
        <v>0</v>
      </c>
      <c r="BO22" s="123">
        <f t="shared" si="12"/>
        <v>0</v>
      </c>
      <c r="BP22" s="121">
        <f>SUMIFS('10AugTo16Aug'!$L:$L, '10AugTo16Aug'!$J:$J, $A22)</f>
        <v>0</v>
      </c>
      <c r="BQ22" s="121">
        <f>SUMIFS('10AugTo16Aug'!$K:$K, '10AugTo16Aug'!$J:$J, $A22)</f>
        <v>0</v>
      </c>
      <c r="BR22" s="121">
        <f>SUMIFS('10AugTo16Aug'!$O:$O, '10AugTo16Aug'!$J:$J, $A22)</f>
        <v>0</v>
      </c>
      <c r="BS22" s="121">
        <f>SUMIFS('10AugTo16Aug'!$P:$P, '10AugTo16Aug'!$J:$J, $A22)</f>
        <v>0</v>
      </c>
      <c r="BT22" s="123">
        <f t="shared" si="13"/>
        <v>0</v>
      </c>
      <c r="BU22" s="121">
        <f>SUMIFS('3AugTo9Aug'!$L:$L, '3AugTo9Aug'!$J:$J, $A22)</f>
        <v>0</v>
      </c>
      <c r="BV22" s="121">
        <f>SUMIFS('3AugTo9Aug'!$K:$K, '3AugTo9Aug'!$J:$J, $A22)</f>
        <v>0</v>
      </c>
      <c r="BW22" s="121">
        <f>SUMIFS('3AugTo9Aug'!$O:$O, '3AugTo9Aug'!$J:$J, $A22)</f>
        <v>0</v>
      </c>
      <c r="BX22" s="121">
        <f>SUMIFS('3AugTo9Aug'!$P:$P, '3AugTo9Aug'!$J:$J, $A22)</f>
        <v>0</v>
      </c>
      <c r="BY22" s="123">
        <f t="shared" si="14"/>
        <v>0</v>
      </c>
      <c r="BZ22" s="121">
        <f>SUMIFS('27JulyTo2Aug'!$L:$L, '27JulyTo2Aug'!$J:$J, $A22)</f>
        <v>0</v>
      </c>
      <c r="CA22" s="121">
        <f>SUMIFS('27JulyTo2Aug'!$K:$K, '27JulyTo2Aug'!$J:$J, $A22)</f>
        <v>0</v>
      </c>
      <c r="CB22" s="121">
        <f>SUMIFS('27JulyTo2Aug'!$O:$O, '27JulyTo2Aug'!$J:$J, $A22)</f>
        <v>0</v>
      </c>
      <c r="CC22" s="121">
        <f>SUMIFS('27JulyTo2Aug'!$P:$P, '27JulyTo2Aug'!$J:$J, $A22)</f>
        <v>0</v>
      </c>
      <c r="CD22" s="123">
        <f t="shared" si="15"/>
        <v>0</v>
      </c>
    </row>
    <row r="23" spans="1:82" ht="14.25" customHeight="1" x14ac:dyDescent="0.3">
      <c r="A23" s="124" t="s">
        <v>183</v>
      </c>
      <c r="B23" s="120" t="str">
        <f t="shared" si="16"/>
        <v>HIGH ACOS</v>
      </c>
      <c r="C23" s="121">
        <f>SUMIFS('9NovTo15Nov'!$L:$L, '9NovTo15Nov'!$J:$J, $A23)</f>
        <v>0</v>
      </c>
      <c r="D23" s="121">
        <f>SUMIFS('9NovTo15Nov'!$K:$K, '9NovTo15Nov'!$J:$J, $A23)</f>
        <v>0</v>
      </c>
      <c r="E23" s="121">
        <f>SUMIFS('9NovTo15Nov'!$O:$O, '9NovTo15Nov'!$J:$J, $A23)</f>
        <v>0</v>
      </c>
      <c r="F23" s="121">
        <f>SUMIFS('9NovTo15Nov'!$P:$P, '9NovTo15Nov'!$J:$J, $A23)</f>
        <v>0</v>
      </c>
      <c r="G23" s="122">
        <f t="shared" si="0"/>
        <v>0</v>
      </c>
      <c r="H23" s="121">
        <f>SUMIFS('2NovTo8Nov'!$L:$L, '2NovTo8Nov'!$J:$J, $A23)</f>
        <v>6</v>
      </c>
      <c r="I23" s="121">
        <f>SUMIFS('2NovTo8Nov'!$K:$K, '2NovTo8Nov'!$J:$J, $A23)</f>
        <v>37</v>
      </c>
      <c r="J23" s="121">
        <f>SUMIFS('2NovTo8Nov'!$O:$O, '2NovTo8Nov'!$J:$J, $A23)</f>
        <v>23.16</v>
      </c>
      <c r="K23" s="121">
        <f>SUMIFS('2NovTo8Nov'!$P:$P, '2NovTo8Nov'!$J:$J, $A23)</f>
        <v>49.88</v>
      </c>
      <c r="L23" s="122">
        <f t="shared" si="1"/>
        <v>46.431435445068161</v>
      </c>
      <c r="M23" s="121">
        <f>SUMIFS('26OctTo1Nov'!$L:$L, '26OctTo1Nov'!$J:$J, $A23)</f>
        <v>0</v>
      </c>
      <c r="N23" s="121">
        <f>SUMIFS('26OctTo1Nov'!$K:$K, '26OctTo1Nov'!$J:$J, $A23)</f>
        <v>0</v>
      </c>
      <c r="O23" s="121">
        <f>SUMIFS('26OctTo1Nov'!$O:$O, '26OctTo1Nov'!$J:$J, $A23)</f>
        <v>0</v>
      </c>
      <c r="P23" s="121">
        <f>SUMIFS('26OctTo1Nov'!$P:$P, '26OctTo1Nov'!$J:$J, $A23)</f>
        <v>0</v>
      </c>
      <c r="Q23" s="122">
        <f t="shared" si="2"/>
        <v>0</v>
      </c>
      <c r="R23" s="121">
        <f>SUMIFS('19OctTo25Oct'!$L:$L, '19OctTo25Oct'!$J:$J, $A23)</f>
        <v>0</v>
      </c>
      <c r="S23" s="121">
        <f>SUMIFS('19OctTo25Oct'!$K:$K, '19OctTo25Oct'!$J:$J, $A23)</f>
        <v>0</v>
      </c>
      <c r="T23" s="121">
        <f>SUMIFS('19OctTo25Oct'!$O:$O, '19OctTo25Oct'!$J:$J, $A23)</f>
        <v>0</v>
      </c>
      <c r="U23" s="121">
        <f>SUMIFS('19OctTo25Oct'!$P:$P, '19OctTo25Oct'!$J:$J, $A23)</f>
        <v>0</v>
      </c>
      <c r="V23" s="122">
        <f t="shared" si="3"/>
        <v>0</v>
      </c>
      <c r="W23" s="121">
        <f>SUMIFS('12OctTo18Oct'!$L:$L, '12OctTo18Oct'!$J:$J, $A23)</f>
        <v>3</v>
      </c>
      <c r="X23" s="121">
        <f>SUMIFS('12OctTo18Oct'!$K:$K, '12OctTo18Oct'!$J:$J, $A23)</f>
        <v>28</v>
      </c>
      <c r="Y23" s="121">
        <f>SUMIFS('12OctTo18Oct'!$O:$O, '12OctTo18Oct'!$J:$J, $A23)</f>
        <v>10.14</v>
      </c>
      <c r="Z23" s="121">
        <f>SUMIFS('12OctTo18Oct'!$P:$P, '12OctTo18Oct'!$J:$J, $A23)</f>
        <v>24.94</v>
      </c>
      <c r="AA23" s="122">
        <f t="shared" si="4"/>
        <v>40.657578187650358</v>
      </c>
      <c r="AB23" s="121">
        <f>SUMIFS('5OctTo11Oct'!$L:$L, '5OctTo11Oct'!$J:$J, $A23)</f>
        <v>1</v>
      </c>
      <c r="AC23" s="121">
        <f>SUMIFS('5OctTo11Oct'!$K:$K, '5OctTo11Oct'!$J:$J, $A23)</f>
        <v>4</v>
      </c>
      <c r="AD23" s="121">
        <f>SUMIFS('5OctTo11Oct'!$O:$O, '5OctTo11Oct'!$J:$J, $A23)</f>
        <v>3.1</v>
      </c>
      <c r="AE23" s="121">
        <f>SUMIFS('5OctTo11Oct'!$P:$P, '5OctTo11Oct'!$J:$J, $A23)</f>
        <v>24.94</v>
      </c>
      <c r="AF23" s="123">
        <f t="shared" si="5"/>
        <v>12.429831595829992</v>
      </c>
      <c r="AG23" s="121">
        <f>SUMIFS('28SepTo4Oct'!$L:$L, '28SepTo4Oct'!$J:$J, $A23)</f>
        <v>0</v>
      </c>
      <c r="AH23" s="121">
        <f>SUMIFS('28SepTo4Oct'!$K:$K, '28SepTo4Oct'!$J:$J, $A23)</f>
        <v>0</v>
      </c>
      <c r="AI23" s="121">
        <f>SUMIFS('28SepTo4Oct'!$O:$O, '28SepTo4Oct'!$J:$J, $A23)</f>
        <v>0</v>
      </c>
      <c r="AJ23" s="121">
        <f>SUMIFS('28SepTo4Oct'!$P:$P, '28SepTo4Oct'!$J:$J, $A23)</f>
        <v>0</v>
      </c>
      <c r="AK23" s="123">
        <f t="shared" si="6"/>
        <v>0</v>
      </c>
      <c r="AL23" s="121">
        <f>SUMIFS('21SepTo27Sep'!$L:$L, '21SepTo27Sep'!$J:$J, $A23)</f>
        <v>0</v>
      </c>
      <c r="AM23" s="121">
        <f>SUMIFS('21SepTo27Sep'!$K:$K, '21SepTo27Sep'!$J:$J, $A23)</f>
        <v>0</v>
      </c>
      <c r="AN23" s="121">
        <f>SUMIFS('21SepTo27Sep'!$O:$O, '21SepTo27Sep'!$J:$J, $A23)</f>
        <v>0</v>
      </c>
      <c r="AO23" s="121">
        <f>SUMIFS('21SepTo27Sep'!$P:$P, '21SepTo27Sep'!$J:$J, $A23)</f>
        <v>0</v>
      </c>
      <c r="AP23" s="123">
        <f t="shared" si="7"/>
        <v>0</v>
      </c>
      <c r="AQ23" s="121">
        <f>SUMIFS('14SepTo20Sep'!$L:$L, '14SepTo20Sep'!$J:$J, $A23)</f>
        <v>5</v>
      </c>
      <c r="AR23" s="121">
        <f>SUMIFS('14SepTo20Sep'!$K:$K, '14SepTo20Sep'!$J:$J, $A23)</f>
        <v>28</v>
      </c>
      <c r="AS23" s="121">
        <f>SUMIFS('14SepTo20Sep'!$O:$O, '14SepTo20Sep'!$J:$J, $A23)</f>
        <v>17.200000000000003</v>
      </c>
      <c r="AT23" s="121">
        <f>SUMIFS('14SepTo20Sep'!$P:$P, '14SepTo20Sep'!$J:$J, $A23)</f>
        <v>49.88</v>
      </c>
      <c r="AU23" s="123">
        <f t="shared" si="8"/>
        <v>34.482758620689658</v>
      </c>
      <c r="AV23" s="121">
        <f>SUMIFS('7SepTo13Sep'!$L:$L, '7SepTo13Sep'!$J:$J, $A23)</f>
        <v>0</v>
      </c>
      <c r="AW23" s="121">
        <f>SUMIFS('7SepTo13Sep'!$K:$K, '7SepTo13Sep'!$J:$J, $A23)</f>
        <v>0</v>
      </c>
      <c r="AX23" s="121">
        <f>SUMIFS('7SepTo13Sep'!$O:$O, '7SepTo13Sep'!$J:$J, $A23)</f>
        <v>0</v>
      </c>
      <c r="AY23" s="121">
        <f>SUMIFS('7SepTo13Sep'!$P:$P, '7SepTo13Sep'!$J:$J, $A23)</f>
        <v>0</v>
      </c>
      <c r="AZ23" s="123">
        <f t="shared" si="9"/>
        <v>0</v>
      </c>
      <c r="BA23" s="121">
        <f>SUMIFS('31AugTo6Sep'!$L:$L, '31AugTo6Sep'!$J:$J, $A23)</f>
        <v>3</v>
      </c>
      <c r="BB23" s="121">
        <f>SUMIFS('31AugTo6Sep'!$K:$K, '31AugTo6Sep'!$J:$J, $A23)</f>
        <v>21</v>
      </c>
      <c r="BC23" s="121">
        <f>SUMIFS('31AugTo6Sep'!$O:$O, '31AugTo6Sep'!$J:$J, $A23)</f>
        <v>8.7799999999999994</v>
      </c>
      <c r="BD23" s="121">
        <f>SUMIFS('31AugTo6Sep'!$P:$P, '31AugTo6Sep'!$J:$J, $A23)</f>
        <v>49.88</v>
      </c>
      <c r="BE23" s="123">
        <f t="shared" si="10"/>
        <v>17.602245388933436</v>
      </c>
      <c r="BF23" s="121">
        <f>SUMIFS('24AugTo29Aug'!$L:$L, '24AugTo29Aug'!$J:$J, $A23)</f>
        <v>4</v>
      </c>
      <c r="BG23" s="121">
        <f>SUMIFS('24AugTo29Aug'!$K:$K, '24AugTo29Aug'!$J:$J, $A23)</f>
        <v>22</v>
      </c>
      <c r="BH23" s="121">
        <f>SUMIFS('24AugTo29Aug'!$O:$O, '24AugTo29Aug'!$J:$J, $A23)</f>
        <v>10.93</v>
      </c>
      <c r="BI23" s="121">
        <f>SUMIFS('24AugTo29Aug'!$P:$P, '24AugTo29Aug'!$J:$J, $A23)</f>
        <v>24.94</v>
      </c>
      <c r="BJ23" s="123">
        <f t="shared" si="11"/>
        <v>43.825180433039293</v>
      </c>
      <c r="BK23" s="121">
        <f>SUMIFS('17AugTo21Aug'!$L:$L, '17AugTo21Aug'!$J:$J, $A23)</f>
        <v>0</v>
      </c>
      <c r="BL23" s="121">
        <f>SUMIFS('17AugTo21Aug'!$K:$K, '17AugTo21Aug'!$J:$J, $A23)</f>
        <v>0</v>
      </c>
      <c r="BM23" s="121">
        <f>SUMIFS('17AugTo21Aug'!$O:$O, '17AugTo21Aug'!$J:$J, $A23)</f>
        <v>0</v>
      </c>
      <c r="BN23" s="121">
        <f>SUMIFS('17AugTo21Aug'!$P:$P, '17AugTo21Aug'!$J:$J, $A23)</f>
        <v>0</v>
      </c>
      <c r="BO23" s="123">
        <f t="shared" si="12"/>
        <v>0</v>
      </c>
      <c r="BP23" s="121">
        <f>SUMIFS('10AugTo16Aug'!$L:$L, '10AugTo16Aug'!$J:$J, $A23)</f>
        <v>5</v>
      </c>
      <c r="BQ23" s="121">
        <f>SUMIFS('10AugTo16Aug'!$K:$K, '10AugTo16Aug'!$J:$J, $A23)</f>
        <v>45</v>
      </c>
      <c r="BR23" s="121">
        <f>SUMIFS('10AugTo16Aug'!$O:$O, '10AugTo16Aug'!$J:$J, $A23)</f>
        <v>14.21</v>
      </c>
      <c r="BS23" s="121">
        <f>SUMIFS('10AugTo16Aug'!$P:$P, '10AugTo16Aug'!$J:$J, $A23)</f>
        <v>24.94</v>
      </c>
      <c r="BT23" s="123">
        <f t="shared" si="13"/>
        <v>56.97674418604651</v>
      </c>
      <c r="BU23" s="121">
        <f>SUMIFS('3AugTo9Aug'!$L:$L, '3AugTo9Aug'!$J:$J, $A23)</f>
        <v>0</v>
      </c>
      <c r="BV23" s="121">
        <f>SUMIFS('3AugTo9Aug'!$K:$K, '3AugTo9Aug'!$J:$J, $A23)</f>
        <v>0</v>
      </c>
      <c r="BW23" s="121">
        <f>SUMIFS('3AugTo9Aug'!$O:$O, '3AugTo9Aug'!$J:$J, $A23)</f>
        <v>0</v>
      </c>
      <c r="BX23" s="121">
        <f>SUMIFS('3AugTo9Aug'!$P:$P, '3AugTo9Aug'!$J:$J, $A23)</f>
        <v>0</v>
      </c>
      <c r="BY23" s="123">
        <f t="shared" si="14"/>
        <v>0</v>
      </c>
      <c r="BZ23" s="121">
        <f>SUMIFS('27JulyTo2Aug'!$L:$L, '27JulyTo2Aug'!$J:$J, $A23)</f>
        <v>12</v>
      </c>
      <c r="CA23" s="121">
        <f>SUMIFS('27JulyTo2Aug'!$K:$K, '27JulyTo2Aug'!$J:$J, $A23)</f>
        <v>140</v>
      </c>
      <c r="CB23" s="121">
        <f>SUMIFS('27JulyTo2Aug'!$O:$O, '27JulyTo2Aug'!$J:$J, $A23)</f>
        <v>40.92</v>
      </c>
      <c r="CC23" s="121">
        <f>SUMIFS('27JulyTo2Aug'!$P:$P, '27JulyTo2Aug'!$J:$J, $A23)</f>
        <v>49.88</v>
      </c>
      <c r="CD23" s="123">
        <f t="shared" si="15"/>
        <v>82.036888532477946</v>
      </c>
    </row>
    <row r="24" spans="1:82" ht="14.25" customHeight="1" x14ac:dyDescent="0.3">
      <c r="A24" s="124" t="s">
        <v>171</v>
      </c>
      <c r="B24" s="120" t="str">
        <f t="shared" si="16"/>
        <v>HIGH ACOS</v>
      </c>
      <c r="C24" s="121">
        <f>SUMIFS('9NovTo15Nov'!$L:$L, '9NovTo15Nov'!$J:$J, $A24)</f>
        <v>0</v>
      </c>
      <c r="D24" s="121">
        <f>SUMIFS('9NovTo15Nov'!$K:$K, '9NovTo15Nov'!$J:$J, $A24)</f>
        <v>0</v>
      </c>
      <c r="E24" s="121">
        <f>SUMIFS('9NovTo15Nov'!$O:$O, '9NovTo15Nov'!$J:$J, $A24)</f>
        <v>0</v>
      </c>
      <c r="F24" s="121">
        <f>SUMIFS('9NovTo15Nov'!$P:$P, '9NovTo15Nov'!$J:$J, $A24)</f>
        <v>0</v>
      </c>
      <c r="G24" s="122">
        <f t="shared" si="0"/>
        <v>0</v>
      </c>
      <c r="H24" s="121">
        <f>SUMIFS('2NovTo8Nov'!$L:$L, '2NovTo8Nov'!$J:$J, $A24)</f>
        <v>3</v>
      </c>
      <c r="I24" s="121">
        <f>SUMIFS('2NovTo8Nov'!$K:$K, '2NovTo8Nov'!$J:$J, $A24)</f>
        <v>12</v>
      </c>
      <c r="J24" s="121">
        <f>SUMIFS('2NovTo8Nov'!$O:$O, '2NovTo8Nov'!$J:$J, $A24)</f>
        <v>10.78</v>
      </c>
      <c r="K24" s="121">
        <f>SUMIFS('2NovTo8Nov'!$P:$P, '2NovTo8Nov'!$J:$J, $A24)</f>
        <v>21.9</v>
      </c>
      <c r="L24" s="122">
        <f t="shared" si="1"/>
        <v>49.223744292237441</v>
      </c>
      <c r="M24" s="121">
        <f>SUMIFS('26OctTo1Nov'!$L:$L, '26OctTo1Nov'!$J:$J, $A24)</f>
        <v>0</v>
      </c>
      <c r="N24" s="121">
        <f>SUMIFS('26OctTo1Nov'!$K:$K, '26OctTo1Nov'!$J:$J, $A24)</f>
        <v>0</v>
      </c>
      <c r="O24" s="121">
        <f>SUMIFS('26OctTo1Nov'!$O:$O, '26OctTo1Nov'!$J:$J, $A24)</f>
        <v>0</v>
      </c>
      <c r="P24" s="121">
        <f>SUMIFS('26OctTo1Nov'!$P:$P, '26OctTo1Nov'!$J:$J, $A24)</f>
        <v>0</v>
      </c>
      <c r="Q24" s="122">
        <f t="shared" si="2"/>
        <v>0</v>
      </c>
      <c r="R24" s="121">
        <f>SUMIFS('19OctTo25Oct'!$L:$L, '19OctTo25Oct'!$J:$J, $A24)</f>
        <v>0</v>
      </c>
      <c r="S24" s="121">
        <f>SUMIFS('19OctTo25Oct'!$K:$K, '19OctTo25Oct'!$J:$J, $A24)</f>
        <v>0</v>
      </c>
      <c r="T24" s="121">
        <f>SUMIFS('19OctTo25Oct'!$O:$O, '19OctTo25Oct'!$J:$J, $A24)</f>
        <v>0</v>
      </c>
      <c r="U24" s="121">
        <f>SUMIFS('19OctTo25Oct'!$P:$P, '19OctTo25Oct'!$J:$J, $A24)</f>
        <v>0</v>
      </c>
      <c r="V24" s="122">
        <f t="shared" si="3"/>
        <v>0</v>
      </c>
      <c r="W24" s="121">
        <f>SUMIFS('12OctTo18Oct'!$L:$L, '12OctTo18Oct'!$J:$J, $A24)</f>
        <v>0</v>
      </c>
      <c r="X24" s="121">
        <f>SUMIFS('12OctTo18Oct'!$K:$K, '12OctTo18Oct'!$J:$J, $A24)</f>
        <v>0</v>
      </c>
      <c r="Y24" s="121">
        <f>SUMIFS('12OctTo18Oct'!$O:$O, '12OctTo18Oct'!$J:$J, $A24)</f>
        <v>0</v>
      </c>
      <c r="Z24" s="121">
        <f>SUMIFS('12OctTo18Oct'!$P:$P, '12OctTo18Oct'!$J:$J, $A24)</f>
        <v>0</v>
      </c>
      <c r="AA24" s="122">
        <f t="shared" si="4"/>
        <v>0</v>
      </c>
      <c r="AB24" s="121">
        <f>SUMIFS('5OctTo11Oct'!$L:$L, '5OctTo11Oct'!$J:$J, $A24)</f>
        <v>1</v>
      </c>
      <c r="AC24" s="121">
        <f>SUMIFS('5OctTo11Oct'!$K:$K, '5OctTo11Oct'!$J:$J, $A24)</f>
        <v>3</v>
      </c>
      <c r="AD24" s="121">
        <f>SUMIFS('5OctTo11Oct'!$O:$O, '5OctTo11Oct'!$J:$J, $A24)</f>
        <v>3.66</v>
      </c>
      <c r="AE24" s="121">
        <f>SUMIFS('5OctTo11Oct'!$P:$P, '5OctTo11Oct'!$J:$J, $A24)</f>
        <v>21.9</v>
      </c>
      <c r="AF24" s="123">
        <f t="shared" si="5"/>
        <v>16.712328767123289</v>
      </c>
      <c r="AG24" s="121">
        <f>SUMIFS('28SepTo4Oct'!$L:$L, '28SepTo4Oct'!$J:$J, $A24)</f>
        <v>0</v>
      </c>
      <c r="AH24" s="121">
        <f>SUMIFS('28SepTo4Oct'!$K:$K, '28SepTo4Oct'!$J:$J, $A24)</f>
        <v>0</v>
      </c>
      <c r="AI24" s="121">
        <f>SUMIFS('28SepTo4Oct'!$O:$O, '28SepTo4Oct'!$J:$J, $A24)</f>
        <v>0</v>
      </c>
      <c r="AJ24" s="121">
        <f>SUMIFS('28SepTo4Oct'!$P:$P, '28SepTo4Oct'!$J:$J, $A24)</f>
        <v>0</v>
      </c>
      <c r="AK24" s="123">
        <f t="shared" si="6"/>
        <v>0</v>
      </c>
      <c r="AL24" s="121">
        <f>SUMIFS('21SepTo27Sep'!$L:$L, '21SepTo27Sep'!$J:$J, $A24)</f>
        <v>0</v>
      </c>
      <c r="AM24" s="121">
        <f>SUMIFS('21SepTo27Sep'!$K:$K, '21SepTo27Sep'!$J:$J, $A24)</f>
        <v>0</v>
      </c>
      <c r="AN24" s="121">
        <f>SUMIFS('21SepTo27Sep'!$O:$O, '21SepTo27Sep'!$J:$J, $A24)</f>
        <v>0</v>
      </c>
      <c r="AO24" s="121">
        <f>SUMIFS('21SepTo27Sep'!$P:$P, '21SepTo27Sep'!$J:$J, $A24)</f>
        <v>0</v>
      </c>
      <c r="AP24" s="123">
        <f t="shared" si="7"/>
        <v>0</v>
      </c>
      <c r="AQ24" s="121">
        <f>SUMIFS('14SepTo20Sep'!$L:$L, '14SepTo20Sep'!$J:$J, $A24)</f>
        <v>2</v>
      </c>
      <c r="AR24" s="121">
        <f>SUMIFS('14SepTo20Sep'!$K:$K, '14SepTo20Sep'!$J:$J, $A24)</f>
        <v>10</v>
      </c>
      <c r="AS24" s="121">
        <f>SUMIFS('14SepTo20Sep'!$O:$O, '14SepTo20Sep'!$J:$J, $A24)</f>
        <v>7.93</v>
      </c>
      <c r="AT24" s="121">
        <f>SUMIFS('14SepTo20Sep'!$P:$P, '14SepTo20Sep'!$J:$J, $A24)</f>
        <v>21.9</v>
      </c>
      <c r="AU24" s="123">
        <f t="shared" si="8"/>
        <v>36.210045662100462</v>
      </c>
      <c r="AV24" s="121">
        <f>SUMIFS('7SepTo13Sep'!$L:$L, '7SepTo13Sep'!$J:$J, $A24)</f>
        <v>0</v>
      </c>
      <c r="AW24" s="121">
        <f>SUMIFS('7SepTo13Sep'!$K:$K, '7SepTo13Sep'!$J:$J, $A24)</f>
        <v>0</v>
      </c>
      <c r="AX24" s="121">
        <f>SUMIFS('7SepTo13Sep'!$O:$O, '7SepTo13Sep'!$J:$J, $A24)</f>
        <v>0</v>
      </c>
      <c r="AY24" s="121">
        <f>SUMIFS('7SepTo13Sep'!$P:$P, '7SepTo13Sep'!$J:$J, $A24)</f>
        <v>0</v>
      </c>
      <c r="AZ24" s="123">
        <f t="shared" si="9"/>
        <v>0</v>
      </c>
      <c r="BA24" s="121">
        <f>SUMIFS('31AugTo6Sep'!$L:$L, '31AugTo6Sep'!$J:$J, $A24)</f>
        <v>0</v>
      </c>
      <c r="BB24" s="121">
        <f>SUMIFS('31AugTo6Sep'!$K:$K, '31AugTo6Sep'!$J:$J, $A24)</f>
        <v>0</v>
      </c>
      <c r="BC24" s="121">
        <f>SUMIFS('31AugTo6Sep'!$O:$O, '31AugTo6Sep'!$J:$J, $A24)</f>
        <v>0</v>
      </c>
      <c r="BD24" s="121">
        <f>SUMIFS('31AugTo6Sep'!$P:$P, '31AugTo6Sep'!$J:$J, $A24)</f>
        <v>0</v>
      </c>
      <c r="BE24" s="123">
        <f t="shared" si="10"/>
        <v>0</v>
      </c>
      <c r="BF24" s="121">
        <f>SUMIFS('24AugTo29Aug'!$L:$L, '24AugTo29Aug'!$J:$J, $A24)</f>
        <v>3</v>
      </c>
      <c r="BG24" s="121">
        <f>SUMIFS('24AugTo29Aug'!$K:$K, '24AugTo29Aug'!$J:$J, $A24)</f>
        <v>12</v>
      </c>
      <c r="BH24" s="121">
        <f>SUMIFS('24AugTo29Aug'!$O:$O, '24AugTo29Aug'!$J:$J, $A24)</f>
        <v>10</v>
      </c>
      <c r="BI24" s="121">
        <f>SUMIFS('24AugTo29Aug'!$P:$P, '24AugTo29Aug'!$J:$J, $A24)</f>
        <v>21.95</v>
      </c>
      <c r="BJ24" s="123">
        <f t="shared" si="11"/>
        <v>45.558086560364465</v>
      </c>
      <c r="BK24" s="121">
        <f>SUMIFS('17AugTo21Aug'!$L:$L, '17AugTo21Aug'!$J:$J, $A24)</f>
        <v>1</v>
      </c>
      <c r="BL24" s="121">
        <f>SUMIFS('17AugTo21Aug'!$K:$K, '17AugTo21Aug'!$J:$J, $A24)</f>
        <v>2</v>
      </c>
      <c r="BM24" s="121">
        <f>SUMIFS('17AugTo21Aug'!$O:$O, '17AugTo21Aug'!$J:$J, $A24)</f>
        <v>2.04</v>
      </c>
      <c r="BN24" s="121">
        <f>SUMIFS('17AugTo21Aug'!$P:$P, '17AugTo21Aug'!$J:$J, $A24)</f>
        <v>21.95</v>
      </c>
      <c r="BO24" s="123">
        <f t="shared" si="12"/>
        <v>9.2938496583143522</v>
      </c>
      <c r="BP24" s="121">
        <f>SUMIFS('10AugTo16Aug'!$L:$L, '10AugTo16Aug'!$J:$J, $A24)</f>
        <v>0</v>
      </c>
      <c r="BQ24" s="121">
        <f>SUMIFS('10AugTo16Aug'!$K:$K, '10AugTo16Aug'!$J:$J, $A24)</f>
        <v>0</v>
      </c>
      <c r="BR24" s="121">
        <f>SUMIFS('10AugTo16Aug'!$O:$O, '10AugTo16Aug'!$J:$J, $A24)</f>
        <v>0</v>
      </c>
      <c r="BS24" s="121">
        <f>SUMIFS('10AugTo16Aug'!$P:$P, '10AugTo16Aug'!$J:$J, $A24)</f>
        <v>0</v>
      </c>
      <c r="BT24" s="123">
        <f t="shared" si="13"/>
        <v>0</v>
      </c>
      <c r="BU24" s="121">
        <f>SUMIFS('3AugTo9Aug'!$L:$L, '3AugTo9Aug'!$J:$J, $A24)</f>
        <v>0</v>
      </c>
      <c r="BV24" s="121">
        <f>SUMIFS('3AugTo9Aug'!$K:$K, '3AugTo9Aug'!$J:$J, $A24)</f>
        <v>0</v>
      </c>
      <c r="BW24" s="121">
        <f>SUMIFS('3AugTo9Aug'!$O:$O, '3AugTo9Aug'!$J:$J, $A24)</f>
        <v>0</v>
      </c>
      <c r="BX24" s="121">
        <f>SUMIFS('3AugTo9Aug'!$P:$P, '3AugTo9Aug'!$J:$J, $A24)</f>
        <v>0</v>
      </c>
      <c r="BY24" s="123">
        <f t="shared" si="14"/>
        <v>0</v>
      </c>
      <c r="BZ24" s="121">
        <f>SUMIFS('27JulyTo2Aug'!$L:$L, '27JulyTo2Aug'!$J:$J, $A24)</f>
        <v>0</v>
      </c>
      <c r="CA24" s="121">
        <f>SUMIFS('27JulyTo2Aug'!$K:$K, '27JulyTo2Aug'!$J:$J, $A24)</f>
        <v>0</v>
      </c>
      <c r="CB24" s="121">
        <f>SUMIFS('27JulyTo2Aug'!$O:$O, '27JulyTo2Aug'!$J:$J, $A24)</f>
        <v>0</v>
      </c>
      <c r="CC24" s="121">
        <f>SUMIFS('27JulyTo2Aug'!$P:$P, '27JulyTo2Aug'!$J:$J, $A24)</f>
        <v>0</v>
      </c>
      <c r="CD24" s="123">
        <f t="shared" si="15"/>
        <v>0</v>
      </c>
    </row>
    <row r="25" spans="1:82" ht="14.25" customHeight="1" x14ac:dyDescent="0.3">
      <c r="A25" s="124" t="s">
        <v>64</v>
      </c>
      <c r="B25" s="120" t="str">
        <f t="shared" si="16"/>
        <v>WINNER</v>
      </c>
      <c r="C25" s="121">
        <f>SUMIFS('9NovTo15Nov'!$L:$L, '9NovTo15Nov'!$J:$J, $A25)</f>
        <v>1</v>
      </c>
      <c r="D25" s="121">
        <f>SUMIFS('9NovTo15Nov'!$K:$K, '9NovTo15Nov'!$J:$J, $A25)</f>
        <v>1</v>
      </c>
      <c r="E25" s="121">
        <f>SUMIFS('9NovTo15Nov'!$O:$O, '9NovTo15Nov'!$J:$J, $A25)</f>
        <v>2.97</v>
      </c>
      <c r="F25" s="121">
        <f>SUMIFS('9NovTo15Nov'!$P:$P, '9NovTo15Nov'!$J:$J, $A25)</f>
        <v>43.8</v>
      </c>
      <c r="G25" s="122">
        <f t="shared" si="0"/>
        <v>6.7808219178082201</v>
      </c>
      <c r="H25" s="121">
        <f>SUMIFS('2NovTo8Nov'!$L:$L, '2NovTo8Nov'!$J:$J, $A25)</f>
        <v>0</v>
      </c>
      <c r="I25" s="121">
        <f>SUMIFS('2NovTo8Nov'!$K:$K, '2NovTo8Nov'!$J:$J, $A25)</f>
        <v>0</v>
      </c>
      <c r="J25" s="121">
        <f>SUMIFS('2NovTo8Nov'!$O:$O, '2NovTo8Nov'!$J:$J, $A25)</f>
        <v>0</v>
      </c>
      <c r="K25" s="121">
        <f>SUMIFS('2NovTo8Nov'!$P:$P, '2NovTo8Nov'!$J:$J, $A25)</f>
        <v>0</v>
      </c>
      <c r="L25" s="122">
        <f t="shared" si="1"/>
        <v>0</v>
      </c>
      <c r="M25" s="121">
        <f>SUMIFS('26OctTo1Nov'!$L:$L, '26OctTo1Nov'!$J:$J, $A25)</f>
        <v>0</v>
      </c>
      <c r="N25" s="121">
        <f>SUMIFS('26OctTo1Nov'!$K:$K, '26OctTo1Nov'!$J:$J, $A25)</f>
        <v>0</v>
      </c>
      <c r="O25" s="121">
        <f>SUMIFS('26OctTo1Nov'!$O:$O, '26OctTo1Nov'!$J:$J, $A25)</f>
        <v>0</v>
      </c>
      <c r="P25" s="121">
        <f>SUMIFS('26OctTo1Nov'!$P:$P, '26OctTo1Nov'!$J:$J, $A25)</f>
        <v>0</v>
      </c>
      <c r="Q25" s="122">
        <f t="shared" si="2"/>
        <v>0</v>
      </c>
      <c r="R25" s="121">
        <f>SUMIFS('19OctTo25Oct'!$L:$L, '19OctTo25Oct'!$J:$J, $A25)</f>
        <v>0</v>
      </c>
      <c r="S25" s="121">
        <f>SUMIFS('19OctTo25Oct'!$K:$K, '19OctTo25Oct'!$J:$J, $A25)</f>
        <v>0</v>
      </c>
      <c r="T25" s="121">
        <f>SUMIFS('19OctTo25Oct'!$O:$O, '19OctTo25Oct'!$J:$J, $A25)</f>
        <v>0</v>
      </c>
      <c r="U25" s="121">
        <f>SUMIFS('19OctTo25Oct'!$P:$P, '19OctTo25Oct'!$J:$J, $A25)</f>
        <v>0</v>
      </c>
      <c r="V25" s="122">
        <f t="shared" si="3"/>
        <v>0</v>
      </c>
      <c r="W25" s="121">
        <f>SUMIFS('12OctTo18Oct'!$L:$L, '12OctTo18Oct'!$J:$J, $A25)</f>
        <v>0</v>
      </c>
      <c r="X25" s="121">
        <f>SUMIFS('12OctTo18Oct'!$K:$K, '12OctTo18Oct'!$J:$J, $A25)</f>
        <v>0</v>
      </c>
      <c r="Y25" s="121">
        <f>SUMIFS('12OctTo18Oct'!$O:$O, '12OctTo18Oct'!$J:$J, $A25)</f>
        <v>0</v>
      </c>
      <c r="Z25" s="121">
        <f>SUMIFS('12OctTo18Oct'!$P:$P, '12OctTo18Oct'!$J:$J, $A25)</f>
        <v>0</v>
      </c>
      <c r="AA25" s="122">
        <f t="shared" si="4"/>
        <v>0</v>
      </c>
      <c r="AB25" s="121">
        <f>SUMIFS('5OctTo11Oct'!$L:$L, '5OctTo11Oct'!$J:$J, $A25)</f>
        <v>1</v>
      </c>
      <c r="AC25" s="121">
        <f>SUMIFS('5OctTo11Oct'!$K:$K, '5OctTo11Oct'!$J:$J, $A25)</f>
        <v>1</v>
      </c>
      <c r="AD25" s="121">
        <f>SUMIFS('5OctTo11Oct'!$O:$O, '5OctTo11Oct'!$J:$J, $A25)</f>
        <v>3.58</v>
      </c>
      <c r="AE25" s="121">
        <f>SUMIFS('5OctTo11Oct'!$P:$P, '5OctTo11Oct'!$J:$J, $A25)</f>
        <v>17.52</v>
      </c>
      <c r="AF25" s="123">
        <f t="shared" si="5"/>
        <v>20.4337899543379</v>
      </c>
      <c r="AG25" s="121">
        <f>SUMIFS('28SepTo4Oct'!$L:$L, '28SepTo4Oct'!$J:$J, $A25)</f>
        <v>0</v>
      </c>
      <c r="AH25" s="121">
        <f>SUMIFS('28SepTo4Oct'!$K:$K, '28SepTo4Oct'!$J:$J, $A25)</f>
        <v>0</v>
      </c>
      <c r="AI25" s="121">
        <f>SUMIFS('28SepTo4Oct'!$O:$O, '28SepTo4Oct'!$J:$J, $A25)</f>
        <v>0</v>
      </c>
      <c r="AJ25" s="121">
        <f>SUMIFS('28SepTo4Oct'!$P:$P, '28SepTo4Oct'!$J:$J, $A25)</f>
        <v>0</v>
      </c>
      <c r="AK25" s="123">
        <f t="shared" si="6"/>
        <v>0</v>
      </c>
      <c r="AL25" s="121">
        <f>SUMIFS('21SepTo27Sep'!$L:$L, '21SepTo27Sep'!$J:$J, $A25)</f>
        <v>0</v>
      </c>
      <c r="AM25" s="121">
        <f>SUMIFS('21SepTo27Sep'!$K:$K, '21SepTo27Sep'!$J:$J, $A25)</f>
        <v>0</v>
      </c>
      <c r="AN25" s="121">
        <f>SUMIFS('21SepTo27Sep'!$O:$O, '21SepTo27Sep'!$J:$J, $A25)</f>
        <v>0</v>
      </c>
      <c r="AO25" s="121">
        <f>SUMIFS('21SepTo27Sep'!$P:$P, '21SepTo27Sep'!$J:$J, $A25)</f>
        <v>0</v>
      </c>
      <c r="AP25" s="123">
        <f t="shared" si="7"/>
        <v>0</v>
      </c>
      <c r="AQ25" s="121">
        <f>SUMIFS('14SepTo20Sep'!$L:$L, '14SepTo20Sep'!$J:$J, $A25)</f>
        <v>0</v>
      </c>
      <c r="AR25" s="121">
        <f>SUMIFS('14SepTo20Sep'!$K:$K, '14SepTo20Sep'!$J:$J, $A25)</f>
        <v>0</v>
      </c>
      <c r="AS25" s="121">
        <f>SUMIFS('14SepTo20Sep'!$O:$O, '14SepTo20Sep'!$J:$J, $A25)</f>
        <v>0</v>
      </c>
      <c r="AT25" s="121">
        <f>SUMIFS('14SepTo20Sep'!$P:$P, '14SepTo20Sep'!$J:$J, $A25)</f>
        <v>0</v>
      </c>
      <c r="AU25" s="123">
        <f t="shared" si="8"/>
        <v>0</v>
      </c>
      <c r="AV25" s="121">
        <f>SUMIFS('7SepTo13Sep'!$L:$L, '7SepTo13Sep'!$J:$J, $A25)</f>
        <v>0</v>
      </c>
      <c r="AW25" s="121">
        <f>SUMIFS('7SepTo13Sep'!$K:$K, '7SepTo13Sep'!$J:$J, $A25)</f>
        <v>0</v>
      </c>
      <c r="AX25" s="121">
        <f>SUMIFS('7SepTo13Sep'!$O:$O, '7SepTo13Sep'!$J:$J, $A25)</f>
        <v>0</v>
      </c>
      <c r="AY25" s="121">
        <f>SUMIFS('7SepTo13Sep'!$P:$P, '7SepTo13Sep'!$J:$J, $A25)</f>
        <v>0</v>
      </c>
      <c r="AZ25" s="123">
        <f t="shared" si="9"/>
        <v>0</v>
      </c>
      <c r="BA25" s="121">
        <f>SUMIFS('31AugTo6Sep'!$L:$L, '31AugTo6Sep'!$J:$J, $A25)</f>
        <v>2</v>
      </c>
      <c r="BB25" s="121">
        <f>SUMIFS('31AugTo6Sep'!$K:$K, '31AugTo6Sep'!$J:$J, $A25)</f>
        <v>3</v>
      </c>
      <c r="BC25" s="121">
        <f>SUMIFS('31AugTo6Sep'!$O:$O, '31AugTo6Sep'!$J:$J, $A25)</f>
        <v>6.74</v>
      </c>
      <c r="BD25" s="121">
        <f>SUMIFS('31AugTo6Sep'!$P:$P, '31AugTo6Sep'!$J:$J, $A25)</f>
        <v>43.8</v>
      </c>
      <c r="BE25" s="123">
        <f t="shared" si="10"/>
        <v>15.388127853881281</v>
      </c>
      <c r="BF25" s="121">
        <f>SUMIFS('24AugTo29Aug'!$L:$L, '24AugTo29Aug'!$J:$J, $A25)</f>
        <v>0</v>
      </c>
      <c r="BG25" s="121">
        <f>SUMIFS('24AugTo29Aug'!$K:$K, '24AugTo29Aug'!$J:$J, $A25)</f>
        <v>0</v>
      </c>
      <c r="BH25" s="121">
        <f>SUMIFS('24AugTo29Aug'!$O:$O, '24AugTo29Aug'!$J:$J, $A25)</f>
        <v>0</v>
      </c>
      <c r="BI25" s="121">
        <f>SUMIFS('24AugTo29Aug'!$P:$P, '24AugTo29Aug'!$J:$J, $A25)</f>
        <v>0</v>
      </c>
      <c r="BJ25" s="123">
        <f t="shared" si="11"/>
        <v>0</v>
      </c>
      <c r="BK25" s="121">
        <f>SUMIFS('17AugTo21Aug'!$L:$L, '17AugTo21Aug'!$J:$J, $A25)</f>
        <v>5</v>
      </c>
      <c r="BL25" s="121">
        <f>SUMIFS('17AugTo21Aug'!$K:$K, '17AugTo21Aug'!$J:$J, $A25)</f>
        <v>104</v>
      </c>
      <c r="BM25" s="121">
        <f>SUMIFS('17AugTo21Aug'!$O:$O, '17AugTo21Aug'!$J:$J, $A25)</f>
        <v>27.29</v>
      </c>
      <c r="BN25" s="121">
        <f>SUMIFS('17AugTo21Aug'!$P:$P, '17AugTo21Aug'!$J:$J, $A25)</f>
        <v>43.9</v>
      </c>
      <c r="BO25" s="123">
        <f t="shared" si="12"/>
        <v>62.164009111617311</v>
      </c>
      <c r="BP25" s="121">
        <f>SUMIFS('10AugTo16Aug'!$L:$L, '10AugTo16Aug'!$J:$J, $A25)</f>
        <v>0</v>
      </c>
      <c r="BQ25" s="121">
        <f>SUMIFS('10AugTo16Aug'!$K:$K, '10AugTo16Aug'!$J:$J, $A25)</f>
        <v>0</v>
      </c>
      <c r="BR25" s="121">
        <f>SUMIFS('10AugTo16Aug'!$O:$O, '10AugTo16Aug'!$J:$J, $A25)</f>
        <v>0</v>
      </c>
      <c r="BS25" s="121">
        <f>SUMIFS('10AugTo16Aug'!$P:$P, '10AugTo16Aug'!$J:$J, $A25)</f>
        <v>0</v>
      </c>
      <c r="BT25" s="123">
        <f t="shared" si="13"/>
        <v>0</v>
      </c>
      <c r="BU25" s="121">
        <f>SUMIFS('3AugTo9Aug'!$L:$L, '3AugTo9Aug'!$J:$J, $A25)</f>
        <v>2</v>
      </c>
      <c r="BV25" s="121">
        <f>SUMIFS('3AugTo9Aug'!$K:$K, '3AugTo9Aug'!$J:$J, $A25)</f>
        <v>24</v>
      </c>
      <c r="BW25" s="121">
        <f>SUMIFS('3AugTo9Aug'!$O:$O, '3AugTo9Aug'!$J:$J, $A25)</f>
        <v>9.91</v>
      </c>
      <c r="BX25" s="121">
        <f>SUMIFS('3AugTo9Aug'!$P:$P, '3AugTo9Aug'!$J:$J, $A25)</f>
        <v>24.95</v>
      </c>
      <c r="BY25" s="123">
        <f t="shared" si="14"/>
        <v>39.719438877755515</v>
      </c>
      <c r="BZ25" s="121">
        <f>SUMIFS('27JulyTo2Aug'!$L:$L, '27JulyTo2Aug'!$J:$J, $A25)</f>
        <v>0</v>
      </c>
      <c r="CA25" s="121">
        <f>SUMIFS('27JulyTo2Aug'!$K:$K, '27JulyTo2Aug'!$J:$J, $A25)</f>
        <v>0</v>
      </c>
      <c r="CB25" s="121">
        <f>SUMIFS('27JulyTo2Aug'!$O:$O, '27JulyTo2Aug'!$J:$J, $A25)</f>
        <v>0</v>
      </c>
      <c r="CC25" s="121">
        <f>SUMIFS('27JulyTo2Aug'!$P:$P, '27JulyTo2Aug'!$J:$J, $A25)</f>
        <v>0</v>
      </c>
      <c r="CD25" s="123">
        <f t="shared" si="15"/>
        <v>0</v>
      </c>
    </row>
    <row r="26" spans="1:82" ht="14.25" customHeight="1" x14ac:dyDescent="0.3">
      <c r="A26" s="124" t="s">
        <v>370</v>
      </c>
      <c r="B26" s="120" t="str">
        <f t="shared" si="16"/>
        <v>NO TRAFFIC</v>
      </c>
      <c r="C26" s="121">
        <f>SUMIFS('9NovTo15Nov'!$L:$L, '9NovTo15Nov'!$J:$J, $A26)</f>
        <v>0</v>
      </c>
      <c r="D26" s="121">
        <f>SUMIFS('9NovTo15Nov'!$K:$K, '9NovTo15Nov'!$J:$J, $A26)</f>
        <v>0</v>
      </c>
      <c r="E26" s="121">
        <f>SUMIFS('9NovTo15Nov'!$O:$O, '9NovTo15Nov'!$J:$J, $A26)</f>
        <v>0</v>
      </c>
      <c r="F26" s="121">
        <f>SUMIFS('9NovTo15Nov'!$P:$P, '9NovTo15Nov'!$J:$J, $A26)</f>
        <v>0</v>
      </c>
      <c r="G26" s="122">
        <f t="shared" si="0"/>
        <v>0</v>
      </c>
      <c r="H26" s="121">
        <f>SUMIFS('2NovTo8Nov'!$L:$L, '2NovTo8Nov'!$J:$J, $A26)</f>
        <v>0</v>
      </c>
      <c r="I26" s="121">
        <f>SUMIFS('2NovTo8Nov'!$K:$K, '2NovTo8Nov'!$J:$J, $A26)</f>
        <v>0</v>
      </c>
      <c r="J26" s="121">
        <f>SUMIFS('2NovTo8Nov'!$O:$O, '2NovTo8Nov'!$J:$J, $A26)</f>
        <v>0</v>
      </c>
      <c r="K26" s="121">
        <f>SUMIFS('2NovTo8Nov'!$P:$P, '2NovTo8Nov'!$J:$J, $A26)</f>
        <v>0</v>
      </c>
      <c r="L26" s="122">
        <f t="shared" si="1"/>
        <v>0</v>
      </c>
      <c r="M26" s="121">
        <f>SUMIFS('26OctTo1Nov'!$L:$L, '26OctTo1Nov'!$J:$J, $A26)</f>
        <v>0</v>
      </c>
      <c r="N26" s="121">
        <f>SUMIFS('26OctTo1Nov'!$K:$K, '26OctTo1Nov'!$J:$J, $A26)</f>
        <v>0</v>
      </c>
      <c r="O26" s="121">
        <f>SUMIFS('26OctTo1Nov'!$O:$O, '26OctTo1Nov'!$J:$J, $A26)</f>
        <v>0</v>
      </c>
      <c r="P26" s="121">
        <f>SUMIFS('26OctTo1Nov'!$P:$P, '26OctTo1Nov'!$J:$J, $A26)</f>
        <v>0</v>
      </c>
      <c r="Q26" s="122">
        <f t="shared" si="2"/>
        <v>0</v>
      </c>
      <c r="R26" s="121">
        <f>SUMIFS('19OctTo25Oct'!$L:$L, '19OctTo25Oct'!$J:$J, $A26)</f>
        <v>0</v>
      </c>
      <c r="S26" s="121">
        <f>SUMIFS('19OctTo25Oct'!$K:$K, '19OctTo25Oct'!$J:$J, $A26)</f>
        <v>0</v>
      </c>
      <c r="T26" s="121">
        <f>SUMIFS('19OctTo25Oct'!$O:$O, '19OctTo25Oct'!$J:$J, $A26)</f>
        <v>0</v>
      </c>
      <c r="U26" s="121">
        <f>SUMIFS('19OctTo25Oct'!$P:$P, '19OctTo25Oct'!$J:$J, $A26)</f>
        <v>0</v>
      </c>
      <c r="V26" s="122">
        <f t="shared" si="3"/>
        <v>0</v>
      </c>
      <c r="W26" s="121">
        <f>SUMIFS('12OctTo18Oct'!$L:$L, '12OctTo18Oct'!$J:$J, $A26)</f>
        <v>0</v>
      </c>
      <c r="X26" s="121">
        <f>SUMIFS('12OctTo18Oct'!$K:$K, '12OctTo18Oct'!$J:$J, $A26)</f>
        <v>0</v>
      </c>
      <c r="Y26" s="121">
        <f>SUMIFS('12OctTo18Oct'!$O:$O, '12OctTo18Oct'!$J:$J, $A26)</f>
        <v>0</v>
      </c>
      <c r="Z26" s="121">
        <f>SUMIFS('12OctTo18Oct'!$P:$P, '12OctTo18Oct'!$J:$J, $A26)</f>
        <v>0</v>
      </c>
      <c r="AA26" s="122">
        <f t="shared" si="4"/>
        <v>0</v>
      </c>
      <c r="AB26" s="121">
        <f>SUMIFS('5OctTo11Oct'!$L:$L, '5OctTo11Oct'!$J:$J, $A26)</f>
        <v>1</v>
      </c>
      <c r="AC26" s="121">
        <f>SUMIFS('5OctTo11Oct'!$K:$K, '5OctTo11Oct'!$J:$J, $A26)</f>
        <v>1</v>
      </c>
      <c r="AD26" s="121">
        <f>SUMIFS('5OctTo11Oct'!$O:$O, '5OctTo11Oct'!$J:$J, $A26)</f>
        <v>3.16</v>
      </c>
      <c r="AE26" s="121">
        <f>SUMIFS('5OctTo11Oct'!$P:$P, '5OctTo11Oct'!$J:$J, $A26)</f>
        <v>24.94</v>
      </c>
      <c r="AF26" s="123">
        <f t="shared" si="5"/>
        <v>12.670408981555733</v>
      </c>
      <c r="AG26" s="121">
        <f>SUMIFS('28SepTo4Oct'!$L:$L, '28SepTo4Oct'!$J:$J, $A26)</f>
        <v>0</v>
      </c>
      <c r="AH26" s="121">
        <f>SUMIFS('28SepTo4Oct'!$K:$K, '28SepTo4Oct'!$J:$J, $A26)</f>
        <v>0</v>
      </c>
      <c r="AI26" s="121">
        <f>SUMIFS('28SepTo4Oct'!$O:$O, '28SepTo4Oct'!$J:$J, $A26)</f>
        <v>0</v>
      </c>
      <c r="AJ26" s="121">
        <f>SUMIFS('28SepTo4Oct'!$P:$P, '28SepTo4Oct'!$J:$J, $A26)</f>
        <v>0</v>
      </c>
      <c r="AK26" s="123">
        <f t="shared" si="6"/>
        <v>0</v>
      </c>
      <c r="AL26" s="121">
        <f>SUMIFS('21SepTo27Sep'!$L:$L, '21SepTo27Sep'!$J:$J, $A26)</f>
        <v>0</v>
      </c>
      <c r="AM26" s="121">
        <f>SUMIFS('21SepTo27Sep'!$K:$K, '21SepTo27Sep'!$J:$J, $A26)</f>
        <v>0</v>
      </c>
      <c r="AN26" s="121">
        <f>SUMIFS('21SepTo27Sep'!$O:$O, '21SepTo27Sep'!$J:$J, $A26)</f>
        <v>0</v>
      </c>
      <c r="AO26" s="121">
        <f>SUMIFS('21SepTo27Sep'!$P:$P, '21SepTo27Sep'!$J:$J, $A26)</f>
        <v>0</v>
      </c>
      <c r="AP26" s="123">
        <f t="shared" si="7"/>
        <v>0</v>
      </c>
      <c r="AQ26" s="121">
        <f>SUMIFS('14SepTo20Sep'!$L:$L, '14SepTo20Sep'!$J:$J, $A26)</f>
        <v>0</v>
      </c>
      <c r="AR26" s="121">
        <f>SUMIFS('14SepTo20Sep'!$K:$K, '14SepTo20Sep'!$J:$J, $A26)</f>
        <v>0</v>
      </c>
      <c r="AS26" s="121">
        <f>SUMIFS('14SepTo20Sep'!$O:$O, '14SepTo20Sep'!$J:$J, $A26)</f>
        <v>0</v>
      </c>
      <c r="AT26" s="121">
        <f>SUMIFS('14SepTo20Sep'!$P:$P, '14SepTo20Sep'!$J:$J, $A26)</f>
        <v>0</v>
      </c>
      <c r="AU26" s="123">
        <f t="shared" si="8"/>
        <v>0</v>
      </c>
      <c r="AV26" s="121">
        <f>SUMIFS('7SepTo13Sep'!$L:$L, '7SepTo13Sep'!$J:$J, $A26)</f>
        <v>0</v>
      </c>
      <c r="AW26" s="121">
        <f>SUMIFS('7SepTo13Sep'!$K:$K, '7SepTo13Sep'!$J:$J, $A26)</f>
        <v>0</v>
      </c>
      <c r="AX26" s="121">
        <f>SUMIFS('7SepTo13Sep'!$O:$O, '7SepTo13Sep'!$J:$J, $A26)</f>
        <v>0</v>
      </c>
      <c r="AY26" s="121">
        <f>SUMIFS('7SepTo13Sep'!$P:$P, '7SepTo13Sep'!$J:$J, $A26)</f>
        <v>0</v>
      </c>
      <c r="AZ26" s="123">
        <f t="shared" si="9"/>
        <v>0</v>
      </c>
      <c r="BA26" s="121">
        <f>SUMIFS('31AugTo6Sep'!$L:$L, '31AugTo6Sep'!$J:$J, $A26)</f>
        <v>0</v>
      </c>
      <c r="BB26" s="121">
        <f>SUMIFS('31AugTo6Sep'!$K:$K, '31AugTo6Sep'!$J:$J, $A26)</f>
        <v>0</v>
      </c>
      <c r="BC26" s="121">
        <f>SUMIFS('31AugTo6Sep'!$O:$O, '31AugTo6Sep'!$J:$J, $A26)</f>
        <v>0</v>
      </c>
      <c r="BD26" s="121">
        <f>SUMIFS('31AugTo6Sep'!$P:$P, '31AugTo6Sep'!$J:$J, $A26)</f>
        <v>0</v>
      </c>
      <c r="BE26" s="123">
        <f t="shared" si="10"/>
        <v>0</v>
      </c>
      <c r="BF26" s="121">
        <f>SUMIFS('24AugTo29Aug'!$L:$L, '24AugTo29Aug'!$J:$J, $A26)</f>
        <v>0</v>
      </c>
      <c r="BG26" s="121">
        <f>SUMIFS('24AugTo29Aug'!$K:$K, '24AugTo29Aug'!$J:$J, $A26)</f>
        <v>0</v>
      </c>
      <c r="BH26" s="121">
        <f>SUMIFS('24AugTo29Aug'!$O:$O, '24AugTo29Aug'!$J:$J, $A26)</f>
        <v>0</v>
      </c>
      <c r="BI26" s="121">
        <f>SUMIFS('24AugTo29Aug'!$P:$P, '24AugTo29Aug'!$J:$J, $A26)</f>
        <v>0</v>
      </c>
      <c r="BJ26" s="123">
        <f t="shared" si="11"/>
        <v>0</v>
      </c>
      <c r="BK26" s="121">
        <f>SUMIFS('17AugTo21Aug'!$L:$L, '17AugTo21Aug'!$J:$J, $A26)</f>
        <v>0</v>
      </c>
      <c r="BL26" s="121">
        <f>SUMIFS('17AugTo21Aug'!$K:$K, '17AugTo21Aug'!$J:$J, $A26)</f>
        <v>0</v>
      </c>
      <c r="BM26" s="121">
        <f>SUMIFS('17AugTo21Aug'!$O:$O, '17AugTo21Aug'!$J:$J, $A26)</f>
        <v>0</v>
      </c>
      <c r="BN26" s="121">
        <f>SUMIFS('17AugTo21Aug'!$P:$P, '17AugTo21Aug'!$J:$J, $A26)</f>
        <v>0</v>
      </c>
      <c r="BO26" s="123">
        <f t="shared" si="12"/>
        <v>0</v>
      </c>
      <c r="BP26" s="121">
        <f>SUMIFS('10AugTo16Aug'!$L:$L, '10AugTo16Aug'!$J:$J, $A26)</f>
        <v>0</v>
      </c>
      <c r="BQ26" s="121">
        <f>SUMIFS('10AugTo16Aug'!$K:$K, '10AugTo16Aug'!$J:$J, $A26)</f>
        <v>0</v>
      </c>
      <c r="BR26" s="121">
        <f>SUMIFS('10AugTo16Aug'!$O:$O, '10AugTo16Aug'!$J:$J, $A26)</f>
        <v>0</v>
      </c>
      <c r="BS26" s="121">
        <f>SUMIFS('10AugTo16Aug'!$P:$P, '10AugTo16Aug'!$J:$J, $A26)</f>
        <v>0</v>
      </c>
      <c r="BT26" s="123">
        <f t="shared" si="13"/>
        <v>0</v>
      </c>
      <c r="BU26" s="121">
        <f>SUMIFS('3AugTo9Aug'!$L:$L, '3AugTo9Aug'!$J:$J, $A26)</f>
        <v>2</v>
      </c>
      <c r="BV26" s="121">
        <f>SUMIFS('3AugTo9Aug'!$K:$K, '3AugTo9Aug'!$J:$J, $A26)</f>
        <v>12</v>
      </c>
      <c r="BW26" s="121">
        <f>SUMIFS('3AugTo9Aug'!$O:$O, '3AugTo9Aug'!$J:$J, $A26)</f>
        <v>4.76</v>
      </c>
      <c r="BX26" s="121">
        <f>SUMIFS('3AugTo9Aug'!$P:$P, '3AugTo9Aug'!$J:$J, $A26)</f>
        <v>24.94</v>
      </c>
      <c r="BY26" s="123">
        <f t="shared" si="14"/>
        <v>19.085805934242178</v>
      </c>
      <c r="BZ26" s="121">
        <f>SUMIFS('27JulyTo2Aug'!$L:$L, '27JulyTo2Aug'!$J:$J, $A26)</f>
        <v>0</v>
      </c>
      <c r="CA26" s="121">
        <f>SUMIFS('27JulyTo2Aug'!$K:$K, '27JulyTo2Aug'!$J:$J, $A26)</f>
        <v>0</v>
      </c>
      <c r="CB26" s="121">
        <f>SUMIFS('27JulyTo2Aug'!$O:$O, '27JulyTo2Aug'!$J:$J, $A26)</f>
        <v>0</v>
      </c>
      <c r="CC26" s="121">
        <f>SUMIFS('27JulyTo2Aug'!$P:$P, '27JulyTo2Aug'!$J:$J, $A26)</f>
        <v>0</v>
      </c>
      <c r="CD26" s="123">
        <f t="shared" si="15"/>
        <v>0</v>
      </c>
    </row>
    <row r="27" spans="1:82" ht="14.25" customHeight="1" x14ac:dyDescent="0.3">
      <c r="A27" s="124" t="s">
        <v>264</v>
      </c>
      <c r="B27" s="120" t="str">
        <f t="shared" si="16"/>
        <v>WINNER</v>
      </c>
      <c r="C27" s="121">
        <f>SUMIFS('9NovTo15Nov'!$L:$L, '9NovTo15Nov'!$J:$J, $A27)</f>
        <v>0</v>
      </c>
      <c r="D27" s="121">
        <f>SUMIFS('9NovTo15Nov'!$K:$K, '9NovTo15Nov'!$J:$J, $A27)</f>
        <v>0</v>
      </c>
      <c r="E27" s="121">
        <f>SUMIFS('9NovTo15Nov'!$O:$O, '9NovTo15Nov'!$J:$J, $A27)</f>
        <v>0</v>
      </c>
      <c r="F27" s="121">
        <f>SUMIFS('9NovTo15Nov'!$P:$P, '9NovTo15Nov'!$J:$J, $A27)</f>
        <v>0</v>
      </c>
      <c r="G27" s="122">
        <f t="shared" si="0"/>
        <v>0</v>
      </c>
      <c r="H27" s="121">
        <f>SUMIFS('2NovTo8Nov'!$L:$L, '2NovTo8Nov'!$J:$J, $A27)</f>
        <v>0</v>
      </c>
      <c r="I27" s="121">
        <f>SUMIFS('2NovTo8Nov'!$K:$K, '2NovTo8Nov'!$J:$J, $A27)</f>
        <v>0</v>
      </c>
      <c r="J27" s="121">
        <f>SUMIFS('2NovTo8Nov'!$O:$O, '2NovTo8Nov'!$J:$J, $A27)</f>
        <v>0</v>
      </c>
      <c r="K27" s="121">
        <f>SUMIFS('2NovTo8Nov'!$P:$P, '2NovTo8Nov'!$J:$J, $A27)</f>
        <v>0</v>
      </c>
      <c r="L27" s="122">
        <f t="shared" si="1"/>
        <v>0</v>
      </c>
      <c r="M27" s="121">
        <f>SUMIFS('26OctTo1Nov'!$L:$L, '26OctTo1Nov'!$J:$J, $A27)</f>
        <v>0</v>
      </c>
      <c r="N27" s="121">
        <f>SUMIFS('26OctTo1Nov'!$K:$K, '26OctTo1Nov'!$J:$J, $A27)</f>
        <v>0</v>
      </c>
      <c r="O27" s="121">
        <f>SUMIFS('26OctTo1Nov'!$O:$O, '26OctTo1Nov'!$J:$J, $A27)</f>
        <v>0</v>
      </c>
      <c r="P27" s="121">
        <f>SUMIFS('26OctTo1Nov'!$P:$P, '26OctTo1Nov'!$J:$J, $A27)</f>
        <v>0</v>
      </c>
      <c r="Q27" s="122">
        <f t="shared" si="2"/>
        <v>0</v>
      </c>
      <c r="R27" s="121">
        <f>SUMIFS('19OctTo25Oct'!$L:$L, '19OctTo25Oct'!$J:$J, $A27)</f>
        <v>1</v>
      </c>
      <c r="S27" s="121">
        <f>SUMIFS('19OctTo25Oct'!$K:$K, '19OctTo25Oct'!$J:$J, $A27)</f>
        <v>1</v>
      </c>
      <c r="T27" s="121">
        <f>SUMIFS('19OctTo25Oct'!$O:$O, '19OctTo25Oct'!$J:$J, $A27)</f>
        <v>2.08</v>
      </c>
      <c r="U27" s="121">
        <f>SUMIFS('19OctTo25Oct'!$P:$P, '19OctTo25Oct'!$J:$J, $A27)</f>
        <v>24.94</v>
      </c>
      <c r="V27" s="122">
        <f t="shared" si="3"/>
        <v>8.3400160384923812</v>
      </c>
      <c r="W27" s="121">
        <f>SUMIFS('12OctTo18Oct'!$L:$L, '12OctTo18Oct'!$J:$J, $A27)</f>
        <v>0</v>
      </c>
      <c r="X27" s="121">
        <f>SUMIFS('12OctTo18Oct'!$K:$K, '12OctTo18Oct'!$J:$J, $A27)</f>
        <v>0</v>
      </c>
      <c r="Y27" s="121">
        <f>SUMIFS('12OctTo18Oct'!$O:$O, '12OctTo18Oct'!$J:$J, $A27)</f>
        <v>0</v>
      </c>
      <c r="Z27" s="121">
        <f>SUMIFS('12OctTo18Oct'!$P:$P, '12OctTo18Oct'!$J:$J, $A27)</f>
        <v>0</v>
      </c>
      <c r="AA27" s="122">
        <f t="shared" si="4"/>
        <v>0</v>
      </c>
      <c r="AB27" s="121">
        <f>SUMIFS('5OctTo11Oct'!$L:$L, '5OctTo11Oct'!$J:$J, $A27)</f>
        <v>0</v>
      </c>
      <c r="AC27" s="121">
        <f>SUMIFS('5OctTo11Oct'!$K:$K, '5OctTo11Oct'!$J:$J, $A27)</f>
        <v>0</v>
      </c>
      <c r="AD27" s="121">
        <f>SUMIFS('5OctTo11Oct'!$O:$O, '5OctTo11Oct'!$J:$J, $A27)</f>
        <v>0</v>
      </c>
      <c r="AE27" s="121">
        <f>SUMIFS('5OctTo11Oct'!$P:$P, '5OctTo11Oct'!$J:$J, $A27)</f>
        <v>0</v>
      </c>
      <c r="AF27" s="123">
        <f t="shared" si="5"/>
        <v>0</v>
      </c>
      <c r="AG27" s="121">
        <f>SUMIFS('28SepTo4Oct'!$L:$L, '28SepTo4Oct'!$J:$J, $A27)</f>
        <v>0</v>
      </c>
      <c r="AH27" s="121">
        <f>SUMIFS('28SepTo4Oct'!$K:$K, '28SepTo4Oct'!$J:$J, $A27)</f>
        <v>0</v>
      </c>
      <c r="AI27" s="121">
        <f>SUMIFS('28SepTo4Oct'!$O:$O, '28SepTo4Oct'!$J:$J, $A27)</f>
        <v>0</v>
      </c>
      <c r="AJ27" s="121">
        <f>SUMIFS('28SepTo4Oct'!$P:$P, '28SepTo4Oct'!$J:$J, $A27)</f>
        <v>0</v>
      </c>
      <c r="AK27" s="123">
        <f t="shared" si="6"/>
        <v>0</v>
      </c>
      <c r="AL27" s="121">
        <f>SUMIFS('21SepTo27Sep'!$L:$L, '21SepTo27Sep'!$J:$J, $A27)</f>
        <v>0</v>
      </c>
      <c r="AM27" s="121">
        <f>SUMIFS('21SepTo27Sep'!$K:$K, '21SepTo27Sep'!$J:$J, $A27)</f>
        <v>0</v>
      </c>
      <c r="AN27" s="121">
        <f>SUMIFS('21SepTo27Sep'!$O:$O, '21SepTo27Sep'!$J:$J, $A27)</f>
        <v>0</v>
      </c>
      <c r="AO27" s="121">
        <f>SUMIFS('21SepTo27Sep'!$P:$P, '21SepTo27Sep'!$J:$J, $A27)</f>
        <v>0</v>
      </c>
      <c r="AP27" s="123">
        <f t="shared" si="7"/>
        <v>0</v>
      </c>
      <c r="AQ27" s="121">
        <f>SUMIFS('14SepTo20Sep'!$L:$L, '14SepTo20Sep'!$J:$J, $A27)</f>
        <v>0</v>
      </c>
      <c r="AR27" s="121">
        <f>SUMIFS('14SepTo20Sep'!$K:$K, '14SepTo20Sep'!$J:$J, $A27)</f>
        <v>0</v>
      </c>
      <c r="AS27" s="121">
        <f>SUMIFS('14SepTo20Sep'!$O:$O, '14SepTo20Sep'!$J:$J, $A27)</f>
        <v>0</v>
      </c>
      <c r="AT27" s="121">
        <f>SUMIFS('14SepTo20Sep'!$P:$P, '14SepTo20Sep'!$J:$J, $A27)</f>
        <v>0</v>
      </c>
      <c r="AU27" s="123">
        <f t="shared" si="8"/>
        <v>0</v>
      </c>
      <c r="AV27" s="121">
        <f>SUMIFS('7SepTo13Sep'!$L:$L, '7SepTo13Sep'!$J:$J, $A27)</f>
        <v>0</v>
      </c>
      <c r="AW27" s="121">
        <f>SUMIFS('7SepTo13Sep'!$K:$K, '7SepTo13Sep'!$J:$J, $A27)</f>
        <v>0</v>
      </c>
      <c r="AX27" s="121">
        <f>SUMIFS('7SepTo13Sep'!$O:$O, '7SepTo13Sep'!$J:$J, $A27)</f>
        <v>0</v>
      </c>
      <c r="AY27" s="121">
        <f>SUMIFS('7SepTo13Sep'!$P:$P, '7SepTo13Sep'!$J:$J, $A27)</f>
        <v>0</v>
      </c>
      <c r="AZ27" s="123">
        <f t="shared" si="9"/>
        <v>0</v>
      </c>
      <c r="BA27" s="121">
        <f>SUMIFS('31AugTo6Sep'!$L:$L, '31AugTo6Sep'!$J:$J, $A27)</f>
        <v>0</v>
      </c>
      <c r="BB27" s="121">
        <f>SUMIFS('31AugTo6Sep'!$K:$K, '31AugTo6Sep'!$J:$J, $A27)</f>
        <v>0</v>
      </c>
      <c r="BC27" s="121">
        <f>SUMIFS('31AugTo6Sep'!$O:$O, '31AugTo6Sep'!$J:$J, $A27)</f>
        <v>0</v>
      </c>
      <c r="BD27" s="121">
        <f>SUMIFS('31AugTo6Sep'!$P:$P, '31AugTo6Sep'!$J:$J, $A27)</f>
        <v>0</v>
      </c>
      <c r="BE27" s="123">
        <f t="shared" si="10"/>
        <v>0</v>
      </c>
      <c r="BF27" s="121">
        <f>SUMIFS('24AugTo29Aug'!$L:$L, '24AugTo29Aug'!$J:$J, $A27)</f>
        <v>0</v>
      </c>
      <c r="BG27" s="121">
        <f>SUMIFS('24AugTo29Aug'!$K:$K, '24AugTo29Aug'!$J:$J, $A27)</f>
        <v>0</v>
      </c>
      <c r="BH27" s="121">
        <f>SUMIFS('24AugTo29Aug'!$O:$O, '24AugTo29Aug'!$J:$J, $A27)</f>
        <v>0</v>
      </c>
      <c r="BI27" s="121">
        <f>SUMIFS('24AugTo29Aug'!$P:$P, '24AugTo29Aug'!$J:$J, $A27)</f>
        <v>0</v>
      </c>
      <c r="BJ27" s="123">
        <f t="shared" si="11"/>
        <v>0</v>
      </c>
      <c r="BK27" s="121">
        <f>SUMIFS('17AugTo21Aug'!$L:$L, '17AugTo21Aug'!$J:$J, $A27)</f>
        <v>0</v>
      </c>
      <c r="BL27" s="121">
        <f>SUMIFS('17AugTo21Aug'!$K:$K, '17AugTo21Aug'!$J:$J, $A27)</f>
        <v>0</v>
      </c>
      <c r="BM27" s="121">
        <f>SUMIFS('17AugTo21Aug'!$O:$O, '17AugTo21Aug'!$J:$J, $A27)</f>
        <v>0</v>
      </c>
      <c r="BN27" s="121">
        <f>SUMIFS('17AugTo21Aug'!$P:$P, '17AugTo21Aug'!$J:$J, $A27)</f>
        <v>0</v>
      </c>
      <c r="BO27" s="123">
        <f t="shared" si="12"/>
        <v>0</v>
      </c>
      <c r="BP27" s="121">
        <f>SUMIFS('10AugTo16Aug'!$L:$L, '10AugTo16Aug'!$J:$J, $A27)</f>
        <v>2</v>
      </c>
      <c r="BQ27" s="121">
        <f>SUMIFS('10AugTo16Aug'!$K:$K, '10AugTo16Aug'!$J:$J, $A27)</f>
        <v>4</v>
      </c>
      <c r="BR27" s="121">
        <f>SUMIFS('10AugTo16Aug'!$O:$O, '10AugTo16Aug'!$J:$J, $A27)</f>
        <v>5.25</v>
      </c>
      <c r="BS27" s="121">
        <f>SUMIFS('10AugTo16Aug'!$P:$P, '10AugTo16Aug'!$J:$J, $A27)</f>
        <v>24.94</v>
      </c>
      <c r="BT27" s="123">
        <f t="shared" si="13"/>
        <v>21.050521251002404</v>
      </c>
      <c r="BU27" s="121">
        <f>SUMIFS('3AugTo9Aug'!$L:$L, '3AugTo9Aug'!$J:$J, $A27)</f>
        <v>0</v>
      </c>
      <c r="BV27" s="121">
        <f>SUMIFS('3AugTo9Aug'!$K:$K, '3AugTo9Aug'!$J:$J, $A27)</f>
        <v>0</v>
      </c>
      <c r="BW27" s="121">
        <f>SUMIFS('3AugTo9Aug'!$O:$O, '3AugTo9Aug'!$J:$J, $A27)</f>
        <v>0</v>
      </c>
      <c r="BX27" s="121">
        <f>SUMIFS('3AugTo9Aug'!$P:$P, '3AugTo9Aug'!$J:$J, $A27)</f>
        <v>0</v>
      </c>
      <c r="BY27" s="123">
        <f t="shared" si="14"/>
        <v>0</v>
      </c>
      <c r="BZ27" s="121">
        <f>SUMIFS('27JulyTo2Aug'!$L:$L, '27JulyTo2Aug'!$J:$J, $A27)</f>
        <v>0</v>
      </c>
      <c r="CA27" s="121">
        <f>SUMIFS('27JulyTo2Aug'!$K:$K, '27JulyTo2Aug'!$J:$J, $A27)</f>
        <v>0</v>
      </c>
      <c r="CB27" s="121">
        <f>SUMIFS('27JulyTo2Aug'!$O:$O, '27JulyTo2Aug'!$J:$J, $A27)</f>
        <v>0</v>
      </c>
      <c r="CC27" s="121">
        <f>SUMIFS('27JulyTo2Aug'!$P:$P, '27JulyTo2Aug'!$J:$J, $A27)</f>
        <v>0</v>
      </c>
      <c r="CD27" s="123">
        <f t="shared" si="15"/>
        <v>0</v>
      </c>
    </row>
    <row r="28" spans="1:82" ht="14.25" customHeight="1" x14ac:dyDescent="0.3">
      <c r="A28" s="119" t="s">
        <v>69</v>
      </c>
      <c r="B28" s="120" t="str">
        <f t="shared" si="16"/>
        <v>HIGH ACOS</v>
      </c>
      <c r="C28" s="121">
        <f>SUMIFS('9NovTo15Nov'!$L:$L, '9NovTo15Nov'!$J:$J, $A28)</f>
        <v>2</v>
      </c>
      <c r="D28" s="121">
        <f>SUMIFS('9NovTo15Nov'!$K:$K, '9NovTo15Nov'!$J:$J, $A28)</f>
        <v>16</v>
      </c>
      <c r="E28" s="121">
        <f>SUMIFS('9NovTo15Nov'!$O:$O, '9NovTo15Nov'!$J:$J, $A28)</f>
        <v>8.77</v>
      </c>
      <c r="F28" s="121">
        <f>SUMIFS('9NovTo15Nov'!$P:$P, '9NovTo15Nov'!$J:$J, $A28)</f>
        <v>21.9</v>
      </c>
      <c r="G28" s="122">
        <f t="shared" si="0"/>
        <v>40.045662100456617</v>
      </c>
      <c r="H28" s="121">
        <f>SUMIFS('2NovTo8Nov'!$L:$L, '2NovTo8Nov'!$J:$J, $A28)</f>
        <v>0</v>
      </c>
      <c r="I28" s="121">
        <f>SUMIFS('2NovTo8Nov'!$K:$K, '2NovTo8Nov'!$J:$J, $A28)</f>
        <v>0</v>
      </c>
      <c r="J28" s="121">
        <f>SUMIFS('2NovTo8Nov'!$O:$O, '2NovTo8Nov'!$J:$J, $A28)</f>
        <v>0</v>
      </c>
      <c r="K28" s="121">
        <f>SUMIFS('2NovTo8Nov'!$P:$P, '2NovTo8Nov'!$J:$J, $A28)</f>
        <v>0</v>
      </c>
      <c r="L28" s="122">
        <f t="shared" si="1"/>
        <v>0</v>
      </c>
      <c r="M28" s="121">
        <f>SUMIFS('26OctTo1Nov'!$L:$L, '26OctTo1Nov'!$J:$J, $A28)</f>
        <v>0</v>
      </c>
      <c r="N28" s="121">
        <f>SUMIFS('26OctTo1Nov'!$K:$K, '26OctTo1Nov'!$J:$J, $A28)</f>
        <v>0</v>
      </c>
      <c r="O28" s="121">
        <f>SUMIFS('26OctTo1Nov'!$O:$O, '26OctTo1Nov'!$J:$J, $A28)</f>
        <v>0</v>
      </c>
      <c r="P28" s="121">
        <f>SUMIFS('26OctTo1Nov'!$P:$P, '26OctTo1Nov'!$J:$J, $A28)</f>
        <v>0</v>
      </c>
      <c r="Q28" s="122">
        <f t="shared" si="2"/>
        <v>0</v>
      </c>
      <c r="R28" s="121">
        <f>SUMIFS('19OctTo25Oct'!$L:$L, '19OctTo25Oct'!$J:$J, $A28)</f>
        <v>0</v>
      </c>
      <c r="S28" s="121">
        <f>SUMIFS('19OctTo25Oct'!$K:$K, '19OctTo25Oct'!$J:$J, $A28)</f>
        <v>0</v>
      </c>
      <c r="T28" s="121">
        <f>SUMIFS('19OctTo25Oct'!$O:$O, '19OctTo25Oct'!$J:$J, $A28)</f>
        <v>0</v>
      </c>
      <c r="U28" s="121">
        <f>SUMIFS('19OctTo25Oct'!$P:$P, '19OctTo25Oct'!$J:$J, $A28)</f>
        <v>0</v>
      </c>
      <c r="V28" s="122">
        <f t="shared" si="3"/>
        <v>0</v>
      </c>
      <c r="W28" s="121">
        <f>SUMIFS('12OctTo18Oct'!$L:$L, '12OctTo18Oct'!$J:$J, $A28)</f>
        <v>0</v>
      </c>
      <c r="X28" s="121">
        <f>SUMIFS('12OctTo18Oct'!$K:$K, '12OctTo18Oct'!$J:$J, $A28)</f>
        <v>0</v>
      </c>
      <c r="Y28" s="121">
        <f>SUMIFS('12OctTo18Oct'!$O:$O, '12OctTo18Oct'!$J:$J, $A28)</f>
        <v>0</v>
      </c>
      <c r="Z28" s="121">
        <f>SUMIFS('12OctTo18Oct'!$P:$P, '12OctTo18Oct'!$J:$J, $A28)</f>
        <v>0</v>
      </c>
      <c r="AA28" s="122">
        <f t="shared" si="4"/>
        <v>0</v>
      </c>
      <c r="AB28" s="121">
        <f>SUMIFS('5OctTo11Oct'!$L:$L, '5OctTo11Oct'!$J:$J, $A28)</f>
        <v>0</v>
      </c>
      <c r="AC28" s="121">
        <f>SUMIFS('5OctTo11Oct'!$K:$K, '5OctTo11Oct'!$J:$J, $A28)</f>
        <v>0</v>
      </c>
      <c r="AD28" s="121">
        <f>SUMIFS('5OctTo11Oct'!$O:$O, '5OctTo11Oct'!$J:$J, $A28)</f>
        <v>0</v>
      </c>
      <c r="AE28" s="121">
        <f>SUMIFS('5OctTo11Oct'!$P:$P, '5OctTo11Oct'!$J:$J, $A28)</f>
        <v>0</v>
      </c>
      <c r="AF28" s="123">
        <f t="shared" si="5"/>
        <v>0</v>
      </c>
      <c r="AG28" s="121">
        <f>SUMIFS('28SepTo4Oct'!$L:$L, '28SepTo4Oct'!$J:$J, $A28)</f>
        <v>2</v>
      </c>
      <c r="AH28" s="121">
        <f>SUMIFS('28SepTo4Oct'!$K:$K, '28SepTo4Oct'!$J:$J, $A28)</f>
        <v>68</v>
      </c>
      <c r="AI28" s="121">
        <f>SUMIFS('28SepTo4Oct'!$O:$O, '28SepTo4Oct'!$J:$J, $A28)</f>
        <v>9.85</v>
      </c>
      <c r="AJ28" s="121">
        <f>SUMIFS('28SepTo4Oct'!$P:$P, '28SepTo4Oct'!$J:$J, $A28)</f>
        <v>21.9</v>
      </c>
      <c r="AK28" s="123">
        <f t="shared" si="6"/>
        <v>44.977168949771688</v>
      </c>
      <c r="AL28" s="121">
        <f>SUMIFS('21SepTo27Sep'!$L:$L, '21SepTo27Sep'!$J:$J, $A28)</f>
        <v>7</v>
      </c>
      <c r="AM28" s="121">
        <f>SUMIFS('21SepTo27Sep'!$K:$K, '21SepTo27Sep'!$J:$J, $A28)</f>
        <v>112</v>
      </c>
      <c r="AN28" s="121">
        <f>SUMIFS('21SepTo27Sep'!$O:$O, '21SepTo27Sep'!$J:$J, $A28)</f>
        <v>25.35</v>
      </c>
      <c r="AO28" s="121">
        <f>SUMIFS('21SepTo27Sep'!$P:$P, '21SepTo27Sep'!$J:$J, $A28)</f>
        <v>21.9</v>
      </c>
      <c r="AP28" s="123">
        <f t="shared" si="7"/>
        <v>115.75342465753427</v>
      </c>
      <c r="AQ28" s="121">
        <f>SUMIFS('14SepTo20Sep'!$L:$L, '14SepTo20Sep'!$J:$J, $A28)</f>
        <v>0</v>
      </c>
      <c r="AR28" s="121">
        <f>SUMIFS('14SepTo20Sep'!$K:$K, '14SepTo20Sep'!$J:$J, $A28)</f>
        <v>0</v>
      </c>
      <c r="AS28" s="121">
        <f>SUMIFS('14SepTo20Sep'!$O:$O, '14SepTo20Sep'!$J:$J, $A28)</f>
        <v>0</v>
      </c>
      <c r="AT28" s="121">
        <f>SUMIFS('14SepTo20Sep'!$P:$P, '14SepTo20Sep'!$J:$J, $A28)</f>
        <v>0</v>
      </c>
      <c r="AU28" s="123">
        <f t="shared" si="8"/>
        <v>0</v>
      </c>
      <c r="AV28" s="121">
        <f>SUMIFS('7SepTo13Sep'!$L:$L, '7SepTo13Sep'!$J:$J, $A28)</f>
        <v>0</v>
      </c>
      <c r="AW28" s="121">
        <f>SUMIFS('7SepTo13Sep'!$K:$K, '7SepTo13Sep'!$J:$J, $A28)</f>
        <v>0</v>
      </c>
      <c r="AX28" s="121">
        <f>SUMIFS('7SepTo13Sep'!$O:$O, '7SepTo13Sep'!$J:$J, $A28)</f>
        <v>0</v>
      </c>
      <c r="AY28" s="121">
        <f>SUMIFS('7SepTo13Sep'!$P:$P, '7SepTo13Sep'!$J:$J, $A28)</f>
        <v>0</v>
      </c>
      <c r="AZ28" s="123">
        <f t="shared" si="9"/>
        <v>0</v>
      </c>
      <c r="BA28" s="121">
        <f>SUMIFS('31AugTo6Sep'!$L:$L, '31AugTo6Sep'!$J:$J, $A28)</f>
        <v>0</v>
      </c>
      <c r="BB28" s="121">
        <f>SUMIFS('31AugTo6Sep'!$K:$K, '31AugTo6Sep'!$J:$J, $A28)</f>
        <v>0</v>
      </c>
      <c r="BC28" s="121">
        <f>SUMIFS('31AugTo6Sep'!$O:$O, '31AugTo6Sep'!$J:$J, $A28)</f>
        <v>0</v>
      </c>
      <c r="BD28" s="121">
        <f>SUMIFS('31AugTo6Sep'!$P:$P, '31AugTo6Sep'!$J:$J, $A28)</f>
        <v>0</v>
      </c>
      <c r="BE28" s="123">
        <f t="shared" si="10"/>
        <v>0</v>
      </c>
      <c r="BF28" s="121">
        <f>SUMIFS('24AugTo29Aug'!$L:$L, '24AugTo29Aug'!$J:$J, $A28)</f>
        <v>0</v>
      </c>
      <c r="BG28" s="121">
        <f>SUMIFS('24AugTo29Aug'!$K:$K, '24AugTo29Aug'!$J:$J, $A28)</f>
        <v>0</v>
      </c>
      <c r="BH28" s="121">
        <f>SUMIFS('24AugTo29Aug'!$O:$O, '24AugTo29Aug'!$J:$J, $A28)</f>
        <v>0</v>
      </c>
      <c r="BI28" s="121">
        <f>SUMIFS('24AugTo29Aug'!$P:$P, '24AugTo29Aug'!$J:$J, $A28)</f>
        <v>0</v>
      </c>
      <c r="BJ28" s="123">
        <f t="shared" si="11"/>
        <v>0</v>
      </c>
      <c r="BK28" s="121">
        <f>SUMIFS('17AugTo21Aug'!$L:$L, '17AugTo21Aug'!$J:$J, $A28)</f>
        <v>0</v>
      </c>
      <c r="BL28" s="121">
        <f>SUMIFS('17AugTo21Aug'!$K:$K, '17AugTo21Aug'!$J:$J, $A28)</f>
        <v>0</v>
      </c>
      <c r="BM28" s="121">
        <f>SUMIFS('17AugTo21Aug'!$O:$O, '17AugTo21Aug'!$J:$J, $A28)</f>
        <v>0</v>
      </c>
      <c r="BN28" s="121">
        <f>SUMIFS('17AugTo21Aug'!$P:$P, '17AugTo21Aug'!$J:$J, $A28)</f>
        <v>0</v>
      </c>
      <c r="BO28" s="123">
        <f t="shared" si="12"/>
        <v>0</v>
      </c>
      <c r="BP28" s="121">
        <f>SUMIFS('10AugTo16Aug'!$L:$L, '10AugTo16Aug'!$J:$J, $A28)</f>
        <v>0</v>
      </c>
      <c r="BQ28" s="121">
        <f>SUMIFS('10AugTo16Aug'!$K:$K, '10AugTo16Aug'!$J:$J, $A28)</f>
        <v>0</v>
      </c>
      <c r="BR28" s="121">
        <f>SUMIFS('10AugTo16Aug'!$O:$O, '10AugTo16Aug'!$J:$J, $A28)</f>
        <v>0</v>
      </c>
      <c r="BS28" s="121">
        <f>SUMIFS('10AugTo16Aug'!$P:$P, '10AugTo16Aug'!$J:$J, $A28)</f>
        <v>0</v>
      </c>
      <c r="BT28" s="123">
        <f t="shared" si="13"/>
        <v>0</v>
      </c>
      <c r="BU28" s="121">
        <f>SUMIFS('3AugTo9Aug'!$L:$L, '3AugTo9Aug'!$J:$J, $A28)</f>
        <v>0</v>
      </c>
      <c r="BV28" s="121">
        <f>SUMIFS('3AugTo9Aug'!$K:$K, '3AugTo9Aug'!$J:$J, $A28)</f>
        <v>0</v>
      </c>
      <c r="BW28" s="121">
        <f>SUMIFS('3AugTo9Aug'!$O:$O, '3AugTo9Aug'!$J:$J, $A28)</f>
        <v>0</v>
      </c>
      <c r="BX28" s="121">
        <f>SUMIFS('3AugTo9Aug'!$P:$P, '3AugTo9Aug'!$J:$J, $A28)</f>
        <v>0</v>
      </c>
      <c r="BY28" s="123">
        <f t="shared" si="14"/>
        <v>0</v>
      </c>
      <c r="BZ28" s="121">
        <f>SUMIFS('27JulyTo2Aug'!$L:$L, '27JulyTo2Aug'!$J:$J, $A28)</f>
        <v>0</v>
      </c>
      <c r="CA28" s="121">
        <f>SUMIFS('27JulyTo2Aug'!$K:$K, '27JulyTo2Aug'!$J:$J, $A28)</f>
        <v>0</v>
      </c>
      <c r="CB28" s="121">
        <f>SUMIFS('27JulyTo2Aug'!$O:$O, '27JulyTo2Aug'!$J:$J, $A28)</f>
        <v>0</v>
      </c>
      <c r="CC28" s="121">
        <f>SUMIFS('27JulyTo2Aug'!$P:$P, '27JulyTo2Aug'!$J:$J, $A28)</f>
        <v>0</v>
      </c>
      <c r="CD28" s="123">
        <f t="shared" si="15"/>
        <v>0</v>
      </c>
    </row>
    <row r="29" spans="1:82" ht="14.25" customHeight="1" x14ac:dyDescent="0.3">
      <c r="A29" s="119" t="s">
        <v>436</v>
      </c>
      <c r="B29" s="120" t="str">
        <f t="shared" si="16"/>
        <v>NO TRAFFIC</v>
      </c>
      <c r="C29" s="121">
        <f>SUMIFS('9NovTo15Nov'!$L:$L, '9NovTo15Nov'!$J:$J, $A29)</f>
        <v>0</v>
      </c>
      <c r="D29" s="121">
        <f>SUMIFS('9NovTo15Nov'!$K:$K, '9NovTo15Nov'!$J:$J, $A29)</f>
        <v>0</v>
      </c>
      <c r="E29" s="121">
        <f>SUMIFS('9NovTo15Nov'!$O:$O, '9NovTo15Nov'!$J:$J, $A29)</f>
        <v>0</v>
      </c>
      <c r="F29" s="121">
        <f>SUMIFS('9NovTo15Nov'!$P:$P, '9NovTo15Nov'!$J:$J, $A29)</f>
        <v>0</v>
      </c>
      <c r="G29" s="122">
        <f t="shared" si="0"/>
        <v>0</v>
      </c>
      <c r="H29" s="121">
        <f>SUMIFS('2NovTo8Nov'!$L:$L, '2NovTo8Nov'!$J:$J, $A29)</f>
        <v>0</v>
      </c>
      <c r="I29" s="121">
        <f>SUMIFS('2NovTo8Nov'!$K:$K, '2NovTo8Nov'!$J:$J, $A29)</f>
        <v>0</v>
      </c>
      <c r="J29" s="121">
        <f>SUMIFS('2NovTo8Nov'!$O:$O, '2NovTo8Nov'!$J:$J, $A29)</f>
        <v>0</v>
      </c>
      <c r="K29" s="121">
        <f>SUMIFS('2NovTo8Nov'!$P:$P, '2NovTo8Nov'!$J:$J, $A29)</f>
        <v>0</v>
      </c>
      <c r="L29" s="122">
        <f t="shared" si="1"/>
        <v>0</v>
      </c>
      <c r="M29" s="121">
        <f>SUMIFS('26OctTo1Nov'!$L:$L, '26OctTo1Nov'!$J:$J, $A29)</f>
        <v>0</v>
      </c>
      <c r="N29" s="121">
        <f>SUMIFS('26OctTo1Nov'!$K:$K, '26OctTo1Nov'!$J:$J, $A29)</f>
        <v>0</v>
      </c>
      <c r="O29" s="121">
        <f>SUMIFS('26OctTo1Nov'!$O:$O, '26OctTo1Nov'!$J:$J, $A29)</f>
        <v>0</v>
      </c>
      <c r="P29" s="121">
        <f>SUMIFS('26OctTo1Nov'!$P:$P, '26OctTo1Nov'!$J:$J, $A29)</f>
        <v>0</v>
      </c>
      <c r="Q29" s="122">
        <f t="shared" si="2"/>
        <v>0</v>
      </c>
      <c r="R29" s="121">
        <f>SUMIFS('19OctTo25Oct'!$L:$L, '19OctTo25Oct'!$J:$J, $A29)</f>
        <v>0</v>
      </c>
      <c r="S29" s="121">
        <f>SUMIFS('19OctTo25Oct'!$K:$K, '19OctTo25Oct'!$J:$J, $A29)</f>
        <v>0</v>
      </c>
      <c r="T29" s="121">
        <f>SUMIFS('19OctTo25Oct'!$O:$O, '19OctTo25Oct'!$J:$J, $A29)</f>
        <v>0</v>
      </c>
      <c r="U29" s="121">
        <f>SUMIFS('19OctTo25Oct'!$P:$P, '19OctTo25Oct'!$J:$J, $A29)</f>
        <v>0</v>
      </c>
      <c r="V29" s="122">
        <f t="shared" si="3"/>
        <v>0</v>
      </c>
      <c r="W29" s="121">
        <f>SUMIFS('12OctTo18Oct'!$L:$L, '12OctTo18Oct'!$J:$J, $A29)</f>
        <v>0</v>
      </c>
      <c r="X29" s="121">
        <f>SUMIFS('12OctTo18Oct'!$K:$K, '12OctTo18Oct'!$J:$J, $A29)</f>
        <v>0</v>
      </c>
      <c r="Y29" s="121">
        <f>SUMIFS('12OctTo18Oct'!$O:$O, '12OctTo18Oct'!$J:$J, $A29)</f>
        <v>0</v>
      </c>
      <c r="Z29" s="121">
        <f>SUMIFS('12OctTo18Oct'!$P:$P, '12OctTo18Oct'!$J:$J, $A29)</f>
        <v>0</v>
      </c>
      <c r="AA29" s="122">
        <f t="shared" si="4"/>
        <v>0</v>
      </c>
      <c r="AB29" s="121">
        <f>SUMIFS('5OctTo11Oct'!$L:$L, '5OctTo11Oct'!$J:$J, $A29)</f>
        <v>0</v>
      </c>
      <c r="AC29" s="121">
        <f>SUMIFS('5OctTo11Oct'!$K:$K, '5OctTo11Oct'!$J:$J, $A29)</f>
        <v>0</v>
      </c>
      <c r="AD29" s="121">
        <f>SUMIFS('5OctTo11Oct'!$O:$O, '5OctTo11Oct'!$J:$J, $A29)</f>
        <v>0</v>
      </c>
      <c r="AE29" s="121">
        <f>SUMIFS('5OctTo11Oct'!$P:$P, '5OctTo11Oct'!$J:$J, $A29)</f>
        <v>0</v>
      </c>
      <c r="AF29" s="123">
        <f t="shared" si="5"/>
        <v>0</v>
      </c>
      <c r="AG29" s="121">
        <f>SUMIFS('28SepTo4Oct'!$L:$L, '28SepTo4Oct'!$J:$J, $A29)</f>
        <v>0</v>
      </c>
      <c r="AH29" s="121">
        <f>SUMIFS('28SepTo4Oct'!$K:$K, '28SepTo4Oct'!$J:$J, $A29)</f>
        <v>0</v>
      </c>
      <c r="AI29" s="121">
        <f>SUMIFS('28SepTo4Oct'!$O:$O, '28SepTo4Oct'!$J:$J, $A29)</f>
        <v>0</v>
      </c>
      <c r="AJ29" s="121">
        <f>SUMIFS('28SepTo4Oct'!$P:$P, '28SepTo4Oct'!$J:$J, $A29)</f>
        <v>0</v>
      </c>
      <c r="AK29" s="123">
        <f t="shared" si="6"/>
        <v>0</v>
      </c>
      <c r="AL29" s="121">
        <f>SUMIFS('21SepTo27Sep'!$L:$L, '21SepTo27Sep'!$J:$J, $A29)</f>
        <v>1</v>
      </c>
      <c r="AM29" s="121">
        <f>SUMIFS('21SepTo27Sep'!$K:$K, '21SepTo27Sep'!$J:$J, $A29)</f>
        <v>1</v>
      </c>
      <c r="AN29" s="121">
        <f>SUMIFS('21SepTo27Sep'!$O:$O, '21SepTo27Sep'!$J:$J, $A29)</f>
        <v>4.42</v>
      </c>
      <c r="AO29" s="121">
        <f>SUMIFS('21SepTo27Sep'!$P:$P, '21SepTo27Sep'!$J:$J, $A29)</f>
        <v>24.94</v>
      </c>
      <c r="AP29" s="123">
        <f t="shared" si="7"/>
        <v>17.722534081796308</v>
      </c>
      <c r="AQ29" s="121">
        <f>SUMIFS('14SepTo20Sep'!$L:$L, '14SepTo20Sep'!$J:$J, $A29)</f>
        <v>0</v>
      </c>
      <c r="AR29" s="121">
        <f>SUMIFS('14SepTo20Sep'!$K:$K, '14SepTo20Sep'!$J:$J, $A29)</f>
        <v>0</v>
      </c>
      <c r="AS29" s="121">
        <f>SUMIFS('14SepTo20Sep'!$O:$O, '14SepTo20Sep'!$J:$J, $A29)</f>
        <v>0</v>
      </c>
      <c r="AT29" s="121">
        <f>SUMIFS('14SepTo20Sep'!$P:$P, '14SepTo20Sep'!$J:$J, $A29)</f>
        <v>0</v>
      </c>
      <c r="AU29" s="123">
        <f t="shared" si="8"/>
        <v>0</v>
      </c>
      <c r="AV29" s="121">
        <f>SUMIFS('7SepTo13Sep'!$L:$L, '7SepTo13Sep'!$J:$J, $A29)</f>
        <v>0</v>
      </c>
      <c r="AW29" s="121">
        <f>SUMIFS('7SepTo13Sep'!$K:$K, '7SepTo13Sep'!$J:$J, $A29)</f>
        <v>0</v>
      </c>
      <c r="AX29" s="121">
        <f>SUMIFS('7SepTo13Sep'!$O:$O, '7SepTo13Sep'!$J:$J, $A29)</f>
        <v>0</v>
      </c>
      <c r="AY29" s="121">
        <f>SUMIFS('7SepTo13Sep'!$P:$P, '7SepTo13Sep'!$J:$J, $A29)</f>
        <v>0</v>
      </c>
      <c r="AZ29" s="123">
        <f t="shared" si="9"/>
        <v>0</v>
      </c>
      <c r="BA29" s="121">
        <f>SUMIFS('31AugTo6Sep'!$L:$L, '31AugTo6Sep'!$J:$J, $A29)</f>
        <v>0</v>
      </c>
      <c r="BB29" s="121">
        <f>SUMIFS('31AugTo6Sep'!$K:$K, '31AugTo6Sep'!$J:$J, $A29)</f>
        <v>0</v>
      </c>
      <c r="BC29" s="121">
        <f>SUMIFS('31AugTo6Sep'!$O:$O, '31AugTo6Sep'!$J:$J, $A29)</f>
        <v>0</v>
      </c>
      <c r="BD29" s="121">
        <f>SUMIFS('31AugTo6Sep'!$P:$P, '31AugTo6Sep'!$J:$J, $A29)</f>
        <v>0</v>
      </c>
      <c r="BE29" s="123">
        <f t="shared" si="10"/>
        <v>0</v>
      </c>
      <c r="BF29" s="121">
        <f>SUMIFS('24AugTo29Aug'!$L:$L, '24AugTo29Aug'!$J:$J, $A29)</f>
        <v>0</v>
      </c>
      <c r="BG29" s="121">
        <f>SUMIFS('24AugTo29Aug'!$K:$K, '24AugTo29Aug'!$J:$J, $A29)</f>
        <v>0</v>
      </c>
      <c r="BH29" s="121">
        <f>SUMIFS('24AugTo29Aug'!$O:$O, '24AugTo29Aug'!$J:$J, $A29)</f>
        <v>0</v>
      </c>
      <c r="BI29" s="121">
        <f>SUMIFS('24AugTo29Aug'!$P:$P, '24AugTo29Aug'!$J:$J, $A29)</f>
        <v>0</v>
      </c>
      <c r="BJ29" s="123">
        <f t="shared" si="11"/>
        <v>0</v>
      </c>
      <c r="BK29" s="121">
        <f>SUMIFS('17AugTo21Aug'!$L:$L, '17AugTo21Aug'!$J:$J, $A29)</f>
        <v>0</v>
      </c>
      <c r="BL29" s="121">
        <f>SUMIFS('17AugTo21Aug'!$K:$K, '17AugTo21Aug'!$J:$J, $A29)</f>
        <v>0</v>
      </c>
      <c r="BM29" s="121">
        <f>SUMIFS('17AugTo21Aug'!$O:$O, '17AugTo21Aug'!$J:$J, $A29)</f>
        <v>0</v>
      </c>
      <c r="BN29" s="121">
        <f>SUMIFS('17AugTo21Aug'!$P:$P, '17AugTo21Aug'!$J:$J, $A29)</f>
        <v>0</v>
      </c>
      <c r="BO29" s="123">
        <f t="shared" si="12"/>
        <v>0</v>
      </c>
      <c r="BP29" s="121">
        <f>SUMIFS('10AugTo16Aug'!$L:$L, '10AugTo16Aug'!$J:$J, $A29)</f>
        <v>0</v>
      </c>
      <c r="BQ29" s="121">
        <f>SUMIFS('10AugTo16Aug'!$K:$K, '10AugTo16Aug'!$J:$J, $A29)</f>
        <v>0</v>
      </c>
      <c r="BR29" s="121">
        <f>SUMIFS('10AugTo16Aug'!$O:$O, '10AugTo16Aug'!$J:$J, $A29)</f>
        <v>0</v>
      </c>
      <c r="BS29" s="121">
        <f>SUMIFS('10AugTo16Aug'!$P:$P, '10AugTo16Aug'!$J:$J, $A29)</f>
        <v>0</v>
      </c>
      <c r="BT29" s="123">
        <f t="shared" si="13"/>
        <v>0</v>
      </c>
      <c r="BU29" s="121">
        <f>SUMIFS('3AugTo9Aug'!$L:$L, '3AugTo9Aug'!$J:$J, $A29)</f>
        <v>0</v>
      </c>
      <c r="BV29" s="121">
        <f>SUMIFS('3AugTo9Aug'!$K:$K, '3AugTo9Aug'!$J:$J, $A29)</f>
        <v>0</v>
      </c>
      <c r="BW29" s="121">
        <f>SUMIFS('3AugTo9Aug'!$O:$O, '3AugTo9Aug'!$J:$J, $A29)</f>
        <v>0</v>
      </c>
      <c r="BX29" s="121">
        <f>SUMIFS('3AugTo9Aug'!$P:$P, '3AugTo9Aug'!$J:$J, $A29)</f>
        <v>0</v>
      </c>
      <c r="BY29" s="123">
        <f t="shared" si="14"/>
        <v>0</v>
      </c>
      <c r="BZ29" s="121">
        <f>SUMIFS('27JulyTo2Aug'!$L:$L, '27JulyTo2Aug'!$J:$J, $A29)</f>
        <v>0</v>
      </c>
      <c r="CA29" s="121">
        <f>SUMIFS('27JulyTo2Aug'!$K:$K, '27JulyTo2Aug'!$J:$J, $A29)</f>
        <v>0</v>
      </c>
      <c r="CB29" s="121">
        <f>SUMIFS('27JulyTo2Aug'!$O:$O, '27JulyTo2Aug'!$J:$J, $A29)</f>
        <v>0</v>
      </c>
      <c r="CC29" s="121">
        <f>SUMIFS('27JulyTo2Aug'!$P:$P, '27JulyTo2Aug'!$J:$J, $A29)</f>
        <v>0</v>
      </c>
      <c r="CD29" s="123">
        <f t="shared" si="15"/>
        <v>0</v>
      </c>
    </row>
    <row r="30" spans="1:82" ht="14.25" customHeight="1" x14ac:dyDescent="0.3">
      <c r="A30" s="119" t="s">
        <v>477</v>
      </c>
      <c r="B30" s="120" t="str">
        <f t="shared" si="16"/>
        <v>NO TRAFFIC</v>
      </c>
      <c r="C30" s="121">
        <f>SUMIFS('9NovTo15Nov'!$L:$L, '9NovTo15Nov'!$J:$J, $A30)</f>
        <v>0</v>
      </c>
      <c r="D30" s="121">
        <f>SUMIFS('9NovTo15Nov'!$K:$K, '9NovTo15Nov'!$J:$J, $A30)</f>
        <v>0</v>
      </c>
      <c r="E30" s="121">
        <f>SUMIFS('9NovTo15Nov'!$O:$O, '9NovTo15Nov'!$J:$J, $A30)</f>
        <v>0</v>
      </c>
      <c r="F30" s="121">
        <f>SUMIFS('9NovTo15Nov'!$P:$P, '9NovTo15Nov'!$J:$J, $A30)</f>
        <v>0</v>
      </c>
      <c r="G30" s="122">
        <f t="shared" si="0"/>
        <v>0</v>
      </c>
      <c r="H30" s="121">
        <f>SUMIFS('2NovTo8Nov'!$L:$L, '2NovTo8Nov'!$J:$J, $A30)</f>
        <v>0</v>
      </c>
      <c r="I30" s="121">
        <f>SUMIFS('2NovTo8Nov'!$K:$K, '2NovTo8Nov'!$J:$J, $A30)</f>
        <v>0</v>
      </c>
      <c r="J30" s="121">
        <f>SUMIFS('2NovTo8Nov'!$O:$O, '2NovTo8Nov'!$J:$J, $A30)</f>
        <v>0</v>
      </c>
      <c r="K30" s="121">
        <f>SUMIFS('2NovTo8Nov'!$P:$P, '2NovTo8Nov'!$J:$J, $A30)</f>
        <v>0</v>
      </c>
      <c r="L30" s="122">
        <f t="shared" si="1"/>
        <v>0</v>
      </c>
      <c r="M30" s="121">
        <f>SUMIFS('26OctTo1Nov'!$L:$L, '26OctTo1Nov'!$J:$J, $A30)</f>
        <v>0</v>
      </c>
      <c r="N30" s="121">
        <f>SUMIFS('26OctTo1Nov'!$K:$K, '26OctTo1Nov'!$J:$J, $A30)</f>
        <v>0</v>
      </c>
      <c r="O30" s="121">
        <f>SUMIFS('26OctTo1Nov'!$O:$O, '26OctTo1Nov'!$J:$J, $A30)</f>
        <v>0</v>
      </c>
      <c r="P30" s="121">
        <f>SUMIFS('26OctTo1Nov'!$P:$P, '26OctTo1Nov'!$J:$J, $A30)</f>
        <v>0</v>
      </c>
      <c r="Q30" s="122">
        <f t="shared" si="2"/>
        <v>0</v>
      </c>
      <c r="R30" s="121">
        <f>SUMIFS('19OctTo25Oct'!$L:$L, '19OctTo25Oct'!$J:$J, $A30)</f>
        <v>0</v>
      </c>
      <c r="S30" s="121">
        <f>SUMIFS('19OctTo25Oct'!$K:$K, '19OctTo25Oct'!$J:$J, $A30)</f>
        <v>0</v>
      </c>
      <c r="T30" s="121">
        <f>SUMIFS('19OctTo25Oct'!$O:$O, '19OctTo25Oct'!$J:$J, $A30)</f>
        <v>0</v>
      </c>
      <c r="U30" s="121">
        <f>SUMIFS('19OctTo25Oct'!$P:$P, '19OctTo25Oct'!$J:$J, $A30)</f>
        <v>0</v>
      </c>
      <c r="V30" s="122">
        <f t="shared" si="3"/>
        <v>0</v>
      </c>
      <c r="W30" s="121">
        <f>SUMIFS('12OctTo18Oct'!$L:$L, '12OctTo18Oct'!$J:$J, $A30)</f>
        <v>0</v>
      </c>
      <c r="X30" s="121">
        <f>SUMIFS('12OctTo18Oct'!$K:$K, '12OctTo18Oct'!$J:$J, $A30)</f>
        <v>0</v>
      </c>
      <c r="Y30" s="121">
        <f>SUMIFS('12OctTo18Oct'!$O:$O, '12OctTo18Oct'!$J:$J, $A30)</f>
        <v>0</v>
      </c>
      <c r="Z30" s="121">
        <f>SUMIFS('12OctTo18Oct'!$P:$P, '12OctTo18Oct'!$J:$J, $A30)</f>
        <v>0</v>
      </c>
      <c r="AA30" s="122">
        <f t="shared" si="4"/>
        <v>0</v>
      </c>
      <c r="AB30" s="121">
        <f>SUMIFS('5OctTo11Oct'!$L:$L, '5OctTo11Oct'!$J:$J, $A30)</f>
        <v>0</v>
      </c>
      <c r="AC30" s="121">
        <f>SUMIFS('5OctTo11Oct'!$K:$K, '5OctTo11Oct'!$J:$J, $A30)</f>
        <v>0</v>
      </c>
      <c r="AD30" s="121">
        <f>SUMIFS('5OctTo11Oct'!$O:$O, '5OctTo11Oct'!$J:$J, $A30)</f>
        <v>0</v>
      </c>
      <c r="AE30" s="121">
        <f>SUMIFS('5OctTo11Oct'!$P:$P, '5OctTo11Oct'!$J:$J, $A30)</f>
        <v>0</v>
      </c>
      <c r="AF30" s="123">
        <f t="shared" si="5"/>
        <v>0</v>
      </c>
      <c r="AG30" s="121">
        <f>SUMIFS('28SepTo4Oct'!$L:$L, '28SepTo4Oct'!$J:$J, $A30)</f>
        <v>0</v>
      </c>
      <c r="AH30" s="121">
        <f>SUMIFS('28SepTo4Oct'!$K:$K, '28SepTo4Oct'!$J:$J, $A30)</f>
        <v>0</v>
      </c>
      <c r="AI30" s="121">
        <f>SUMIFS('28SepTo4Oct'!$O:$O, '28SepTo4Oct'!$J:$J, $A30)</f>
        <v>0</v>
      </c>
      <c r="AJ30" s="121">
        <f>SUMIFS('28SepTo4Oct'!$P:$P, '28SepTo4Oct'!$J:$J, $A30)</f>
        <v>0</v>
      </c>
      <c r="AK30" s="123">
        <f t="shared" si="6"/>
        <v>0</v>
      </c>
      <c r="AL30" s="121">
        <f>SUMIFS('21SepTo27Sep'!$L:$L, '21SepTo27Sep'!$J:$J, $A30)</f>
        <v>0</v>
      </c>
      <c r="AM30" s="121">
        <f>SUMIFS('21SepTo27Sep'!$K:$K, '21SepTo27Sep'!$J:$J, $A30)</f>
        <v>0</v>
      </c>
      <c r="AN30" s="121">
        <f>SUMIFS('21SepTo27Sep'!$O:$O, '21SepTo27Sep'!$J:$J, $A30)</f>
        <v>0</v>
      </c>
      <c r="AO30" s="121">
        <f>SUMIFS('21SepTo27Sep'!$P:$P, '21SepTo27Sep'!$J:$J, $A30)</f>
        <v>0</v>
      </c>
      <c r="AP30" s="123">
        <f t="shared" si="7"/>
        <v>0</v>
      </c>
      <c r="AQ30" s="121">
        <f>SUMIFS('14SepTo20Sep'!$L:$L, '14SepTo20Sep'!$J:$J, $A30)</f>
        <v>1</v>
      </c>
      <c r="AR30" s="121">
        <f>SUMIFS('14SepTo20Sep'!$K:$K, '14SepTo20Sep'!$J:$J, $A30)</f>
        <v>1</v>
      </c>
      <c r="AS30" s="121">
        <f>SUMIFS('14SepTo20Sep'!$O:$O, '14SepTo20Sep'!$J:$J, $A30)</f>
        <v>3.16</v>
      </c>
      <c r="AT30" s="121">
        <f>SUMIFS('14SepTo20Sep'!$P:$P, '14SepTo20Sep'!$J:$J, $A30)</f>
        <v>24.94</v>
      </c>
      <c r="AU30" s="123">
        <f t="shared" si="8"/>
        <v>12.670408981555733</v>
      </c>
      <c r="AV30" s="121">
        <f>SUMIFS('7SepTo13Sep'!$L:$L, '7SepTo13Sep'!$J:$J, $A30)</f>
        <v>0</v>
      </c>
      <c r="AW30" s="121">
        <f>SUMIFS('7SepTo13Sep'!$K:$K, '7SepTo13Sep'!$J:$J, $A30)</f>
        <v>0</v>
      </c>
      <c r="AX30" s="121">
        <f>SUMIFS('7SepTo13Sep'!$O:$O, '7SepTo13Sep'!$J:$J, $A30)</f>
        <v>0</v>
      </c>
      <c r="AY30" s="121">
        <f>SUMIFS('7SepTo13Sep'!$P:$P, '7SepTo13Sep'!$J:$J, $A30)</f>
        <v>0</v>
      </c>
      <c r="AZ30" s="123">
        <f t="shared" si="9"/>
        <v>0</v>
      </c>
      <c r="BA30" s="121">
        <f>SUMIFS('31AugTo6Sep'!$L:$L, '31AugTo6Sep'!$J:$J, $A30)</f>
        <v>0</v>
      </c>
      <c r="BB30" s="121">
        <f>SUMIFS('31AugTo6Sep'!$K:$K, '31AugTo6Sep'!$J:$J, $A30)</f>
        <v>0</v>
      </c>
      <c r="BC30" s="121">
        <f>SUMIFS('31AugTo6Sep'!$O:$O, '31AugTo6Sep'!$J:$J, $A30)</f>
        <v>0</v>
      </c>
      <c r="BD30" s="121">
        <f>SUMIFS('31AugTo6Sep'!$P:$P, '31AugTo6Sep'!$J:$J, $A30)</f>
        <v>0</v>
      </c>
      <c r="BE30" s="123">
        <f t="shared" si="10"/>
        <v>0</v>
      </c>
      <c r="BF30" s="121">
        <f>SUMIFS('24AugTo29Aug'!$L:$L, '24AugTo29Aug'!$J:$J, $A30)</f>
        <v>1</v>
      </c>
      <c r="BG30" s="121">
        <f>SUMIFS('24AugTo29Aug'!$K:$K, '24AugTo29Aug'!$J:$J, $A30)</f>
        <v>1</v>
      </c>
      <c r="BH30" s="121">
        <f>SUMIFS('24AugTo29Aug'!$O:$O, '24AugTo29Aug'!$J:$J, $A30)</f>
        <v>2.5</v>
      </c>
      <c r="BI30" s="121">
        <f>SUMIFS('24AugTo29Aug'!$P:$P, '24AugTo29Aug'!$J:$J, $A30)</f>
        <v>24.94</v>
      </c>
      <c r="BJ30" s="123">
        <f t="shared" si="11"/>
        <v>10.024057738572575</v>
      </c>
      <c r="BK30" s="121">
        <f>SUMIFS('17AugTo21Aug'!$L:$L, '17AugTo21Aug'!$J:$J, $A30)</f>
        <v>0</v>
      </c>
      <c r="BL30" s="121">
        <f>SUMIFS('17AugTo21Aug'!$K:$K, '17AugTo21Aug'!$J:$J, $A30)</f>
        <v>0</v>
      </c>
      <c r="BM30" s="121">
        <f>SUMIFS('17AugTo21Aug'!$O:$O, '17AugTo21Aug'!$J:$J, $A30)</f>
        <v>0</v>
      </c>
      <c r="BN30" s="121">
        <f>SUMIFS('17AugTo21Aug'!$P:$P, '17AugTo21Aug'!$J:$J, $A30)</f>
        <v>0</v>
      </c>
      <c r="BO30" s="123">
        <f t="shared" si="12"/>
        <v>0</v>
      </c>
      <c r="BP30" s="121">
        <f>SUMIFS('10AugTo16Aug'!$L:$L, '10AugTo16Aug'!$J:$J, $A30)</f>
        <v>0</v>
      </c>
      <c r="BQ30" s="121">
        <f>SUMIFS('10AugTo16Aug'!$K:$K, '10AugTo16Aug'!$J:$J, $A30)</f>
        <v>0</v>
      </c>
      <c r="BR30" s="121">
        <f>SUMIFS('10AugTo16Aug'!$O:$O, '10AugTo16Aug'!$J:$J, $A30)</f>
        <v>0</v>
      </c>
      <c r="BS30" s="121">
        <f>SUMIFS('10AugTo16Aug'!$P:$P, '10AugTo16Aug'!$J:$J, $A30)</f>
        <v>0</v>
      </c>
      <c r="BT30" s="123">
        <f t="shared" si="13"/>
        <v>0</v>
      </c>
      <c r="BU30" s="121">
        <f>SUMIFS('3AugTo9Aug'!$L:$L, '3AugTo9Aug'!$J:$J, $A30)</f>
        <v>0</v>
      </c>
      <c r="BV30" s="121">
        <f>SUMIFS('3AugTo9Aug'!$K:$K, '3AugTo9Aug'!$J:$J, $A30)</f>
        <v>0</v>
      </c>
      <c r="BW30" s="121">
        <f>SUMIFS('3AugTo9Aug'!$O:$O, '3AugTo9Aug'!$J:$J, $A30)</f>
        <v>0</v>
      </c>
      <c r="BX30" s="121">
        <f>SUMIFS('3AugTo9Aug'!$P:$P, '3AugTo9Aug'!$J:$J, $A30)</f>
        <v>0</v>
      </c>
      <c r="BY30" s="123">
        <f t="shared" si="14"/>
        <v>0</v>
      </c>
      <c r="BZ30" s="121">
        <f>SUMIFS('27JulyTo2Aug'!$L:$L, '27JulyTo2Aug'!$J:$J, $A30)</f>
        <v>0</v>
      </c>
      <c r="CA30" s="121">
        <f>SUMIFS('27JulyTo2Aug'!$K:$K, '27JulyTo2Aug'!$J:$J, $A30)</f>
        <v>0</v>
      </c>
      <c r="CB30" s="121">
        <f>SUMIFS('27JulyTo2Aug'!$O:$O, '27JulyTo2Aug'!$J:$J, $A30)</f>
        <v>0</v>
      </c>
      <c r="CC30" s="121">
        <f>SUMIFS('27JulyTo2Aug'!$P:$P, '27JulyTo2Aug'!$J:$J, $A30)</f>
        <v>0</v>
      </c>
      <c r="CD30" s="123">
        <f t="shared" si="15"/>
        <v>0</v>
      </c>
    </row>
    <row r="31" spans="1:82" ht="14.25" customHeight="1" x14ac:dyDescent="0.3">
      <c r="A31" s="119" t="s">
        <v>423</v>
      </c>
      <c r="B31" s="120" t="str">
        <f t="shared" si="16"/>
        <v>NO TRAFFIC</v>
      </c>
      <c r="C31" s="121">
        <f>SUMIFS('9NovTo15Nov'!$L:$L, '9NovTo15Nov'!$J:$J, $A31)</f>
        <v>0</v>
      </c>
      <c r="D31" s="121">
        <f>SUMIFS('9NovTo15Nov'!$K:$K, '9NovTo15Nov'!$J:$J, $A31)</f>
        <v>0</v>
      </c>
      <c r="E31" s="121">
        <f>SUMIFS('9NovTo15Nov'!$O:$O, '9NovTo15Nov'!$J:$J, $A31)</f>
        <v>0</v>
      </c>
      <c r="F31" s="121">
        <f>SUMIFS('9NovTo15Nov'!$P:$P, '9NovTo15Nov'!$J:$J, $A31)</f>
        <v>0</v>
      </c>
      <c r="G31" s="122">
        <f t="shared" si="0"/>
        <v>0</v>
      </c>
      <c r="H31" s="121">
        <f>SUMIFS('2NovTo8Nov'!$L:$L, '2NovTo8Nov'!$J:$J, $A31)</f>
        <v>0</v>
      </c>
      <c r="I31" s="121">
        <f>SUMIFS('2NovTo8Nov'!$K:$K, '2NovTo8Nov'!$J:$J, $A31)</f>
        <v>0</v>
      </c>
      <c r="J31" s="121">
        <f>SUMIFS('2NovTo8Nov'!$O:$O, '2NovTo8Nov'!$J:$J, $A31)</f>
        <v>0</v>
      </c>
      <c r="K31" s="121">
        <f>SUMIFS('2NovTo8Nov'!$P:$P, '2NovTo8Nov'!$J:$J, $A31)</f>
        <v>0</v>
      </c>
      <c r="L31" s="122">
        <f t="shared" si="1"/>
        <v>0</v>
      </c>
      <c r="M31" s="121">
        <f>SUMIFS('26OctTo1Nov'!$L:$L, '26OctTo1Nov'!$J:$J, $A31)</f>
        <v>0</v>
      </c>
      <c r="N31" s="121">
        <f>SUMIFS('26OctTo1Nov'!$K:$K, '26OctTo1Nov'!$J:$J, $A31)</f>
        <v>0</v>
      </c>
      <c r="O31" s="121">
        <f>SUMIFS('26OctTo1Nov'!$O:$O, '26OctTo1Nov'!$J:$J, $A31)</f>
        <v>0</v>
      </c>
      <c r="P31" s="121">
        <f>SUMIFS('26OctTo1Nov'!$P:$P, '26OctTo1Nov'!$J:$J, $A31)</f>
        <v>0</v>
      </c>
      <c r="Q31" s="122">
        <f t="shared" si="2"/>
        <v>0</v>
      </c>
      <c r="R31" s="121">
        <f>SUMIFS('19OctTo25Oct'!$L:$L, '19OctTo25Oct'!$J:$J, $A31)</f>
        <v>0</v>
      </c>
      <c r="S31" s="121">
        <f>SUMIFS('19OctTo25Oct'!$K:$K, '19OctTo25Oct'!$J:$J, $A31)</f>
        <v>0</v>
      </c>
      <c r="T31" s="121">
        <f>SUMIFS('19OctTo25Oct'!$O:$O, '19OctTo25Oct'!$J:$J, $A31)</f>
        <v>0</v>
      </c>
      <c r="U31" s="121">
        <f>SUMIFS('19OctTo25Oct'!$P:$P, '19OctTo25Oct'!$J:$J, $A31)</f>
        <v>0</v>
      </c>
      <c r="V31" s="122">
        <f t="shared" si="3"/>
        <v>0</v>
      </c>
      <c r="W31" s="121">
        <f>SUMIFS('12OctTo18Oct'!$L:$L, '12OctTo18Oct'!$J:$J, $A31)</f>
        <v>0</v>
      </c>
      <c r="X31" s="121">
        <f>SUMIFS('12OctTo18Oct'!$K:$K, '12OctTo18Oct'!$J:$J, $A31)</f>
        <v>0</v>
      </c>
      <c r="Y31" s="121">
        <f>SUMIFS('12OctTo18Oct'!$O:$O, '12OctTo18Oct'!$J:$J, $A31)</f>
        <v>0</v>
      </c>
      <c r="Z31" s="121">
        <f>SUMIFS('12OctTo18Oct'!$P:$P, '12OctTo18Oct'!$J:$J, $A31)</f>
        <v>0</v>
      </c>
      <c r="AA31" s="122">
        <f t="shared" si="4"/>
        <v>0</v>
      </c>
      <c r="AB31" s="121">
        <f>SUMIFS('5OctTo11Oct'!$L:$L, '5OctTo11Oct'!$J:$J, $A31)</f>
        <v>0</v>
      </c>
      <c r="AC31" s="121">
        <f>SUMIFS('5OctTo11Oct'!$K:$K, '5OctTo11Oct'!$J:$J, $A31)</f>
        <v>0</v>
      </c>
      <c r="AD31" s="121">
        <f>SUMIFS('5OctTo11Oct'!$O:$O, '5OctTo11Oct'!$J:$J, $A31)</f>
        <v>0</v>
      </c>
      <c r="AE31" s="121">
        <f>SUMIFS('5OctTo11Oct'!$P:$P, '5OctTo11Oct'!$J:$J, $A31)</f>
        <v>0</v>
      </c>
      <c r="AF31" s="123">
        <f t="shared" si="5"/>
        <v>0</v>
      </c>
      <c r="AG31" s="121">
        <f>SUMIFS('28SepTo4Oct'!$L:$L, '28SepTo4Oct'!$J:$J, $A31)</f>
        <v>0</v>
      </c>
      <c r="AH31" s="121">
        <f>SUMIFS('28SepTo4Oct'!$K:$K, '28SepTo4Oct'!$J:$J, $A31)</f>
        <v>0</v>
      </c>
      <c r="AI31" s="121">
        <f>SUMIFS('28SepTo4Oct'!$O:$O, '28SepTo4Oct'!$J:$J, $A31)</f>
        <v>0</v>
      </c>
      <c r="AJ31" s="121">
        <f>SUMIFS('28SepTo4Oct'!$P:$P, '28SepTo4Oct'!$J:$J, $A31)</f>
        <v>0</v>
      </c>
      <c r="AK31" s="123">
        <f t="shared" si="6"/>
        <v>0</v>
      </c>
      <c r="AL31" s="121">
        <f>SUMIFS('21SepTo27Sep'!$L:$L, '21SepTo27Sep'!$J:$J, $A31)</f>
        <v>1</v>
      </c>
      <c r="AM31" s="121">
        <f>SUMIFS('21SepTo27Sep'!$K:$K, '21SepTo27Sep'!$J:$J, $A31)</f>
        <v>3</v>
      </c>
      <c r="AN31" s="121">
        <f>SUMIFS('21SepTo27Sep'!$O:$O, '21SepTo27Sep'!$J:$J, $A31)</f>
        <v>1.7</v>
      </c>
      <c r="AO31" s="121">
        <f>SUMIFS('21SepTo27Sep'!$P:$P, '21SepTo27Sep'!$J:$J, $A31)</f>
        <v>24.94</v>
      </c>
      <c r="AP31" s="123">
        <f t="shared" si="7"/>
        <v>6.8163592622293505</v>
      </c>
      <c r="AQ31" s="121">
        <f>SUMIFS('14SepTo20Sep'!$L:$L, '14SepTo20Sep'!$J:$J, $A31)</f>
        <v>0</v>
      </c>
      <c r="AR31" s="121">
        <f>SUMIFS('14SepTo20Sep'!$K:$K, '14SepTo20Sep'!$J:$J, $A31)</f>
        <v>0</v>
      </c>
      <c r="AS31" s="121">
        <f>SUMIFS('14SepTo20Sep'!$O:$O, '14SepTo20Sep'!$J:$J, $A31)</f>
        <v>0</v>
      </c>
      <c r="AT31" s="121">
        <f>SUMIFS('14SepTo20Sep'!$P:$P, '14SepTo20Sep'!$J:$J, $A31)</f>
        <v>0</v>
      </c>
      <c r="AU31" s="123">
        <f t="shared" si="8"/>
        <v>0</v>
      </c>
      <c r="AV31" s="121">
        <f>SUMIFS('7SepTo13Sep'!$L:$L, '7SepTo13Sep'!$J:$J, $A31)</f>
        <v>0</v>
      </c>
      <c r="AW31" s="121">
        <f>SUMIFS('7SepTo13Sep'!$K:$K, '7SepTo13Sep'!$J:$J, $A31)</f>
        <v>0</v>
      </c>
      <c r="AX31" s="121">
        <f>SUMIFS('7SepTo13Sep'!$O:$O, '7SepTo13Sep'!$J:$J, $A31)</f>
        <v>0</v>
      </c>
      <c r="AY31" s="121">
        <f>SUMIFS('7SepTo13Sep'!$P:$P, '7SepTo13Sep'!$J:$J, $A31)</f>
        <v>0</v>
      </c>
      <c r="AZ31" s="123">
        <f t="shared" si="9"/>
        <v>0</v>
      </c>
      <c r="BA31" s="121">
        <f>SUMIFS('31AugTo6Sep'!$L:$L, '31AugTo6Sep'!$J:$J, $A31)</f>
        <v>0</v>
      </c>
      <c r="BB31" s="121">
        <f>SUMIFS('31AugTo6Sep'!$K:$K, '31AugTo6Sep'!$J:$J, $A31)</f>
        <v>0</v>
      </c>
      <c r="BC31" s="121">
        <f>SUMIFS('31AugTo6Sep'!$O:$O, '31AugTo6Sep'!$J:$J, $A31)</f>
        <v>0</v>
      </c>
      <c r="BD31" s="121">
        <f>SUMIFS('31AugTo6Sep'!$P:$P, '31AugTo6Sep'!$J:$J, $A31)</f>
        <v>0</v>
      </c>
      <c r="BE31" s="123">
        <f t="shared" si="10"/>
        <v>0</v>
      </c>
      <c r="BF31" s="121">
        <f>SUMIFS('24AugTo29Aug'!$L:$L, '24AugTo29Aug'!$J:$J, $A31)</f>
        <v>0</v>
      </c>
      <c r="BG31" s="121">
        <f>SUMIFS('24AugTo29Aug'!$K:$K, '24AugTo29Aug'!$J:$J, $A31)</f>
        <v>0</v>
      </c>
      <c r="BH31" s="121">
        <f>SUMIFS('24AugTo29Aug'!$O:$O, '24AugTo29Aug'!$J:$J, $A31)</f>
        <v>0</v>
      </c>
      <c r="BI31" s="121">
        <f>SUMIFS('24AugTo29Aug'!$P:$P, '24AugTo29Aug'!$J:$J, $A31)</f>
        <v>0</v>
      </c>
      <c r="BJ31" s="123">
        <f t="shared" si="11"/>
        <v>0</v>
      </c>
      <c r="BK31" s="121">
        <f>SUMIFS('17AugTo21Aug'!$L:$L, '17AugTo21Aug'!$J:$J, $A31)</f>
        <v>0</v>
      </c>
      <c r="BL31" s="121">
        <f>SUMIFS('17AugTo21Aug'!$K:$K, '17AugTo21Aug'!$J:$J, $A31)</f>
        <v>0</v>
      </c>
      <c r="BM31" s="121">
        <f>SUMIFS('17AugTo21Aug'!$O:$O, '17AugTo21Aug'!$J:$J, $A31)</f>
        <v>0</v>
      </c>
      <c r="BN31" s="121">
        <f>SUMIFS('17AugTo21Aug'!$P:$P, '17AugTo21Aug'!$J:$J, $A31)</f>
        <v>0</v>
      </c>
      <c r="BO31" s="123">
        <f t="shared" si="12"/>
        <v>0</v>
      </c>
      <c r="BP31" s="121">
        <f>SUMIFS('10AugTo16Aug'!$L:$L, '10AugTo16Aug'!$J:$J, $A31)</f>
        <v>0</v>
      </c>
      <c r="BQ31" s="121">
        <f>SUMIFS('10AugTo16Aug'!$K:$K, '10AugTo16Aug'!$J:$J, $A31)</f>
        <v>0</v>
      </c>
      <c r="BR31" s="121">
        <f>SUMIFS('10AugTo16Aug'!$O:$O, '10AugTo16Aug'!$J:$J, $A31)</f>
        <v>0</v>
      </c>
      <c r="BS31" s="121">
        <f>SUMIFS('10AugTo16Aug'!$P:$P, '10AugTo16Aug'!$J:$J, $A31)</f>
        <v>0</v>
      </c>
      <c r="BT31" s="123">
        <f t="shared" si="13"/>
        <v>0</v>
      </c>
      <c r="BU31" s="121">
        <f>SUMIFS('3AugTo9Aug'!$L:$L, '3AugTo9Aug'!$J:$J, $A31)</f>
        <v>0</v>
      </c>
      <c r="BV31" s="121">
        <f>SUMIFS('3AugTo9Aug'!$K:$K, '3AugTo9Aug'!$J:$J, $A31)</f>
        <v>0</v>
      </c>
      <c r="BW31" s="121">
        <f>SUMIFS('3AugTo9Aug'!$O:$O, '3AugTo9Aug'!$J:$J, $A31)</f>
        <v>0</v>
      </c>
      <c r="BX31" s="121">
        <f>SUMIFS('3AugTo9Aug'!$P:$P, '3AugTo9Aug'!$J:$J, $A31)</f>
        <v>0</v>
      </c>
      <c r="BY31" s="123">
        <f t="shared" si="14"/>
        <v>0</v>
      </c>
      <c r="BZ31" s="121">
        <f>SUMIFS('27JulyTo2Aug'!$L:$L, '27JulyTo2Aug'!$J:$J, $A31)</f>
        <v>0</v>
      </c>
      <c r="CA31" s="121">
        <f>SUMIFS('27JulyTo2Aug'!$K:$K, '27JulyTo2Aug'!$J:$J, $A31)</f>
        <v>0</v>
      </c>
      <c r="CB31" s="121">
        <f>SUMIFS('27JulyTo2Aug'!$O:$O, '27JulyTo2Aug'!$J:$J, $A31)</f>
        <v>0</v>
      </c>
      <c r="CC31" s="121">
        <f>SUMIFS('27JulyTo2Aug'!$P:$P, '27JulyTo2Aug'!$J:$J, $A31)</f>
        <v>0</v>
      </c>
      <c r="CD31" s="123">
        <f t="shared" si="15"/>
        <v>0</v>
      </c>
    </row>
    <row r="32" spans="1:82" ht="14.25" customHeight="1" x14ac:dyDescent="0.3">
      <c r="A32" s="124" t="s">
        <v>567</v>
      </c>
      <c r="B32" s="120" t="str">
        <f t="shared" si="16"/>
        <v>NO TRAFFIC</v>
      </c>
      <c r="C32" s="121">
        <f>SUMIFS('9NovTo15Nov'!$L:$L, '9NovTo15Nov'!$J:$J, $A32)</f>
        <v>0</v>
      </c>
      <c r="D32" s="121">
        <f>SUMIFS('9NovTo15Nov'!$K:$K, '9NovTo15Nov'!$J:$J, $A32)</f>
        <v>0</v>
      </c>
      <c r="E32" s="121">
        <f>SUMIFS('9NovTo15Nov'!$O:$O, '9NovTo15Nov'!$J:$J, $A32)</f>
        <v>0</v>
      </c>
      <c r="F32" s="121">
        <f>SUMIFS('9NovTo15Nov'!$P:$P, '9NovTo15Nov'!$J:$J, $A32)</f>
        <v>0</v>
      </c>
      <c r="G32" s="122">
        <f t="shared" si="0"/>
        <v>0</v>
      </c>
      <c r="H32" s="121">
        <f>SUMIFS('2NovTo8Nov'!$L:$L, '2NovTo8Nov'!$J:$J, $A32)</f>
        <v>0</v>
      </c>
      <c r="I32" s="121">
        <f>SUMIFS('2NovTo8Nov'!$K:$K, '2NovTo8Nov'!$J:$J, $A32)</f>
        <v>0</v>
      </c>
      <c r="J32" s="121">
        <f>SUMIFS('2NovTo8Nov'!$O:$O, '2NovTo8Nov'!$J:$J, $A32)</f>
        <v>0</v>
      </c>
      <c r="K32" s="121">
        <f>SUMIFS('2NovTo8Nov'!$P:$P, '2NovTo8Nov'!$J:$J, $A32)</f>
        <v>0</v>
      </c>
      <c r="L32" s="122">
        <f t="shared" si="1"/>
        <v>0</v>
      </c>
      <c r="M32" s="121">
        <f>SUMIFS('26OctTo1Nov'!$L:$L, '26OctTo1Nov'!$J:$J, $A32)</f>
        <v>0</v>
      </c>
      <c r="N32" s="121">
        <f>SUMIFS('26OctTo1Nov'!$K:$K, '26OctTo1Nov'!$J:$J, $A32)</f>
        <v>0</v>
      </c>
      <c r="O32" s="121">
        <f>SUMIFS('26OctTo1Nov'!$O:$O, '26OctTo1Nov'!$J:$J, $A32)</f>
        <v>0</v>
      </c>
      <c r="P32" s="121">
        <f>SUMIFS('26OctTo1Nov'!$P:$P, '26OctTo1Nov'!$J:$J, $A32)</f>
        <v>0</v>
      </c>
      <c r="Q32" s="122">
        <f t="shared" si="2"/>
        <v>0</v>
      </c>
      <c r="R32" s="121">
        <f>SUMIFS('19OctTo25Oct'!$L:$L, '19OctTo25Oct'!$J:$J, $A32)</f>
        <v>0</v>
      </c>
      <c r="S32" s="121">
        <f>SUMIFS('19OctTo25Oct'!$K:$K, '19OctTo25Oct'!$J:$J, $A32)</f>
        <v>0</v>
      </c>
      <c r="T32" s="121">
        <f>SUMIFS('19OctTo25Oct'!$O:$O, '19OctTo25Oct'!$J:$J, $A32)</f>
        <v>0</v>
      </c>
      <c r="U32" s="121">
        <f>SUMIFS('19OctTo25Oct'!$P:$P, '19OctTo25Oct'!$J:$J, $A32)</f>
        <v>0</v>
      </c>
      <c r="V32" s="122">
        <f t="shared" si="3"/>
        <v>0</v>
      </c>
      <c r="W32" s="121">
        <f>SUMIFS('12OctTo18Oct'!$L:$L, '12OctTo18Oct'!$J:$J, $A32)</f>
        <v>0</v>
      </c>
      <c r="X32" s="121">
        <f>SUMIFS('12OctTo18Oct'!$K:$K, '12OctTo18Oct'!$J:$J, $A32)</f>
        <v>0</v>
      </c>
      <c r="Y32" s="121">
        <f>SUMIFS('12OctTo18Oct'!$O:$O, '12OctTo18Oct'!$J:$J, $A32)</f>
        <v>0</v>
      </c>
      <c r="Z32" s="121">
        <f>SUMIFS('12OctTo18Oct'!$P:$P, '12OctTo18Oct'!$J:$J, $A32)</f>
        <v>0</v>
      </c>
      <c r="AA32" s="122">
        <f t="shared" si="4"/>
        <v>0</v>
      </c>
      <c r="AB32" s="121">
        <f>SUMIFS('5OctTo11Oct'!$L:$L, '5OctTo11Oct'!$J:$J, $A32)</f>
        <v>0</v>
      </c>
      <c r="AC32" s="121">
        <f>SUMIFS('5OctTo11Oct'!$K:$K, '5OctTo11Oct'!$J:$J, $A32)</f>
        <v>0</v>
      </c>
      <c r="AD32" s="121">
        <f>SUMIFS('5OctTo11Oct'!$O:$O, '5OctTo11Oct'!$J:$J, $A32)</f>
        <v>0</v>
      </c>
      <c r="AE32" s="121">
        <f>SUMIFS('5OctTo11Oct'!$P:$P, '5OctTo11Oct'!$J:$J, $A32)</f>
        <v>0</v>
      </c>
      <c r="AF32" s="123">
        <f t="shared" si="5"/>
        <v>0</v>
      </c>
      <c r="AG32" s="121">
        <f>SUMIFS('28SepTo4Oct'!$L:$L, '28SepTo4Oct'!$J:$J, $A32)</f>
        <v>0</v>
      </c>
      <c r="AH32" s="121">
        <f>SUMIFS('28SepTo4Oct'!$K:$K, '28SepTo4Oct'!$J:$J, $A32)</f>
        <v>0</v>
      </c>
      <c r="AI32" s="121">
        <f>SUMIFS('28SepTo4Oct'!$O:$O, '28SepTo4Oct'!$J:$J, $A32)</f>
        <v>0</v>
      </c>
      <c r="AJ32" s="121">
        <f>SUMIFS('28SepTo4Oct'!$P:$P, '28SepTo4Oct'!$J:$J, $A32)</f>
        <v>0</v>
      </c>
      <c r="AK32" s="123">
        <f t="shared" si="6"/>
        <v>0</v>
      </c>
      <c r="AL32" s="121">
        <f>SUMIFS('21SepTo27Sep'!$L:$L, '21SepTo27Sep'!$J:$J, $A32)</f>
        <v>0</v>
      </c>
      <c r="AM32" s="121">
        <f>SUMIFS('21SepTo27Sep'!$K:$K, '21SepTo27Sep'!$J:$J, $A32)</f>
        <v>0</v>
      </c>
      <c r="AN32" s="121">
        <f>SUMIFS('21SepTo27Sep'!$O:$O, '21SepTo27Sep'!$J:$J, $A32)</f>
        <v>0</v>
      </c>
      <c r="AO32" s="121">
        <f>SUMIFS('21SepTo27Sep'!$P:$P, '21SepTo27Sep'!$J:$J, $A32)</f>
        <v>0</v>
      </c>
      <c r="AP32" s="123">
        <f t="shared" si="7"/>
        <v>0</v>
      </c>
      <c r="AQ32" s="121">
        <f>SUMIFS('14SepTo20Sep'!$L:$L, '14SepTo20Sep'!$J:$J, $A32)</f>
        <v>0</v>
      </c>
      <c r="AR32" s="121">
        <f>SUMIFS('14SepTo20Sep'!$K:$K, '14SepTo20Sep'!$J:$J, $A32)</f>
        <v>0</v>
      </c>
      <c r="AS32" s="121">
        <f>SUMIFS('14SepTo20Sep'!$O:$O, '14SepTo20Sep'!$J:$J, $A32)</f>
        <v>0</v>
      </c>
      <c r="AT32" s="121">
        <f>SUMIFS('14SepTo20Sep'!$P:$P, '14SepTo20Sep'!$J:$J, $A32)</f>
        <v>0</v>
      </c>
      <c r="AU32" s="123">
        <f t="shared" si="8"/>
        <v>0</v>
      </c>
      <c r="AV32" s="121">
        <f>SUMIFS('7SepTo13Sep'!$L:$L, '7SepTo13Sep'!$J:$J, $A32)</f>
        <v>0</v>
      </c>
      <c r="AW32" s="121">
        <f>SUMIFS('7SepTo13Sep'!$K:$K, '7SepTo13Sep'!$J:$J, $A32)</f>
        <v>0</v>
      </c>
      <c r="AX32" s="121">
        <f>SUMIFS('7SepTo13Sep'!$O:$O, '7SepTo13Sep'!$J:$J, $A32)</f>
        <v>0</v>
      </c>
      <c r="AY32" s="121">
        <f>SUMIFS('7SepTo13Sep'!$P:$P, '7SepTo13Sep'!$J:$J, $A32)</f>
        <v>0</v>
      </c>
      <c r="AZ32" s="123">
        <f t="shared" si="9"/>
        <v>0</v>
      </c>
      <c r="BA32" s="121">
        <f>SUMIFS('31AugTo6Sep'!$L:$L, '31AugTo6Sep'!$J:$J, $A32)</f>
        <v>1</v>
      </c>
      <c r="BB32" s="121">
        <f>SUMIFS('31AugTo6Sep'!$K:$K, '31AugTo6Sep'!$J:$J, $A32)</f>
        <v>3</v>
      </c>
      <c r="BC32" s="121">
        <f>SUMIFS('31AugTo6Sep'!$O:$O, '31AugTo6Sep'!$J:$J, $A32)</f>
        <v>0.82</v>
      </c>
      <c r="BD32" s="121">
        <f>SUMIFS('31AugTo6Sep'!$P:$P, '31AugTo6Sep'!$J:$J, $A32)</f>
        <v>24.94</v>
      </c>
      <c r="BE32" s="123">
        <f t="shared" si="10"/>
        <v>3.2878909382518042</v>
      </c>
      <c r="BF32" s="121">
        <f>SUMIFS('24AugTo29Aug'!$L:$L, '24AugTo29Aug'!$J:$J, $A32)</f>
        <v>0</v>
      </c>
      <c r="BG32" s="121">
        <f>SUMIFS('24AugTo29Aug'!$K:$K, '24AugTo29Aug'!$J:$J, $A32)</f>
        <v>0</v>
      </c>
      <c r="BH32" s="121">
        <f>SUMIFS('24AugTo29Aug'!$O:$O, '24AugTo29Aug'!$J:$J, $A32)</f>
        <v>0</v>
      </c>
      <c r="BI32" s="121">
        <f>SUMIFS('24AugTo29Aug'!$P:$P, '24AugTo29Aug'!$J:$J, $A32)</f>
        <v>0</v>
      </c>
      <c r="BJ32" s="123">
        <f t="shared" si="11"/>
        <v>0</v>
      </c>
      <c r="BK32" s="121">
        <f>SUMIFS('17AugTo21Aug'!$L:$L, '17AugTo21Aug'!$J:$J, $A32)</f>
        <v>0</v>
      </c>
      <c r="BL32" s="121">
        <f>SUMIFS('17AugTo21Aug'!$K:$K, '17AugTo21Aug'!$J:$J, $A32)</f>
        <v>0</v>
      </c>
      <c r="BM32" s="121">
        <f>SUMIFS('17AugTo21Aug'!$O:$O, '17AugTo21Aug'!$J:$J, $A32)</f>
        <v>0</v>
      </c>
      <c r="BN32" s="121">
        <f>SUMIFS('17AugTo21Aug'!$P:$P, '17AugTo21Aug'!$J:$J, $A32)</f>
        <v>0</v>
      </c>
      <c r="BO32" s="123">
        <f t="shared" si="12"/>
        <v>0</v>
      </c>
      <c r="BP32" s="121">
        <f>SUMIFS('10AugTo16Aug'!$L:$L, '10AugTo16Aug'!$J:$J, $A32)</f>
        <v>0</v>
      </c>
      <c r="BQ32" s="121">
        <f>SUMIFS('10AugTo16Aug'!$K:$K, '10AugTo16Aug'!$J:$J, $A32)</f>
        <v>0</v>
      </c>
      <c r="BR32" s="121">
        <f>SUMIFS('10AugTo16Aug'!$O:$O, '10AugTo16Aug'!$J:$J, $A32)</f>
        <v>0</v>
      </c>
      <c r="BS32" s="121">
        <f>SUMIFS('10AugTo16Aug'!$P:$P, '10AugTo16Aug'!$J:$J, $A32)</f>
        <v>0</v>
      </c>
      <c r="BT32" s="123">
        <f t="shared" si="13"/>
        <v>0</v>
      </c>
      <c r="BU32" s="121">
        <f>SUMIFS('3AugTo9Aug'!$L:$L, '3AugTo9Aug'!$J:$J, $A32)</f>
        <v>0</v>
      </c>
      <c r="BV32" s="121">
        <f>SUMIFS('3AugTo9Aug'!$K:$K, '3AugTo9Aug'!$J:$J, $A32)</f>
        <v>0</v>
      </c>
      <c r="BW32" s="121">
        <f>SUMIFS('3AugTo9Aug'!$O:$O, '3AugTo9Aug'!$J:$J, $A32)</f>
        <v>0</v>
      </c>
      <c r="BX32" s="121">
        <f>SUMIFS('3AugTo9Aug'!$P:$P, '3AugTo9Aug'!$J:$J, $A32)</f>
        <v>0</v>
      </c>
      <c r="BY32" s="123">
        <f t="shared" si="14"/>
        <v>0</v>
      </c>
      <c r="BZ32" s="121">
        <f>SUMIFS('27JulyTo2Aug'!$L:$L, '27JulyTo2Aug'!$J:$J, $A32)</f>
        <v>0</v>
      </c>
      <c r="CA32" s="121">
        <f>SUMIFS('27JulyTo2Aug'!$K:$K, '27JulyTo2Aug'!$J:$J, $A32)</f>
        <v>0</v>
      </c>
      <c r="CB32" s="121">
        <f>SUMIFS('27JulyTo2Aug'!$O:$O, '27JulyTo2Aug'!$J:$J, $A32)</f>
        <v>0</v>
      </c>
      <c r="CC32" s="121">
        <f>SUMIFS('27JulyTo2Aug'!$P:$P, '27JulyTo2Aug'!$J:$J, $A32)</f>
        <v>0</v>
      </c>
      <c r="CD32" s="123">
        <f t="shared" si="15"/>
        <v>0</v>
      </c>
    </row>
    <row r="33" spans="1:82" ht="14.25" customHeight="1" x14ac:dyDescent="0.3">
      <c r="A33" s="124" t="s">
        <v>492</v>
      </c>
      <c r="B33" s="120" t="str">
        <f t="shared" si="16"/>
        <v>NO TRAFFIC</v>
      </c>
      <c r="C33" s="121">
        <f>SUMIFS('9NovTo15Nov'!$L:$L, '9NovTo15Nov'!$J:$J, $A33)</f>
        <v>0</v>
      </c>
      <c r="D33" s="121">
        <f>SUMIFS('9NovTo15Nov'!$K:$K, '9NovTo15Nov'!$J:$J, $A33)</f>
        <v>0</v>
      </c>
      <c r="E33" s="121">
        <f>SUMIFS('9NovTo15Nov'!$O:$O, '9NovTo15Nov'!$J:$J, $A33)</f>
        <v>0</v>
      </c>
      <c r="F33" s="121">
        <f>SUMIFS('9NovTo15Nov'!$P:$P, '9NovTo15Nov'!$J:$J, $A33)</f>
        <v>0</v>
      </c>
      <c r="G33" s="122">
        <f t="shared" si="0"/>
        <v>0</v>
      </c>
      <c r="H33" s="121">
        <f>SUMIFS('2NovTo8Nov'!$L:$L, '2NovTo8Nov'!$J:$J, $A33)</f>
        <v>0</v>
      </c>
      <c r="I33" s="121">
        <f>SUMIFS('2NovTo8Nov'!$K:$K, '2NovTo8Nov'!$J:$J, $A33)</f>
        <v>0</v>
      </c>
      <c r="J33" s="121">
        <f>SUMIFS('2NovTo8Nov'!$O:$O, '2NovTo8Nov'!$J:$J, $A33)</f>
        <v>0</v>
      </c>
      <c r="K33" s="121">
        <f>SUMIFS('2NovTo8Nov'!$P:$P, '2NovTo8Nov'!$J:$J, $A33)</f>
        <v>0</v>
      </c>
      <c r="L33" s="122">
        <f t="shared" si="1"/>
        <v>0</v>
      </c>
      <c r="M33" s="121">
        <f>SUMIFS('26OctTo1Nov'!$L:$L, '26OctTo1Nov'!$J:$J, $A33)</f>
        <v>0</v>
      </c>
      <c r="N33" s="121">
        <f>SUMIFS('26OctTo1Nov'!$K:$K, '26OctTo1Nov'!$J:$J, $A33)</f>
        <v>0</v>
      </c>
      <c r="O33" s="121">
        <f>SUMIFS('26OctTo1Nov'!$O:$O, '26OctTo1Nov'!$J:$J, $A33)</f>
        <v>0</v>
      </c>
      <c r="P33" s="121">
        <f>SUMIFS('26OctTo1Nov'!$P:$P, '26OctTo1Nov'!$J:$J, $A33)</f>
        <v>0</v>
      </c>
      <c r="Q33" s="122">
        <f t="shared" si="2"/>
        <v>0</v>
      </c>
      <c r="R33" s="121">
        <f>SUMIFS('19OctTo25Oct'!$L:$L, '19OctTo25Oct'!$J:$J, $A33)</f>
        <v>0</v>
      </c>
      <c r="S33" s="121">
        <f>SUMIFS('19OctTo25Oct'!$K:$K, '19OctTo25Oct'!$J:$J, $A33)</f>
        <v>0</v>
      </c>
      <c r="T33" s="121">
        <f>SUMIFS('19OctTo25Oct'!$O:$O, '19OctTo25Oct'!$J:$J, $A33)</f>
        <v>0</v>
      </c>
      <c r="U33" s="121">
        <f>SUMIFS('19OctTo25Oct'!$P:$P, '19OctTo25Oct'!$J:$J, $A33)</f>
        <v>0</v>
      </c>
      <c r="V33" s="122">
        <f t="shared" si="3"/>
        <v>0</v>
      </c>
      <c r="W33" s="121">
        <f>SUMIFS('12OctTo18Oct'!$L:$L, '12OctTo18Oct'!$J:$J, $A33)</f>
        <v>0</v>
      </c>
      <c r="X33" s="121">
        <f>SUMIFS('12OctTo18Oct'!$K:$K, '12OctTo18Oct'!$J:$J, $A33)</f>
        <v>0</v>
      </c>
      <c r="Y33" s="121">
        <f>SUMIFS('12OctTo18Oct'!$O:$O, '12OctTo18Oct'!$J:$J, $A33)</f>
        <v>0</v>
      </c>
      <c r="Z33" s="121">
        <f>SUMIFS('12OctTo18Oct'!$P:$P, '12OctTo18Oct'!$J:$J, $A33)</f>
        <v>0</v>
      </c>
      <c r="AA33" s="122">
        <f t="shared" si="4"/>
        <v>0</v>
      </c>
      <c r="AB33" s="121">
        <f>SUMIFS('5OctTo11Oct'!$L:$L, '5OctTo11Oct'!$J:$J, $A33)</f>
        <v>0</v>
      </c>
      <c r="AC33" s="121">
        <f>SUMIFS('5OctTo11Oct'!$K:$K, '5OctTo11Oct'!$J:$J, $A33)</f>
        <v>0</v>
      </c>
      <c r="AD33" s="121">
        <f>SUMIFS('5OctTo11Oct'!$O:$O, '5OctTo11Oct'!$J:$J, $A33)</f>
        <v>0</v>
      </c>
      <c r="AE33" s="121">
        <f>SUMIFS('5OctTo11Oct'!$P:$P, '5OctTo11Oct'!$J:$J, $A33)</f>
        <v>0</v>
      </c>
      <c r="AF33" s="123">
        <f t="shared" si="5"/>
        <v>0</v>
      </c>
      <c r="AG33" s="121">
        <f>SUMIFS('28SepTo4Oct'!$L:$L, '28SepTo4Oct'!$J:$J, $A33)</f>
        <v>0</v>
      </c>
      <c r="AH33" s="121">
        <f>SUMIFS('28SepTo4Oct'!$K:$K, '28SepTo4Oct'!$J:$J, $A33)</f>
        <v>0</v>
      </c>
      <c r="AI33" s="121">
        <f>SUMIFS('28SepTo4Oct'!$O:$O, '28SepTo4Oct'!$J:$J, $A33)</f>
        <v>0</v>
      </c>
      <c r="AJ33" s="121">
        <f>SUMIFS('28SepTo4Oct'!$P:$P, '28SepTo4Oct'!$J:$J, $A33)</f>
        <v>0</v>
      </c>
      <c r="AK33" s="123">
        <f t="shared" si="6"/>
        <v>0</v>
      </c>
      <c r="AL33" s="121">
        <f>SUMIFS('21SepTo27Sep'!$L:$L, '21SepTo27Sep'!$J:$J, $A33)</f>
        <v>0</v>
      </c>
      <c r="AM33" s="121">
        <f>SUMIFS('21SepTo27Sep'!$K:$K, '21SepTo27Sep'!$J:$J, $A33)</f>
        <v>0</v>
      </c>
      <c r="AN33" s="121">
        <f>SUMIFS('21SepTo27Sep'!$O:$O, '21SepTo27Sep'!$J:$J, $A33)</f>
        <v>0</v>
      </c>
      <c r="AO33" s="121">
        <f>SUMIFS('21SepTo27Sep'!$P:$P, '21SepTo27Sep'!$J:$J, $A33)</f>
        <v>0</v>
      </c>
      <c r="AP33" s="123">
        <f t="shared" si="7"/>
        <v>0</v>
      </c>
      <c r="AQ33" s="121">
        <f>SUMIFS('14SepTo20Sep'!$L:$L, '14SepTo20Sep'!$J:$J, $A33)</f>
        <v>1</v>
      </c>
      <c r="AR33" s="121">
        <f>SUMIFS('14SepTo20Sep'!$K:$K, '14SepTo20Sep'!$J:$J, $A33)</f>
        <v>8</v>
      </c>
      <c r="AS33" s="121">
        <f>SUMIFS('14SepTo20Sep'!$O:$O, '14SepTo20Sep'!$J:$J, $A33)</f>
        <v>6</v>
      </c>
      <c r="AT33" s="121">
        <f>SUMIFS('14SepTo20Sep'!$P:$P, '14SepTo20Sep'!$J:$J, $A33)</f>
        <v>24.94</v>
      </c>
      <c r="AU33" s="123">
        <f t="shared" si="8"/>
        <v>24.057738572574177</v>
      </c>
      <c r="AV33" s="121">
        <f>SUMIFS('7SepTo13Sep'!$L:$L, '7SepTo13Sep'!$J:$J, $A33)</f>
        <v>0</v>
      </c>
      <c r="AW33" s="121">
        <f>SUMIFS('7SepTo13Sep'!$K:$K, '7SepTo13Sep'!$J:$J, $A33)</f>
        <v>0</v>
      </c>
      <c r="AX33" s="121">
        <f>SUMIFS('7SepTo13Sep'!$O:$O, '7SepTo13Sep'!$J:$J, $A33)</f>
        <v>0</v>
      </c>
      <c r="AY33" s="121">
        <f>SUMIFS('7SepTo13Sep'!$P:$P, '7SepTo13Sep'!$J:$J, $A33)</f>
        <v>0</v>
      </c>
      <c r="AZ33" s="123">
        <f t="shared" si="9"/>
        <v>0</v>
      </c>
      <c r="BA33" s="121">
        <f>SUMIFS('31AugTo6Sep'!$L:$L, '31AugTo6Sep'!$J:$J, $A33)</f>
        <v>0</v>
      </c>
      <c r="BB33" s="121">
        <f>SUMIFS('31AugTo6Sep'!$K:$K, '31AugTo6Sep'!$J:$J, $A33)</f>
        <v>0</v>
      </c>
      <c r="BC33" s="121">
        <f>SUMIFS('31AugTo6Sep'!$O:$O, '31AugTo6Sep'!$J:$J, $A33)</f>
        <v>0</v>
      </c>
      <c r="BD33" s="121">
        <f>SUMIFS('31AugTo6Sep'!$P:$P, '31AugTo6Sep'!$J:$J, $A33)</f>
        <v>0</v>
      </c>
      <c r="BE33" s="123">
        <f t="shared" si="10"/>
        <v>0</v>
      </c>
      <c r="BF33" s="121">
        <f>SUMIFS('24AugTo29Aug'!$L:$L, '24AugTo29Aug'!$J:$J, $A33)</f>
        <v>0</v>
      </c>
      <c r="BG33" s="121">
        <f>SUMIFS('24AugTo29Aug'!$K:$K, '24AugTo29Aug'!$J:$J, $A33)</f>
        <v>0</v>
      </c>
      <c r="BH33" s="121">
        <f>SUMIFS('24AugTo29Aug'!$O:$O, '24AugTo29Aug'!$J:$J, $A33)</f>
        <v>0</v>
      </c>
      <c r="BI33" s="121">
        <f>SUMIFS('24AugTo29Aug'!$P:$P, '24AugTo29Aug'!$J:$J, $A33)</f>
        <v>0</v>
      </c>
      <c r="BJ33" s="123">
        <f t="shared" si="11"/>
        <v>0</v>
      </c>
      <c r="BK33" s="121">
        <f>SUMIFS('17AugTo21Aug'!$L:$L, '17AugTo21Aug'!$J:$J, $A33)</f>
        <v>0</v>
      </c>
      <c r="BL33" s="121">
        <f>SUMIFS('17AugTo21Aug'!$K:$K, '17AugTo21Aug'!$J:$J, $A33)</f>
        <v>0</v>
      </c>
      <c r="BM33" s="121">
        <f>SUMIFS('17AugTo21Aug'!$O:$O, '17AugTo21Aug'!$J:$J, $A33)</f>
        <v>0</v>
      </c>
      <c r="BN33" s="121">
        <f>SUMIFS('17AugTo21Aug'!$P:$P, '17AugTo21Aug'!$J:$J, $A33)</f>
        <v>0</v>
      </c>
      <c r="BO33" s="123">
        <f t="shared" si="12"/>
        <v>0</v>
      </c>
      <c r="BP33" s="121">
        <f>SUMIFS('10AugTo16Aug'!$L:$L, '10AugTo16Aug'!$J:$J, $A33)</f>
        <v>0</v>
      </c>
      <c r="BQ33" s="121">
        <f>SUMIFS('10AugTo16Aug'!$K:$K, '10AugTo16Aug'!$J:$J, $A33)</f>
        <v>0</v>
      </c>
      <c r="BR33" s="121">
        <f>SUMIFS('10AugTo16Aug'!$O:$O, '10AugTo16Aug'!$J:$J, $A33)</f>
        <v>0</v>
      </c>
      <c r="BS33" s="121">
        <f>SUMIFS('10AugTo16Aug'!$P:$P, '10AugTo16Aug'!$J:$J, $A33)</f>
        <v>0</v>
      </c>
      <c r="BT33" s="123">
        <f t="shared" si="13"/>
        <v>0</v>
      </c>
      <c r="BU33" s="121">
        <f>SUMIFS('3AugTo9Aug'!$L:$L, '3AugTo9Aug'!$J:$J, $A33)</f>
        <v>0</v>
      </c>
      <c r="BV33" s="121">
        <f>SUMIFS('3AugTo9Aug'!$K:$K, '3AugTo9Aug'!$J:$J, $A33)</f>
        <v>0</v>
      </c>
      <c r="BW33" s="121">
        <f>SUMIFS('3AugTo9Aug'!$O:$O, '3AugTo9Aug'!$J:$J, $A33)</f>
        <v>0</v>
      </c>
      <c r="BX33" s="121">
        <f>SUMIFS('3AugTo9Aug'!$P:$P, '3AugTo9Aug'!$J:$J, $A33)</f>
        <v>0</v>
      </c>
      <c r="BY33" s="123">
        <f t="shared" si="14"/>
        <v>0</v>
      </c>
      <c r="BZ33" s="121">
        <f>SUMIFS('27JulyTo2Aug'!$L:$L, '27JulyTo2Aug'!$J:$J, $A33)</f>
        <v>0</v>
      </c>
      <c r="CA33" s="121">
        <f>SUMIFS('27JulyTo2Aug'!$K:$K, '27JulyTo2Aug'!$J:$J, $A33)</f>
        <v>0</v>
      </c>
      <c r="CB33" s="121">
        <f>SUMIFS('27JulyTo2Aug'!$O:$O, '27JulyTo2Aug'!$J:$J, $A33)</f>
        <v>0</v>
      </c>
      <c r="CC33" s="121">
        <f>SUMIFS('27JulyTo2Aug'!$P:$P, '27JulyTo2Aug'!$J:$J, $A33)</f>
        <v>0</v>
      </c>
      <c r="CD33" s="123">
        <f t="shared" si="15"/>
        <v>0</v>
      </c>
    </row>
    <row r="34" spans="1:82" ht="14.25" customHeight="1" x14ac:dyDescent="0.3">
      <c r="A34" s="124" t="s">
        <v>151</v>
      </c>
      <c r="B34" s="120" t="str">
        <f t="shared" si="16"/>
        <v>WINNER</v>
      </c>
      <c r="C34" s="121">
        <f>SUMIFS('9NovTo15Nov'!$L:$L, '9NovTo15Nov'!$J:$J, $A34)</f>
        <v>0</v>
      </c>
      <c r="D34" s="121">
        <f>SUMIFS('9NovTo15Nov'!$K:$K, '9NovTo15Nov'!$J:$J, $A34)</f>
        <v>0</v>
      </c>
      <c r="E34" s="121">
        <f>SUMIFS('9NovTo15Nov'!$O:$O, '9NovTo15Nov'!$J:$J, $A34)</f>
        <v>0</v>
      </c>
      <c r="F34" s="121">
        <f>SUMIFS('9NovTo15Nov'!$P:$P, '9NovTo15Nov'!$J:$J, $A34)</f>
        <v>0</v>
      </c>
      <c r="G34" s="122">
        <f t="shared" si="0"/>
        <v>0</v>
      </c>
      <c r="H34" s="121">
        <f>SUMIFS('2NovTo8Nov'!$L:$L, '2NovTo8Nov'!$J:$J, $A34)</f>
        <v>1</v>
      </c>
      <c r="I34" s="121">
        <f>SUMIFS('2NovTo8Nov'!$K:$K, '2NovTo8Nov'!$J:$J, $A34)</f>
        <v>2</v>
      </c>
      <c r="J34" s="121">
        <f>SUMIFS('2NovTo8Nov'!$O:$O, '2NovTo8Nov'!$J:$J, $A34)</f>
        <v>3.09</v>
      </c>
      <c r="K34" s="121">
        <f>SUMIFS('2NovTo8Nov'!$P:$P, '2NovTo8Nov'!$J:$J, $A34)</f>
        <v>24.94</v>
      </c>
      <c r="L34" s="122">
        <f t="shared" si="1"/>
        <v>12.389735364875701</v>
      </c>
      <c r="M34" s="121">
        <f>SUMIFS('26OctTo1Nov'!$L:$L, '26OctTo1Nov'!$J:$J, $A34)</f>
        <v>0</v>
      </c>
      <c r="N34" s="121">
        <f>SUMIFS('26OctTo1Nov'!$K:$K, '26OctTo1Nov'!$J:$J, $A34)</f>
        <v>0</v>
      </c>
      <c r="O34" s="121">
        <f>SUMIFS('26OctTo1Nov'!$O:$O, '26OctTo1Nov'!$J:$J, $A34)</f>
        <v>0</v>
      </c>
      <c r="P34" s="121">
        <f>SUMIFS('26OctTo1Nov'!$P:$P, '26OctTo1Nov'!$J:$J, $A34)</f>
        <v>0</v>
      </c>
      <c r="Q34" s="122">
        <f t="shared" si="2"/>
        <v>0</v>
      </c>
      <c r="R34" s="121">
        <f>SUMIFS('19OctTo25Oct'!$L:$L, '19OctTo25Oct'!$J:$J, $A34)</f>
        <v>0</v>
      </c>
      <c r="S34" s="121">
        <f>SUMIFS('19OctTo25Oct'!$K:$K, '19OctTo25Oct'!$J:$J, $A34)</f>
        <v>0</v>
      </c>
      <c r="T34" s="121">
        <f>SUMIFS('19OctTo25Oct'!$O:$O, '19OctTo25Oct'!$J:$J, $A34)</f>
        <v>0</v>
      </c>
      <c r="U34" s="121">
        <f>SUMIFS('19OctTo25Oct'!$P:$P, '19OctTo25Oct'!$J:$J, $A34)</f>
        <v>0</v>
      </c>
      <c r="V34" s="122">
        <f t="shared" si="3"/>
        <v>0</v>
      </c>
      <c r="W34" s="121">
        <f>SUMIFS('12OctTo18Oct'!$L:$L, '12OctTo18Oct'!$J:$J, $A34)</f>
        <v>0</v>
      </c>
      <c r="X34" s="121">
        <f>SUMIFS('12OctTo18Oct'!$K:$K, '12OctTo18Oct'!$J:$J, $A34)</f>
        <v>0</v>
      </c>
      <c r="Y34" s="121">
        <f>SUMIFS('12OctTo18Oct'!$O:$O, '12OctTo18Oct'!$J:$J, $A34)</f>
        <v>0</v>
      </c>
      <c r="Z34" s="121">
        <f>SUMIFS('12OctTo18Oct'!$P:$P, '12OctTo18Oct'!$J:$J, $A34)</f>
        <v>0</v>
      </c>
      <c r="AA34" s="122">
        <f t="shared" si="4"/>
        <v>0</v>
      </c>
      <c r="AB34" s="121">
        <f>SUMIFS('5OctTo11Oct'!$L:$L, '5OctTo11Oct'!$J:$J, $A34)</f>
        <v>0</v>
      </c>
      <c r="AC34" s="121">
        <f>SUMIFS('5OctTo11Oct'!$K:$K, '5OctTo11Oct'!$J:$J, $A34)</f>
        <v>0</v>
      </c>
      <c r="AD34" s="121">
        <f>SUMIFS('5OctTo11Oct'!$O:$O, '5OctTo11Oct'!$J:$J, $A34)</f>
        <v>0</v>
      </c>
      <c r="AE34" s="121">
        <f>SUMIFS('5OctTo11Oct'!$P:$P, '5OctTo11Oct'!$J:$J, $A34)</f>
        <v>0</v>
      </c>
      <c r="AF34" s="123">
        <f t="shared" si="5"/>
        <v>0</v>
      </c>
      <c r="AG34" s="121">
        <f>SUMIFS('28SepTo4Oct'!$L:$L, '28SepTo4Oct'!$J:$J, $A34)</f>
        <v>0</v>
      </c>
      <c r="AH34" s="121">
        <f>SUMIFS('28SepTo4Oct'!$K:$K, '28SepTo4Oct'!$J:$J, $A34)</f>
        <v>0</v>
      </c>
      <c r="AI34" s="121">
        <f>SUMIFS('28SepTo4Oct'!$O:$O, '28SepTo4Oct'!$J:$J, $A34)</f>
        <v>0</v>
      </c>
      <c r="AJ34" s="121">
        <f>SUMIFS('28SepTo4Oct'!$P:$P, '28SepTo4Oct'!$J:$J, $A34)</f>
        <v>0</v>
      </c>
      <c r="AK34" s="123">
        <f t="shared" si="6"/>
        <v>0</v>
      </c>
      <c r="AL34" s="121">
        <f>SUMIFS('21SepTo27Sep'!$L:$L, '21SepTo27Sep'!$J:$J, $A34)</f>
        <v>0</v>
      </c>
      <c r="AM34" s="121">
        <f>SUMIFS('21SepTo27Sep'!$K:$K, '21SepTo27Sep'!$J:$J, $A34)</f>
        <v>0</v>
      </c>
      <c r="AN34" s="121">
        <f>SUMIFS('21SepTo27Sep'!$O:$O, '21SepTo27Sep'!$J:$J, $A34)</f>
        <v>0</v>
      </c>
      <c r="AO34" s="121">
        <f>SUMIFS('21SepTo27Sep'!$P:$P, '21SepTo27Sep'!$J:$J, $A34)</f>
        <v>0</v>
      </c>
      <c r="AP34" s="123">
        <f t="shared" si="7"/>
        <v>0</v>
      </c>
      <c r="AQ34" s="121">
        <f>SUMIFS('14SepTo20Sep'!$L:$L, '14SepTo20Sep'!$J:$J, $A34)</f>
        <v>1</v>
      </c>
      <c r="AR34" s="121">
        <f>SUMIFS('14SepTo20Sep'!$K:$K, '14SepTo20Sep'!$J:$J, $A34)</f>
        <v>3</v>
      </c>
      <c r="AS34" s="121">
        <f>SUMIFS('14SepTo20Sep'!$O:$O, '14SepTo20Sep'!$J:$J, $A34)</f>
        <v>5.73</v>
      </c>
      <c r="AT34" s="121">
        <f>SUMIFS('14SepTo20Sep'!$P:$P, '14SepTo20Sep'!$J:$J, $A34)</f>
        <v>24.94</v>
      </c>
      <c r="AU34" s="123">
        <f t="shared" si="8"/>
        <v>22.975140336808341</v>
      </c>
      <c r="AV34" s="121">
        <f>SUMIFS('7SepTo13Sep'!$L:$L, '7SepTo13Sep'!$J:$J, $A34)</f>
        <v>0</v>
      </c>
      <c r="AW34" s="121">
        <f>SUMIFS('7SepTo13Sep'!$K:$K, '7SepTo13Sep'!$J:$J, $A34)</f>
        <v>0</v>
      </c>
      <c r="AX34" s="121">
        <f>SUMIFS('7SepTo13Sep'!$O:$O, '7SepTo13Sep'!$J:$J, $A34)</f>
        <v>0</v>
      </c>
      <c r="AY34" s="121">
        <f>SUMIFS('7SepTo13Sep'!$P:$P, '7SepTo13Sep'!$J:$J, $A34)</f>
        <v>0</v>
      </c>
      <c r="AZ34" s="123">
        <f t="shared" si="9"/>
        <v>0</v>
      </c>
      <c r="BA34" s="121">
        <f>SUMIFS('31AugTo6Sep'!$L:$L, '31AugTo6Sep'!$J:$J, $A34)</f>
        <v>0</v>
      </c>
      <c r="BB34" s="121">
        <f>SUMIFS('31AugTo6Sep'!$K:$K, '31AugTo6Sep'!$J:$J, $A34)</f>
        <v>0</v>
      </c>
      <c r="BC34" s="121">
        <f>SUMIFS('31AugTo6Sep'!$O:$O, '31AugTo6Sep'!$J:$J, $A34)</f>
        <v>0</v>
      </c>
      <c r="BD34" s="121">
        <f>SUMIFS('31AugTo6Sep'!$P:$P, '31AugTo6Sep'!$J:$J, $A34)</f>
        <v>0</v>
      </c>
      <c r="BE34" s="123">
        <f t="shared" si="10"/>
        <v>0</v>
      </c>
      <c r="BF34" s="121">
        <f>SUMIFS('24AugTo29Aug'!$L:$L, '24AugTo29Aug'!$J:$J, $A34)</f>
        <v>0</v>
      </c>
      <c r="BG34" s="121">
        <f>SUMIFS('24AugTo29Aug'!$K:$K, '24AugTo29Aug'!$J:$J, $A34)</f>
        <v>0</v>
      </c>
      <c r="BH34" s="121">
        <f>SUMIFS('24AugTo29Aug'!$O:$O, '24AugTo29Aug'!$J:$J, $A34)</f>
        <v>0</v>
      </c>
      <c r="BI34" s="121">
        <f>SUMIFS('24AugTo29Aug'!$P:$P, '24AugTo29Aug'!$J:$J, $A34)</f>
        <v>0</v>
      </c>
      <c r="BJ34" s="123">
        <f t="shared" si="11"/>
        <v>0</v>
      </c>
      <c r="BK34" s="121">
        <f>SUMIFS('17AugTo21Aug'!$L:$L, '17AugTo21Aug'!$J:$J, $A34)</f>
        <v>0</v>
      </c>
      <c r="BL34" s="121">
        <f>SUMIFS('17AugTo21Aug'!$K:$K, '17AugTo21Aug'!$J:$J, $A34)</f>
        <v>0</v>
      </c>
      <c r="BM34" s="121">
        <f>SUMIFS('17AugTo21Aug'!$O:$O, '17AugTo21Aug'!$J:$J, $A34)</f>
        <v>0</v>
      </c>
      <c r="BN34" s="121">
        <f>SUMIFS('17AugTo21Aug'!$P:$P, '17AugTo21Aug'!$J:$J, $A34)</f>
        <v>0</v>
      </c>
      <c r="BO34" s="123">
        <f t="shared" si="12"/>
        <v>0</v>
      </c>
      <c r="BP34" s="121">
        <f>SUMIFS('10AugTo16Aug'!$L:$L, '10AugTo16Aug'!$J:$J, $A34)</f>
        <v>0</v>
      </c>
      <c r="BQ34" s="121">
        <f>SUMIFS('10AugTo16Aug'!$K:$K, '10AugTo16Aug'!$J:$J, $A34)</f>
        <v>0</v>
      </c>
      <c r="BR34" s="121">
        <f>SUMIFS('10AugTo16Aug'!$O:$O, '10AugTo16Aug'!$J:$J, $A34)</f>
        <v>0</v>
      </c>
      <c r="BS34" s="121">
        <f>SUMIFS('10AugTo16Aug'!$P:$P, '10AugTo16Aug'!$J:$J, $A34)</f>
        <v>0</v>
      </c>
      <c r="BT34" s="123">
        <f t="shared" si="13"/>
        <v>0</v>
      </c>
      <c r="BU34" s="121">
        <f>SUMIFS('3AugTo9Aug'!$L:$L, '3AugTo9Aug'!$J:$J, $A34)</f>
        <v>0</v>
      </c>
      <c r="BV34" s="121">
        <f>SUMIFS('3AugTo9Aug'!$K:$K, '3AugTo9Aug'!$J:$J, $A34)</f>
        <v>0</v>
      </c>
      <c r="BW34" s="121">
        <f>SUMIFS('3AugTo9Aug'!$O:$O, '3AugTo9Aug'!$J:$J, $A34)</f>
        <v>0</v>
      </c>
      <c r="BX34" s="121">
        <f>SUMIFS('3AugTo9Aug'!$P:$P, '3AugTo9Aug'!$J:$J, $A34)</f>
        <v>0</v>
      </c>
      <c r="BY34" s="123">
        <f t="shared" si="14"/>
        <v>0</v>
      </c>
      <c r="BZ34" s="121">
        <f>SUMIFS('27JulyTo2Aug'!$L:$L, '27JulyTo2Aug'!$J:$J, $A34)</f>
        <v>0</v>
      </c>
      <c r="CA34" s="121">
        <f>SUMIFS('27JulyTo2Aug'!$K:$K, '27JulyTo2Aug'!$J:$J, $A34)</f>
        <v>0</v>
      </c>
      <c r="CB34" s="121">
        <f>SUMIFS('27JulyTo2Aug'!$O:$O, '27JulyTo2Aug'!$J:$J, $A34)</f>
        <v>0</v>
      </c>
      <c r="CC34" s="121">
        <f>SUMIFS('27JulyTo2Aug'!$P:$P, '27JulyTo2Aug'!$J:$J, $A34)</f>
        <v>0</v>
      </c>
      <c r="CD34" s="123">
        <f t="shared" si="15"/>
        <v>0</v>
      </c>
    </row>
    <row r="35" spans="1:82" ht="14.25" customHeight="1" x14ac:dyDescent="0.3">
      <c r="A35" s="119" t="s">
        <v>720</v>
      </c>
      <c r="B35" s="120" t="str">
        <f t="shared" si="16"/>
        <v>NO TRAFFIC</v>
      </c>
      <c r="C35" s="121">
        <f>SUMIFS('9NovTo15Nov'!$L:$L, '9NovTo15Nov'!$J:$J, $A35)</f>
        <v>0</v>
      </c>
      <c r="D35" s="121">
        <f>SUMIFS('9NovTo15Nov'!$K:$K, '9NovTo15Nov'!$J:$J, $A35)</f>
        <v>0</v>
      </c>
      <c r="E35" s="121">
        <f>SUMIFS('9NovTo15Nov'!$O:$O, '9NovTo15Nov'!$J:$J, $A35)</f>
        <v>0</v>
      </c>
      <c r="F35" s="121">
        <f>SUMIFS('9NovTo15Nov'!$P:$P, '9NovTo15Nov'!$J:$J, $A35)</f>
        <v>0</v>
      </c>
      <c r="G35" s="122">
        <f t="shared" si="0"/>
        <v>0</v>
      </c>
      <c r="H35" s="121">
        <f>SUMIFS('2NovTo8Nov'!$L:$L, '2NovTo8Nov'!$J:$J, $A35)</f>
        <v>0</v>
      </c>
      <c r="I35" s="121">
        <f>SUMIFS('2NovTo8Nov'!$K:$K, '2NovTo8Nov'!$J:$J, $A35)</f>
        <v>0</v>
      </c>
      <c r="J35" s="121">
        <f>SUMIFS('2NovTo8Nov'!$O:$O, '2NovTo8Nov'!$J:$J, $A35)</f>
        <v>0</v>
      </c>
      <c r="K35" s="121">
        <f>SUMIFS('2NovTo8Nov'!$P:$P, '2NovTo8Nov'!$J:$J, $A35)</f>
        <v>0</v>
      </c>
      <c r="L35" s="122">
        <f t="shared" si="1"/>
        <v>0</v>
      </c>
      <c r="M35" s="121">
        <f>SUMIFS('26OctTo1Nov'!$L:$L, '26OctTo1Nov'!$J:$J, $A35)</f>
        <v>0</v>
      </c>
      <c r="N35" s="121">
        <f>SUMIFS('26OctTo1Nov'!$K:$K, '26OctTo1Nov'!$J:$J, $A35)</f>
        <v>0</v>
      </c>
      <c r="O35" s="121">
        <f>SUMIFS('26OctTo1Nov'!$O:$O, '26OctTo1Nov'!$J:$J, $A35)</f>
        <v>0</v>
      </c>
      <c r="P35" s="121">
        <f>SUMIFS('26OctTo1Nov'!$P:$P, '26OctTo1Nov'!$J:$J, $A35)</f>
        <v>0</v>
      </c>
      <c r="Q35" s="122">
        <f t="shared" si="2"/>
        <v>0</v>
      </c>
      <c r="R35" s="121">
        <f>SUMIFS('19OctTo25Oct'!$L:$L, '19OctTo25Oct'!$J:$J, $A35)</f>
        <v>0</v>
      </c>
      <c r="S35" s="121">
        <f>SUMIFS('19OctTo25Oct'!$K:$K, '19OctTo25Oct'!$J:$J, $A35)</f>
        <v>0</v>
      </c>
      <c r="T35" s="121">
        <f>SUMIFS('19OctTo25Oct'!$O:$O, '19OctTo25Oct'!$J:$J, $A35)</f>
        <v>0</v>
      </c>
      <c r="U35" s="121">
        <f>SUMIFS('19OctTo25Oct'!$P:$P, '19OctTo25Oct'!$J:$J, $A35)</f>
        <v>0</v>
      </c>
      <c r="V35" s="122">
        <f t="shared" si="3"/>
        <v>0</v>
      </c>
      <c r="W35" s="121">
        <f>SUMIFS('12OctTo18Oct'!$L:$L, '12OctTo18Oct'!$J:$J, $A35)</f>
        <v>0</v>
      </c>
      <c r="X35" s="121">
        <f>SUMIFS('12OctTo18Oct'!$K:$K, '12OctTo18Oct'!$J:$J, $A35)</f>
        <v>0</v>
      </c>
      <c r="Y35" s="121">
        <f>SUMIFS('12OctTo18Oct'!$O:$O, '12OctTo18Oct'!$J:$J, $A35)</f>
        <v>0</v>
      </c>
      <c r="Z35" s="121">
        <f>SUMIFS('12OctTo18Oct'!$P:$P, '12OctTo18Oct'!$J:$J, $A35)</f>
        <v>0</v>
      </c>
      <c r="AA35" s="122">
        <f t="shared" si="4"/>
        <v>0</v>
      </c>
      <c r="AB35" s="121">
        <f>SUMIFS('5OctTo11Oct'!$L:$L, '5OctTo11Oct'!$J:$J, $A35)</f>
        <v>0</v>
      </c>
      <c r="AC35" s="121">
        <f>SUMIFS('5OctTo11Oct'!$K:$K, '5OctTo11Oct'!$J:$J, $A35)</f>
        <v>0</v>
      </c>
      <c r="AD35" s="121">
        <f>SUMIFS('5OctTo11Oct'!$O:$O, '5OctTo11Oct'!$J:$J, $A35)</f>
        <v>0</v>
      </c>
      <c r="AE35" s="121">
        <f>SUMIFS('5OctTo11Oct'!$P:$P, '5OctTo11Oct'!$J:$J, $A35)</f>
        <v>0</v>
      </c>
      <c r="AF35" s="123">
        <f t="shared" si="5"/>
        <v>0</v>
      </c>
      <c r="AG35" s="121">
        <f>SUMIFS('28SepTo4Oct'!$L:$L, '28SepTo4Oct'!$J:$J, $A35)</f>
        <v>0</v>
      </c>
      <c r="AH35" s="121">
        <f>SUMIFS('28SepTo4Oct'!$K:$K, '28SepTo4Oct'!$J:$J, $A35)</f>
        <v>0</v>
      </c>
      <c r="AI35" s="121">
        <f>SUMIFS('28SepTo4Oct'!$O:$O, '28SepTo4Oct'!$J:$J, $A35)</f>
        <v>0</v>
      </c>
      <c r="AJ35" s="121">
        <f>SUMIFS('28SepTo4Oct'!$P:$P, '28SepTo4Oct'!$J:$J, $A35)</f>
        <v>0</v>
      </c>
      <c r="AK35" s="123">
        <f t="shared" si="6"/>
        <v>0</v>
      </c>
      <c r="AL35" s="121">
        <f>SUMIFS('21SepTo27Sep'!$L:$L, '21SepTo27Sep'!$J:$J, $A35)</f>
        <v>0</v>
      </c>
      <c r="AM35" s="121">
        <f>SUMIFS('21SepTo27Sep'!$K:$K, '21SepTo27Sep'!$J:$J, $A35)</f>
        <v>0</v>
      </c>
      <c r="AN35" s="121">
        <f>SUMIFS('21SepTo27Sep'!$O:$O, '21SepTo27Sep'!$J:$J, $A35)</f>
        <v>0</v>
      </c>
      <c r="AO35" s="121">
        <f>SUMIFS('21SepTo27Sep'!$P:$P, '21SepTo27Sep'!$J:$J, $A35)</f>
        <v>0</v>
      </c>
      <c r="AP35" s="123">
        <f t="shared" si="7"/>
        <v>0</v>
      </c>
      <c r="AQ35" s="121">
        <f>SUMIFS('14SepTo20Sep'!$L:$L, '14SepTo20Sep'!$J:$J, $A35)</f>
        <v>0</v>
      </c>
      <c r="AR35" s="121">
        <f>SUMIFS('14SepTo20Sep'!$K:$K, '14SepTo20Sep'!$J:$J, $A35)</f>
        <v>0</v>
      </c>
      <c r="AS35" s="121">
        <f>SUMIFS('14SepTo20Sep'!$O:$O, '14SepTo20Sep'!$J:$J, $A35)</f>
        <v>0</v>
      </c>
      <c r="AT35" s="121">
        <f>SUMIFS('14SepTo20Sep'!$P:$P, '14SepTo20Sep'!$J:$J, $A35)</f>
        <v>0</v>
      </c>
      <c r="AU35" s="123">
        <f t="shared" si="8"/>
        <v>0</v>
      </c>
      <c r="AV35" s="121">
        <f>SUMIFS('7SepTo13Sep'!$L:$L, '7SepTo13Sep'!$J:$J, $A35)</f>
        <v>0</v>
      </c>
      <c r="AW35" s="121">
        <f>SUMIFS('7SepTo13Sep'!$K:$K, '7SepTo13Sep'!$J:$J, $A35)</f>
        <v>0</v>
      </c>
      <c r="AX35" s="121">
        <f>SUMIFS('7SepTo13Sep'!$O:$O, '7SepTo13Sep'!$J:$J, $A35)</f>
        <v>0</v>
      </c>
      <c r="AY35" s="121">
        <f>SUMIFS('7SepTo13Sep'!$P:$P, '7SepTo13Sep'!$J:$J, $A35)</f>
        <v>0</v>
      </c>
      <c r="AZ35" s="123">
        <f t="shared" si="9"/>
        <v>0</v>
      </c>
      <c r="BA35" s="121">
        <f>SUMIFS('31AugTo6Sep'!$L:$L, '31AugTo6Sep'!$J:$J, $A35)</f>
        <v>0</v>
      </c>
      <c r="BB35" s="121">
        <f>SUMIFS('31AugTo6Sep'!$K:$K, '31AugTo6Sep'!$J:$J, $A35)</f>
        <v>0</v>
      </c>
      <c r="BC35" s="121">
        <f>SUMIFS('31AugTo6Sep'!$O:$O, '31AugTo6Sep'!$J:$J, $A35)</f>
        <v>0</v>
      </c>
      <c r="BD35" s="121">
        <f>SUMIFS('31AugTo6Sep'!$P:$P, '31AugTo6Sep'!$J:$J, $A35)</f>
        <v>0</v>
      </c>
      <c r="BE35" s="123">
        <f t="shared" si="10"/>
        <v>0</v>
      </c>
      <c r="BF35" s="121">
        <f>SUMIFS('24AugTo29Aug'!$L:$L, '24AugTo29Aug'!$J:$J, $A35)</f>
        <v>0</v>
      </c>
      <c r="BG35" s="121">
        <f>SUMIFS('24AugTo29Aug'!$K:$K, '24AugTo29Aug'!$J:$J, $A35)</f>
        <v>0</v>
      </c>
      <c r="BH35" s="121">
        <f>SUMIFS('24AugTo29Aug'!$O:$O, '24AugTo29Aug'!$J:$J, $A35)</f>
        <v>0</v>
      </c>
      <c r="BI35" s="121">
        <f>SUMIFS('24AugTo29Aug'!$P:$P, '24AugTo29Aug'!$J:$J, $A35)</f>
        <v>0</v>
      </c>
      <c r="BJ35" s="123">
        <f t="shared" si="11"/>
        <v>0</v>
      </c>
      <c r="BK35" s="121">
        <f>SUMIFS('17AugTo21Aug'!$L:$L, '17AugTo21Aug'!$J:$J, $A35)</f>
        <v>0</v>
      </c>
      <c r="BL35" s="121">
        <f>SUMIFS('17AugTo21Aug'!$K:$K, '17AugTo21Aug'!$J:$J, $A35)</f>
        <v>0</v>
      </c>
      <c r="BM35" s="121">
        <f>SUMIFS('17AugTo21Aug'!$O:$O, '17AugTo21Aug'!$J:$J, $A35)</f>
        <v>0</v>
      </c>
      <c r="BN35" s="121">
        <f>SUMIFS('17AugTo21Aug'!$P:$P, '17AugTo21Aug'!$J:$J, $A35)</f>
        <v>0</v>
      </c>
      <c r="BO35" s="123">
        <f t="shared" si="12"/>
        <v>0</v>
      </c>
      <c r="BP35" s="121">
        <f>SUMIFS('10AugTo16Aug'!$L:$L, '10AugTo16Aug'!$J:$J, $A35)</f>
        <v>3</v>
      </c>
      <c r="BQ35" s="121">
        <f>SUMIFS('10AugTo16Aug'!$K:$K, '10AugTo16Aug'!$J:$J, $A35)</f>
        <v>405</v>
      </c>
      <c r="BR35" s="121">
        <f>SUMIFS('10AugTo16Aug'!$O:$O, '10AugTo16Aug'!$J:$J, $A35)</f>
        <v>9.5399999999999991</v>
      </c>
      <c r="BS35" s="121">
        <f>SUMIFS('10AugTo16Aug'!$P:$P, '10AugTo16Aug'!$J:$J, $A35)</f>
        <v>21.95</v>
      </c>
      <c r="BT35" s="123">
        <f t="shared" si="13"/>
        <v>43.462414578587698</v>
      </c>
      <c r="BU35" s="121">
        <f>SUMIFS('3AugTo9Aug'!$L:$L, '3AugTo9Aug'!$J:$J, $A35)</f>
        <v>0</v>
      </c>
      <c r="BV35" s="121">
        <f>SUMIFS('3AugTo9Aug'!$K:$K, '3AugTo9Aug'!$J:$J, $A35)</f>
        <v>0</v>
      </c>
      <c r="BW35" s="121">
        <f>SUMIFS('3AugTo9Aug'!$O:$O, '3AugTo9Aug'!$J:$J, $A35)</f>
        <v>0</v>
      </c>
      <c r="BX35" s="121">
        <f>SUMIFS('3AugTo9Aug'!$P:$P, '3AugTo9Aug'!$J:$J, $A35)</f>
        <v>0</v>
      </c>
      <c r="BY35" s="123">
        <f t="shared" si="14"/>
        <v>0</v>
      </c>
      <c r="BZ35" s="121">
        <f>SUMIFS('27JulyTo2Aug'!$L:$L, '27JulyTo2Aug'!$J:$J, $A35)</f>
        <v>2</v>
      </c>
      <c r="CA35" s="121">
        <f>SUMIFS('27JulyTo2Aug'!$K:$K, '27JulyTo2Aug'!$J:$J, $A35)</f>
        <v>174</v>
      </c>
      <c r="CB35" s="121">
        <f>SUMIFS('27JulyTo2Aug'!$O:$O, '27JulyTo2Aug'!$J:$J, $A35)</f>
        <v>4.92</v>
      </c>
      <c r="CC35" s="121">
        <f>SUMIFS('27JulyTo2Aug'!$P:$P, '27JulyTo2Aug'!$J:$J, $A35)</f>
        <v>24.95</v>
      </c>
      <c r="CD35" s="123">
        <f t="shared" si="15"/>
        <v>19.719438877755511</v>
      </c>
    </row>
    <row r="36" spans="1:82" ht="14.25" customHeight="1" x14ac:dyDescent="0.3">
      <c r="A36" s="119" t="s">
        <v>450</v>
      </c>
      <c r="B36" s="120" t="str">
        <f t="shared" si="16"/>
        <v>NO TRAFFIC</v>
      </c>
      <c r="C36" s="121">
        <f>SUMIFS('9NovTo15Nov'!$L:$L, '9NovTo15Nov'!$J:$J, $A36)</f>
        <v>0</v>
      </c>
      <c r="D36" s="121">
        <f>SUMIFS('9NovTo15Nov'!$K:$K, '9NovTo15Nov'!$J:$J, $A36)</f>
        <v>0</v>
      </c>
      <c r="E36" s="121">
        <f>SUMIFS('9NovTo15Nov'!$O:$O, '9NovTo15Nov'!$J:$J, $A36)</f>
        <v>0</v>
      </c>
      <c r="F36" s="121">
        <f>SUMIFS('9NovTo15Nov'!$P:$P, '9NovTo15Nov'!$J:$J, $A36)</f>
        <v>0</v>
      </c>
      <c r="G36" s="122">
        <f t="shared" si="0"/>
        <v>0</v>
      </c>
      <c r="H36" s="121">
        <f>SUMIFS('2NovTo8Nov'!$L:$L, '2NovTo8Nov'!$J:$J, $A36)</f>
        <v>0</v>
      </c>
      <c r="I36" s="121">
        <f>SUMIFS('2NovTo8Nov'!$K:$K, '2NovTo8Nov'!$J:$J, $A36)</f>
        <v>0</v>
      </c>
      <c r="J36" s="121">
        <f>SUMIFS('2NovTo8Nov'!$O:$O, '2NovTo8Nov'!$J:$J, $A36)</f>
        <v>0</v>
      </c>
      <c r="K36" s="121">
        <f>SUMIFS('2NovTo8Nov'!$P:$P, '2NovTo8Nov'!$J:$J, $A36)</f>
        <v>0</v>
      </c>
      <c r="L36" s="122">
        <f t="shared" si="1"/>
        <v>0</v>
      </c>
      <c r="M36" s="121">
        <f>SUMIFS('26OctTo1Nov'!$L:$L, '26OctTo1Nov'!$J:$J, $A36)</f>
        <v>0</v>
      </c>
      <c r="N36" s="121">
        <f>SUMIFS('26OctTo1Nov'!$K:$K, '26OctTo1Nov'!$J:$J, $A36)</f>
        <v>0</v>
      </c>
      <c r="O36" s="121">
        <f>SUMIFS('26OctTo1Nov'!$O:$O, '26OctTo1Nov'!$J:$J, $A36)</f>
        <v>0</v>
      </c>
      <c r="P36" s="121">
        <f>SUMIFS('26OctTo1Nov'!$P:$P, '26OctTo1Nov'!$J:$J, $A36)</f>
        <v>0</v>
      </c>
      <c r="Q36" s="122">
        <f t="shared" si="2"/>
        <v>0</v>
      </c>
      <c r="R36" s="121">
        <f>SUMIFS('19OctTo25Oct'!$L:$L, '19OctTo25Oct'!$J:$J, $A36)</f>
        <v>0</v>
      </c>
      <c r="S36" s="121">
        <f>SUMIFS('19OctTo25Oct'!$K:$K, '19OctTo25Oct'!$J:$J, $A36)</f>
        <v>0</v>
      </c>
      <c r="T36" s="121">
        <f>SUMIFS('19OctTo25Oct'!$O:$O, '19OctTo25Oct'!$J:$J, $A36)</f>
        <v>0</v>
      </c>
      <c r="U36" s="121">
        <f>SUMIFS('19OctTo25Oct'!$P:$P, '19OctTo25Oct'!$J:$J, $A36)</f>
        <v>0</v>
      </c>
      <c r="V36" s="122">
        <f t="shared" si="3"/>
        <v>0</v>
      </c>
      <c r="W36" s="121">
        <f>SUMIFS('12OctTo18Oct'!$L:$L, '12OctTo18Oct'!$J:$J, $A36)</f>
        <v>0</v>
      </c>
      <c r="X36" s="121">
        <f>SUMIFS('12OctTo18Oct'!$K:$K, '12OctTo18Oct'!$J:$J, $A36)</f>
        <v>0</v>
      </c>
      <c r="Y36" s="121">
        <f>SUMIFS('12OctTo18Oct'!$O:$O, '12OctTo18Oct'!$J:$J, $A36)</f>
        <v>0</v>
      </c>
      <c r="Z36" s="121">
        <f>SUMIFS('12OctTo18Oct'!$P:$P, '12OctTo18Oct'!$J:$J, $A36)</f>
        <v>0</v>
      </c>
      <c r="AA36" s="122">
        <f t="shared" si="4"/>
        <v>0</v>
      </c>
      <c r="AB36" s="121">
        <f>SUMIFS('5OctTo11Oct'!$L:$L, '5OctTo11Oct'!$J:$J, $A36)</f>
        <v>0</v>
      </c>
      <c r="AC36" s="121">
        <f>SUMIFS('5OctTo11Oct'!$K:$K, '5OctTo11Oct'!$J:$J, $A36)</f>
        <v>0</v>
      </c>
      <c r="AD36" s="121">
        <f>SUMIFS('5OctTo11Oct'!$O:$O, '5OctTo11Oct'!$J:$J, $A36)</f>
        <v>0</v>
      </c>
      <c r="AE36" s="121">
        <f>SUMIFS('5OctTo11Oct'!$P:$P, '5OctTo11Oct'!$J:$J, $A36)</f>
        <v>0</v>
      </c>
      <c r="AF36" s="123">
        <f t="shared" si="5"/>
        <v>0</v>
      </c>
      <c r="AG36" s="121">
        <f>SUMIFS('28SepTo4Oct'!$L:$L, '28SepTo4Oct'!$J:$J, $A36)</f>
        <v>0</v>
      </c>
      <c r="AH36" s="121">
        <f>SUMIFS('28SepTo4Oct'!$K:$K, '28SepTo4Oct'!$J:$J, $A36)</f>
        <v>0</v>
      </c>
      <c r="AI36" s="121">
        <f>SUMIFS('28SepTo4Oct'!$O:$O, '28SepTo4Oct'!$J:$J, $A36)</f>
        <v>0</v>
      </c>
      <c r="AJ36" s="121">
        <f>SUMIFS('28SepTo4Oct'!$P:$P, '28SepTo4Oct'!$J:$J, $A36)</f>
        <v>0</v>
      </c>
      <c r="AK36" s="123">
        <f t="shared" si="6"/>
        <v>0</v>
      </c>
      <c r="AL36" s="121">
        <f>SUMIFS('21SepTo27Sep'!$L:$L, '21SepTo27Sep'!$J:$J, $A36)</f>
        <v>2</v>
      </c>
      <c r="AM36" s="121">
        <f>SUMIFS('21SepTo27Sep'!$K:$K, '21SepTo27Sep'!$J:$J, $A36)</f>
        <v>5</v>
      </c>
      <c r="AN36" s="121">
        <f>SUMIFS('21SepTo27Sep'!$O:$O, '21SepTo27Sep'!$J:$J, $A36)</f>
        <v>6.24</v>
      </c>
      <c r="AO36" s="121">
        <f>SUMIFS('21SepTo27Sep'!$P:$P, '21SepTo27Sep'!$J:$J, $A36)</f>
        <v>21.9</v>
      </c>
      <c r="AP36" s="123">
        <f t="shared" si="7"/>
        <v>28.493150684931511</v>
      </c>
      <c r="AQ36" s="121">
        <f>SUMIFS('14SepTo20Sep'!$L:$L, '14SepTo20Sep'!$J:$J, $A36)</f>
        <v>2</v>
      </c>
      <c r="AR36" s="121">
        <f>SUMIFS('14SepTo20Sep'!$K:$K, '14SepTo20Sep'!$J:$J, $A36)</f>
        <v>7</v>
      </c>
      <c r="AS36" s="121">
        <f>SUMIFS('14SepTo20Sep'!$O:$O, '14SepTo20Sep'!$J:$J, $A36)</f>
        <v>8.15</v>
      </c>
      <c r="AT36" s="121">
        <f>SUMIFS('14SepTo20Sep'!$P:$P, '14SepTo20Sep'!$J:$J, $A36)</f>
        <v>21.9</v>
      </c>
      <c r="AU36" s="123">
        <f t="shared" si="8"/>
        <v>37.214611872146122</v>
      </c>
      <c r="AV36" s="121">
        <f>SUMIFS('7SepTo13Sep'!$L:$L, '7SepTo13Sep'!$J:$J, $A36)</f>
        <v>0</v>
      </c>
      <c r="AW36" s="121">
        <f>SUMIFS('7SepTo13Sep'!$K:$K, '7SepTo13Sep'!$J:$J, $A36)</f>
        <v>0</v>
      </c>
      <c r="AX36" s="121">
        <f>SUMIFS('7SepTo13Sep'!$O:$O, '7SepTo13Sep'!$J:$J, $A36)</f>
        <v>0</v>
      </c>
      <c r="AY36" s="121">
        <f>SUMIFS('7SepTo13Sep'!$P:$P, '7SepTo13Sep'!$J:$J, $A36)</f>
        <v>0</v>
      </c>
      <c r="AZ36" s="123">
        <f t="shared" si="9"/>
        <v>0</v>
      </c>
      <c r="BA36" s="121">
        <f>SUMIFS('31AugTo6Sep'!$L:$L, '31AugTo6Sep'!$J:$J, $A36)</f>
        <v>0</v>
      </c>
      <c r="BB36" s="121">
        <f>SUMIFS('31AugTo6Sep'!$K:$K, '31AugTo6Sep'!$J:$J, $A36)</f>
        <v>0</v>
      </c>
      <c r="BC36" s="121">
        <f>SUMIFS('31AugTo6Sep'!$O:$O, '31AugTo6Sep'!$J:$J, $A36)</f>
        <v>0</v>
      </c>
      <c r="BD36" s="121">
        <f>SUMIFS('31AugTo6Sep'!$P:$P, '31AugTo6Sep'!$J:$J, $A36)</f>
        <v>0</v>
      </c>
      <c r="BE36" s="123">
        <f t="shared" si="10"/>
        <v>0</v>
      </c>
      <c r="BF36" s="121">
        <f>SUMIFS('24AugTo29Aug'!$L:$L, '24AugTo29Aug'!$J:$J, $A36)</f>
        <v>0</v>
      </c>
      <c r="BG36" s="121">
        <f>SUMIFS('24AugTo29Aug'!$K:$K, '24AugTo29Aug'!$J:$J, $A36)</f>
        <v>0</v>
      </c>
      <c r="BH36" s="121">
        <f>SUMIFS('24AugTo29Aug'!$O:$O, '24AugTo29Aug'!$J:$J, $A36)</f>
        <v>0</v>
      </c>
      <c r="BI36" s="121">
        <f>SUMIFS('24AugTo29Aug'!$P:$P, '24AugTo29Aug'!$J:$J, $A36)</f>
        <v>0</v>
      </c>
      <c r="BJ36" s="123">
        <f t="shared" si="11"/>
        <v>0</v>
      </c>
      <c r="BK36" s="121">
        <f>SUMIFS('17AugTo21Aug'!$L:$L, '17AugTo21Aug'!$J:$J, $A36)</f>
        <v>4</v>
      </c>
      <c r="BL36" s="121">
        <f>SUMIFS('17AugTo21Aug'!$K:$K, '17AugTo21Aug'!$J:$J, $A36)</f>
        <v>38</v>
      </c>
      <c r="BM36" s="121">
        <f>SUMIFS('17AugTo21Aug'!$O:$O, '17AugTo21Aug'!$J:$J, $A36)</f>
        <v>13.24</v>
      </c>
      <c r="BN36" s="121">
        <f>SUMIFS('17AugTo21Aug'!$P:$P, '17AugTo21Aug'!$J:$J, $A36)</f>
        <v>43.9</v>
      </c>
      <c r="BO36" s="123">
        <f t="shared" si="12"/>
        <v>30.159453302961275</v>
      </c>
      <c r="BP36" s="121">
        <f>SUMIFS('10AugTo16Aug'!$L:$L, '10AugTo16Aug'!$J:$J, $A36)</f>
        <v>0</v>
      </c>
      <c r="BQ36" s="121">
        <f>SUMIFS('10AugTo16Aug'!$K:$K, '10AugTo16Aug'!$J:$J, $A36)</f>
        <v>0</v>
      </c>
      <c r="BR36" s="121">
        <f>SUMIFS('10AugTo16Aug'!$O:$O, '10AugTo16Aug'!$J:$J, $A36)</f>
        <v>0</v>
      </c>
      <c r="BS36" s="121">
        <f>SUMIFS('10AugTo16Aug'!$P:$P, '10AugTo16Aug'!$J:$J, $A36)</f>
        <v>0</v>
      </c>
      <c r="BT36" s="123">
        <f t="shared" si="13"/>
        <v>0</v>
      </c>
      <c r="BU36" s="121">
        <f>SUMIFS('3AugTo9Aug'!$L:$L, '3AugTo9Aug'!$J:$J, $A36)</f>
        <v>0</v>
      </c>
      <c r="BV36" s="121">
        <f>SUMIFS('3AugTo9Aug'!$K:$K, '3AugTo9Aug'!$J:$J, $A36)</f>
        <v>0</v>
      </c>
      <c r="BW36" s="121">
        <f>SUMIFS('3AugTo9Aug'!$O:$O, '3AugTo9Aug'!$J:$J, $A36)</f>
        <v>0</v>
      </c>
      <c r="BX36" s="121">
        <f>SUMIFS('3AugTo9Aug'!$P:$P, '3AugTo9Aug'!$J:$J, $A36)</f>
        <v>0</v>
      </c>
      <c r="BY36" s="123">
        <f t="shared" si="14"/>
        <v>0</v>
      </c>
      <c r="BZ36" s="121">
        <f>SUMIFS('27JulyTo2Aug'!$L:$L, '27JulyTo2Aug'!$J:$J, $A36)</f>
        <v>0</v>
      </c>
      <c r="CA36" s="121">
        <f>SUMIFS('27JulyTo2Aug'!$K:$K, '27JulyTo2Aug'!$J:$J, $A36)</f>
        <v>0</v>
      </c>
      <c r="CB36" s="121">
        <f>SUMIFS('27JulyTo2Aug'!$O:$O, '27JulyTo2Aug'!$J:$J, $A36)</f>
        <v>0</v>
      </c>
      <c r="CC36" s="121">
        <f>SUMIFS('27JulyTo2Aug'!$P:$P, '27JulyTo2Aug'!$J:$J, $A36)</f>
        <v>0</v>
      </c>
      <c r="CD36" s="123">
        <f t="shared" si="15"/>
        <v>0</v>
      </c>
    </row>
    <row r="37" spans="1:82" ht="14.25" customHeight="1" x14ac:dyDescent="0.3">
      <c r="A37" s="124" t="s">
        <v>153</v>
      </c>
      <c r="B37" s="120" t="str">
        <f t="shared" si="16"/>
        <v>WINNER</v>
      </c>
      <c r="C37" s="121">
        <f>SUMIFS('9NovTo15Nov'!$L:$L, '9NovTo15Nov'!$J:$J, $A37)</f>
        <v>0</v>
      </c>
      <c r="D37" s="121">
        <f>SUMIFS('9NovTo15Nov'!$K:$K, '9NovTo15Nov'!$J:$J, $A37)</f>
        <v>0</v>
      </c>
      <c r="E37" s="121">
        <f>SUMIFS('9NovTo15Nov'!$O:$O, '9NovTo15Nov'!$J:$J, $A37)</f>
        <v>0</v>
      </c>
      <c r="F37" s="121">
        <f>SUMIFS('9NovTo15Nov'!$P:$P, '9NovTo15Nov'!$J:$J, $A37)</f>
        <v>0</v>
      </c>
      <c r="G37" s="122">
        <f t="shared" si="0"/>
        <v>0</v>
      </c>
      <c r="H37" s="121">
        <f>SUMIFS('2NovTo8Nov'!$L:$L, '2NovTo8Nov'!$J:$J, $A37)</f>
        <v>3</v>
      </c>
      <c r="I37" s="121">
        <f>SUMIFS('2NovTo8Nov'!$K:$K, '2NovTo8Nov'!$J:$J, $A37)</f>
        <v>36</v>
      </c>
      <c r="J37" s="121">
        <f>SUMIFS('2NovTo8Nov'!$O:$O, '2NovTo8Nov'!$J:$J, $A37)</f>
        <v>6.74</v>
      </c>
      <c r="K37" s="121">
        <f>SUMIFS('2NovTo8Nov'!$P:$P, '2NovTo8Nov'!$J:$J, $A37)</f>
        <v>43.8</v>
      </c>
      <c r="L37" s="122">
        <f t="shared" si="1"/>
        <v>15.388127853881281</v>
      </c>
      <c r="M37" s="121">
        <f>SUMIFS('26OctTo1Nov'!$L:$L, '26OctTo1Nov'!$J:$J, $A37)</f>
        <v>0</v>
      </c>
      <c r="N37" s="121">
        <f>SUMIFS('26OctTo1Nov'!$K:$K, '26OctTo1Nov'!$J:$J, $A37)</f>
        <v>0</v>
      </c>
      <c r="O37" s="121">
        <f>SUMIFS('26OctTo1Nov'!$O:$O, '26OctTo1Nov'!$J:$J, $A37)</f>
        <v>0</v>
      </c>
      <c r="P37" s="121">
        <f>SUMIFS('26OctTo1Nov'!$P:$P, '26OctTo1Nov'!$J:$J, $A37)</f>
        <v>0</v>
      </c>
      <c r="Q37" s="122">
        <f t="shared" si="2"/>
        <v>0</v>
      </c>
      <c r="R37" s="121">
        <f>SUMIFS('19OctTo25Oct'!$L:$L, '19OctTo25Oct'!$J:$J, $A37)</f>
        <v>0</v>
      </c>
      <c r="S37" s="121">
        <f>SUMIFS('19OctTo25Oct'!$K:$K, '19OctTo25Oct'!$J:$J, $A37)</f>
        <v>0</v>
      </c>
      <c r="T37" s="121">
        <f>SUMIFS('19OctTo25Oct'!$O:$O, '19OctTo25Oct'!$J:$J, $A37)</f>
        <v>0</v>
      </c>
      <c r="U37" s="121">
        <f>SUMIFS('19OctTo25Oct'!$P:$P, '19OctTo25Oct'!$J:$J, $A37)</f>
        <v>0</v>
      </c>
      <c r="V37" s="122">
        <f t="shared" si="3"/>
        <v>0</v>
      </c>
      <c r="W37" s="121">
        <f>SUMIFS('12OctTo18Oct'!$L:$L, '12OctTo18Oct'!$J:$J, $A37)</f>
        <v>0</v>
      </c>
      <c r="X37" s="121">
        <f>SUMIFS('12OctTo18Oct'!$K:$K, '12OctTo18Oct'!$J:$J, $A37)</f>
        <v>0</v>
      </c>
      <c r="Y37" s="121">
        <f>SUMIFS('12OctTo18Oct'!$O:$O, '12OctTo18Oct'!$J:$J, $A37)</f>
        <v>0</v>
      </c>
      <c r="Z37" s="121">
        <f>SUMIFS('12OctTo18Oct'!$P:$P, '12OctTo18Oct'!$J:$J, $A37)</f>
        <v>0</v>
      </c>
      <c r="AA37" s="122">
        <f t="shared" si="4"/>
        <v>0</v>
      </c>
      <c r="AB37" s="121">
        <f>SUMIFS('5OctTo11Oct'!$L:$L, '5OctTo11Oct'!$J:$J, $A37)</f>
        <v>0</v>
      </c>
      <c r="AC37" s="121">
        <f>SUMIFS('5OctTo11Oct'!$K:$K, '5OctTo11Oct'!$J:$J, $A37)</f>
        <v>0</v>
      </c>
      <c r="AD37" s="121">
        <f>SUMIFS('5OctTo11Oct'!$O:$O, '5OctTo11Oct'!$J:$J, $A37)</f>
        <v>0</v>
      </c>
      <c r="AE37" s="121">
        <f>SUMIFS('5OctTo11Oct'!$P:$P, '5OctTo11Oct'!$J:$J, $A37)</f>
        <v>0</v>
      </c>
      <c r="AF37" s="123">
        <f t="shared" si="5"/>
        <v>0</v>
      </c>
      <c r="AG37" s="121">
        <f>SUMIFS('28SepTo4Oct'!$L:$L, '28SepTo4Oct'!$J:$J, $A37)</f>
        <v>0</v>
      </c>
      <c r="AH37" s="121">
        <f>SUMIFS('28SepTo4Oct'!$K:$K, '28SepTo4Oct'!$J:$J, $A37)</f>
        <v>0</v>
      </c>
      <c r="AI37" s="121">
        <f>SUMIFS('28SepTo4Oct'!$O:$O, '28SepTo4Oct'!$J:$J, $A37)</f>
        <v>0</v>
      </c>
      <c r="AJ37" s="121">
        <f>SUMIFS('28SepTo4Oct'!$P:$P, '28SepTo4Oct'!$J:$J, $A37)</f>
        <v>0</v>
      </c>
      <c r="AK37" s="123">
        <f t="shared" si="6"/>
        <v>0</v>
      </c>
      <c r="AL37" s="121">
        <f>SUMIFS('21SepTo27Sep'!$L:$L, '21SepTo27Sep'!$J:$J, $A37)</f>
        <v>0</v>
      </c>
      <c r="AM37" s="121">
        <f>SUMIFS('21SepTo27Sep'!$K:$K, '21SepTo27Sep'!$J:$J, $A37)</f>
        <v>0</v>
      </c>
      <c r="AN37" s="121">
        <f>SUMIFS('21SepTo27Sep'!$O:$O, '21SepTo27Sep'!$J:$J, $A37)</f>
        <v>0</v>
      </c>
      <c r="AO37" s="121">
        <f>SUMIFS('21SepTo27Sep'!$P:$P, '21SepTo27Sep'!$J:$J, $A37)</f>
        <v>0</v>
      </c>
      <c r="AP37" s="123">
        <f t="shared" si="7"/>
        <v>0</v>
      </c>
      <c r="AQ37" s="121">
        <f>SUMIFS('14SepTo20Sep'!$L:$L, '14SepTo20Sep'!$J:$J, $A37)</f>
        <v>0</v>
      </c>
      <c r="AR37" s="121">
        <f>SUMIFS('14SepTo20Sep'!$K:$K, '14SepTo20Sep'!$J:$J, $A37)</f>
        <v>0</v>
      </c>
      <c r="AS37" s="121">
        <f>SUMIFS('14SepTo20Sep'!$O:$O, '14SepTo20Sep'!$J:$J, $A37)</f>
        <v>0</v>
      </c>
      <c r="AT37" s="121">
        <f>SUMIFS('14SepTo20Sep'!$P:$P, '14SepTo20Sep'!$J:$J, $A37)</f>
        <v>0</v>
      </c>
      <c r="AU37" s="123">
        <f t="shared" si="8"/>
        <v>0</v>
      </c>
      <c r="AV37" s="121">
        <f>SUMIFS('7SepTo13Sep'!$L:$L, '7SepTo13Sep'!$J:$J, $A37)</f>
        <v>0</v>
      </c>
      <c r="AW37" s="121">
        <f>SUMIFS('7SepTo13Sep'!$K:$K, '7SepTo13Sep'!$J:$J, $A37)</f>
        <v>0</v>
      </c>
      <c r="AX37" s="121">
        <f>SUMIFS('7SepTo13Sep'!$O:$O, '7SepTo13Sep'!$J:$J, $A37)</f>
        <v>0</v>
      </c>
      <c r="AY37" s="121">
        <f>SUMIFS('7SepTo13Sep'!$P:$P, '7SepTo13Sep'!$J:$J, $A37)</f>
        <v>0</v>
      </c>
      <c r="AZ37" s="123">
        <f t="shared" si="9"/>
        <v>0</v>
      </c>
      <c r="BA37" s="121">
        <f>SUMIFS('31AugTo6Sep'!$L:$L, '31AugTo6Sep'!$J:$J, $A37)</f>
        <v>0</v>
      </c>
      <c r="BB37" s="121">
        <f>SUMIFS('31AugTo6Sep'!$K:$K, '31AugTo6Sep'!$J:$J, $A37)</f>
        <v>0</v>
      </c>
      <c r="BC37" s="121">
        <f>SUMIFS('31AugTo6Sep'!$O:$O, '31AugTo6Sep'!$J:$J, $A37)</f>
        <v>0</v>
      </c>
      <c r="BD37" s="121">
        <f>SUMIFS('31AugTo6Sep'!$P:$P, '31AugTo6Sep'!$J:$J, $A37)</f>
        <v>0</v>
      </c>
      <c r="BE37" s="123">
        <f t="shared" si="10"/>
        <v>0</v>
      </c>
      <c r="BF37" s="121">
        <f>SUMIFS('24AugTo29Aug'!$L:$L, '24AugTo29Aug'!$J:$J, $A37)</f>
        <v>0</v>
      </c>
      <c r="BG37" s="121">
        <f>SUMIFS('24AugTo29Aug'!$K:$K, '24AugTo29Aug'!$J:$J, $A37)</f>
        <v>0</v>
      </c>
      <c r="BH37" s="121">
        <f>SUMIFS('24AugTo29Aug'!$O:$O, '24AugTo29Aug'!$J:$J, $A37)</f>
        <v>0</v>
      </c>
      <c r="BI37" s="121">
        <f>SUMIFS('24AugTo29Aug'!$P:$P, '24AugTo29Aug'!$J:$J, $A37)</f>
        <v>0</v>
      </c>
      <c r="BJ37" s="123">
        <f t="shared" si="11"/>
        <v>0</v>
      </c>
      <c r="BK37" s="121">
        <f>SUMIFS('17AugTo21Aug'!$L:$L, '17AugTo21Aug'!$J:$J, $A37)</f>
        <v>23</v>
      </c>
      <c r="BL37" s="121">
        <f>SUMIFS('17AugTo21Aug'!$K:$K, '17AugTo21Aug'!$J:$J, $A37)</f>
        <v>4899</v>
      </c>
      <c r="BM37" s="121">
        <f>SUMIFS('17AugTo21Aug'!$O:$O, '17AugTo21Aug'!$J:$J, $A37)</f>
        <v>88.48</v>
      </c>
      <c r="BN37" s="121">
        <f>SUMIFS('17AugTo21Aug'!$P:$P, '17AugTo21Aug'!$J:$J, $A37)</f>
        <v>65.849999999999994</v>
      </c>
      <c r="BO37" s="123">
        <f t="shared" si="12"/>
        <v>134.3659832953683</v>
      </c>
      <c r="BP37" s="121">
        <f>SUMIFS('10AugTo16Aug'!$L:$L, '10AugTo16Aug'!$J:$J, $A37)</f>
        <v>0</v>
      </c>
      <c r="BQ37" s="121">
        <f>SUMIFS('10AugTo16Aug'!$K:$K, '10AugTo16Aug'!$J:$J, $A37)</f>
        <v>0</v>
      </c>
      <c r="BR37" s="121">
        <f>SUMIFS('10AugTo16Aug'!$O:$O, '10AugTo16Aug'!$J:$J, $A37)</f>
        <v>0</v>
      </c>
      <c r="BS37" s="121">
        <f>SUMIFS('10AugTo16Aug'!$P:$P, '10AugTo16Aug'!$J:$J, $A37)</f>
        <v>0</v>
      </c>
      <c r="BT37" s="123">
        <f t="shared" si="13"/>
        <v>0</v>
      </c>
      <c r="BU37" s="121">
        <f>SUMIFS('3AugTo9Aug'!$L:$L, '3AugTo9Aug'!$J:$J, $A37)</f>
        <v>0</v>
      </c>
      <c r="BV37" s="121">
        <f>SUMIFS('3AugTo9Aug'!$K:$K, '3AugTo9Aug'!$J:$J, $A37)</f>
        <v>0</v>
      </c>
      <c r="BW37" s="121">
        <f>SUMIFS('3AugTo9Aug'!$O:$O, '3AugTo9Aug'!$J:$J, $A37)</f>
        <v>0</v>
      </c>
      <c r="BX37" s="121">
        <f>SUMIFS('3AugTo9Aug'!$P:$P, '3AugTo9Aug'!$J:$J, $A37)</f>
        <v>0</v>
      </c>
      <c r="BY37" s="123">
        <f t="shared" si="14"/>
        <v>0</v>
      </c>
      <c r="BZ37" s="121">
        <f>SUMIFS('27JulyTo2Aug'!$L:$L, '27JulyTo2Aug'!$J:$J, $A37)</f>
        <v>0</v>
      </c>
      <c r="CA37" s="121">
        <f>SUMIFS('27JulyTo2Aug'!$K:$K, '27JulyTo2Aug'!$J:$J, $A37)</f>
        <v>0</v>
      </c>
      <c r="CB37" s="121">
        <f>SUMIFS('27JulyTo2Aug'!$O:$O, '27JulyTo2Aug'!$J:$J, $A37)</f>
        <v>0</v>
      </c>
      <c r="CC37" s="121">
        <f>SUMIFS('27JulyTo2Aug'!$P:$P, '27JulyTo2Aug'!$J:$J, $A37)</f>
        <v>0</v>
      </c>
      <c r="CD37" s="123">
        <f t="shared" si="15"/>
        <v>0</v>
      </c>
    </row>
    <row r="38" spans="1:82" ht="14.25" customHeight="1" x14ac:dyDescent="0.3">
      <c r="A38" s="127" t="s">
        <v>844</v>
      </c>
      <c r="B38" s="120" t="str">
        <f t="shared" si="16"/>
        <v>NO TRAFFIC</v>
      </c>
      <c r="C38" s="121">
        <f>SUMIFS('9NovTo15Nov'!$L:$L, '9NovTo15Nov'!$J:$J, $A38)</f>
        <v>0</v>
      </c>
      <c r="D38" s="121">
        <f>SUMIFS('9NovTo15Nov'!$K:$K, '9NovTo15Nov'!$J:$J, $A38)</f>
        <v>0</v>
      </c>
      <c r="E38" s="121">
        <f>SUMIFS('9NovTo15Nov'!$O:$O, '9NovTo15Nov'!$J:$J, $A38)</f>
        <v>0</v>
      </c>
      <c r="F38" s="121">
        <f>SUMIFS('9NovTo15Nov'!$P:$P, '9NovTo15Nov'!$J:$J, $A38)</f>
        <v>0</v>
      </c>
      <c r="G38" s="122">
        <f t="shared" si="0"/>
        <v>0</v>
      </c>
      <c r="H38" s="121">
        <f>SUMIFS('2NovTo8Nov'!$L:$L, '2NovTo8Nov'!$J:$J, $A38)</f>
        <v>0</v>
      </c>
      <c r="I38" s="121">
        <f>SUMIFS('2NovTo8Nov'!$K:$K, '2NovTo8Nov'!$J:$J, $A38)</f>
        <v>0</v>
      </c>
      <c r="J38" s="121">
        <f>SUMIFS('2NovTo8Nov'!$O:$O, '2NovTo8Nov'!$J:$J, $A38)</f>
        <v>0</v>
      </c>
      <c r="K38" s="121">
        <f>SUMIFS('2NovTo8Nov'!$P:$P, '2NovTo8Nov'!$J:$J, $A38)</f>
        <v>0</v>
      </c>
      <c r="L38" s="122">
        <f t="shared" si="1"/>
        <v>0</v>
      </c>
      <c r="M38" s="121">
        <f>SUMIFS('26OctTo1Nov'!$L:$L, '26OctTo1Nov'!$J:$J, $A38)</f>
        <v>0</v>
      </c>
      <c r="N38" s="121">
        <f>SUMIFS('26OctTo1Nov'!$K:$K, '26OctTo1Nov'!$J:$J, $A38)</f>
        <v>0</v>
      </c>
      <c r="O38" s="121">
        <f>SUMIFS('26OctTo1Nov'!$O:$O, '26OctTo1Nov'!$J:$J, $A38)</f>
        <v>0</v>
      </c>
      <c r="P38" s="121">
        <f>SUMIFS('26OctTo1Nov'!$P:$P, '26OctTo1Nov'!$J:$J, $A38)</f>
        <v>0</v>
      </c>
      <c r="Q38" s="122">
        <f t="shared" si="2"/>
        <v>0</v>
      </c>
      <c r="R38" s="121">
        <f>SUMIFS('19OctTo25Oct'!$L:$L, '19OctTo25Oct'!$J:$J, $A38)</f>
        <v>0</v>
      </c>
      <c r="S38" s="121">
        <f>SUMIFS('19OctTo25Oct'!$K:$K, '19OctTo25Oct'!$J:$J, $A38)</f>
        <v>0</v>
      </c>
      <c r="T38" s="121">
        <f>SUMIFS('19OctTo25Oct'!$O:$O, '19OctTo25Oct'!$J:$J, $A38)</f>
        <v>0</v>
      </c>
      <c r="U38" s="121">
        <f>SUMIFS('19OctTo25Oct'!$P:$P, '19OctTo25Oct'!$J:$J, $A38)</f>
        <v>0</v>
      </c>
      <c r="V38" s="122">
        <f t="shared" si="3"/>
        <v>0</v>
      </c>
      <c r="W38" s="121">
        <f>SUMIFS('12OctTo18Oct'!$L:$L, '12OctTo18Oct'!$J:$J, $A38)</f>
        <v>0</v>
      </c>
      <c r="X38" s="121">
        <f>SUMIFS('12OctTo18Oct'!$K:$K, '12OctTo18Oct'!$J:$J, $A38)</f>
        <v>0</v>
      </c>
      <c r="Y38" s="121">
        <f>SUMIFS('12OctTo18Oct'!$O:$O, '12OctTo18Oct'!$J:$J, $A38)</f>
        <v>0</v>
      </c>
      <c r="Z38" s="121">
        <f>SUMIFS('12OctTo18Oct'!$P:$P, '12OctTo18Oct'!$J:$J, $A38)</f>
        <v>0</v>
      </c>
      <c r="AA38" s="122">
        <f t="shared" si="4"/>
        <v>0</v>
      </c>
      <c r="AB38" s="121">
        <f>SUMIFS('5OctTo11Oct'!$L:$L, '5OctTo11Oct'!$J:$J, $A38)</f>
        <v>0</v>
      </c>
      <c r="AC38" s="121">
        <f>SUMIFS('5OctTo11Oct'!$K:$K, '5OctTo11Oct'!$J:$J, $A38)</f>
        <v>0</v>
      </c>
      <c r="AD38" s="121">
        <f>SUMIFS('5OctTo11Oct'!$O:$O, '5OctTo11Oct'!$J:$J, $A38)</f>
        <v>0</v>
      </c>
      <c r="AE38" s="121">
        <f>SUMIFS('5OctTo11Oct'!$P:$P, '5OctTo11Oct'!$J:$J, $A38)</f>
        <v>0</v>
      </c>
      <c r="AF38" s="123">
        <f t="shared" si="5"/>
        <v>0</v>
      </c>
      <c r="AG38" s="121">
        <f>SUMIFS('28SepTo4Oct'!$L:$L, '28SepTo4Oct'!$J:$J, $A38)</f>
        <v>0</v>
      </c>
      <c r="AH38" s="121">
        <f>SUMIFS('28SepTo4Oct'!$K:$K, '28SepTo4Oct'!$J:$J, $A38)</f>
        <v>0</v>
      </c>
      <c r="AI38" s="121">
        <f>SUMIFS('28SepTo4Oct'!$O:$O, '28SepTo4Oct'!$J:$J, $A38)</f>
        <v>0</v>
      </c>
      <c r="AJ38" s="121">
        <f>SUMIFS('28SepTo4Oct'!$P:$P, '28SepTo4Oct'!$J:$J, $A38)</f>
        <v>0</v>
      </c>
      <c r="AK38" s="123">
        <f t="shared" si="6"/>
        <v>0</v>
      </c>
      <c r="AL38" s="121">
        <f>SUMIFS('21SepTo27Sep'!$L:$L, '21SepTo27Sep'!$J:$J, $A38)</f>
        <v>0</v>
      </c>
      <c r="AM38" s="121">
        <f>SUMIFS('21SepTo27Sep'!$K:$K, '21SepTo27Sep'!$J:$J, $A38)</f>
        <v>0</v>
      </c>
      <c r="AN38" s="121">
        <f>SUMIFS('21SepTo27Sep'!$O:$O, '21SepTo27Sep'!$J:$J, $A38)</f>
        <v>0</v>
      </c>
      <c r="AO38" s="121">
        <f>SUMIFS('21SepTo27Sep'!$P:$P, '21SepTo27Sep'!$J:$J, $A38)</f>
        <v>0</v>
      </c>
      <c r="AP38" s="123">
        <f t="shared" si="7"/>
        <v>0</v>
      </c>
      <c r="AQ38" s="121">
        <f>SUMIFS('14SepTo20Sep'!$L:$L, '14SepTo20Sep'!$J:$J, $A38)</f>
        <v>0</v>
      </c>
      <c r="AR38" s="121">
        <f>SUMIFS('14SepTo20Sep'!$K:$K, '14SepTo20Sep'!$J:$J, $A38)</f>
        <v>0</v>
      </c>
      <c r="AS38" s="121">
        <f>SUMIFS('14SepTo20Sep'!$O:$O, '14SepTo20Sep'!$J:$J, $A38)</f>
        <v>0</v>
      </c>
      <c r="AT38" s="121">
        <f>SUMIFS('14SepTo20Sep'!$P:$P, '14SepTo20Sep'!$J:$J, $A38)</f>
        <v>0</v>
      </c>
      <c r="AU38" s="123">
        <f t="shared" si="8"/>
        <v>0</v>
      </c>
      <c r="AV38" s="121">
        <f>SUMIFS('7SepTo13Sep'!$L:$L, '7SepTo13Sep'!$J:$J, $A38)</f>
        <v>0</v>
      </c>
      <c r="AW38" s="121">
        <f>SUMIFS('7SepTo13Sep'!$K:$K, '7SepTo13Sep'!$J:$J, $A38)</f>
        <v>0</v>
      </c>
      <c r="AX38" s="121">
        <f>SUMIFS('7SepTo13Sep'!$O:$O, '7SepTo13Sep'!$J:$J, $A38)</f>
        <v>0</v>
      </c>
      <c r="AY38" s="121">
        <f>SUMIFS('7SepTo13Sep'!$P:$P, '7SepTo13Sep'!$J:$J, $A38)</f>
        <v>0</v>
      </c>
      <c r="AZ38" s="123">
        <f t="shared" si="9"/>
        <v>0</v>
      </c>
      <c r="BA38" s="121">
        <f>SUMIFS('31AugTo6Sep'!$L:$L, '31AugTo6Sep'!$J:$J, $A38)</f>
        <v>0</v>
      </c>
      <c r="BB38" s="121">
        <f>SUMIFS('31AugTo6Sep'!$K:$K, '31AugTo6Sep'!$J:$J, $A38)</f>
        <v>0</v>
      </c>
      <c r="BC38" s="121">
        <f>SUMIFS('31AugTo6Sep'!$O:$O, '31AugTo6Sep'!$J:$J, $A38)</f>
        <v>0</v>
      </c>
      <c r="BD38" s="121">
        <f>SUMIFS('31AugTo6Sep'!$P:$P, '31AugTo6Sep'!$J:$J, $A38)</f>
        <v>0</v>
      </c>
      <c r="BE38" s="123">
        <f t="shared" si="10"/>
        <v>0</v>
      </c>
      <c r="BF38" s="121">
        <f>SUMIFS('24AugTo29Aug'!$L:$L, '24AugTo29Aug'!$J:$J, $A38)</f>
        <v>0</v>
      </c>
      <c r="BG38" s="121">
        <f>SUMIFS('24AugTo29Aug'!$K:$K, '24AugTo29Aug'!$J:$J, $A38)</f>
        <v>0</v>
      </c>
      <c r="BH38" s="121">
        <f>SUMIFS('24AugTo29Aug'!$O:$O, '24AugTo29Aug'!$J:$J, $A38)</f>
        <v>0</v>
      </c>
      <c r="BI38" s="121">
        <f>SUMIFS('24AugTo29Aug'!$P:$P, '24AugTo29Aug'!$J:$J, $A38)</f>
        <v>0</v>
      </c>
      <c r="BJ38" s="123">
        <f t="shared" si="11"/>
        <v>0</v>
      </c>
      <c r="BK38" s="121">
        <f>SUMIFS('17AugTo21Aug'!$L:$L, '17AugTo21Aug'!$J:$J, $A38)</f>
        <v>0</v>
      </c>
      <c r="BL38" s="121">
        <f>SUMIFS('17AugTo21Aug'!$K:$K, '17AugTo21Aug'!$J:$J, $A38)</f>
        <v>0</v>
      </c>
      <c r="BM38" s="121">
        <f>SUMIFS('17AugTo21Aug'!$O:$O, '17AugTo21Aug'!$J:$J, $A38)</f>
        <v>0</v>
      </c>
      <c r="BN38" s="121">
        <f>SUMIFS('17AugTo21Aug'!$P:$P, '17AugTo21Aug'!$J:$J, $A38)</f>
        <v>0</v>
      </c>
      <c r="BO38" s="123">
        <f t="shared" si="12"/>
        <v>0</v>
      </c>
      <c r="BP38" s="121">
        <f>SUMIFS('10AugTo16Aug'!$L:$L, '10AugTo16Aug'!$J:$J, $A38)</f>
        <v>0</v>
      </c>
      <c r="BQ38" s="121">
        <f>SUMIFS('10AugTo16Aug'!$K:$K, '10AugTo16Aug'!$J:$J, $A38)</f>
        <v>0</v>
      </c>
      <c r="BR38" s="121">
        <f>SUMIFS('10AugTo16Aug'!$O:$O, '10AugTo16Aug'!$J:$J, $A38)</f>
        <v>0</v>
      </c>
      <c r="BS38" s="121">
        <f>SUMIFS('10AugTo16Aug'!$P:$P, '10AugTo16Aug'!$J:$J, $A38)</f>
        <v>0</v>
      </c>
      <c r="BT38" s="123">
        <f t="shared" si="13"/>
        <v>0</v>
      </c>
      <c r="BU38" s="121">
        <f>SUMIFS('3AugTo9Aug'!$L:$L, '3AugTo9Aug'!$J:$J, $A38)</f>
        <v>0</v>
      </c>
      <c r="BV38" s="121">
        <f>SUMIFS('3AugTo9Aug'!$K:$K, '3AugTo9Aug'!$J:$J, $A38)</f>
        <v>0</v>
      </c>
      <c r="BW38" s="121">
        <f>SUMIFS('3AugTo9Aug'!$O:$O, '3AugTo9Aug'!$J:$J, $A38)</f>
        <v>0</v>
      </c>
      <c r="BX38" s="121">
        <f>SUMIFS('3AugTo9Aug'!$P:$P, '3AugTo9Aug'!$J:$J, $A38)</f>
        <v>0</v>
      </c>
      <c r="BY38" s="123">
        <f t="shared" si="14"/>
        <v>0</v>
      </c>
      <c r="BZ38" s="121">
        <f>SUMIFS('27JulyTo2Aug'!$L:$L, '27JulyTo2Aug'!$J:$J, $A38)</f>
        <v>5</v>
      </c>
      <c r="CA38" s="121">
        <f>SUMIFS('27JulyTo2Aug'!$K:$K, '27JulyTo2Aug'!$J:$J, $A38)</f>
        <v>37</v>
      </c>
      <c r="CB38" s="121">
        <f>SUMIFS('27JulyTo2Aug'!$O:$O, '27JulyTo2Aug'!$J:$J, $A38)</f>
        <v>19</v>
      </c>
      <c r="CC38" s="121">
        <f>SUMIFS('27JulyTo2Aug'!$P:$P, '27JulyTo2Aug'!$J:$J, $A38)</f>
        <v>24.95</v>
      </c>
      <c r="CD38" s="123">
        <f t="shared" si="15"/>
        <v>76.152304609218433</v>
      </c>
    </row>
    <row r="39" spans="1:82" ht="14.25" customHeight="1" x14ac:dyDescent="0.3">
      <c r="A39" s="124" t="s">
        <v>782</v>
      </c>
      <c r="B39" s="120" t="str">
        <f t="shared" si="16"/>
        <v>NO TRAFFIC</v>
      </c>
      <c r="C39" s="121">
        <f>SUMIFS('9NovTo15Nov'!$L:$L, '9NovTo15Nov'!$J:$J, $A39)</f>
        <v>0</v>
      </c>
      <c r="D39" s="121">
        <f>SUMIFS('9NovTo15Nov'!$K:$K, '9NovTo15Nov'!$J:$J, $A39)</f>
        <v>0</v>
      </c>
      <c r="E39" s="121">
        <f>SUMIFS('9NovTo15Nov'!$O:$O, '9NovTo15Nov'!$J:$J, $A39)</f>
        <v>0</v>
      </c>
      <c r="F39" s="121">
        <f>SUMIFS('9NovTo15Nov'!$P:$P, '9NovTo15Nov'!$J:$J, $A39)</f>
        <v>0</v>
      </c>
      <c r="G39" s="122">
        <f t="shared" si="0"/>
        <v>0</v>
      </c>
      <c r="H39" s="121">
        <f>SUMIFS('2NovTo8Nov'!$L:$L, '2NovTo8Nov'!$J:$J, $A39)</f>
        <v>0</v>
      </c>
      <c r="I39" s="121">
        <f>SUMIFS('2NovTo8Nov'!$K:$K, '2NovTo8Nov'!$J:$J, $A39)</f>
        <v>0</v>
      </c>
      <c r="J39" s="121">
        <f>SUMIFS('2NovTo8Nov'!$O:$O, '2NovTo8Nov'!$J:$J, $A39)</f>
        <v>0</v>
      </c>
      <c r="K39" s="121">
        <f>SUMIFS('2NovTo8Nov'!$P:$P, '2NovTo8Nov'!$J:$J, $A39)</f>
        <v>0</v>
      </c>
      <c r="L39" s="122">
        <f t="shared" si="1"/>
        <v>0</v>
      </c>
      <c r="M39" s="121">
        <f>SUMIFS('26OctTo1Nov'!$L:$L, '26OctTo1Nov'!$J:$J, $A39)</f>
        <v>0</v>
      </c>
      <c r="N39" s="121">
        <f>SUMIFS('26OctTo1Nov'!$K:$K, '26OctTo1Nov'!$J:$J, $A39)</f>
        <v>0</v>
      </c>
      <c r="O39" s="121">
        <f>SUMIFS('26OctTo1Nov'!$O:$O, '26OctTo1Nov'!$J:$J, $A39)</f>
        <v>0</v>
      </c>
      <c r="P39" s="121">
        <f>SUMIFS('26OctTo1Nov'!$P:$P, '26OctTo1Nov'!$J:$J, $A39)</f>
        <v>0</v>
      </c>
      <c r="Q39" s="122">
        <f t="shared" si="2"/>
        <v>0</v>
      </c>
      <c r="R39" s="121">
        <f>SUMIFS('19OctTo25Oct'!$L:$L, '19OctTo25Oct'!$J:$J, $A39)</f>
        <v>0</v>
      </c>
      <c r="S39" s="121">
        <f>SUMIFS('19OctTo25Oct'!$K:$K, '19OctTo25Oct'!$J:$J, $A39)</f>
        <v>0</v>
      </c>
      <c r="T39" s="121">
        <f>SUMIFS('19OctTo25Oct'!$O:$O, '19OctTo25Oct'!$J:$J, $A39)</f>
        <v>0</v>
      </c>
      <c r="U39" s="121">
        <f>SUMIFS('19OctTo25Oct'!$P:$P, '19OctTo25Oct'!$J:$J, $A39)</f>
        <v>0</v>
      </c>
      <c r="V39" s="122">
        <f t="shared" si="3"/>
        <v>0</v>
      </c>
      <c r="W39" s="121">
        <f>SUMIFS('12OctTo18Oct'!$L:$L, '12OctTo18Oct'!$J:$J, $A39)</f>
        <v>0</v>
      </c>
      <c r="X39" s="121">
        <f>SUMIFS('12OctTo18Oct'!$K:$K, '12OctTo18Oct'!$J:$J, $A39)</f>
        <v>0</v>
      </c>
      <c r="Y39" s="121">
        <f>SUMIFS('12OctTo18Oct'!$O:$O, '12OctTo18Oct'!$J:$J, $A39)</f>
        <v>0</v>
      </c>
      <c r="Z39" s="121">
        <f>SUMIFS('12OctTo18Oct'!$P:$P, '12OctTo18Oct'!$J:$J, $A39)</f>
        <v>0</v>
      </c>
      <c r="AA39" s="122">
        <f t="shared" si="4"/>
        <v>0</v>
      </c>
      <c r="AB39" s="121">
        <f>SUMIFS('5OctTo11Oct'!$L:$L, '5OctTo11Oct'!$J:$J, $A39)</f>
        <v>0</v>
      </c>
      <c r="AC39" s="121">
        <f>SUMIFS('5OctTo11Oct'!$K:$K, '5OctTo11Oct'!$J:$J, $A39)</f>
        <v>0</v>
      </c>
      <c r="AD39" s="121">
        <f>SUMIFS('5OctTo11Oct'!$O:$O, '5OctTo11Oct'!$J:$J, $A39)</f>
        <v>0</v>
      </c>
      <c r="AE39" s="121">
        <f>SUMIFS('5OctTo11Oct'!$P:$P, '5OctTo11Oct'!$J:$J, $A39)</f>
        <v>0</v>
      </c>
      <c r="AF39" s="123">
        <f t="shared" si="5"/>
        <v>0</v>
      </c>
      <c r="AG39" s="121">
        <f>SUMIFS('28SepTo4Oct'!$L:$L, '28SepTo4Oct'!$J:$J, $A39)</f>
        <v>0</v>
      </c>
      <c r="AH39" s="121">
        <f>SUMIFS('28SepTo4Oct'!$K:$K, '28SepTo4Oct'!$J:$J, $A39)</f>
        <v>0</v>
      </c>
      <c r="AI39" s="121">
        <f>SUMIFS('28SepTo4Oct'!$O:$O, '28SepTo4Oct'!$J:$J, $A39)</f>
        <v>0</v>
      </c>
      <c r="AJ39" s="121">
        <f>SUMIFS('28SepTo4Oct'!$P:$P, '28SepTo4Oct'!$J:$J, $A39)</f>
        <v>0</v>
      </c>
      <c r="AK39" s="123">
        <f t="shared" si="6"/>
        <v>0</v>
      </c>
      <c r="AL39" s="121">
        <f>SUMIFS('21SepTo27Sep'!$L:$L, '21SepTo27Sep'!$J:$J, $A39)</f>
        <v>0</v>
      </c>
      <c r="AM39" s="121">
        <f>SUMIFS('21SepTo27Sep'!$K:$K, '21SepTo27Sep'!$J:$J, $A39)</f>
        <v>0</v>
      </c>
      <c r="AN39" s="121">
        <f>SUMIFS('21SepTo27Sep'!$O:$O, '21SepTo27Sep'!$J:$J, $A39)</f>
        <v>0</v>
      </c>
      <c r="AO39" s="121">
        <f>SUMIFS('21SepTo27Sep'!$P:$P, '21SepTo27Sep'!$J:$J, $A39)</f>
        <v>0</v>
      </c>
      <c r="AP39" s="123">
        <f t="shared" si="7"/>
        <v>0</v>
      </c>
      <c r="AQ39" s="121">
        <f>SUMIFS('14SepTo20Sep'!$L:$L, '14SepTo20Sep'!$J:$J, $A39)</f>
        <v>0</v>
      </c>
      <c r="AR39" s="121">
        <f>SUMIFS('14SepTo20Sep'!$K:$K, '14SepTo20Sep'!$J:$J, $A39)</f>
        <v>0</v>
      </c>
      <c r="AS39" s="121">
        <f>SUMIFS('14SepTo20Sep'!$O:$O, '14SepTo20Sep'!$J:$J, $A39)</f>
        <v>0</v>
      </c>
      <c r="AT39" s="121">
        <f>SUMIFS('14SepTo20Sep'!$P:$P, '14SepTo20Sep'!$J:$J, $A39)</f>
        <v>0</v>
      </c>
      <c r="AU39" s="123">
        <f t="shared" si="8"/>
        <v>0</v>
      </c>
      <c r="AV39" s="121">
        <f>SUMIFS('7SepTo13Sep'!$L:$L, '7SepTo13Sep'!$J:$J, $A39)</f>
        <v>0</v>
      </c>
      <c r="AW39" s="121">
        <f>SUMIFS('7SepTo13Sep'!$K:$K, '7SepTo13Sep'!$J:$J, $A39)</f>
        <v>0</v>
      </c>
      <c r="AX39" s="121">
        <f>SUMIFS('7SepTo13Sep'!$O:$O, '7SepTo13Sep'!$J:$J, $A39)</f>
        <v>0</v>
      </c>
      <c r="AY39" s="121">
        <f>SUMIFS('7SepTo13Sep'!$P:$P, '7SepTo13Sep'!$J:$J, $A39)</f>
        <v>0</v>
      </c>
      <c r="AZ39" s="123">
        <f t="shared" si="9"/>
        <v>0</v>
      </c>
      <c r="BA39" s="121">
        <f>SUMIFS('31AugTo6Sep'!$L:$L, '31AugTo6Sep'!$J:$J, $A39)</f>
        <v>0</v>
      </c>
      <c r="BB39" s="121">
        <f>SUMIFS('31AugTo6Sep'!$K:$K, '31AugTo6Sep'!$J:$J, $A39)</f>
        <v>0</v>
      </c>
      <c r="BC39" s="121">
        <f>SUMIFS('31AugTo6Sep'!$O:$O, '31AugTo6Sep'!$J:$J, $A39)</f>
        <v>0</v>
      </c>
      <c r="BD39" s="121">
        <f>SUMIFS('31AugTo6Sep'!$P:$P, '31AugTo6Sep'!$J:$J, $A39)</f>
        <v>0</v>
      </c>
      <c r="BE39" s="123">
        <f t="shared" si="10"/>
        <v>0</v>
      </c>
      <c r="BF39" s="121">
        <f>SUMIFS('24AugTo29Aug'!$L:$L, '24AugTo29Aug'!$J:$J, $A39)</f>
        <v>0</v>
      </c>
      <c r="BG39" s="121">
        <f>SUMIFS('24AugTo29Aug'!$K:$K, '24AugTo29Aug'!$J:$J, $A39)</f>
        <v>0</v>
      </c>
      <c r="BH39" s="121">
        <f>SUMIFS('24AugTo29Aug'!$O:$O, '24AugTo29Aug'!$J:$J, $A39)</f>
        <v>0</v>
      </c>
      <c r="BI39" s="121">
        <f>SUMIFS('24AugTo29Aug'!$P:$P, '24AugTo29Aug'!$J:$J, $A39)</f>
        <v>0</v>
      </c>
      <c r="BJ39" s="123">
        <f t="shared" si="11"/>
        <v>0</v>
      </c>
      <c r="BK39" s="121">
        <f>SUMIFS('17AugTo21Aug'!$L:$L, '17AugTo21Aug'!$J:$J, $A39)</f>
        <v>0</v>
      </c>
      <c r="BL39" s="121">
        <f>SUMIFS('17AugTo21Aug'!$K:$K, '17AugTo21Aug'!$J:$J, $A39)</f>
        <v>0</v>
      </c>
      <c r="BM39" s="121">
        <f>SUMIFS('17AugTo21Aug'!$O:$O, '17AugTo21Aug'!$J:$J, $A39)</f>
        <v>0</v>
      </c>
      <c r="BN39" s="121">
        <f>SUMIFS('17AugTo21Aug'!$P:$P, '17AugTo21Aug'!$J:$J, $A39)</f>
        <v>0</v>
      </c>
      <c r="BO39" s="123">
        <f t="shared" si="12"/>
        <v>0</v>
      </c>
      <c r="BP39" s="121">
        <f>SUMIFS('10AugTo16Aug'!$L:$L, '10AugTo16Aug'!$J:$J, $A39)</f>
        <v>0</v>
      </c>
      <c r="BQ39" s="121">
        <f>SUMIFS('10AugTo16Aug'!$K:$K, '10AugTo16Aug'!$J:$J, $A39)</f>
        <v>0</v>
      </c>
      <c r="BR39" s="121">
        <f>SUMIFS('10AugTo16Aug'!$O:$O, '10AugTo16Aug'!$J:$J, $A39)</f>
        <v>0</v>
      </c>
      <c r="BS39" s="121">
        <f>SUMIFS('10AugTo16Aug'!$P:$P, '10AugTo16Aug'!$J:$J, $A39)</f>
        <v>0</v>
      </c>
      <c r="BT39" s="123">
        <f t="shared" si="13"/>
        <v>0</v>
      </c>
      <c r="BU39" s="121">
        <f>SUMIFS('3AugTo9Aug'!$L:$L, '3AugTo9Aug'!$J:$J, $A39)</f>
        <v>2</v>
      </c>
      <c r="BV39" s="121">
        <f>SUMIFS('3AugTo9Aug'!$K:$K, '3AugTo9Aug'!$J:$J, $A39)</f>
        <v>9</v>
      </c>
      <c r="BW39" s="121">
        <f>SUMIFS('3AugTo9Aug'!$O:$O, '3AugTo9Aug'!$J:$J, $A39)</f>
        <v>4.83</v>
      </c>
      <c r="BX39" s="121">
        <f>SUMIFS('3AugTo9Aug'!$P:$P, '3AugTo9Aug'!$J:$J, $A39)</f>
        <v>21.95</v>
      </c>
      <c r="BY39" s="123">
        <f t="shared" si="14"/>
        <v>22.004555808656036</v>
      </c>
      <c r="BZ39" s="121">
        <f>SUMIFS('27JulyTo2Aug'!$L:$L, '27JulyTo2Aug'!$J:$J, $A39)</f>
        <v>0</v>
      </c>
      <c r="CA39" s="121">
        <f>SUMIFS('27JulyTo2Aug'!$K:$K, '27JulyTo2Aug'!$J:$J, $A39)</f>
        <v>0</v>
      </c>
      <c r="CB39" s="121">
        <f>SUMIFS('27JulyTo2Aug'!$O:$O, '27JulyTo2Aug'!$J:$J, $A39)</f>
        <v>0</v>
      </c>
      <c r="CC39" s="121">
        <f>SUMIFS('27JulyTo2Aug'!$P:$P, '27JulyTo2Aug'!$J:$J, $A39)</f>
        <v>0</v>
      </c>
      <c r="CD39" s="123">
        <f t="shared" si="15"/>
        <v>0</v>
      </c>
    </row>
    <row r="40" spans="1:82" ht="14.25" customHeight="1" x14ac:dyDescent="0.3">
      <c r="A40" s="124" t="s">
        <v>357</v>
      </c>
      <c r="B40" s="120" t="str">
        <f t="shared" si="16"/>
        <v>NO TRAFFIC</v>
      </c>
      <c r="C40" s="121">
        <f>SUMIFS('9NovTo15Nov'!$L:$L, '9NovTo15Nov'!$J:$J, $A40)</f>
        <v>0</v>
      </c>
      <c r="D40" s="121">
        <f>SUMIFS('9NovTo15Nov'!$K:$K, '9NovTo15Nov'!$J:$J, $A40)</f>
        <v>0</v>
      </c>
      <c r="E40" s="121">
        <f>SUMIFS('9NovTo15Nov'!$O:$O, '9NovTo15Nov'!$J:$J, $A40)</f>
        <v>0</v>
      </c>
      <c r="F40" s="121">
        <f>SUMIFS('9NovTo15Nov'!$P:$P, '9NovTo15Nov'!$J:$J, $A40)</f>
        <v>0</v>
      </c>
      <c r="G40" s="122">
        <f t="shared" si="0"/>
        <v>0</v>
      </c>
      <c r="H40" s="121">
        <f>SUMIFS('2NovTo8Nov'!$L:$L, '2NovTo8Nov'!$J:$J, $A40)</f>
        <v>0</v>
      </c>
      <c r="I40" s="121">
        <f>SUMIFS('2NovTo8Nov'!$K:$K, '2NovTo8Nov'!$J:$J, $A40)</f>
        <v>0</v>
      </c>
      <c r="J40" s="121">
        <f>SUMIFS('2NovTo8Nov'!$O:$O, '2NovTo8Nov'!$J:$J, $A40)</f>
        <v>0</v>
      </c>
      <c r="K40" s="121">
        <f>SUMIFS('2NovTo8Nov'!$P:$P, '2NovTo8Nov'!$J:$J, $A40)</f>
        <v>0</v>
      </c>
      <c r="L40" s="122">
        <f t="shared" si="1"/>
        <v>0</v>
      </c>
      <c r="M40" s="121">
        <f>SUMIFS('26OctTo1Nov'!$L:$L, '26OctTo1Nov'!$J:$J, $A40)</f>
        <v>0</v>
      </c>
      <c r="N40" s="121">
        <f>SUMIFS('26OctTo1Nov'!$K:$K, '26OctTo1Nov'!$J:$J, $A40)</f>
        <v>0</v>
      </c>
      <c r="O40" s="121">
        <f>SUMIFS('26OctTo1Nov'!$O:$O, '26OctTo1Nov'!$J:$J, $A40)</f>
        <v>0</v>
      </c>
      <c r="P40" s="121">
        <f>SUMIFS('26OctTo1Nov'!$P:$P, '26OctTo1Nov'!$J:$J, $A40)</f>
        <v>0</v>
      </c>
      <c r="Q40" s="122">
        <f t="shared" si="2"/>
        <v>0</v>
      </c>
      <c r="R40" s="121">
        <f>SUMIFS('19OctTo25Oct'!$L:$L, '19OctTo25Oct'!$J:$J, $A40)</f>
        <v>0</v>
      </c>
      <c r="S40" s="121">
        <f>SUMIFS('19OctTo25Oct'!$K:$K, '19OctTo25Oct'!$J:$J, $A40)</f>
        <v>0</v>
      </c>
      <c r="T40" s="121">
        <f>SUMIFS('19OctTo25Oct'!$O:$O, '19OctTo25Oct'!$J:$J, $A40)</f>
        <v>0</v>
      </c>
      <c r="U40" s="121">
        <f>SUMIFS('19OctTo25Oct'!$P:$P, '19OctTo25Oct'!$J:$J, $A40)</f>
        <v>0</v>
      </c>
      <c r="V40" s="122">
        <f t="shared" si="3"/>
        <v>0</v>
      </c>
      <c r="W40" s="121">
        <f>SUMIFS('12OctTo18Oct'!$L:$L, '12OctTo18Oct'!$J:$J, $A40)</f>
        <v>0</v>
      </c>
      <c r="X40" s="121">
        <f>SUMIFS('12OctTo18Oct'!$K:$K, '12OctTo18Oct'!$J:$J, $A40)</f>
        <v>0</v>
      </c>
      <c r="Y40" s="121">
        <f>SUMIFS('12OctTo18Oct'!$O:$O, '12OctTo18Oct'!$J:$J, $A40)</f>
        <v>0</v>
      </c>
      <c r="Z40" s="121">
        <f>SUMIFS('12OctTo18Oct'!$P:$P, '12OctTo18Oct'!$J:$J, $A40)</f>
        <v>0</v>
      </c>
      <c r="AA40" s="122">
        <f t="shared" si="4"/>
        <v>0</v>
      </c>
      <c r="AB40" s="121">
        <f>SUMIFS('5OctTo11Oct'!$L:$L, '5OctTo11Oct'!$J:$J, $A40)</f>
        <v>0</v>
      </c>
      <c r="AC40" s="121">
        <f>SUMIFS('5OctTo11Oct'!$K:$K, '5OctTo11Oct'!$J:$J, $A40)</f>
        <v>0</v>
      </c>
      <c r="AD40" s="121">
        <f>SUMIFS('5OctTo11Oct'!$O:$O, '5OctTo11Oct'!$J:$J, $A40)</f>
        <v>0</v>
      </c>
      <c r="AE40" s="121">
        <f>SUMIFS('5OctTo11Oct'!$P:$P, '5OctTo11Oct'!$J:$J, $A40)</f>
        <v>0</v>
      </c>
      <c r="AF40" s="123">
        <f t="shared" si="5"/>
        <v>0</v>
      </c>
      <c r="AG40" s="121">
        <f>SUMIFS('28SepTo4Oct'!$L:$L, '28SepTo4Oct'!$J:$J, $A40)</f>
        <v>0</v>
      </c>
      <c r="AH40" s="121">
        <f>SUMIFS('28SepTo4Oct'!$K:$K, '28SepTo4Oct'!$J:$J, $A40)</f>
        <v>0</v>
      </c>
      <c r="AI40" s="121">
        <f>SUMIFS('28SepTo4Oct'!$O:$O, '28SepTo4Oct'!$J:$J, $A40)</f>
        <v>0</v>
      </c>
      <c r="AJ40" s="121">
        <f>SUMIFS('28SepTo4Oct'!$P:$P, '28SepTo4Oct'!$J:$J, $A40)</f>
        <v>0</v>
      </c>
      <c r="AK40" s="123">
        <f t="shared" si="6"/>
        <v>0</v>
      </c>
      <c r="AL40" s="121">
        <f>SUMIFS('21SepTo27Sep'!$L:$L, '21SepTo27Sep'!$J:$J, $A40)</f>
        <v>0</v>
      </c>
      <c r="AM40" s="121">
        <f>SUMIFS('21SepTo27Sep'!$K:$K, '21SepTo27Sep'!$J:$J, $A40)</f>
        <v>0</v>
      </c>
      <c r="AN40" s="121">
        <f>SUMIFS('21SepTo27Sep'!$O:$O, '21SepTo27Sep'!$J:$J, $A40)</f>
        <v>0</v>
      </c>
      <c r="AO40" s="121">
        <f>SUMIFS('21SepTo27Sep'!$P:$P, '21SepTo27Sep'!$J:$J, $A40)</f>
        <v>0</v>
      </c>
      <c r="AP40" s="123">
        <f t="shared" si="7"/>
        <v>0</v>
      </c>
      <c r="AQ40" s="121">
        <f>SUMIFS('14SepTo20Sep'!$L:$L, '14SepTo20Sep'!$J:$J, $A40)</f>
        <v>0</v>
      </c>
      <c r="AR40" s="121">
        <f>SUMIFS('14SepTo20Sep'!$K:$K, '14SepTo20Sep'!$J:$J, $A40)</f>
        <v>0</v>
      </c>
      <c r="AS40" s="121">
        <f>SUMIFS('14SepTo20Sep'!$O:$O, '14SepTo20Sep'!$J:$J, $A40)</f>
        <v>0</v>
      </c>
      <c r="AT40" s="121">
        <f>SUMIFS('14SepTo20Sep'!$P:$P, '14SepTo20Sep'!$J:$J, $A40)</f>
        <v>0</v>
      </c>
      <c r="AU40" s="123">
        <f t="shared" si="8"/>
        <v>0</v>
      </c>
      <c r="AV40" s="121">
        <f>SUMIFS('7SepTo13Sep'!$L:$L, '7SepTo13Sep'!$J:$J, $A40)</f>
        <v>0</v>
      </c>
      <c r="AW40" s="121">
        <f>SUMIFS('7SepTo13Sep'!$K:$K, '7SepTo13Sep'!$J:$J, $A40)</f>
        <v>0</v>
      </c>
      <c r="AX40" s="121">
        <f>SUMIFS('7SepTo13Sep'!$O:$O, '7SepTo13Sep'!$J:$J, $A40)</f>
        <v>0</v>
      </c>
      <c r="AY40" s="121">
        <f>SUMIFS('7SepTo13Sep'!$P:$P, '7SepTo13Sep'!$J:$J, $A40)</f>
        <v>0</v>
      </c>
      <c r="AZ40" s="123">
        <f t="shared" si="9"/>
        <v>0</v>
      </c>
      <c r="BA40" s="121">
        <f>SUMIFS('31AugTo6Sep'!$L:$L, '31AugTo6Sep'!$J:$J, $A40)</f>
        <v>0</v>
      </c>
      <c r="BB40" s="121">
        <f>SUMIFS('31AugTo6Sep'!$K:$K, '31AugTo6Sep'!$J:$J, $A40)</f>
        <v>0</v>
      </c>
      <c r="BC40" s="121">
        <f>SUMIFS('31AugTo6Sep'!$O:$O, '31AugTo6Sep'!$J:$J, $A40)</f>
        <v>0</v>
      </c>
      <c r="BD40" s="121">
        <f>SUMIFS('31AugTo6Sep'!$P:$P, '31AugTo6Sep'!$J:$J, $A40)</f>
        <v>0</v>
      </c>
      <c r="BE40" s="123">
        <f t="shared" si="10"/>
        <v>0</v>
      </c>
      <c r="BF40" s="121">
        <f>SUMIFS('24AugTo29Aug'!$L:$L, '24AugTo29Aug'!$J:$J, $A40)</f>
        <v>0</v>
      </c>
      <c r="BG40" s="121">
        <f>SUMIFS('24AugTo29Aug'!$K:$K, '24AugTo29Aug'!$J:$J, $A40)</f>
        <v>0</v>
      </c>
      <c r="BH40" s="121">
        <f>SUMIFS('24AugTo29Aug'!$O:$O, '24AugTo29Aug'!$J:$J, $A40)</f>
        <v>0</v>
      </c>
      <c r="BI40" s="121">
        <f>SUMIFS('24AugTo29Aug'!$P:$P, '24AugTo29Aug'!$J:$J, $A40)</f>
        <v>0</v>
      </c>
      <c r="BJ40" s="123">
        <f t="shared" si="11"/>
        <v>0</v>
      </c>
      <c r="BK40" s="121">
        <f>SUMIFS('17AugTo21Aug'!$L:$L, '17AugTo21Aug'!$J:$J, $A40)</f>
        <v>0</v>
      </c>
      <c r="BL40" s="121">
        <f>SUMIFS('17AugTo21Aug'!$K:$K, '17AugTo21Aug'!$J:$J, $A40)</f>
        <v>0</v>
      </c>
      <c r="BM40" s="121">
        <f>SUMIFS('17AugTo21Aug'!$O:$O, '17AugTo21Aug'!$J:$J, $A40)</f>
        <v>0</v>
      </c>
      <c r="BN40" s="121">
        <f>SUMIFS('17AugTo21Aug'!$P:$P, '17AugTo21Aug'!$J:$J, $A40)</f>
        <v>0</v>
      </c>
      <c r="BO40" s="123">
        <f t="shared" si="12"/>
        <v>0</v>
      </c>
      <c r="BP40" s="121">
        <f>SUMIFS('10AugTo16Aug'!$L:$L, '10AugTo16Aug'!$J:$J, $A40)</f>
        <v>0</v>
      </c>
      <c r="BQ40" s="121">
        <f>SUMIFS('10AugTo16Aug'!$K:$K, '10AugTo16Aug'!$J:$J, $A40)</f>
        <v>0</v>
      </c>
      <c r="BR40" s="121">
        <f>SUMIFS('10AugTo16Aug'!$O:$O, '10AugTo16Aug'!$J:$J, $A40)</f>
        <v>0</v>
      </c>
      <c r="BS40" s="121">
        <f>SUMIFS('10AugTo16Aug'!$P:$P, '10AugTo16Aug'!$J:$J, $A40)</f>
        <v>0</v>
      </c>
      <c r="BT40" s="123">
        <f t="shared" si="13"/>
        <v>0</v>
      </c>
      <c r="BU40" s="121">
        <f>SUMIFS('3AugTo9Aug'!$L:$L, '3AugTo9Aug'!$J:$J, $A40)</f>
        <v>3</v>
      </c>
      <c r="BV40" s="121">
        <f>SUMIFS('3AugTo9Aug'!$K:$K, '3AugTo9Aug'!$J:$J, $A40)</f>
        <v>54</v>
      </c>
      <c r="BW40" s="121">
        <f>SUMIFS('3AugTo9Aug'!$O:$O, '3AugTo9Aug'!$J:$J, $A40)</f>
        <v>13.83</v>
      </c>
      <c r="BX40" s="121">
        <f>SUMIFS('3AugTo9Aug'!$P:$P, '3AugTo9Aug'!$J:$J, $A40)</f>
        <v>24.95</v>
      </c>
      <c r="BY40" s="123">
        <f t="shared" si="14"/>
        <v>55.430861723446903</v>
      </c>
      <c r="BZ40" s="121">
        <f>SUMIFS('27JulyTo2Aug'!$L:$L, '27JulyTo2Aug'!$J:$J, $A40)</f>
        <v>7</v>
      </c>
      <c r="CA40" s="121">
        <f>SUMIFS('27JulyTo2Aug'!$K:$K, '27JulyTo2Aug'!$J:$J, $A40)</f>
        <v>157</v>
      </c>
      <c r="CB40" s="121">
        <f>SUMIFS('27JulyTo2Aug'!$O:$O, '27JulyTo2Aug'!$J:$J, $A40)</f>
        <v>33.630000000000003</v>
      </c>
      <c r="CC40" s="121">
        <f>SUMIFS('27JulyTo2Aug'!$P:$P, '27JulyTo2Aug'!$J:$J, $A40)</f>
        <v>24.95</v>
      </c>
      <c r="CD40" s="123">
        <f t="shared" si="15"/>
        <v>134.78957915831666</v>
      </c>
    </row>
    <row r="41" spans="1:82" ht="14.25" customHeight="1" x14ac:dyDescent="0.3">
      <c r="A41" s="119" t="s">
        <v>308</v>
      </c>
      <c r="B41" s="120" t="str">
        <f t="shared" si="16"/>
        <v>WINNER</v>
      </c>
      <c r="C41" s="121">
        <f>SUMIFS('9NovTo15Nov'!$L:$L, '9NovTo15Nov'!$J:$J, $A41)</f>
        <v>0</v>
      </c>
      <c r="D41" s="121">
        <f>SUMIFS('9NovTo15Nov'!$K:$K, '9NovTo15Nov'!$J:$J, $A41)</f>
        <v>0</v>
      </c>
      <c r="E41" s="121">
        <f>SUMIFS('9NovTo15Nov'!$O:$O, '9NovTo15Nov'!$J:$J, $A41)</f>
        <v>0</v>
      </c>
      <c r="F41" s="121">
        <f>SUMIFS('9NovTo15Nov'!$P:$P, '9NovTo15Nov'!$J:$J, $A41)</f>
        <v>0</v>
      </c>
      <c r="G41" s="122">
        <f t="shared" si="0"/>
        <v>0</v>
      </c>
      <c r="H41" s="121">
        <f>SUMIFS('2NovTo8Nov'!$L:$L, '2NovTo8Nov'!$J:$J, $A41)</f>
        <v>0</v>
      </c>
      <c r="I41" s="121">
        <f>SUMIFS('2NovTo8Nov'!$K:$K, '2NovTo8Nov'!$J:$J, $A41)</f>
        <v>0</v>
      </c>
      <c r="J41" s="121">
        <f>SUMIFS('2NovTo8Nov'!$O:$O, '2NovTo8Nov'!$J:$J, $A41)</f>
        <v>0</v>
      </c>
      <c r="K41" s="121">
        <f>SUMIFS('2NovTo8Nov'!$P:$P, '2NovTo8Nov'!$J:$J, $A41)</f>
        <v>0</v>
      </c>
      <c r="L41" s="122">
        <f t="shared" si="1"/>
        <v>0</v>
      </c>
      <c r="M41" s="121">
        <f>SUMIFS('26OctTo1Nov'!$L:$L, '26OctTo1Nov'!$J:$J, $A41)</f>
        <v>0</v>
      </c>
      <c r="N41" s="121">
        <f>SUMIFS('26OctTo1Nov'!$K:$K, '26OctTo1Nov'!$J:$J, $A41)</f>
        <v>0</v>
      </c>
      <c r="O41" s="121">
        <f>SUMIFS('26OctTo1Nov'!$O:$O, '26OctTo1Nov'!$J:$J, $A41)</f>
        <v>0</v>
      </c>
      <c r="P41" s="121">
        <f>SUMIFS('26OctTo1Nov'!$P:$P, '26OctTo1Nov'!$J:$J, $A41)</f>
        <v>0</v>
      </c>
      <c r="Q41" s="122">
        <f t="shared" si="2"/>
        <v>0</v>
      </c>
      <c r="R41" s="121">
        <f>SUMIFS('19OctTo25Oct'!$L:$L, '19OctTo25Oct'!$J:$J, $A41)</f>
        <v>0</v>
      </c>
      <c r="S41" s="121">
        <f>SUMIFS('19OctTo25Oct'!$K:$K, '19OctTo25Oct'!$J:$J, $A41)</f>
        <v>0</v>
      </c>
      <c r="T41" s="121">
        <f>SUMIFS('19OctTo25Oct'!$O:$O, '19OctTo25Oct'!$J:$J, $A41)</f>
        <v>0</v>
      </c>
      <c r="U41" s="121">
        <f>SUMIFS('19OctTo25Oct'!$P:$P, '19OctTo25Oct'!$J:$J, $A41)</f>
        <v>0</v>
      </c>
      <c r="V41" s="122">
        <f t="shared" si="3"/>
        <v>0</v>
      </c>
      <c r="W41" s="121">
        <f>SUMIFS('12OctTo18Oct'!$L:$L, '12OctTo18Oct'!$J:$J, $A41)</f>
        <v>4</v>
      </c>
      <c r="X41" s="121">
        <f>SUMIFS('12OctTo18Oct'!$K:$K, '12OctTo18Oct'!$J:$J, $A41)</f>
        <v>30</v>
      </c>
      <c r="Y41" s="121">
        <f>SUMIFS('12OctTo18Oct'!$O:$O, '12OctTo18Oct'!$J:$J, $A41)</f>
        <v>14.8</v>
      </c>
      <c r="Z41" s="121">
        <f>SUMIFS('12OctTo18Oct'!$P:$P, '12OctTo18Oct'!$J:$J, $A41)</f>
        <v>65.7</v>
      </c>
      <c r="AA41" s="122">
        <f t="shared" si="4"/>
        <v>22.526636225266362</v>
      </c>
      <c r="AB41" s="121">
        <f>SUMIFS('5OctTo11Oct'!$L:$L, '5OctTo11Oct'!$J:$J, $A41)</f>
        <v>0</v>
      </c>
      <c r="AC41" s="121">
        <f>SUMIFS('5OctTo11Oct'!$K:$K, '5OctTo11Oct'!$J:$J, $A41)</f>
        <v>0</v>
      </c>
      <c r="AD41" s="121">
        <f>SUMIFS('5OctTo11Oct'!$O:$O, '5OctTo11Oct'!$J:$J, $A41)</f>
        <v>0</v>
      </c>
      <c r="AE41" s="121">
        <f>SUMIFS('5OctTo11Oct'!$P:$P, '5OctTo11Oct'!$J:$J, $A41)</f>
        <v>0</v>
      </c>
      <c r="AF41" s="123">
        <f t="shared" si="5"/>
        <v>0</v>
      </c>
      <c r="AG41" s="121">
        <f>SUMIFS('28SepTo4Oct'!$L:$L, '28SepTo4Oct'!$J:$J, $A41)</f>
        <v>0</v>
      </c>
      <c r="AH41" s="121">
        <f>SUMIFS('28SepTo4Oct'!$K:$K, '28SepTo4Oct'!$J:$J, $A41)</f>
        <v>0</v>
      </c>
      <c r="AI41" s="121">
        <f>SUMIFS('28SepTo4Oct'!$O:$O, '28SepTo4Oct'!$J:$J, $A41)</f>
        <v>0</v>
      </c>
      <c r="AJ41" s="121">
        <f>SUMIFS('28SepTo4Oct'!$P:$P, '28SepTo4Oct'!$J:$J, $A41)</f>
        <v>0</v>
      </c>
      <c r="AK41" s="123">
        <f t="shared" si="6"/>
        <v>0</v>
      </c>
      <c r="AL41" s="121">
        <f>SUMIFS('21SepTo27Sep'!$L:$L, '21SepTo27Sep'!$J:$J, $A41)</f>
        <v>4</v>
      </c>
      <c r="AM41" s="121">
        <f>SUMIFS('21SepTo27Sep'!$K:$K, '21SepTo27Sep'!$J:$J, $A41)</f>
        <v>13</v>
      </c>
      <c r="AN41" s="121">
        <f>SUMIFS('21SepTo27Sep'!$O:$O, '21SepTo27Sep'!$J:$J, $A41)</f>
        <v>18.079999999999998</v>
      </c>
      <c r="AO41" s="121">
        <f>SUMIFS('21SepTo27Sep'!$P:$P, '21SepTo27Sep'!$J:$J, $A41)</f>
        <v>21.9</v>
      </c>
      <c r="AP41" s="123">
        <f t="shared" si="7"/>
        <v>82.55707762557077</v>
      </c>
      <c r="AQ41" s="121">
        <f>SUMIFS('14SepTo20Sep'!$L:$L, '14SepTo20Sep'!$J:$J, $A41)</f>
        <v>0</v>
      </c>
      <c r="AR41" s="121">
        <f>SUMIFS('14SepTo20Sep'!$K:$K, '14SepTo20Sep'!$J:$J, $A41)</f>
        <v>0</v>
      </c>
      <c r="AS41" s="121">
        <f>SUMIFS('14SepTo20Sep'!$O:$O, '14SepTo20Sep'!$J:$J, $A41)</f>
        <v>0</v>
      </c>
      <c r="AT41" s="121">
        <f>SUMIFS('14SepTo20Sep'!$P:$P, '14SepTo20Sep'!$J:$J, $A41)</f>
        <v>0</v>
      </c>
      <c r="AU41" s="123">
        <f t="shared" si="8"/>
        <v>0</v>
      </c>
      <c r="AV41" s="121">
        <f>SUMIFS('7SepTo13Sep'!$L:$L, '7SepTo13Sep'!$J:$J, $A41)</f>
        <v>0</v>
      </c>
      <c r="AW41" s="121">
        <f>SUMIFS('7SepTo13Sep'!$K:$K, '7SepTo13Sep'!$J:$J, $A41)</f>
        <v>0</v>
      </c>
      <c r="AX41" s="121">
        <f>SUMIFS('7SepTo13Sep'!$O:$O, '7SepTo13Sep'!$J:$J, $A41)</f>
        <v>0</v>
      </c>
      <c r="AY41" s="121">
        <f>SUMIFS('7SepTo13Sep'!$P:$P, '7SepTo13Sep'!$J:$J, $A41)</f>
        <v>0</v>
      </c>
      <c r="AZ41" s="123">
        <f t="shared" si="9"/>
        <v>0</v>
      </c>
      <c r="BA41" s="121">
        <f>SUMIFS('31AugTo6Sep'!$L:$L, '31AugTo6Sep'!$J:$J, $A41)</f>
        <v>5</v>
      </c>
      <c r="BB41" s="121">
        <f>SUMIFS('31AugTo6Sep'!$K:$K, '31AugTo6Sep'!$J:$J, $A41)</f>
        <v>21</v>
      </c>
      <c r="BC41" s="121">
        <f>SUMIFS('31AugTo6Sep'!$O:$O, '31AugTo6Sep'!$J:$J, $A41)</f>
        <v>17.54</v>
      </c>
      <c r="BD41" s="121">
        <f>SUMIFS('31AugTo6Sep'!$P:$P, '31AugTo6Sep'!$J:$J, $A41)</f>
        <v>21.9</v>
      </c>
      <c r="BE41" s="123">
        <f t="shared" si="10"/>
        <v>80.091324200913235</v>
      </c>
      <c r="BF41" s="121">
        <f>SUMIFS('24AugTo29Aug'!$L:$L, '24AugTo29Aug'!$J:$J, $A41)</f>
        <v>0</v>
      </c>
      <c r="BG41" s="121">
        <f>SUMIFS('24AugTo29Aug'!$K:$K, '24AugTo29Aug'!$J:$J, $A41)</f>
        <v>0</v>
      </c>
      <c r="BH41" s="121">
        <f>SUMIFS('24AugTo29Aug'!$O:$O, '24AugTo29Aug'!$J:$J, $A41)</f>
        <v>0</v>
      </c>
      <c r="BI41" s="121">
        <f>SUMIFS('24AugTo29Aug'!$P:$P, '24AugTo29Aug'!$J:$J, $A41)</f>
        <v>0</v>
      </c>
      <c r="BJ41" s="123">
        <f t="shared" si="11"/>
        <v>0</v>
      </c>
      <c r="BK41" s="121">
        <f>SUMIFS('17AugTo21Aug'!$L:$L, '17AugTo21Aug'!$J:$J, $A41)</f>
        <v>0</v>
      </c>
      <c r="BL41" s="121">
        <f>SUMIFS('17AugTo21Aug'!$K:$K, '17AugTo21Aug'!$J:$J, $A41)</f>
        <v>0</v>
      </c>
      <c r="BM41" s="121">
        <f>SUMIFS('17AugTo21Aug'!$O:$O, '17AugTo21Aug'!$J:$J, $A41)</f>
        <v>0</v>
      </c>
      <c r="BN41" s="121">
        <f>SUMIFS('17AugTo21Aug'!$P:$P, '17AugTo21Aug'!$J:$J, $A41)</f>
        <v>0</v>
      </c>
      <c r="BO41" s="123">
        <f t="shared" si="12"/>
        <v>0</v>
      </c>
      <c r="BP41" s="121">
        <f>SUMIFS('10AugTo16Aug'!$L:$L, '10AugTo16Aug'!$J:$J, $A41)</f>
        <v>0</v>
      </c>
      <c r="BQ41" s="121">
        <f>SUMIFS('10AugTo16Aug'!$K:$K, '10AugTo16Aug'!$J:$J, $A41)</f>
        <v>0</v>
      </c>
      <c r="BR41" s="121">
        <f>SUMIFS('10AugTo16Aug'!$O:$O, '10AugTo16Aug'!$J:$J, $A41)</f>
        <v>0</v>
      </c>
      <c r="BS41" s="121">
        <f>SUMIFS('10AugTo16Aug'!$P:$P, '10AugTo16Aug'!$J:$J, $A41)</f>
        <v>0</v>
      </c>
      <c r="BT41" s="123">
        <f t="shared" si="13"/>
        <v>0</v>
      </c>
      <c r="BU41" s="121">
        <f>SUMIFS('3AugTo9Aug'!$L:$L, '3AugTo9Aug'!$J:$J, $A41)</f>
        <v>0</v>
      </c>
      <c r="BV41" s="121">
        <f>SUMIFS('3AugTo9Aug'!$K:$K, '3AugTo9Aug'!$J:$J, $A41)</f>
        <v>0</v>
      </c>
      <c r="BW41" s="121">
        <f>SUMIFS('3AugTo9Aug'!$O:$O, '3AugTo9Aug'!$J:$J, $A41)</f>
        <v>0</v>
      </c>
      <c r="BX41" s="121">
        <f>SUMIFS('3AugTo9Aug'!$P:$P, '3AugTo9Aug'!$J:$J, $A41)</f>
        <v>0</v>
      </c>
      <c r="BY41" s="123">
        <f t="shared" si="14"/>
        <v>0</v>
      </c>
      <c r="BZ41" s="121">
        <f>SUMIFS('27JulyTo2Aug'!$L:$L, '27JulyTo2Aug'!$J:$J, $A41)</f>
        <v>0</v>
      </c>
      <c r="CA41" s="121">
        <f>SUMIFS('27JulyTo2Aug'!$K:$K, '27JulyTo2Aug'!$J:$J, $A41)</f>
        <v>0</v>
      </c>
      <c r="CB41" s="121">
        <f>SUMIFS('27JulyTo2Aug'!$O:$O, '27JulyTo2Aug'!$J:$J, $A41)</f>
        <v>0</v>
      </c>
      <c r="CC41" s="121">
        <f>SUMIFS('27JulyTo2Aug'!$P:$P, '27JulyTo2Aug'!$J:$J, $A41)</f>
        <v>0</v>
      </c>
      <c r="CD41" s="123">
        <f t="shared" si="15"/>
        <v>0</v>
      </c>
    </row>
    <row r="42" spans="1:82" ht="14.25" customHeight="1" x14ac:dyDescent="0.3">
      <c r="A42" s="124" t="s">
        <v>130</v>
      </c>
      <c r="B42" s="120" t="str">
        <f t="shared" si="16"/>
        <v>WINNER</v>
      </c>
      <c r="C42" s="121">
        <f>SUMIFS('9NovTo15Nov'!$L:$L, '9NovTo15Nov'!$J:$J, $A42)</f>
        <v>0</v>
      </c>
      <c r="D42" s="121">
        <f>SUMIFS('9NovTo15Nov'!$K:$K, '9NovTo15Nov'!$J:$J, $A42)</f>
        <v>0</v>
      </c>
      <c r="E42" s="121">
        <f>SUMIFS('9NovTo15Nov'!$O:$O, '9NovTo15Nov'!$J:$J, $A42)</f>
        <v>0</v>
      </c>
      <c r="F42" s="121">
        <f>SUMIFS('9NovTo15Nov'!$P:$P, '9NovTo15Nov'!$J:$J, $A42)</f>
        <v>0</v>
      </c>
      <c r="G42" s="122">
        <f t="shared" si="0"/>
        <v>0</v>
      </c>
      <c r="H42" s="121">
        <f>SUMIFS('2NovTo8Nov'!$L:$L, '2NovTo8Nov'!$J:$J, $A42)</f>
        <v>1</v>
      </c>
      <c r="I42" s="121">
        <f>SUMIFS('2NovTo8Nov'!$K:$K, '2NovTo8Nov'!$J:$J, $A42)</f>
        <v>1</v>
      </c>
      <c r="J42" s="121">
        <f>SUMIFS('2NovTo8Nov'!$O:$O, '2NovTo8Nov'!$J:$J, $A42)</f>
        <v>3</v>
      </c>
      <c r="K42" s="121">
        <f>SUMIFS('2NovTo8Nov'!$P:$P, '2NovTo8Nov'!$J:$J, $A42)</f>
        <v>21.9</v>
      </c>
      <c r="L42" s="122">
        <f t="shared" si="1"/>
        <v>13.698630136986303</v>
      </c>
      <c r="M42" s="121">
        <f>SUMIFS('26OctTo1Nov'!$L:$L, '26OctTo1Nov'!$J:$J, $A42)</f>
        <v>0</v>
      </c>
      <c r="N42" s="121">
        <f>SUMIFS('26OctTo1Nov'!$K:$K, '26OctTo1Nov'!$J:$J, $A42)</f>
        <v>0</v>
      </c>
      <c r="O42" s="121">
        <f>SUMIFS('26OctTo1Nov'!$O:$O, '26OctTo1Nov'!$J:$J, $A42)</f>
        <v>0</v>
      </c>
      <c r="P42" s="121">
        <f>SUMIFS('26OctTo1Nov'!$P:$P, '26OctTo1Nov'!$J:$J, $A42)</f>
        <v>0</v>
      </c>
      <c r="Q42" s="122">
        <f t="shared" si="2"/>
        <v>0</v>
      </c>
      <c r="R42" s="121">
        <f>SUMIFS('19OctTo25Oct'!$L:$L, '19OctTo25Oct'!$J:$J, $A42)</f>
        <v>0</v>
      </c>
      <c r="S42" s="121">
        <f>SUMIFS('19OctTo25Oct'!$K:$K, '19OctTo25Oct'!$J:$J, $A42)</f>
        <v>0</v>
      </c>
      <c r="T42" s="121">
        <f>SUMIFS('19OctTo25Oct'!$O:$O, '19OctTo25Oct'!$J:$J, $A42)</f>
        <v>0</v>
      </c>
      <c r="U42" s="121">
        <f>SUMIFS('19OctTo25Oct'!$P:$P, '19OctTo25Oct'!$J:$J, $A42)</f>
        <v>0</v>
      </c>
      <c r="V42" s="122">
        <f t="shared" si="3"/>
        <v>0</v>
      </c>
      <c r="W42" s="121">
        <f>SUMIFS('12OctTo18Oct'!$L:$L, '12OctTo18Oct'!$J:$J, $A42)</f>
        <v>2</v>
      </c>
      <c r="X42" s="121">
        <f>SUMIFS('12OctTo18Oct'!$K:$K, '12OctTo18Oct'!$J:$J, $A42)</f>
        <v>6</v>
      </c>
      <c r="Y42" s="121">
        <f>SUMIFS('12OctTo18Oct'!$O:$O, '12OctTo18Oct'!$J:$J, $A42)</f>
        <v>6.13</v>
      </c>
      <c r="Z42" s="121">
        <f>SUMIFS('12OctTo18Oct'!$P:$P, '12OctTo18Oct'!$J:$J, $A42)</f>
        <v>21.9</v>
      </c>
      <c r="AA42" s="122">
        <f t="shared" si="4"/>
        <v>27.990867579908681</v>
      </c>
      <c r="AB42" s="121">
        <f>SUMIFS('5OctTo11Oct'!$L:$L, '5OctTo11Oct'!$J:$J, $A42)</f>
        <v>0</v>
      </c>
      <c r="AC42" s="121">
        <f>SUMIFS('5OctTo11Oct'!$K:$K, '5OctTo11Oct'!$J:$J, $A42)</f>
        <v>0</v>
      </c>
      <c r="AD42" s="121">
        <f>SUMIFS('5OctTo11Oct'!$O:$O, '5OctTo11Oct'!$J:$J, $A42)</f>
        <v>0</v>
      </c>
      <c r="AE42" s="121">
        <f>SUMIFS('5OctTo11Oct'!$P:$P, '5OctTo11Oct'!$J:$J, $A42)</f>
        <v>0</v>
      </c>
      <c r="AF42" s="123">
        <f t="shared" si="5"/>
        <v>0</v>
      </c>
      <c r="AG42" s="121">
        <f>SUMIFS('28SepTo4Oct'!$L:$L, '28SepTo4Oct'!$J:$J, $A42)</f>
        <v>0</v>
      </c>
      <c r="AH42" s="121">
        <f>SUMIFS('28SepTo4Oct'!$K:$K, '28SepTo4Oct'!$J:$J, $A42)</f>
        <v>0</v>
      </c>
      <c r="AI42" s="121">
        <f>SUMIFS('28SepTo4Oct'!$O:$O, '28SepTo4Oct'!$J:$J, $A42)</f>
        <v>0</v>
      </c>
      <c r="AJ42" s="121">
        <f>SUMIFS('28SepTo4Oct'!$P:$P, '28SepTo4Oct'!$J:$J, $A42)</f>
        <v>0</v>
      </c>
      <c r="AK42" s="123">
        <f t="shared" si="6"/>
        <v>0</v>
      </c>
      <c r="AL42" s="121">
        <f>SUMIFS('21SepTo27Sep'!$L:$L, '21SepTo27Sep'!$J:$J, $A42)</f>
        <v>0</v>
      </c>
      <c r="AM42" s="121">
        <f>SUMIFS('21SepTo27Sep'!$K:$K, '21SepTo27Sep'!$J:$J, $A42)</f>
        <v>0</v>
      </c>
      <c r="AN42" s="121">
        <f>SUMIFS('21SepTo27Sep'!$O:$O, '21SepTo27Sep'!$J:$J, $A42)</f>
        <v>0</v>
      </c>
      <c r="AO42" s="121">
        <f>SUMIFS('21SepTo27Sep'!$P:$P, '21SepTo27Sep'!$J:$J, $A42)</f>
        <v>0</v>
      </c>
      <c r="AP42" s="123">
        <f t="shared" si="7"/>
        <v>0</v>
      </c>
      <c r="AQ42" s="121">
        <f>SUMIFS('14SepTo20Sep'!$L:$L, '14SepTo20Sep'!$J:$J, $A42)</f>
        <v>0</v>
      </c>
      <c r="AR42" s="121">
        <f>SUMIFS('14SepTo20Sep'!$K:$K, '14SepTo20Sep'!$J:$J, $A42)</f>
        <v>0</v>
      </c>
      <c r="AS42" s="121">
        <f>SUMIFS('14SepTo20Sep'!$O:$O, '14SepTo20Sep'!$J:$J, $A42)</f>
        <v>0</v>
      </c>
      <c r="AT42" s="121">
        <f>SUMIFS('14SepTo20Sep'!$P:$P, '14SepTo20Sep'!$J:$J, $A42)</f>
        <v>0</v>
      </c>
      <c r="AU42" s="123">
        <f t="shared" si="8"/>
        <v>0</v>
      </c>
      <c r="AV42" s="121">
        <f>SUMIFS('7SepTo13Sep'!$L:$L, '7SepTo13Sep'!$J:$J, $A42)</f>
        <v>3</v>
      </c>
      <c r="AW42" s="121">
        <f>SUMIFS('7SepTo13Sep'!$K:$K, '7SepTo13Sep'!$J:$J, $A42)</f>
        <v>12</v>
      </c>
      <c r="AX42" s="121">
        <f>SUMIFS('7SepTo13Sep'!$O:$O, '7SepTo13Sep'!$J:$J, $A42)</f>
        <v>13.87</v>
      </c>
      <c r="AY42" s="121">
        <f>SUMIFS('7SepTo13Sep'!$P:$P, '7SepTo13Sep'!$J:$J, $A42)</f>
        <v>65.699999999999989</v>
      </c>
      <c r="AZ42" s="123">
        <f t="shared" si="9"/>
        <v>21.111111111111114</v>
      </c>
      <c r="BA42" s="121">
        <f>SUMIFS('31AugTo6Sep'!$L:$L, '31AugTo6Sep'!$J:$J, $A42)</f>
        <v>1</v>
      </c>
      <c r="BB42" s="121">
        <f>SUMIFS('31AugTo6Sep'!$K:$K, '31AugTo6Sep'!$J:$J, $A42)</f>
        <v>2</v>
      </c>
      <c r="BC42" s="121">
        <f>SUMIFS('31AugTo6Sep'!$O:$O, '31AugTo6Sep'!$J:$J, $A42)</f>
        <v>3.51</v>
      </c>
      <c r="BD42" s="121">
        <f>SUMIFS('31AugTo6Sep'!$P:$P, '31AugTo6Sep'!$J:$J, $A42)</f>
        <v>21.9</v>
      </c>
      <c r="BE42" s="123">
        <f t="shared" si="10"/>
        <v>16.027397260273972</v>
      </c>
      <c r="BF42" s="121">
        <f>SUMIFS('24AugTo29Aug'!$L:$L, '24AugTo29Aug'!$J:$J, $A42)</f>
        <v>0</v>
      </c>
      <c r="BG42" s="121">
        <f>SUMIFS('24AugTo29Aug'!$K:$K, '24AugTo29Aug'!$J:$J, $A42)</f>
        <v>0</v>
      </c>
      <c r="BH42" s="121">
        <f>SUMIFS('24AugTo29Aug'!$O:$O, '24AugTo29Aug'!$J:$J, $A42)</f>
        <v>0</v>
      </c>
      <c r="BI42" s="121">
        <f>SUMIFS('24AugTo29Aug'!$P:$P, '24AugTo29Aug'!$J:$J, $A42)</f>
        <v>0</v>
      </c>
      <c r="BJ42" s="123">
        <f t="shared" si="11"/>
        <v>0</v>
      </c>
      <c r="BK42" s="121">
        <f>SUMIFS('17AugTo21Aug'!$L:$L, '17AugTo21Aug'!$J:$J, $A42)</f>
        <v>2</v>
      </c>
      <c r="BL42" s="121">
        <f>SUMIFS('17AugTo21Aug'!$K:$K, '17AugTo21Aug'!$J:$J, $A42)</f>
        <v>14</v>
      </c>
      <c r="BM42" s="121">
        <f>SUMIFS('17AugTo21Aug'!$O:$O, '17AugTo21Aug'!$J:$J, $A42)</f>
        <v>8.59</v>
      </c>
      <c r="BN42" s="121">
        <f>SUMIFS('17AugTo21Aug'!$P:$P, '17AugTo21Aug'!$J:$J, $A42)</f>
        <v>21.95</v>
      </c>
      <c r="BO42" s="123">
        <f t="shared" si="12"/>
        <v>39.134396355353076</v>
      </c>
      <c r="BP42" s="121">
        <f>SUMIFS('10AugTo16Aug'!$L:$L, '10AugTo16Aug'!$J:$J, $A42)</f>
        <v>1</v>
      </c>
      <c r="BQ42" s="121">
        <f>SUMIFS('10AugTo16Aug'!$K:$K, '10AugTo16Aug'!$J:$J, $A42)</f>
        <v>4</v>
      </c>
      <c r="BR42" s="121">
        <f>SUMIFS('10AugTo16Aug'!$O:$O, '10AugTo16Aug'!$J:$J, $A42)</f>
        <v>4.0599999999999996</v>
      </c>
      <c r="BS42" s="121">
        <f>SUMIFS('10AugTo16Aug'!$P:$P, '10AugTo16Aug'!$J:$J, $A42)</f>
        <v>21.95</v>
      </c>
      <c r="BT42" s="123">
        <f t="shared" si="13"/>
        <v>18.496583143507973</v>
      </c>
      <c r="BU42" s="121">
        <f>SUMIFS('3AugTo9Aug'!$L:$L, '3AugTo9Aug'!$J:$J, $A42)</f>
        <v>0</v>
      </c>
      <c r="BV42" s="121">
        <f>SUMIFS('3AugTo9Aug'!$K:$K, '3AugTo9Aug'!$J:$J, $A42)</f>
        <v>0</v>
      </c>
      <c r="BW42" s="121">
        <f>SUMIFS('3AugTo9Aug'!$O:$O, '3AugTo9Aug'!$J:$J, $A42)</f>
        <v>0</v>
      </c>
      <c r="BX42" s="121">
        <f>SUMIFS('3AugTo9Aug'!$P:$P, '3AugTo9Aug'!$J:$J, $A42)</f>
        <v>0</v>
      </c>
      <c r="BY42" s="123">
        <f t="shared" si="14"/>
        <v>0</v>
      </c>
      <c r="BZ42" s="121">
        <f>SUMIFS('27JulyTo2Aug'!$L:$L, '27JulyTo2Aug'!$J:$J, $A42)</f>
        <v>2</v>
      </c>
      <c r="CA42" s="121">
        <f>SUMIFS('27JulyTo2Aug'!$K:$K, '27JulyTo2Aug'!$J:$J, $A42)</f>
        <v>4</v>
      </c>
      <c r="CB42" s="121">
        <f>SUMIFS('27JulyTo2Aug'!$O:$O, '27JulyTo2Aug'!$J:$J, $A42)</f>
        <v>6.03</v>
      </c>
      <c r="CC42" s="121">
        <f>SUMIFS('27JulyTo2Aug'!$P:$P, '27JulyTo2Aug'!$J:$J, $A42)</f>
        <v>24.95</v>
      </c>
      <c r="CD42" s="123">
        <f t="shared" si="15"/>
        <v>24.168336673346698</v>
      </c>
    </row>
    <row r="43" spans="1:82" ht="14.25" customHeight="1" x14ac:dyDescent="0.3">
      <c r="A43" s="124" t="s">
        <v>692</v>
      </c>
      <c r="B43" s="120" t="str">
        <f t="shared" si="16"/>
        <v>NO TRAFFIC</v>
      </c>
      <c r="C43" s="121">
        <f>SUMIFS('9NovTo15Nov'!$L:$L, '9NovTo15Nov'!$J:$J, $A43)</f>
        <v>0</v>
      </c>
      <c r="D43" s="121">
        <f>SUMIFS('9NovTo15Nov'!$K:$K, '9NovTo15Nov'!$J:$J, $A43)</f>
        <v>0</v>
      </c>
      <c r="E43" s="121">
        <f>SUMIFS('9NovTo15Nov'!$O:$O, '9NovTo15Nov'!$J:$J, $A43)</f>
        <v>0</v>
      </c>
      <c r="F43" s="121">
        <f>SUMIFS('9NovTo15Nov'!$P:$P, '9NovTo15Nov'!$J:$J, $A43)</f>
        <v>0</v>
      </c>
      <c r="G43" s="122">
        <f t="shared" si="0"/>
        <v>0</v>
      </c>
      <c r="H43" s="121">
        <f>SUMIFS('2NovTo8Nov'!$L:$L, '2NovTo8Nov'!$J:$J, $A43)</f>
        <v>0</v>
      </c>
      <c r="I43" s="121">
        <f>SUMIFS('2NovTo8Nov'!$K:$K, '2NovTo8Nov'!$J:$J, $A43)</f>
        <v>0</v>
      </c>
      <c r="J43" s="121">
        <f>SUMIFS('2NovTo8Nov'!$O:$O, '2NovTo8Nov'!$J:$J, $A43)</f>
        <v>0</v>
      </c>
      <c r="K43" s="121">
        <f>SUMIFS('2NovTo8Nov'!$P:$P, '2NovTo8Nov'!$J:$J, $A43)</f>
        <v>0</v>
      </c>
      <c r="L43" s="122">
        <f t="shared" si="1"/>
        <v>0</v>
      </c>
      <c r="M43" s="121">
        <f>SUMIFS('26OctTo1Nov'!$L:$L, '26OctTo1Nov'!$J:$J, $A43)</f>
        <v>0</v>
      </c>
      <c r="N43" s="121">
        <f>SUMIFS('26OctTo1Nov'!$K:$K, '26OctTo1Nov'!$J:$J, $A43)</f>
        <v>0</v>
      </c>
      <c r="O43" s="121">
        <f>SUMIFS('26OctTo1Nov'!$O:$O, '26OctTo1Nov'!$J:$J, $A43)</f>
        <v>0</v>
      </c>
      <c r="P43" s="121">
        <f>SUMIFS('26OctTo1Nov'!$P:$P, '26OctTo1Nov'!$J:$J, $A43)</f>
        <v>0</v>
      </c>
      <c r="Q43" s="122">
        <f t="shared" si="2"/>
        <v>0</v>
      </c>
      <c r="R43" s="121">
        <f>SUMIFS('19OctTo25Oct'!$L:$L, '19OctTo25Oct'!$J:$J, $A43)</f>
        <v>0</v>
      </c>
      <c r="S43" s="121">
        <f>SUMIFS('19OctTo25Oct'!$K:$K, '19OctTo25Oct'!$J:$J, $A43)</f>
        <v>0</v>
      </c>
      <c r="T43" s="121">
        <f>SUMIFS('19OctTo25Oct'!$O:$O, '19OctTo25Oct'!$J:$J, $A43)</f>
        <v>0</v>
      </c>
      <c r="U43" s="121">
        <f>SUMIFS('19OctTo25Oct'!$P:$P, '19OctTo25Oct'!$J:$J, $A43)</f>
        <v>0</v>
      </c>
      <c r="V43" s="122">
        <f t="shared" si="3"/>
        <v>0</v>
      </c>
      <c r="W43" s="121">
        <f>SUMIFS('12OctTo18Oct'!$L:$L, '12OctTo18Oct'!$J:$J, $A43)</f>
        <v>0</v>
      </c>
      <c r="X43" s="121">
        <f>SUMIFS('12OctTo18Oct'!$K:$K, '12OctTo18Oct'!$J:$J, $A43)</f>
        <v>0</v>
      </c>
      <c r="Y43" s="121">
        <f>SUMIFS('12OctTo18Oct'!$O:$O, '12OctTo18Oct'!$J:$J, $A43)</f>
        <v>0</v>
      </c>
      <c r="Z43" s="121">
        <f>SUMIFS('12OctTo18Oct'!$P:$P, '12OctTo18Oct'!$J:$J, $A43)</f>
        <v>0</v>
      </c>
      <c r="AA43" s="122">
        <f t="shared" si="4"/>
        <v>0</v>
      </c>
      <c r="AB43" s="121">
        <f>SUMIFS('5OctTo11Oct'!$L:$L, '5OctTo11Oct'!$J:$J, $A43)</f>
        <v>0</v>
      </c>
      <c r="AC43" s="121">
        <f>SUMIFS('5OctTo11Oct'!$K:$K, '5OctTo11Oct'!$J:$J, $A43)</f>
        <v>0</v>
      </c>
      <c r="AD43" s="121">
        <f>SUMIFS('5OctTo11Oct'!$O:$O, '5OctTo11Oct'!$J:$J, $A43)</f>
        <v>0</v>
      </c>
      <c r="AE43" s="121">
        <f>SUMIFS('5OctTo11Oct'!$P:$P, '5OctTo11Oct'!$J:$J, $A43)</f>
        <v>0</v>
      </c>
      <c r="AF43" s="123">
        <f t="shared" si="5"/>
        <v>0</v>
      </c>
      <c r="AG43" s="121">
        <f>SUMIFS('28SepTo4Oct'!$L:$L, '28SepTo4Oct'!$J:$J, $A43)</f>
        <v>0</v>
      </c>
      <c r="AH43" s="121">
        <f>SUMIFS('28SepTo4Oct'!$K:$K, '28SepTo4Oct'!$J:$J, $A43)</f>
        <v>0</v>
      </c>
      <c r="AI43" s="121">
        <f>SUMIFS('28SepTo4Oct'!$O:$O, '28SepTo4Oct'!$J:$J, $A43)</f>
        <v>0</v>
      </c>
      <c r="AJ43" s="121">
        <f>SUMIFS('28SepTo4Oct'!$P:$P, '28SepTo4Oct'!$J:$J, $A43)</f>
        <v>0</v>
      </c>
      <c r="AK43" s="123">
        <f t="shared" si="6"/>
        <v>0</v>
      </c>
      <c r="AL43" s="121">
        <f>SUMIFS('21SepTo27Sep'!$L:$L, '21SepTo27Sep'!$J:$J, $A43)</f>
        <v>0</v>
      </c>
      <c r="AM43" s="121">
        <f>SUMIFS('21SepTo27Sep'!$K:$K, '21SepTo27Sep'!$J:$J, $A43)</f>
        <v>0</v>
      </c>
      <c r="AN43" s="121">
        <f>SUMIFS('21SepTo27Sep'!$O:$O, '21SepTo27Sep'!$J:$J, $A43)</f>
        <v>0</v>
      </c>
      <c r="AO43" s="121">
        <f>SUMIFS('21SepTo27Sep'!$P:$P, '21SepTo27Sep'!$J:$J, $A43)</f>
        <v>0</v>
      </c>
      <c r="AP43" s="123">
        <f t="shared" si="7"/>
        <v>0</v>
      </c>
      <c r="AQ43" s="121">
        <f>SUMIFS('14SepTo20Sep'!$L:$L, '14SepTo20Sep'!$J:$J, $A43)</f>
        <v>0</v>
      </c>
      <c r="AR43" s="121">
        <f>SUMIFS('14SepTo20Sep'!$K:$K, '14SepTo20Sep'!$J:$J, $A43)</f>
        <v>0</v>
      </c>
      <c r="AS43" s="121">
        <f>SUMIFS('14SepTo20Sep'!$O:$O, '14SepTo20Sep'!$J:$J, $A43)</f>
        <v>0</v>
      </c>
      <c r="AT43" s="121">
        <f>SUMIFS('14SepTo20Sep'!$P:$P, '14SepTo20Sep'!$J:$J, $A43)</f>
        <v>0</v>
      </c>
      <c r="AU43" s="123">
        <f t="shared" si="8"/>
        <v>0</v>
      </c>
      <c r="AV43" s="121">
        <f>SUMIFS('7SepTo13Sep'!$L:$L, '7SepTo13Sep'!$J:$J, $A43)</f>
        <v>0</v>
      </c>
      <c r="AW43" s="121">
        <f>SUMIFS('7SepTo13Sep'!$K:$K, '7SepTo13Sep'!$J:$J, $A43)</f>
        <v>0</v>
      </c>
      <c r="AX43" s="121">
        <f>SUMIFS('7SepTo13Sep'!$O:$O, '7SepTo13Sep'!$J:$J, $A43)</f>
        <v>0</v>
      </c>
      <c r="AY43" s="121">
        <f>SUMIFS('7SepTo13Sep'!$P:$P, '7SepTo13Sep'!$J:$J, $A43)</f>
        <v>0</v>
      </c>
      <c r="AZ43" s="123">
        <f t="shared" si="9"/>
        <v>0</v>
      </c>
      <c r="BA43" s="121">
        <f>SUMIFS('31AugTo6Sep'!$L:$L, '31AugTo6Sep'!$J:$J, $A43)</f>
        <v>0</v>
      </c>
      <c r="BB43" s="121">
        <f>SUMIFS('31AugTo6Sep'!$K:$K, '31AugTo6Sep'!$J:$J, $A43)</f>
        <v>0</v>
      </c>
      <c r="BC43" s="121">
        <f>SUMIFS('31AugTo6Sep'!$O:$O, '31AugTo6Sep'!$J:$J, $A43)</f>
        <v>0</v>
      </c>
      <c r="BD43" s="121">
        <f>SUMIFS('31AugTo6Sep'!$P:$P, '31AugTo6Sep'!$J:$J, $A43)</f>
        <v>0</v>
      </c>
      <c r="BE43" s="123">
        <f t="shared" si="10"/>
        <v>0</v>
      </c>
      <c r="BF43" s="121">
        <f>SUMIFS('24AugTo29Aug'!$L:$L, '24AugTo29Aug'!$J:$J, $A43)</f>
        <v>0</v>
      </c>
      <c r="BG43" s="121">
        <f>SUMIFS('24AugTo29Aug'!$K:$K, '24AugTo29Aug'!$J:$J, $A43)</f>
        <v>0</v>
      </c>
      <c r="BH43" s="121">
        <f>SUMIFS('24AugTo29Aug'!$O:$O, '24AugTo29Aug'!$J:$J, $A43)</f>
        <v>0</v>
      </c>
      <c r="BI43" s="121">
        <f>SUMIFS('24AugTo29Aug'!$P:$P, '24AugTo29Aug'!$J:$J, $A43)</f>
        <v>0</v>
      </c>
      <c r="BJ43" s="123">
        <f t="shared" si="11"/>
        <v>0</v>
      </c>
      <c r="BK43" s="121">
        <f>SUMIFS('17AugTo21Aug'!$L:$L, '17AugTo21Aug'!$J:$J, $A43)</f>
        <v>0</v>
      </c>
      <c r="BL43" s="121">
        <f>SUMIFS('17AugTo21Aug'!$K:$K, '17AugTo21Aug'!$J:$J, $A43)</f>
        <v>0</v>
      </c>
      <c r="BM43" s="121">
        <f>SUMIFS('17AugTo21Aug'!$O:$O, '17AugTo21Aug'!$J:$J, $A43)</f>
        <v>0</v>
      </c>
      <c r="BN43" s="121">
        <f>SUMIFS('17AugTo21Aug'!$P:$P, '17AugTo21Aug'!$J:$J, $A43)</f>
        <v>0</v>
      </c>
      <c r="BO43" s="123">
        <f t="shared" si="12"/>
        <v>0</v>
      </c>
      <c r="BP43" s="121">
        <f>SUMIFS('10AugTo16Aug'!$L:$L, '10AugTo16Aug'!$J:$J, $A43)</f>
        <v>1</v>
      </c>
      <c r="BQ43" s="121">
        <f>SUMIFS('10AugTo16Aug'!$K:$K, '10AugTo16Aug'!$J:$J, $A43)</f>
        <v>2</v>
      </c>
      <c r="BR43" s="121">
        <f>SUMIFS('10AugTo16Aug'!$O:$O, '10AugTo16Aug'!$J:$J, $A43)</f>
        <v>2</v>
      </c>
      <c r="BS43" s="121">
        <f>SUMIFS('10AugTo16Aug'!$P:$P, '10AugTo16Aug'!$J:$J, $A43)</f>
        <v>21.95</v>
      </c>
      <c r="BT43" s="123">
        <f t="shared" si="13"/>
        <v>9.1116173120728927</v>
      </c>
      <c r="BU43" s="121">
        <f>SUMIFS('3AugTo9Aug'!$L:$L, '3AugTo9Aug'!$J:$J, $A43)</f>
        <v>0</v>
      </c>
      <c r="BV43" s="121">
        <f>SUMIFS('3AugTo9Aug'!$K:$K, '3AugTo9Aug'!$J:$J, $A43)</f>
        <v>0</v>
      </c>
      <c r="BW43" s="121">
        <f>SUMIFS('3AugTo9Aug'!$O:$O, '3AugTo9Aug'!$J:$J, $A43)</f>
        <v>0</v>
      </c>
      <c r="BX43" s="121">
        <f>SUMIFS('3AugTo9Aug'!$P:$P, '3AugTo9Aug'!$J:$J, $A43)</f>
        <v>0</v>
      </c>
      <c r="BY43" s="123">
        <f t="shared" si="14"/>
        <v>0</v>
      </c>
      <c r="BZ43" s="121">
        <f>SUMIFS('27JulyTo2Aug'!$L:$L, '27JulyTo2Aug'!$J:$J, $A43)</f>
        <v>0</v>
      </c>
      <c r="CA43" s="121">
        <f>SUMIFS('27JulyTo2Aug'!$K:$K, '27JulyTo2Aug'!$J:$J, $A43)</f>
        <v>0</v>
      </c>
      <c r="CB43" s="121">
        <f>SUMIFS('27JulyTo2Aug'!$O:$O, '27JulyTo2Aug'!$J:$J, $A43)</f>
        <v>0</v>
      </c>
      <c r="CC43" s="121">
        <f>SUMIFS('27JulyTo2Aug'!$P:$P, '27JulyTo2Aug'!$J:$J, $A43)</f>
        <v>0</v>
      </c>
      <c r="CD43" s="123">
        <f t="shared" si="15"/>
        <v>0</v>
      </c>
    </row>
    <row r="44" spans="1:82" ht="14.25" customHeight="1" x14ac:dyDescent="0.3">
      <c r="A44" s="119" t="s">
        <v>443</v>
      </c>
      <c r="B44" s="120" t="str">
        <f t="shared" si="16"/>
        <v>NO TRAFFIC</v>
      </c>
      <c r="C44" s="121">
        <f>SUMIFS('9NovTo15Nov'!$L:$L, '9NovTo15Nov'!$J:$J, $A44)</f>
        <v>0</v>
      </c>
      <c r="D44" s="121">
        <f>SUMIFS('9NovTo15Nov'!$K:$K, '9NovTo15Nov'!$J:$J, $A44)</f>
        <v>0</v>
      </c>
      <c r="E44" s="121">
        <f>SUMIFS('9NovTo15Nov'!$O:$O, '9NovTo15Nov'!$J:$J, $A44)</f>
        <v>0</v>
      </c>
      <c r="F44" s="121">
        <f>SUMIFS('9NovTo15Nov'!$P:$P, '9NovTo15Nov'!$J:$J, $A44)</f>
        <v>0</v>
      </c>
      <c r="G44" s="122">
        <f t="shared" si="0"/>
        <v>0</v>
      </c>
      <c r="H44" s="121">
        <f>SUMIFS('2NovTo8Nov'!$L:$L, '2NovTo8Nov'!$J:$J, $A44)</f>
        <v>0</v>
      </c>
      <c r="I44" s="121">
        <f>SUMIFS('2NovTo8Nov'!$K:$K, '2NovTo8Nov'!$J:$J, $A44)</f>
        <v>0</v>
      </c>
      <c r="J44" s="121">
        <f>SUMIFS('2NovTo8Nov'!$O:$O, '2NovTo8Nov'!$J:$J, $A44)</f>
        <v>0</v>
      </c>
      <c r="K44" s="121">
        <f>SUMIFS('2NovTo8Nov'!$P:$P, '2NovTo8Nov'!$J:$J, $A44)</f>
        <v>0</v>
      </c>
      <c r="L44" s="122">
        <f t="shared" si="1"/>
        <v>0</v>
      </c>
      <c r="M44" s="121">
        <f>SUMIFS('26OctTo1Nov'!$L:$L, '26OctTo1Nov'!$J:$J, $A44)</f>
        <v>0</v>
      </c>
      <c r="N44" s="121">
        <f>SUMIFS('26OctTo1Nov'!$K:$K, '26OctTo1Nov'!$J:$J, $A44)</f>
        <v>0</v>
      </c>
      <c r="O44" s="121">
        <f>SUMIFS('26OctTo1Nov'!$O:$O, '26OctTo1Nov'!$J:$J, $A44)</f>
        <v>0</v>
      </c>
      <c r="P44" s="121">
        <f>SUMIFS('26OctTo1Nov'!$P:$P, '26OctTo1Nov'!$J:$J, $A44)</f>
        <v>0</v>
      </c>
      <c r="Q44" s="122">
        <f t="shared" si="2"/>
        <v>0</v>
      </c>
      <c r="R44" s="121">
        <f>SUMIFS('19OctTo25Oct'!$L:$L, '19OctTo25Oct'!$J:$J, $A44)</f>
        <v>0</v>
      </c>
      <c r="S44" s="121">
        <f>SUMIFS('19OctTo25Oct'!$K:$K, '19OctTo25Oct'!$J:$J, $A44)</f>
        <v>0</v>
      </c>
      <c r="T44" s="121">
        <f>SUMIFS('19OctTo25Oct'!$O:$O, '19OctTo25Oct'!$J:$J, $A44)</f>
        <v>0</v>
      </c>
      <c r="U44" s="121">
        <f>SUMIFS('19OctTo25Oct'!$P:$P, '19OctTo25Oct'!$J:$J, $A44)</f>
        <v>0</v>
      </c>
      <c r="V44" s="122">
        <f t="shared" si="3"/>
        <v>0</v>
      </c>
      <c r="W44" s="121">
        <f>SUMIFS('12OctTo18Oct'!$L:$L, '12OctTo18Oct'!$J:$J, $A44)</f>
        <v>0</v>
      </c>
      <c r="X44" s="121">
        <f>SUMIFS('12OctTo18Oct'!$K:$K, '12OctTo18Oct'!$J:$J, $A44)</f>
        <v>0</v>
      </c>
      <c r="Y44" s="121">
        <f>SUMIFS('12OctTo18Oct'!$O:$O, '12OctTo18Oct'!$J:$J, $A44)</f>
        <v>0</v>
      </c>
      <c r="Z44" s="121">
        <f>SUMIFS('12OctTo18Oct'!$P:$P, '12OctTo18Oct'!$J:$J, $A44)</f>
        <v>0</v>
      </c>
      <c r="AA44" s="122">
        <f t="shared" si="4"/>
        <v>0</v>
      </c>
      <c r="AB44" s="121">
        <f>SUMIFS('5OctTo11Oct'!$L:$L, '5OctTo11Oct'!$J:$J, $A44)</f>
        <v>0</v>
      </c>
      <c r="AC44" s="121">
        <f>SUMIFS('5OctTo11Oct'!$K:$K, '5OctTo11Oct'!$J:$J, $A44)</f>
        <v>0</v>
      </c>
      <c r="AD44" s="121">
        <f>SUMIFS('5OctTo11Oct'!$O:$O, '5OctTo11Oct'!$J:$J, $A44)</f>
        <v>0</v>
      </c>
      <c r="AE44" s="121">
        <f>SUMIFS('5OctTo11Oct'!$P:$P, '5OctTo11Oct'!$J:$J, $A44)</f>
        <v>0</v>
      </c>
      <c r="AF44" s="123">
        <f t="shared" si="5"/>
        <v>0</v>
      </c>
      <c r="AG44" s="121">
        <f>SUMIFS('28SepTo4Oct'!$L:$L, '28SepTo4Oct'!$J:$J, $A44)</f>
        <v>0</v>
      </c>
      <c r="AH44" s="121">
        <f>SUMIFS('28SepTo4Oct'!$K:$K, '28SepTo4Oct'!$J:$J, $A44)</f>
        <v>0</v>
      </c>
      <c r="AI44" s="121">
        <f>SUMIFS('28SepTo4Oct'!$O:$O, '28SepTo4Oct'!$J:$J, $A44)</f>
        <v>0</v>
      </c>
      <c r="AJ44" s="121">
        <f>SUMIFS('28SepTo4Oct'!$P:$P, '28SepTo4Oct'!$J:$J, $A44)</f>
        <v>0</v>
      </c>
      <c r="AK44" s="123">
        <f t="shared" si="6"/>
        <v>0</v>
      </c>
      <c r="AL44" s="121">
        <f>SUMIFS('21SepTo27Sep'!$L:$L, '21SepTo27Sep'!$J:$J, $A44)</f>
        <v>5</v>
      </c>
      <c r="AM44" s="121">
        <f>SUMIFS('21SepTo27Sep'!$K:$K, '21SepTo27Sep'!$J:$J, $A44)</f>
        <v>7</v>
      </c>
      <c r="AN44" s="121">
        <f>SUMIFS('21SepTo27Sep'!$O:$O, '21SepTo27Sep'!$J:$J, $A44)</f>
        <v>19.8</v>
      </c>
      <c r="AO44" s="121">
        <f>SUMIFS('21SepTo27Sep'!$P:$P, '21SepTo27Sep'!$J:$J, $A44)</f>
        <v>43.8</v>
      </c>
      <c r="AP44" s="123">
        <f t="shared" si="7"/>
        <v>45.205479452054796</v>
      </c>
      <c r="AQ44" s="121">
        <f>SUMIFS('14SepTo20Sep'!$L:$L, '14SepTo20Sep'!$J:$J, $A44)</f>
        <v>0</v>
      </c>
      <c r="AR44" s="121">
        <f>SUMIFS('14SepTo20Sep'!$K:$K, '14SepTo20Sep'!$J:$J, $A44)</f>
        <v>0</v>
      </c>
      <c r="AS44" s="121">
        <f>SUMIFS('14SepTo20Sep'!$O:$O, '14SepTo20Sep'!$J:$J, $A44)</f>
        <v>0</v>
      </c>
      <c r="AT44" s="121">
        <f>SUMIFS('14SepTo20Sep'!$P:$P, '14SepTo20Sep'!$J:$J, $A44)</f>
        <v>0</v>
      </c>
      <c r="AU44" s="123">
        <f t="shared" si="8"/>
        <v>0</v>
      </c>
      <c r="AV44" s="121">
        <f>SUMIFS('7SepTo13Sep'!$L:$L, '7SepTo13Sep'!$J:$J, $A44)</f>
        <v>0</v>
      </c>
      <c r="AW44" s="121">
        <f>SUMIFS('7SepTo13Sep'!$K:$K, '7SepTo13Sep'!$J:$J, $A44)</f>
        <v>0</v>
      </c>
      <c r="AX44" s="121">
        <f>SUMIFS('7SepTo13Sep'!$O:$O, '7SepTo13Sep'!$J:$J, $A44)</f>
        <v>0</v>
      </c>
      <c r="AY44" s="121">
        <f>SUMIFS('7SepTo13Sep'!$P:$P, '7SepTo13Sep'!$J:$J, $A44)</f>
        <v>0</v>
      </c>
      <c r="AZ44" s="123">
        <f t="shared" si="9"/>
        <v>0</v>
      </c>
      <c r="BA44" s="121">
        <f>SUMIFS('31AugTo6Sep'!$L:$L, '31AugTo6Sep'!$J:$J, $A44)</f>
        <v>0</v>
      </c>
      <c r="BB44" s="121">
        <f>SUMIFS('31AugTo6Sep'!$K:$K, '31AugTo6Sep'!$J:$J, $A44)</f>
        <v>0</v>
      </c>
      <c r="BC44" s="121">
        <f>SUMIFS('31AugTo6Sep'!$O:$O, '31AugTo6Sep'!$J:$J, $A44)</f>
        <v>0</v>
      </c>
      <c r="BD44" s="121">
        <f>SUMIFS('31AugTo6Sep'!$P:$P, '31AugTo6Sep'!$J:$J, $A44)</f>
        <v>0</v>
      </c>
      <c r="BE44" s="123">
        <f t="shared" si="10"/>
        <v>0</v>
      </c>
      <c r="BF44" s="121">
        <f>SUMIFS('24AugTo29Aug'!$L:$L, '24AugTo29Aug'!$J:$J, $A44)</f>
        <v>0</v>
      </c>
      <c r="BG44" s="121">
        <f>SUMIFS('24AugTo29Aug'!$K:$K, '24AugTo29Aug'!$J:$J, $A44)</f>
        <v>0</v>
      </c>
      <c r="BH44" s="121">
        <f>SUMIFS('24AugTo29Aug'!$O:$O, '24AugTo29Aug'!$J:$J, $A44)</f>
        <v>0</v>
      </c>
      <c r="BI44" s="121">
        <f>SUMIFS('24AugTo29Aug'!$P:$P, '24AugTo29Aug'!$J:$J, $A44)</f>
        <v>0</v>
      </c>
      <c r="BJ44" s="123">
        <f t="shared" si="11"/>
        <v>0</v>
      </c>
      <c r="BK44" s="121">
        <f>SUMIFS('17AugTo21Aug'!$L:$L, '17AugTo21Aug'!$J:$J, $A44)</f>
        <v>0</v>
      </c>
      <c r="BL44" s="121">
        <f>SUMIFS('17AugTo21Aug'!$K:$K, '17AugTo21Aug'!$J:$J, $A44)</f>
        <v>0</v>
      </c>
      <c r="BM44" s="121">
        <f>SUMIFS('17AugTo21Aug'!$O:$O, '17AugTo21Aug'!$J:$J, $A44)</f>
        <v>0</v>
      </c>
      <c r="BN44" s="121">
        <f>SUMIFS('17AugTo21Aug'!$P:$P, '17AugTo21Aug'!$J:$J, $A44)</f>
        <v>0</v>
      </c>
      <c r="BO44" s="123">
        <f t="shared" si="12"/>
        <v>0</v>
      </c>
      <c r="BP44" s="121">
        <f>SUMIFS('10AugTo16Aug'!$L:$L, '10AugTo16Aug'!$J:$J, $A44)</f>
        <v>2</v>
      </c>
      <c r="BQ44" s="121">
        <f>SUMIFS('10AugTo16Aug'!$K:$K, '10AugTo16Aug'!$J:$J, $A44)</f>
        <v>3</v>
      </c>
      <c r="BR44" s="121">
        <f>SUMIFS('10AugTo16Aug'!$O:$O, '10AugTo16Aug'!$J:$J, $A44)</f>
        <v>6.19</v>
      </c>
      <c r="BS44" s="121">
        <f>SUMIFS('10AugTo16Aug'!$P:$P, '10AugTo16Aug'!$J:$J, $A44)</f>
        <v>21.95</v>
      </c>
      <c r="BT44" s="123">
        <f t="shared" si="13"/>
        <v>28.200455580865608</v>
      </c>
      <c r="BU44" s="121">
        <f>SUMIFS('3AugTo9Aug'!$L:$L, '3AugTo9Aug'!$J:$J, $A44)</f>
        <v>0</v>
      </c>
      <c r="BV44" s="121">
        <f>SUMIFS('3AugTo9Aug'!$K:$K, '3AugTo9Aug'!$J:$J, $A44)</f>
        <v>0</v>
      </c>
      <c r="BW44" s="121">
        <f>SUMIFS('3AugTo9Aug'!$O:$O, '3AugTo9Aug'!$J:$J, $A44)</f>
        <v>0</v>
      </c>
      <c r="BX44" s="121">
        <f>SUMIFS('3AugTo9Aug'!$P:$P, '3AugTo9Aug'!$J:$J, $A44)</f>
        <v>0</v>
      </c>
      <c r="BY44" s="123">
        <f t="shared" si="14"/>
        <v>0</v>
      </c>
      <c r="BZ44" s="121">
        <f>SUMIFS('27JulyTo2Aug'!$L:$L, '27JulyTo2Aug'!$J:$J, $A44)</f>
        <v>0</v>
      </c>
      <c r="CA44" s="121">
        <f>SUMIFS('27JulyTo2Aug'!$K:$K, '27JulyTo2Aug'!$J:$J, $A44)</f>
        <v>0</v>
      </c>
      <c r="CB44" s="121">
        <f>SUMIFS('27JulyTo2Aug'!$O:$O, '27JulyTo2Aug'!$J:$J, $A44)</f>
        <v>0</v>
      </c>
      <c r="CC44" s="121">
        <f>SUMIFS('27JulyTo2Aug'!$P:$P, '27JulyTo2Aug'!$J:$J, $A44)</f>
        <v>0</v>
      </c>
      <c r="CD44" s="123">
        <f t="shared" si="15"/>
        <v>0</v>
      </c>
    </row>
    <row r="45" spans="1:82" ht="14.25" customHeight="1" x14ac:dyDescent="0.3">
      <c r="A45" s="128" t="s">
        <v>473</v>
      </c>
      <c r="B45" s="120" t="str">
        <f t="shared" si="16"/>
        <v>NO TRAFFIC</v>
      </c>
      <c r="C45" s="121">
        <f>SUMIFS('9NovTo15Nov'!$L:$L, '9NovTo15Nov'!$J:$J, $A45)</f>
        <v>0</v>
      </c>
      <c r="D45" s="121">
        <f>SUMIFS('9NovTo15Nov'!$K:$K, '9NovTo15Nov'!$J:$J, $A45)</f>
        <v>0</v>
      </c>
      <c r="E45" s="121">
        <f>SUMIFS('9NovTo15Nov'!$O:$O, '9NovTo15Nov'!$J:$J, $A45)</f>
        <v>0</v>
      </c>
      <c r="F45" s="121">
        <f>SUMIFS('9NovTo15Nov'!$P:$P, '9NovTo15Nov'!$J:$J, $A45)</f>
        <v>0</v>
      </c>
      <c r="G45" s="122">
        <f t="shared" si="0"/>
        <v>0</v>
      </c>
      <c r="H45" s="121">
        <f>SUMIFS('2NovTo8Nov'!$L:$L, '2NovTo8Nov'!$J:$J, $A45)</f>
        <v>0</v>
      </c>
      <c r="I45" s="121">
        <f>SUMIFS('2NovTo8Nov'!$K:$K, '2NovTo8Nov'!$J:$J, $A45)</f>
        <v>0</v>
      </c>
      <c r="J45" s="121">
        <f>SUMIFS('2NovTo8Nov'!$O:$O, '2NovTo8Nov'!$J:$J, $A45)</f>
        <v>0</v>
      </c>
      <c r="K45" s="121">
        <f>SUMIFS('2NovTo8Nov'!$P:$P, '2NovTo8Nov'!$J:$J, $A45)</f>
        <v>0</v>
      </c>
      <c r="L45" s="122">
        <f t="shared" si="1"/>
        <v>0</v>
      </c>
      <c r="M45" s="121">
        <f>SUMIFS('26OctTo1Nov'!$L:$L, '26OctTo1Nov'!$J:$J, $A45)</f>
        <v>0</v>
      </c>
      <c r="N45" s="121">
        <f>SUMIFS('26OctTo1Nov'!$K:$K, '26OctTo1Nov'!$J:$J, $A45)</f>
        <v>0</v>
      </c>
      <c r="O45" s="121">
        <f>SUMIFS('26OctTo1Nov'!$O:$O, '26OctTo1Nov'!$J:$J, $A45)</f>
        <v>0</v>
      </c>
      <c r="P45" s="121">
        <f>SUMIFS('26OctTo1Nov'!$P:$P, '26OctTo1Nov'!$J:$J, $A45)</f>
        <v>0</v>
      </c>
      <c r="Q45" s="122">
        <f t="shared" si="2"/>
        <v>0</v>
      </c>
      <c r="R45" s="121">
        <f>SUMIFS('19OctTo25Oct'!$L:$L, '19OctTo25Oct'!$J:$J, $A45)</f>
        <v>0</v>
      </c>
      <c r="S45" s="121">
        <f>SUMIFS('19OctTo25Oct'!$K:$K, '19OctTo25Oct'!$J:$J, $A45)</f>
        <v>0</v>
      </c>
      <c r="T45" s="121">
        <f>SUMIFS('19OctTo25Oct'!$O:$O, '19OctTo25Oct'!$J:$J, $A45)</f>
        <v>0</v>
      </c>
      <c r="U45" s="121">
        <f>SUMIFS('19OctTo25Oct'!$P:$P, '19OctTo25Oct'!$J:$J, $A45)</f>
        <v>0</v>
      </c>
      <c r="V45" s="122">
        <f t="shared" si="3"/>
        <v>0</v>
      </c>
      <c r="W45" s="121">
        <f>SUMIFS('12OctTo18Oct'!$L:$L, '12OctTo18Oct'!$J:$J, $A45)</f>
        <v>0</v>
      </c>
      <c r="X45" s="121">
        <f>SUMIFS('12OctTo18Oct'!$K:$K, '12OctTo18Oct'!$J:$J, $A45)</f>
        <v>0</v>
      </c>
      <c r="Y45" s="121">
        <f>SUMIFS('12OctTo18Oct'!$O:$O, '12OctTo18Oct'!$J:$J, $A45)</f>
        <v>0</v>
      </c>
      <c r="Z45" s="121">
        <f>SUMIFS('12OctTo18Oct'!$P:$P, '12OctTo18Oct'!$J:$J, $A45)</f>
        <v>0</v>
      </c>
      <c r="AA45" s="122">
        <f t="shared" si="4"/>
        <v>0</v>
      </c>
      <c r="AB45" s="121">
        <f>SUMIFS('5OctTo11Oct'!$L:$L, '5OctTo11Oct'!$J:$J, $A45)</f>
        <v>0</v>
      </c>
      <c r="AC45" s="121">
        <f>SUMIFS('5OctTo11Oct'!$K:$K, '5OctTo11Oct'!$J:$J, $A45)</f>
        <v>0</v>
      </c>
      <c r="AD45" s="121">
        <f>SUMIFS('5OctTo11Oct'!$O:$O, '5OctTo11Oct'!$J:$J, $A45)</f>
        <v>0</v>
      </c>
      <c r="AE45" s="121">
        <f>SUMIFS('5OctTo11Oct'!$P:$P, '5OctTo11Oct'!$J:$J, $A45)</f>
        <v>0</v>
      </c>
      <c r="AF45" s="123">
        <f t="shared" si="5"/>
        <v>0</v>
      </c>
      <c r="AG45" s="129">
        <f>SUMIFS('28SepTo4Oct'!$L:$L, '28SepTo4Oct'!$J:$J, $A45)</f>
        <v>0</v>
      </c>
      <c r="AH45" s="129">
        <f>SUMIFS('28SepTo4Oct'!$K:$K, '28SepTo4Oct'!$J:$J, $A45)</f>
        <v>0</v>
      </c>
      <c r="AI45" s="129">
        <f>SUMIFS('28SepTo4Oct'!$O:$O, '28SepTo4Oct'!$J:$J, $A45)</f>
        <v>0</v>
      </c>
      <c r="AJ45" s="129">
        <f>SUMIFS('28SepTo4Oct'!$P:$P, '28SepTo4Oct'!$J:$J, $A45)</f>
        <v>0</v>
      </c>
      <c r="AK45" s="123">
        <f t="shared" si="6"/>
        <v>0</v>
      </c>
      <c r="AL45" s="129">
        <f>SUMIFS('21SepTo27Sep'!$L:$L, '21SepTo27Sep'!$J:$J, $A45)</f>
        <v>1</v>
      </c>
      <c r="AM45" s="129">
        <f>SUMIFS('21SepTo27Sep'!$K:$K, '21SepTo27Sep'!$J:$J, $A45)</f>
        <v>2</v>
      </c>
      <c r="AN45" s="121">
        <f>SUMIFS('21SepTo27Sep'!$O:$O, '21SepTo27Sep'!$J:$J, $A45)</f>
        <v>2.82</v>
      </c>
      <c r="AO45" s="129">
        <f>SUMIFS('21SepTo27Sep'!$P:$P, '21SepTo27Sep'!$J:$J, $A45)</f>
        <v>21.9</v>
      </c>
      <c r="AP45" s="123">
        <f t="shared" si="7"/>
        <v>12.876712328767123</v>
      </c>
      <c r="AQ45" s="129">
        <f>SUMIFS('14SepTo20Sep'!$L:$L, '14SepTo20Sep'!$J:$J, $A45)</f>
        <v>0</v>
      </c>
      <c r="AR45" s="129">
        <f>SUMIFS('14SepTo20Sep'!$K:$K, '14SepTo20Sep'!$J:$J, $A45)</f>
        <v>0</v>
      </c>
      <c r="AS45" s="121">
        <f>SUMIFS('14SepTo20Sep'!$O:$O, '14SepTo20Sep'!$J:$J, $A45)</f>
        <v>0</v>
      </c>
      <c r="AT45" s="129">
        <f>SUMIFS('14SepTo20Sep'!$P:$P, '14SepTo20Sep'!$J:$J, $A45)</f>
        <v>0</v>
      </c>
      <c r="AU45" s="123">
        <f t="shared" si="8"/>
        <v>0</v>
      </c>
      <c r="AV45" s="129">
        <f>SUMIFS('7SepTo13Sep'!$L:$L, '7SepTo13Sep'!$J:$J, $A45)</f>
        <v>0</v>
      </c>
      <c r="AW45" s="129">
        <f>SUMIFS('7SepTo13Sep'!$K:$K, '7SepTo13Sep'!$J:$J, $A45)</f>
        <v>0</v>
      </c>
      <c r="AX45" s="121">
        <f>SUMIFS('7SepTo13Sep'!$O:$O, '7SepTo13Sep'!$J:$J, $A45)</f>
        <v>0</v>
      </c>
      <c r="AY45" s="129">
        <f>SUMIFS('7SepTo13Sep'!$P:$P, '7SepTo13Sep'!$J:$J, $A45)</f>
        <v>0</v>
      </c>
      <c r="AZ45" s="123">
        <f t="shared" si="9"/>
        <v>0</v>
      </c>
      <c r="BA45" s="129">
        <f>SUMIFS('31AugTo6Sep'!$L:$L, '31AugTo6Sep'!$J:$J, $A45)</f>
        <v>0</v>
      </c>
      <c r="BB45" s="129">
        <f>SUMIFS('31AugTo6Sep'!$K:$K, '31AugTo6Sep'!$J:$J, $A45)</f>
        <v>0</v>
      </c>
      <c r="BC45" s="121">
        <f>SUMIFS('31AugTo6Sep'!$O:$O, '31AugTo6Sep'!$J:$J, $A45)</f>
        <v>0</v>
      </c>
      <c r="BD45" s="129">
        <f>SUMIFS('31AugTo6Sep'!$P:$P, '31AugTo6Sep'!$J:$J, $A45)</f>
        <v>0</v>
      </c>
      <c r="BE45" s="123">
        <f t="shared" si="10"/>
        <v>0</v>
      </c>
      <c r="BF45" s="129">
        <f>SUMIFS('24AugTo29Aug'!$L:$L, '24AugTo29Aug'!$J:$J, $A45)</f>
        <v>0</v>
      </c>
      <c r="BG45" s="129">
        <f>SUMIFS('24AugTo29Aug'!$K:$K, '24AugTo29Aug'!$J:$J, $A45)</f>
        <v>0</v>
      </c>
      <c r="BH45" s="121">
        <f>SUMIFS('24AugTo29Aug'!$O:$O, '24AugTo29Aug'!$J:$J, $A45)</f>
        <v>0</v>
      </c>
      <c r="BI45" s="129">
        <f>SUMIFS('24AugTo29Aug'!$P:$P, '24AugTo29Aug'!$J:$J, $A45)</f>
        <v>0</v>
      </c>
      <c r="BJ45" s="123">
        <f t="shared" si="11"/>
        <v>0</v>
      </c>
      <c r="BK45" s="129">
        <f>SUMIFS('17AugTo21Aug'!$L:$L, '17AugTo21Aug'!$J:$J, $A45)</f>
        <v>0</v>
      </c>
      <c r="BL45" s="129">
        <f>SUMIFS('17AugTo21Aug'!$K:$K, '17AugTo21Aug'!$J:$J, $A45)</f>
        <v>0</v>
      </c>
      <c r="BM45" s="121">
        <f>SUMIFS('17AugTo21Aug'!$O:$O, '17AugTo21Aug'!$J:$J, $A45)</f>
        <v>0</v>
      </c>
      <c r="BN45" s="129">
        <f>SUMIFS('17AugTo21Aug'!$P:$P, '17AugTo21Aug'!$J:$J, $A45)</f>
        <v>0</v>
      </c>
      <c r="BO45" s="123">
        <f t="shared" si="12"/>
        <v>0</v>
      </c>
      <c r="BP45" s="129">
        <f>SUMIFS('10AugTo16Aug'!$L:$L, '10AugTo16Aug'!$J:$J, $A45)</f>
        <v>0</v>
      </c>
      <c r="BQ45" s="129">
        <f>SUMIFS('10AugTo16Aug'!$K:$K, '10AugTo16Aug'!$J:$J, $A45)</f>
        <v>0</v>
      </c>
      <c r="BR45" s="121">
        <f>SUMIFS('10AugTo16Aug'!$O:$O, '10AugTo16Aug'!$J:$J, $A45)</f>
        <v>0</v>
      </c>
      <c r="BS45" s="129">
        <f>SUMIFS('10AugTo16Aug'!$P:$P, '10AugTo16Aug'!$J:$J, $A45)</f>
        <v>0</v>
      </c>
      <c r="BT45" s="123">
        <f t="shared" si="13"/>
        <v>0</v>
      </c>
      <c r="BU45" s="129">
        <f>SUMIFS('3AugTo9Aug'!$L:$L, '3AugTo9Aug'!$J:$J, $A45)</f>
        <v>0</v>
      </c>
      <c r="BV45" s="129">
        <f>SUMIFS('3AugTo9Aug'!$K:$K, '3AugTo9Aug'!$J:$J, $A45)</f>
        <v>0</v>
      </c>
      <c r="BW45" s="121">
        <f>SUMIFS('3AugTo9Aug'!$O:$O, '3AugTo9Aug'!$J:$J, $A45)</f>
        <v>0</v>
      </c>
      <c r="BX45" s="129">
        <f>SUMIFS('3AugTo9Aug'!$P:$P, '3AugTo9Aug'!$J:$J, $A45)</f>
        <v>0</v>
      </c>
      <c r="BY45" s="123">
        <f t="shared" si="14"/>
        <v>0</v>
      </c>
      <c r="BZ45" s="129">
        <f>SUMIFS('27JulyTo2Aug'!$L:$L, '27JulyTo2Aug'!$J:$J, $A45)</f>
        <v>0</v>
      </c>
      <c r="CA45" s="129">
        <f>SUMIFS('27JulyTo2Aug'!$K:$K, '27JulyTo2Aug'!$J:$J, $A45)</f>
        <v>0</v>
      </c>
      <c r="CB45" s="121">
        <f>SUMIFS('27JulyTo2Aug'!$O:$O, '27JulyTo2Aug'!$J:$J, $A45)</f>
        <v>0</v>
      </c>
      <c r="CC45" s="129">
        <f>SUMIFS('27JulyTo2Aug'!$P:$P, '27JulyTo2Aug'!$J:$J, $A45)</f>
        <v>0</v>
      </c>
      <c r="CD45" s="123">
        <f t="shared" si="15"/>
        <v>0</v>
      </c>
    </row>
    <row r="46" spans="1:82" ht="14.25" customHeight="1" x14ac:dyDescent="0.3">
      <c r="A46" s="124" t="s">
        <v>615</v>
      </c>
      <c r="B46" s="120" t="str">
        <f t="shared" si="16"/>
        <v>NO TRAFFIC</v>
      </c>
      <c r="C46" s="121">
        <f>SUMIFS('9NovTo15Nov'!$L:$L, '9NovTo15Nov'!$J:$J, $A46)</f>
        <v>0</v>
      </c>
      <c r="D46" s="121">
        <f>SUMIFS('9NovTo15Nov'!$K:$K, '9NovTo15Nov'!$J:$J, $A46)</f>
        <v>0</v>
      </c>
      <c r="E46" s="121">
        <f>SUMIFS('9NovTo15Nov'!$O:$O, '9NovTo15Nov'!$J:$J, $A46)</f>
        <v>0</v>
      </c>
      <c r="F46" s="121">
        <f>SUMIFS('9NovTo15Nov'!$P:$P, '9NovTo15Nov'!$J:$J, $A46)</f>
        <v>0</v>
      </c>
      <c r="G46" s="122">
        <f t="shared" si="0"/>
        <v>0</v>
      </c>
      <c r="H46" s="121">
        <f>SUMIFS('2NovTo8Nov'!$L:$L, '2NovTo8Nov'!$J:$J, $A46)</f>
        <v>0</v>
      </c>
      <c r="I46" s="121">
        <f>SUMIFS('2NovTo8Nov'!$K:$K, '2NovTo8Nov'!$J:$J, $A46)</f>
        <v>0</v>
      </c>
      <c r="J46" s="121">
        <f>SUMIFS('2NovTo8Nov'!$O:$O, '2NovTo8Nov'!$J:$J, $A46)</f>
        <v>0</v>
      </c>
      <c r="K46" s="121">
        <f>SUMIFS('2NovTo8Nov'!$P:$P, '2NovTo8Nov'!$J:$J, $A46)</f>
        <v>0</v>
      </c>
      <c r="L46" s="122">
        <f t="shared" si="1"/>
        <v>0</v>
      </c>
      <c r="M46" s="121">
        <f>SUMIFS('26OctTo1Nov'!$L:$L, '26OctTo1Nov'!$J:$J, $A46)</f>
        <v>0</v>
      </c>
      <c r="N46" s="121">
        <f>SUMIFS('26OctTo1Nov'!$K:$K, '26OctTo1Nov'!$J:$J, $A46)</f>
        <v>0</v>
      </c>
      <c r="O46" s="121">
        <f>SUMIFS('26OctTo1Nov'!$O:$O, '26OctTo1Nov'!$J:$J, $A46)</f>
        <v>0</v>
      </c>
      <c r="P46" s="121">
        <f>SUMIFS('26OctTo1Nov'!$P:$P, '26OctTo1Nov'!$J:$J, $A46)</f>
        <v>0</v>
      </c>
      <c r="Q46" s="122">
        <f t="shared" si="2"/>
        <v>0</v>
      </c>
      <c r="R46" s="121">
        <f>SUMIFS('19OctTo25Oct'!$L:$L, '19OctTo25Oct'!$J:$J, $A46)</f>
        <v>0</v>
      </c>
      <c r="S46" s="121">
        <f>SUMIFS('19OctTo25Oct'!$K:$K, '19OctTo25Oct'!$J:$J, $A46)</f>
        <v>0</v>
      </c>
      <c r="T46" s="121">
        <f>SUMIFS('19OctTo25Oct'!$O:$O, '19OctTo25Oct'!$J:$J, $A46)</f>
        <v>0</v>
      </c>
      <c r="U46" s="121">
        <f>SUMIFS('19OctTo25Oct'!$P:$P, '19OctTo25Oct'!$J:$J, $A46)</f>
        <v>0</v>
      </c>
      <c r="V46" s="122">
        <f t="shared" si="3"/>
        <v>0</v>
      </c>
      <c r="W46" s="121">
        <f>SUMIFS('12OctTo18Oct'!$L:$L, '12OctTo18Oct'!$J:$J, $A46)</f>
        <v>0</v>
      </c>
      <c r="X46" s="121">
        <f>SUMIFS('12OctTo18Oct'!$K:$K, '12OctTo18Oct'!$J:$J, $A46)</f>
        <v>0</v>
      </c>
      <c r="Y46" s="121">
        <f>SUMIFS('12OctTo18Oct'!$O:$O, '12OctTo18Oct'!$J:$J, $A46)</f>
        <v>0</v>
      </c>
      <c r="Z46" s="121">
        <f>SUMIFS('12OctTo18Oct'!$P:$P, '12OctTo18Oct'!$J:$J, $A46)</f>
        <v>0</v>
      </c>
      <c r="AA46" s="122">
        <f t="shared" si="4"/>
        <v>0</v>
      </c>
      <c r="AB46" s="121">
        <f>SUMIFS('5OctTo11Oct'!$L:$L, '5OctTo11Oct'!$J:$J, $A46)</f>
        <v>0</v>
      </c>
      <c r="AC46" s="121">
        <f>SUMIFS('5OctTo11Oct'!$K:$K, '5OctTo11Oct'!$J:$J, $A46)</f>
        <v>0</v>
      </c>
      <c r="AD46" s="121">
        <f>SUMIFS('5OctTo11Oct'!$O:$O, '5OctTo11Oct'!$J:$J, $A46)</f>
        <v>0</v>
      </c>
      <c r="AE46" s="121">
        <f>SUMIFS('5OctTo11Oct'!$P:$P, '5OctTo11Oct'!$J:$J, $A46)</f>
        <v>0</v>
      </c>
      <c r="AF46" s="123">
        <f t="shared" si="5"/>
        <v>0</v>
      </c>
      <c r="AG46" s="121">
        <f>SUMIFS('28SepTo4Oct'!$L:$L, '28SepTo4Oct'!$J:$J, $A46)</f>
        <v>0</v>
      </c>
      <c r="AH46" s="121">
        <f>SUMIFS('28SepTo4Oct'!$K:$K, '28SepTo4Oct'!$J:$J, $A46)</f>
        <v>0</v>
      </c>
      <c r="AI46" s="121">
        <f>SUMIFS('28SepTo4Oct'!$O:$O, '28SepTo4Oct'!$J:$J, $A46)</f>
        <v>0</v>
      </c>
      <c r="AJ46" s="121">
        <f>SUMIFS('28SepTo4Oct'!$P:$P, '28SepTo4Oct'!$J:$J, $A46)</f>
        <v>0</v>
      </c>
      <c r="AK46" s="123">
        <f t="shared" si="6"/>
        <v>0</v>
      </c>
      <c r="AL46" s="121">
        <f>SUMIFS('21SepTo27Sep'!$L:$L, '21SepTo27Sep'!$J:$J, $A46)</f>
        <v>0</v>
      </c>
      <c r="AM46" s="121">
        <f>SUMIFS('21SepTo27Sep'!$K:$K, '21SepTo27Sep'!$J:$J, $A46)</f>
        <v>0</v>
      </c>
      <c r="AN46" s="121">
        <f>SUMIFS('21SepTo27Sep'!$O:$O, '21SepTo27Sep'!$J:$J, $A46)</f>
        <v>0</v>
      </c>
      <c r="AO46" s="121">
        <f>SUMIFS('21SepTo27Sep'!$P:$P, '21SepTo27Sep'!$J:$J, $A46)</f>
        <v>0</v>
      </c>
      <c r="AP46" s="123">
        <f t="shared" si="7"/>
        <v>0</v>
      </c>
      <c r="AQ46" s="121">
        <f>SUMIFS('14SepTo20Sep'!$L:$L, '14SepTo20Sep'!$J:$J, $A46)</f>
        <v>0</v>
      </c>
      <c r="AR46" s="121">
        <f>SUMIFS('14SepTo20Sep'!$K:$K, '14SepTo20Sep'!$J:$J, $A46)</f>
        <v>0</v>
      </c>
      <c r="AS46" s="121">
        <f>SUMIFS('14SepTo20Sep'!$O:$O, '14SepTo20Sep'!$J:$J, $A46)</f>
        <v>0</v>
      </c>
      <c r="AT46" s="121">
        <f>SUMIFS('14SepTo20Sep'!$P:$P, '14SepTo20Sep'!$J:$J, $A46)</f>
        <v>0</v>
      </c>
      <c r="AU46" s="123">
        <f t="shared" si="8"/>
        <v>0</v>
      </c>
      <c r="AV46" s="121">
        <f>SUMIFS('7SepTo13Sep'!$L:$L, '7SepTo13Sep'!$J:$J, $A46)</f>
        <v>0</v>
      </c>
      <c r="AW46" s="121">
        <f>SUMIFS('7SepTo13Sep'!$K:$K, '7SepTo13Sep'!$J:$J, $A46)</f>
        <v>0</v>
      </c>
      <c r="AX46" s="121">
        <f>SUMIFS('7SepTo13Sep'!$O:$O, '7SepTo13Sep'!$J:$J, $A46)</f>
        <v>0</v>
      </c>
      <c r="AY46" s="121">
        <f>SUMIFS('7SepTo13Sep'!$P:$P, '7SepTo13Sep'!$J:$J, $A46)</f>
        <v>0</v>
      </c>
      <c r="AZ46" s="123">
        <f t="shared" si="9"/>
        <v>0</v>
      </c>
      <c r="BA46" s="121">
        <f>SUMIFS('31AugTo6Sep'!$L:$L, '31AugTo6Sep'!$J:$J, $A46)</f>
        <v>0</v>
      </c>
      <c r="BB46" s="121">
        <f>SUMIFS('31AugTo6Sep'!$K:$K, '31AugTo6Sep'!$J:$J, $A46)</f>
        <v>0</v>
      </c>
      <c r="BC46" s="121">
        <f>SUMIFS('31AugTo6Sep'!$O:$O, '31AugTo6Sep'!$J:$J, $A46)</f>
        <v>0</v>
      </c>
      <c r="BD46" s="121">
        <f>SUMIFS('31AugTo6Sep'!$P:$P, '31AugTo6Sep'!$J:$J, $A46)</f>
        <v>0</v>
      </c>
      <c r="BE46" s="123">
        <f t="shared" si="10"/>
        <v>0</v>
      </c>
      <c r="BF46" s="121">
        <f>SUMIFS('24AugTo29Aug'!$L:$L, '24AugTo29Aug'!$J:$J, $A46)</f>
        <v>1</v>
      </c>
      <c r="BG46" s="121">
        <f>SUMIFS('24AugTo29Aug'!$K:$K, '24AugTo29Aug'!$J:$J, $A46)</f>
        <v>1</v>
      </c>
      <c r="BH46" s="121">
        <f>SUMIFS('24AugTo29Aug'!$O:$O, '24AugTo29Aug'!$J:$J, $A46)</f>
        <v>1.82</v>
      </c>
      <c r="BI46" s="121">
        <f>SUMIFS('24AugTo29Aug'!$P:$P, '24AugTo29Aug'!$J:$J, $A46)</f>
        <v>21.95</v>
      </c>
      <c r="BJ46" s="123">
        <f t="shared" si="11"/>
        <v>8.2915717539863341</v>
      </c>
      <c r="BK46" s="121">
        <f>SUMIFS('17AugTo21Aug'!$L:$L, '17AugTo21Aug'!$J:$J, $A46)</f>
        <v>0</v>
      </c>
      <c r="BL46" s="121">
        <f>SUMIFS('17AugTo21Aug'!$K:$K, '17AugTo21Aug'!$J:$J, $A46)</f>
        <v>0</v>
      </c>
      <c r="BM46" s="121">
        <f>SUMIFS('17AugTo21Aug'!$O:$O, '17AugTo21Aug'!$J:$J, $A46)</f>
        <v>0</v>
      </c>
      <c r="BN46" s="121">
        <f>SUMIFS('17AugTo21Aug'!$P:$P, '17AugTo21Aug'!$J:$J, $A46)</f>
        <v>0</v>
      </c>
      <c r="BO46" s="123">
        <f t="shared" si="12"/>
        <v>0</v>
      </c>
      <c r="BP46" s="121">
        <f>SUMIFS('10AugTo16Aug'!$L:$L, '10AugTo16Aug'!$J:$J, $A46)</f>
        <v>0</v>
      </c>
      <c r="BQ46" s="121">
        <f>SUMIFS('10AugTo16Aug'!$K:$K, '10AugTo16Aug'!$J:$J, $A46)</f>
        <v>0</v>
      </c>
      <c r="BR46" s="121">
        <f>SUMIFS('10AugTo16Aug'!$O:$O, '10AugTo16Aug'!$J:$J, $A46)</f>
        <v>0</v>
      </c>
      <c r="BS46" s="121">
        <f>SUMIFS('10AugTo16Aug'!$P:$P, '10AugTo16Aug'!$J:$J, $A46)</f>
        <v>0</v>
      </c>
      <c r="BT46" s="123">
        <f t="shared" si="13"/>
        <v>0</v>
      </c>
      <c r="BU46" s="121">
        <f>SUMIFS('3AugTo9Aug'!$L:$L, '3AugTo9Aug'!$J:$J, $A46)</f>
        <v>0</v>
      </c>
      <c r="BV46" s="121">
        <f>SUMIFS('3AugTo9Aug'!$K:$K, '3AugTo9Aug'!$J:$J, $A46)</f>
        <v>0</v>
      </c>
      <c r="BW46" s="121">
        <f>SUMIFS('3AugTo9Aug'!$O:$O, '3AugTo9Aug'!$J:$J, $A46)</f>
        <v>0</v>
      </c>
      <c r="BX46" s="121">
        <f>SUMIFS('3AugTo9Aug'!$P:$P, '3AugTo9Aug'!$J:$J, $A46)</f>
        <v>0</v>
      </c>
      <c r="BY46" s="123">
        <f t="shared" si="14"/>
        <v>0</v>
      </c>
      <c r="BZ46" s="121">
        <f>SUMIFS('27JulyTo2Aug'!$L:$L, '27JulyTo2Aug'!$J:$J, $A46)</f>
        <v>0</v>
      </c>
      <c r="CA46" s="121">
        <f>SUMIFS('27JulyTo2Aug'!$K:$K, '27JulyTo2Aug'!$J:$J, $A46)</f>
        <v>0</v>
      </c>
      <c r="CB46" s="121">
        <f>SUMIFS('27JulyTo2Aug'!$O:$O, '27JulyTo2Aug'!$J:$J, $A46)</f>
        <v>0</v>
      </c>
      <c r="CC46" s="121">
        <f>SUMIFS('27JulyTo2Aug'!$P:$P, '27JulyTo2Aug'!$J:$J, $A46)</f>
        <v>0</v>
      </c>
      <c r="CD46" s="123">
        <f t="shared" si="15"/>
        <v>0</v>
      </c>
    </row>
    <row r="47" spans="1:82" ht="14.25" customHeight="1" x14ac:dyDescent="0.3">
      <c r="A47" s="124" t="s">
        <v>848</v>
      </c>
      <c r="B47" s="120" t="str">
        <f t="shared" si="16"/>
        <v>NO TRAFFIC</v>
      </c>
      <c r="C47" s="121">
        <f>SUMIFS('9NovTo15Nov'!$L:$L, '9NovTo15Nov'!$J:$J, $A47)</f>
        <v>0</v>
      </c>
      <c r="D47" s="121">
        <f>SUMIFS('9NovTo15Nov'!$K:$K, '9NovTo15Nov'!$J:$J, $A47)</f>
        <v>0</v>
      </c>
      <c r="E47" s="121">
        <f>SUMIFS('9NovTo15Nov'!$O:$O, '9NovTo15Nov'!$J:$J, $A47)</f>
        <v>0</v>
      </c>
      <c r="F47" s="121">
        <f>SUMIFS('9NovTo15Nov'!$P:$P, '9NovTo15Nov'!$J:$J, $A47)</f>
        <v>0</v>
      </c>
      <c r="G47" s="122">
        <f t="shared" si="0"/>
        <v>0</v>
      </c>
      <c r="H47" s="121">
        <f>SUMIFS('2NovTo8Nov'!$L:$L, '2NovTo8Nov'!$J:$J, $A47)</f>
        <v>0</v>
      </c>
      <c r="I47" s="121">
        <f>SUMIFS('2NovTo8Nov'!$K:$K, '2NovTo8Nov'!$J:$J, $A47)</f>
        <v>0</v>
      </c>
      <c r="J47" s="121">
        <f>SUMIFS('2NovTo8Nov'!$O:$O, '2NovTo8Nov'!$J:$J, $A47)</f>
        <v>0</v>
      </c>
      <c r="K47" s="121">
        <f>SUMIFS('2NovTo8Nov'!$P:$P, '2NovTo8Nov'!$J:$J, $A47)</f>
        <v>0</v>
      </c>
      <c r="L47" s="122">
        <f t="shared" si="1"/>
        <v>0</v>
      </c>
      <c r="M47" s="121">
        <f>SUMIFS('26OctTo1Nov'!$L:$L, '26OctTo1Nov'!$J:$J, $A47)</f>
        <v>0</v>
      </c>
      <c r="N47" s="121">
        <f>SUMIFS('26OctTo1Nov'!$K:$K, '26OctTo1Nov'!$J:$J, $A47)</f>
        <v>0</v>
      </c>
      <c r="O47" s="121">
        <f>SUMIFS('26OctTo1Nov'!$O:$O, '26OctTo1Nov'!$J:$J, $A47)</f>
        <v>0</v>
      </c>
      <c r="P47" s="121">
        <f>SUMIFS('26OctTo1Nov'!$P:$P, '26OctTo1Nov'!$J:$J, $A47)</f>
        <v>0</v>
      </c>
      <c r="Q47" s="122">
        <f t="shared" si="2"/>
        <v>0</v>
      </c>
      <c r="R47" s="121">
        <f>SUMIFS('19OctTo25Oct'!$L:$L, '19OctTo25Oct'!$J:$J, $A47)</f>
        <v>0</v>
      </c>
      <c r="S47" s="121">
        <f>SUMIFS('19OctTo25Oct'!$K:$K, '19OctTo25Oct'!$J:$J, $A47)</f>
        <v>0</v>
      </c>
      <c r="T47" s="121">
        <f>SUMIFS('19OctTo25Oct'!$O:$O, '19OctTo25Oct'!$J:$J, $A47)</f>
        <v>0</v>
      </c>
      <c r="U47" s="121">
        <f>SUMIFS('19OctTo25Oct'!$P:$P, '19OctTo25Oct'!$J:$J, $A47)</f>
        <v>0</v>
      </c>
      <c r="V47" s="122">
        <f t="shared" si="3"/>
        <v>0</v>
      </c>
      <c r="W47" s="121">
        <f>SUMIFS('12OctTo18Oct'!$L:$L, '12OctTo18Oct'!$J:$J, $A47)</f>
        <v>0</v>
      </c>
      <c r="X47" s="121">
        <f>SUMIFS('12OctTo18Oct'!$K:$K, '12OctTo18Oct'!$J:$J, $A47)</f>
        <v>0</v>
      </c>
      <c r="Y47" s="121">
        <f>SUMIFS('12OctTo18Oct'!$O:$O, '12OctTo18Oct'!$J:$J, $A47)</f>
        <v>0</v>
      </c>
      <c r="Z47" s="121">
        <f>SUMIFS('12OctTo18Oct'!$P:$P, '12OctTo18Oct'!$J:$J, $A47)</f>
        <v>0</v>
      </c>
      <c r="AA47" s="122">
        <f t="shared" si="4"/>
        <v>0</v>
      </c>
      <c r="AB47" s="121">
        <f>SUMIFS('5OctTo11Oct'!$L:$L, '5OctTo11Oct'!$J:$J, $A47)</f>
        <v>0</v>
      </c>
      <c r="AC47" s="121">
        <f>SUMIFS('5OctTo11Oct'!$K:$K, '5OctTo11Oct'!$J:$J, $A47)</f>
        <v>0</v>
      </c>
      <c r="AD47" s="121">
        <f>SUMIFS('5OctTo11Oct'!$O:$O, '5OctTo11Oct'!$J:$J, $A47)</f>
        <v>0</v>
      </c>
      <c r="AE47" s="121">
        <f>SUMIFS('5OctTo11Oct'!$P:$P, '5OctTo11Oct'!$J:$J, $A47)</f>
        <v>0</v>
      </c>
      <c r="AF47" s="123">
        <f t="shared" si="5"/>
        <v>0</v>
      </c>
      <c r="AG47" s="121">
        <f>SUMIFS('28SepTo4Oct'!$L:$L, '28SepTo4Oct'!$J:$J, $A47)</f>
        <v>0</v>
      </c>
      <c r="AH47" s="121">
        <f>SUMIFS('28SepTo4Oct'!$K:$K, '28SepTo4Oct'!$J:$J, $A47)</f>
        <v>0</v>
      </c>
      <c r="AI47" s="121">
        <f>SUMIFS('28SepTo4Oct'!$O:$O, '28SepTo4Oct'!$J:$J, $A47)</f>
        <v>0</v>
      </c>
      <c r="AJ47" s="121">
        <f>SUMIFS('28SepTo4Oct'!$P:$P, '28SepTo4Oct'!$J:$J, $A47)</f>
        <v>0</v>
      </c>
      <c r="AK47" s="123">
        <f t="shared" si="6"/>
        <v>0</v>
      </c>
      <c r="AL47" s="121">
        <f>SUMIFS('21SepTo27Sep'!$L:$L, '21SepTo27Sep'!$J:$J, $A47)</f>
        <v>0</v>
      </c>
      <c r="AM47" s="121">
        <f>SUMIFS('21SepTo27Sep'!$K:$K, '21SepTo27Sep'!$J:$J, $A47)</f>
        <v>0</v>
      </c>
      <c r="AN47" s="121">
        <f>SUMIFS('21SepTo27Sep'!$O:$O, '21SepTo27Sep'!$J:$J, $A47)</f>
        <v>0</v>
      </c>
      <c r="AO47" s="121">
        <f>SUMIFS('21SepTo27Sep'!$P:$P, '21SepTo27Sep'!$J:$J, $A47)</f>
        <v>0</v>
      </c>
      <c r="AP47" s="123">
        <f t="shared" si="7"/>
        <v>0</v>
      </c>
      <c r="AQ47" s="121">
        <f>SUMIFS('14SepTo20Sep'!$L:$L, '14SepTo20Sep'!$J:$J, $A47)</f>
        <v>0</v>
      </c>
      <c r="AR47" s="121">
        <f>SUMIFS('14SepTo20Sep'!$K:$K, '14SepTo20Sep'!$J:$J, $A47)</f>
        <v>0</v>
      </c>
      <c r="AS47" s="121">
        <f>SUMIFS('14SepTo20Sep'!$O:$O, '14SepTo20Sep'!$J:$J, $A47)</f>
        <v>0</v>
      </c>
      <c r="AT47" s="121">
        <f>SUMIFS('14SepTo20Sep'!$P:$P, '14SepTo20Sep'!$J:$J, $A47)</f>
        <v>0</v>
      </c>
      <c r="AU47" s="123">
        <f t="shared" si="8"/>
        <v>0</v>
      </c>
      <c r="AV47" s="121">
        <f>SUMIFS('7SepTo13Sep'!$L:$L, '7SepTo13Sep'!$J:$J, $A47)</f>
        <v>0</v>
      </c>
      <c r="AW47" s="121">
        <f>SUMIFS('7SepTo13Sep'!$K:$K, '7SepTo13Sep'!$J:$J, $A47)</f>
        <v>0</v>
      </c>
      <c r="AX47" s="121">
        <f>SUMIFS('7SepTo13Sep'!$O:$O, '7SepTo13Sep'!$J:$J, $A47)</f>
        <v>0</v>
      </c>
      <c r="AY47" s="121">
        <f>SUMIFS('7SepTo13Sep'!$P:$P, '7SepTo13Sep'!$J:$J, $A47)</f>
        <v>0</v>
      </c>
      <c r="AZ47" s="123">
        <f t="shared" si="9"/>
        <v>0</v>
      </c>
      <c r="BA47" s="121">
        <f>SUMIFS('31AugTo6Sep'!$L:$L, '31AugTo6Sep'!$J:$J, $A47)</f>
        <v>0</v>
      </c>
      <c r="BB47" s="121">
        <f>SUMIFS('31AugTo6Sep'!$K:$K, '31AugTo6Sep'!$J:$J, $A47)</f>
        <v>0</v>
      </c>
      <c r="BC47" s="121">
        <f>SUMIFS('31AugTo6Sep'!$O:$O, '31AugTo6Sep'!$J:$J, $A47)</f>
        <v>0</v>
      </c>
      <c r="BD47" s="121">
        <f>SUMIFS('31AugTo6Sep'!$P:$P, '31AugTo6Sep'!$J:$J, $A47)</f>
        <v>0</v>
      </c>
      <c r="BE47" s="123">
        <f t="shared" si="10"/>
        <v>0</v>
      </c>
      <c r="BF47" s="121">
        <f>SUMIFS('24AugTo29Aug'!$L:$L, '24AugTo29Aug'!$J:$J, $A47)</f>
        <v>0</v>
      </c>
      <c r="BG47" s="121">
        <f>SUMIFS('24AugTo29Aug'!$K:$K, '24AugTo29Aug'!$J:$J, $A47)</f>
        <v>0</v>
      </c>
      <c r="BH47" s="121">
        <f>SUMIFS('24AugTo29Aug'!$O:$O, '24AugTo29Aug'!$J:$J, $A47)</f>
        <v>0</v>
      </c>
      <c r="BI47" s="121">
        <f>SUMIFS('24AugTo29Aug'!$P:$P, '24AugTo29Aug'!$J:$J, $A47)</f>
        <v>0</v>
      </c>
      <c r="BJ47" s="123">
        <f t="shared" si="11"/>
        <v>0</v>
      </c>
      <c r="BK47" s="121">
        <f>SUMIFS('17AugTo21Aug'!$L:$L, '17AugTo21Aug'!$J:$J, $A47)</f>
        <v>0</v>
      </c>
      <c r="BL47" s="121">
        <f>SUMIFS('17AugTo21Aug'!$K:$K, '17AugTo21Aug'!$J:$J, $A47)</f>
        <v>0</v>
      </c>
      <c r="BM47" s="121">
        <f>SUMIFS('17AugTo21Aug'!$O:$O, '17AugTo21Aug'!$J:$J, $A47)</f>
        <v>0</v>
      </c>
      <c r="BN47" s="121">
        <f>SUMIFS('17AugTo21Aug'!$P:$P, '17AugTo21Aug'!$J:$J, $A47)</f>
        <v>0</v>
      </c>
      <c r="BO47" s="123">
        <f t="shared" si="12"/>
        <v>0</v>
      </c>
      <c r="BP47" s="121">
        <f>SUMIFS('10AugTo16Aug'!$L:$L, '10AugTo16Aug'!$J:$J, $A47)</f>
        <v>0</v>
      </c>
      <c r="BQ47" s="121">
        <f>SUMIFS('10AugTo16Aug'!$K:$K, '10AugTo16Aug'!$J:$J, $A47)</f>
        <v>0</v>
      </c>
      <c r="BR47" s="121">
        <f>SUMIFS('10AugTo16Aug'!$O:$O, '10AugTo16Aug'!$J:$J, $A47)</f>
        <v>0</v>
      </c>
      <c r="BS47" s="121">
        <f>SUMIFS('10AugTo16Aug'!$P:$P, '10AugTo16Aug'!$J:$J, $A47)</f>
        <v>0</v>
      </c>
      <c r="BT47" s="123">
        <f t="shared" si="13"/>
        <v>0</v>
      </c>
      <c r="BU47" s="121">
        <f>SUMIFS('3AugTo9Aug'!$L:$L, '3AugTo9Aug'!$J:$J, $A47)</f>
        <v>0</v>
      </c>
      <c r="BV47" s="121">
        <f>SUMIFS('3AugTo9Aug'!$K:$K, '3AugTo9Aug'!$J:$J, $A47)</f>
        <v>0</v>
      </c>
      <c r="BW47" s="121">
        <f>SUMIFS('3AugTo9Aug'!$O:$O, '3AugTo9Aug'!$J:$J, $A47)</f>
        <v>0</v>
      </c>
      <c r="BX47" s="121">
        <f>SUMIFS('3AugTo9Aug'!$P:$P, '3AugTo9Aug'!$J:$J, $A47)</f>
        <v>0</v>
      </c>
      <c r="BY47" s="123">
        <f t="shared" si="14"/>
        <v>0</v>
      </c>
      <c r="BZ47" s="121">
        <f>SUMIFS('27JulyTo2Aug'!$L:$L, '27JulyTo2Aug'!$J:$J, $A47)</f>
        <v>1</v>
      </c>
      <c r="CA47" s="121">
        <f>SUMIFS('27JulyTo2Aug'!$K:$K, '27JulyTo2Aug'!$J:$J, $A47)</f>
        <v>3</v>
      </c>
      <c r="CB47" s="121">
        <f>SUMIFS('27JulyTo2Aug'!$O:$O, '27JulyTo2Aug'!$J:$J, $A47)</f>
        <v>2.73</v>
      </c>
      <c r="CC47" s="121">
        <f>SUMIFS('27JulyTo2Aug'!$P:$P, '27JulyTo2Aug'!$J:$J, $A47)</f>
        <v>29.99</v>
      </c>
      <c r="CD47" s="123">
        <f t="shared" si="15"/>
        <v>9.1030343447815945</v>
      </c>
    </row>
    <row r="48" spans="1:82" ht="14.25" customHeight="1" x14ac:dyDescent="0.3">
      <c r="A48" s="124" t="s">
        <v>569</v>
      </c>
      <c r="B48" s="120" t="str">
        <f t="shared" si="16"/>
        <v>NO TRAFFIC</v>
      </c>
      <c r="C48" s="121">
        <f>SUMIFS('9NovTo15Nov'!$L:$L, '9NovTo15Nov'!$J:$J, $A48)</f>
        <v>0</v>
      </c>
      <c r="D48" s="121">
        <f>SUMIFS('9NovTo15Nov'!$K:$K, '9NovTo15Nov'!$J:$J, $A48)</f>
        <v>0</v>
      </c>
      <c r="E48" s="121">
        <f>SUMIFS('9NovTo15Nov'!$O:$O, '9NovTo15Nov'!$J:$J, $A48)</f>
        <v>0</v>
      </c>
      <c r="F48" s="121">
        <f>SUMIFS('9NovTo15Nov'!$P:$P, '9NovTo15Nov'!$J:$J, $A48)</f>
        <v>0</v>
      </c>
      <c r="G48" s="122">
        <f t="shared" si="0"/>
        <v>0</v>
      </c>
      <c r="H48" s="121">
        <f>SUMIFS('2NovTo8Nov'!$L:$L, '2NovTo8Nov'!$J:$J, $A48)</f>
        <v>0</v>
      </c>
      <c r="I48" s="121">
        <f>SUMIFS('2NovTo8Nov'!$K:$K, '2NovTo8Nov'!$J:$J, $A48)</f>
        <v>0</v>
      </c>
      <c r="J48" s="121">
        <f>SUMIFS('2NovTo8Nov'!$O:$O, '2NovTo8Nov'!$J:$J, $A48)</f>
        <v>0</v>
      </c>
      <c r="K48" s="121">
        <f>SUMIFS('2NovTo8Nov'!$P:$P, '2NovTo8Nov'!$J:$J, $A48)</f>
        <v>0</v>
      </c>
      <c r="L48" s="122">
        <f t="shared" si="1"/>
        <v>0</v>
      </c>
      <c r="M48" s="121">
        <f>SUMIFS('26OctTo1Nov'!$L:$L, '26OctTo1Nov'!$J:$J, $A48)</f>
        <v>0</v>
      </c>
      <c r="N48" s="121">
        <f>SUMIFS('26OctTo1Nov'!$K:$K, '26OctTo1Nov'!$J:$J, $A48)</f>
        <v>0</v>
      </c>
      <c r="O48" s="121">
        <f>SUMIFS('26OctTo1Nov'!$O:$O, '26OctTo1Nov'!$J:$J, $A48)</f>
        <v>0</v>
      </c>
      <c r="P48" s="121">
        <f>SUMIFS('26OctTo1Nov'!$P:$P, '26OctTo1Nov'!$J:$J, $A48)</f>
        <v>0</v>
      </c>
      <c r="Q48" s="122">
        <f t="shared" si="2"/>
        <v>0</v>
      </c>
      <c r="R48" s="121">
        <f>SUMIFS('19OctTo25Oct'!$L:$L, '19OctTo25Oct'!$J:$J, $A48)</f>
        <v>0</v>
      </c>
      <c r="S48" s="121">
        <f>SUMIFS('19OctTo25Oct'!$K:$K, '19OctTo25Oct'!$J:$J, $A48)</f>
        <v>0</v>
      </c>
      <c r="T48" s="121">
        <f>SUMIFS('19OctTo25Oct'!$O:$O, '19OctTo25Oct'!$J:$J, $A48)</f>
        <v>0</v>
      </c>
      <c r="U48" s="121">
        <f>SUMIFS('19OctTo25Oct'!$P:$P, '19OctTo25Oct'!$J:$J, $A48)</f>
        <v>0</v>
      </c>
      <c r="V48" s="122">
        <f t="shared" si="3"/>
        <v>0</v>
      </c>
      <c r="W48" s="121">
        <f>SUMIFS('12OctTo18Oct'!$L:$L, '12OctTo18Oct'!$J:$J, $A48)</f>
        <v>0</v>
      </c>
      <c r="X48" s="121">
        <f>SUMIFS('12OctTo18Oct'!$K:$K, '12OctTo18Oct'!$J:$J, $A48)</f>
        <v>0</v>
      </c>
      <c r="Y48" s="121">
        <f>SUMIFS('12OctTo18Oct'!$O:$O, '12OctTo18Oct'!$J:$J, $A48)</f>
        <v>0</v>
      </c>
      <c r="Z48" s="121">
        <f>SUMIFS('12OctTo18Oct'!$P:$P, '12OctTo18Oct'!$J:$J, $A48)</f>
        <v>0</v>
      </c>
      <c r="AA48" s="122">
        <f t="shared" si="4"/>
        <v>0</v>
      </c>
      <c r="AB48" s="121">
        <f>SUMIFS('5OctTo11Oct'!$L:$L, '5OctTo11Oct'!$J:$J, $A48)</f>
        <v>0</v>
      </c>
      <c r="AC48" s="121">
        <f>SUMIFS('5OctTo11Oct'!$K:$K, '5OctTo11Oct'!$J:$J, $A48)</f>
        <v>0</v>
      </c>
      <c r="AD48" s="121">
        <f>SUMIFS('5OctTo11Oct'!$O:$O, '5OctTo11Oct'!$J:$J, $A48)</f>
        <v>0</v>
      </c>
      <c r="AE48" s="121">
        <f>SUMIFS('5OctTo11Oct'!$P:$P, '5OctTo11Oct'!$J:$J, $A48)</f>
        <v>0</v>
      </c>
      <c r="AF48" s="123">
        <f t="shared" si="5"/>
        <v>0</v>
      </c>
      <c r="AG48" s="121">
        <f>SUMIFS('28SepTo4Oct'!$L:$L, '28SepTo4Oct'!$J:$J, $A48)</f>
        <v>0</v>
      </c>
      <c r="AH48" s="121">
        <f>SUMIFS('28SepTo4Oct'!$K:$K, '28SepTo4Oct'!$J:$J, $A48)</f>
        <v>0</v>
      </c>
      <c r="AI48" s="121">
        <f>SUMIFS('28SepTo4Oct'!$O:$O, '28SepTo4Oct'!$J:$J, $A48)</f>
        <v>0</v>
      </c>
      <c r="AJ48" s="121">
        <f>SUMIFS('28SepTo4Oct'!$P:$P, '28SepTo4Oct'!$J:$J, $A48)</f>
        <v>0</v>
      </c>
      <c r="AK48" s="123">
        <f t="shared" si="6"/>
        <v>0</v>
      </c>
      <c r="AL48" s="121">
        <f>SUMIFS('21SepTo27Sep'!$L:$L, '21SepTo27Sep'!$J:$J, $A48)</f>
        <v>0</v>
      </c>
      <c r="AM48" s="121">
        <f>SUMIFS('21SepTo27Sep'!$K:$K, '21SepTo27Sep'!$J:$J, $A48)</f>
        <v>0</v>
      </c>
      <c r="AN48" s="121">
        <f>SUMIFS('21SepTo27Sep'!$O:$O, '21SepTo27Sep'!$J:$J, $A48)</f>
        <v>0</v>
      </c>
      <c r="AO48" s="121">
        <f>SUMIFS('21SepTo27Sep'!$P:$P, '21SepTo27Sep'!$J:$J, $A48)</f>
        <v>0</v>
      </c>
      <c r="AP48" s="123">
        <f t="shared" si="7"/>
        <v>0</v>
      </c>
      <c r="AQ48" s="121">
        <f>SUMIFS('14SepTo20Sep'!$L:$L, '14SepTo20Sep'!$J:$J, $A48)</f>
        <v>0</v>
      </c>
      <c r="AR48" s="121">
        <f>SUMIFS('14SepTo20Sep'!$K:$K, '14SepTo20Sep'!$J:$J, $A48)</f>
        <v>0</v>
      </c>
      <c r="AS48" s="121">
        <f>SUMIFS('14SepTo20Sep'!$O:$O, '14SepTo20Sep'!$J:$J, $A48)</f>
        <v>0</v>
      </c>
      <c r="AT48" s="121">
        <f>SUMIFS('14SepTo20Sep'!$P:$P, '14SepTo20Sep'!$J:$J, $A48)</f>
        <v>0</v>
      </c>
      <c r="AU48" s="123">
        <f t="shared" si="8"/>
        <v>0</v>
      </c>
      <c r="AV48" s="121">
        <f>SUMIFS('7SepTo13Sep'!$L:$L, '7SepTo13Sep'!$J:$J, $A48)</f>
        <v>0</v>
      </c>
      <c r="AW48" s="121">
        <f>SUMIFS('7SepTo13Sep'!$K:$K, '7SepTo13Sep'!$J:$J, $A48)</f>
        <v>0</v>
      </c>
      <c r="AX48" s="121">
        <f>SUMIFS('7SepTo13Sep'!$O:$O, '7SepTo13Sep'!$J:$J, $A48)</f>
        <v>0</v>
      </c>
      <c r="AY48" s="121">
        <f>SUMIFS('7SepTo13Sep'!$P:$P, '7SepTo13Sep'!$J:$J, $A48)</f>
        <v>0</v>
      </c>
      <c r="AZ48" s="123">
        <f t="shared" si="9"/>
        <v>0</v>
      </c>
      <c r="BA48" s="121">
        <f>SUMIFS('31AugTo6Sep'!$L:$L, '31AugTo6Sep'!$J:$J, $A48)</f>
        <v>1</v>
      </c>
      <c r="BB48" s="121">
        <f>SUMIFS('31AugTo6Sep'!$K:$K, '31AugTo6Sep'!$J:$J, $A48)</f>
        <v>1</v>
      </c>
      <c r="BC48" s="121">
        <f>SUMIFS('31AugTo6Sep'!$O:$O, '31AugTo6Sep'!$J:$J, $A48)</f>
        <v>4.13</v>
      </c>
      <c r="BD48" s="121">
        <f>SUMIFS('31AugTo6Sep'!$P:$P, '31AugTo6Sep'!$J:$J, $A48)</f>
        <v>24.94</v>
      </c>
      <c r="BE48" s="123">
        <f t="shared" si="10"/>
        <v>16.559743384121891</v>
      </c>
      <c r="BF48" s="121">
        <f>SUMIFS('24AugTo29Aug'!$L:$L, '24AugTo29Aug'!$J:$J, $A48)</f>
        <v>0</v>
      </c>
      <c r="BG48" s="121">
        <f>SUMIFS('24AugTo29Aug'!$K:$K, '24AugTo29Aug'!$J:$J, $A48)</f>
        <v>0</v>
      </c>
      <c r="BH48" s="121">
        <f>SUMIFS('24AugTo29Aug'!$O:$O, '24AugTo29Aug'!$J:$J, $A48)</f>
        <v>0</v>
      </c>
      <c r="BI48" s="121">
        <f>SUMIFS('24AugTo29Aug'!$P:$P, '24AugTo29Aug'!$J:$J, $A48)</f>
        <v>0</v>
      </c>
      <c r="BJ48" s="123">
        <f t="shared" si="11"/>
        <v>0</v>
      </c>
      <c r="BK48" s="121">
        <f>SUMIFS('17AugTo21Aug'!$L:$L, '17AugTo21Aug'!$J:$J, $A48)</f>
        <v>0</v>
      </c>
      <c r="BL48" s="121">
        <f>SUMIFS('17AugTo21Aug'!$K:$K, '17AugTo21Aug'!$J:$J, $A48)</f>
        <v>0</v>
      </c>
      <c r="BM48" s="121">
        <f>SUMIFS('17AugTo21Aug'!$O:$O, '17AugTo21Aug'!$J:$J, $A48)</f>
        <v>0</v>
      </c>
      <c r="BN48" s="121">
        <f>SUMIFS('17AugTo21Aug'!$P:$P, '17AugTo21Aug'!$J:$J, $A48)</f>
        <v>0</v>
      </c>
      <c r="BO48" s="123">
        <f t="shared" si="12"/>
        <v>0</v>
      </c>
      <c r="BP48" s="121">
        <f>SUMIFS('10AugTo16Aug'!$L:$L, '10AugTo16Aug'!$J:$J, $A48)</f>
        <v>0</v>
      </c>
      <c r="BQ48" s="121">
        <f>SUMIFS('10AugTo16Aug'!$K:$K, '10AugTo16Aug'!$J:$J, $A48)</f>
        <v>0</v>
      </c>
      <c r="BR48" s="121">
        <f>SUMIFS('10AugTo16Aug'!$O:$O, '10AugTo16Aug'!$J:$J, $A48)</f>
        <v>0</v>
      </c>
      <c r="BS48" s="121">
        <f>SUMIFS('10AugTo16Aug'!$P:$P, '10AugTo16Aug'!$J:$J, $A48)</f>
        <v>0</v>
      </c>
      <c r="BT48" s="123">
        <f t="shared" si="13"/>
        <v>0</v>
      </c>
      <c r="BU48" s="121">
        <f>SUMIFS('3AugTo9Aug'!$L:$L, '3AugTo9Aug'!$J:$J, $A48)</f>
        <v>0</v>
      </c>
      <c r="BV48" s="121">
        <f>SUMIFS('3AugTo9Aug'!$K:$K, '3AugTo9Aug'!$J:$J, $A48)</f>
        <v>0</v>
      </c>
      <c r="BW48" s="121">
        <f>SUMIFS('3AugTo9Aug'!$O:$O, '3AugTo9Aug'!$J:$J, $A48)</f>
        <v>0</v>
      </c>
      <c r="BX48" s="121">
        <f>SUMIFS('3AugTo9Aug'!$P:$P, '3AugTo9Aug'!$J:$J, $A48)</f>
        <v>0</v>
      </c>
      <c r="BY48" s="123">
        <f t="shared" si="14"/>
        <v>0</v>
      </c>
      <c r="BZ48" s="121">
        <f>SUMIFS('27JulyTo2Aug'!$L:$L, '27JulyTo2Aug'!$J:$J, $A48)</f>
        <v>0</v>
      </c>
      <c r="CA48" s="121">
        <f>SUMIFS('27JulyTo2Aug'!$K:$K, '27JulyTo2Aug'!$J:$J, $A48)</f>
        <v>0</v>
      </c>
      <c r="CB48" s="121">
        <f>SUMIFS('27JulyTo2Aug'!$O:$O, '27JulyTo2Aug'!$J:$J, $A48)</f>
        <v>0</v>
      </c>
      <c r="CC48" s="121">
        <f>SUMIFS('27JulyTo2Aug'!$P:$P, '27JulyTo2Aug'!$J:$J, $A48)</f>
        <v>0</v>
      </c>
      <c r="CD48" s="123">
        <f t="shared" si="15"/>
        <v>0</v>
      </c>
    </row>
    <row r="49" spans="1:82" ht="14.25" customHeight="1" x14ac:dyDescent="0.3">
      <c r="A49" s="119" t="s">
        <v>399</v>
      </c>
      <c r="B49" s="120" t="str">
        <f t="shared" si="16"/>
        <v>NO TRAFFIC</v>
      </c>
      <c r="C49" s="121">
        <f>SUMIFS('9NovTo15Nov'!$L:$L, '9NovTo15Nov'!$J:$J, $A49)</f>
        <v>0</v>
      </c>
      <c r="D49" s="121">
        <f>SUMIFS('9NovTo15Nov'!$K:$K, '9NovTo15Nov'!$J:$J, $A49)</f>
        <v>0</v>
      </c>
      <c r="E49" s="121">
        <f>SUMIFS('9NovTo15Nov'!$O:$O, '9NovTo15Nov'!$J:$J, $A49)</f>
        <v>0</v>
      </c>
      <c r="F49" s="121">
        <f>SUMIFS('9NovTo15Nov'!$P:$P, '9NovTo15Nov'!$J:$J, $A49)</f>
        <v>0</v>
      </c>
      <c r="G49" s="122">
        <f t="shared" si="0"/>
        <v>0</v>
      </c>
      <c r="H49" s="121">
        <f>SUMIFS('2NovTo8Nov'!$L:$L, '2NovTo8Nov'!$J:$J, $A49)</f>
        <v>0</v>
      </c>
      <c r="I49" s="121">
        <f>SUMIFS('2NovTo8Nov'!$K:$K, '2NovTo8Nov'!$J:$J, $A49)</f>
        <v>0</v>
      </c>
      <c r="J49" s="121">
        <f>SUMIFS('2NovTo8Nov'!$O:$O, '2NovTo8Nov'!$J:$J, $A49)</f>
        <v>0</v>
      </c>
      <c r="K49" s="121">
        <f>SUMIFS('2NovTo8Nov'!$P:$P, '2NovTo8Nov'!$J:$J, $A49)</f>
        <v>0</v>
      </c>
      <c r="L49" s="122">
        <f t="shared" si="1"/>
        <v>0</v>
      </c>
      <c r="M49" s="121">
        <f>SUMIFS('26OctTo1Nov'!$L:$L, '26OctTo1Nov'!$J:$J, $A49)</f>
        <v>0</v>
      </c>
      <c r="N49" s="121">
        <f>SUMIFS('26OctTo1Nov'!$K:$K, '26OctTo1Nov'!$J:$J, $A49)</f>
        <v>0</v>
      </c>
      <c r="O49" s="121">
        <f>SUMIFS('26OctTo1Nov'!$O:$O, '26OctTo1Nov'!$J:$J, $A49)</f>
        <v>0</v>
      </c>
      <c r="P49" s="121">
        <f>SUMIFS('26OctTo1Nov'!$P:$P, '26OctTo1Nov'!$J:$J, $A49)</f>
        <v>0</v>
      </c>
      <c r="Q49" s="122">
        <f t="shared" si="2"/>
        <v>0</v>
      </c>
      <c r="R49" s="121">
        <f>SUMIFS('19OctTo25Oct'!$L:$L, '19OctTo25Oct'!$J:$J, $A49)</f>
        <v>0</v>
      </c>
      <c r="S49" s="121">
        <f>SUMIFS('19OctTo25Oct'!$K:$K, '19OctTo25Oct'!$J:$J, $A49)</f>
        <v>0</v>
      </c>
      <c r="T49" s="121">
        <f>SUMIFS('19OctTo25Oct'!$O:$O, '19OctTo25Oct'!$J:$J, $A49)</f>
        <v>0</v>
      </c>
      <c r="U49" s="121">
        <f>SUMIFS('19OctTo25Oct'!$P:$P, '19OctTo25Oct'!$J:$J, $A49)</f>
        <v>0</v>
      </c>
      <c r="V49" s="122">
        <f t="shared" si="3"/>
        <v>0</v>
      </c>
      <c r="W49" s="121">
        <f>SUMIFS('12OctTo18Oct'!$L:$L, '12OctTo18Oct'!$J:$J, $A49)</f>
        <v>0</v>
      </c>
      <c r="X49" s="121">
        <f>SUMIFS('12OctTo18Oct'!$K:$K, '12OctTo18Oct'!$J:$J, $A49)</f>
        <v>0</v>
      </c>
      <c r="Y49" s="121">
        <f>SUMIFS('12OctTo18Oct'!$O:$O, '12OctTo18Oct'!$J:$J, $A49)</f>
        <v>0</v>
      </c>
      <c r="Z49" s="121">
        <f>SUMIFS('12OctTo18Oct'!$P:$P, '12OctTo18Oct'!$J:$J, $A49)</f>
        <v>0</v>
      </c>
      <c r="AA49" s="122">
        <f t="shared" si="4"/>
        <v>0</v>
      </c>
      <c r="AB49" s="121">
        <f>SUMIFS('5OctTo11Oct'!$L:$L, '5OctTo11Oct'!$J:$J, $A49)</f>
        <v>0</v>
      </c>
      <c r="AC49" s="121">
        <f>SUMIFS('5OctTo11Oct'!$K:$K, '5OctTo11Oct'!$J:$J, $A49)</f>
        <v>0</v>
      </c>
      <c r="AD49" s="121">
        <f>SUMIFS('5OctTo11Oct'!$O:$O, '5OctTo11Oct'!$J:$J, $A49)</f>
        <v>0</v>
      </c>
      <c r="AE49" s="121">
        <f>SUMIFS('5OctTo11Oct'!$P:$P, '5OctTo11Oct'!$J:$J, $A49)</f>
        <v>0</v>
      </c>
      <c r="AF49" s="123">
        <f t="shared" si="5"/>
        <v>0</v>
      </c>
      <c r="AG49" s="121">
        <f>SUMIFS('28SepTo4Oct'!$L:$L, '28SepTo4Oct'!$J:$J, $A49)</f>
        <v>0</v>
      </c>
      <c r="AH49" s="121">
        <f>SUMIFS('28SepTo4Oct'!$K:$K, '28SepTo4Oct'!$J:$J, $A49)</f>
        <v>0</v>
      </c>
      <c r="AI49" s="121">
        <f>SUMIFS('28SepTo4Oct'!$O:$O, '28SepTo4Oct'!$J:$J, $A49)</f>
        <v>0</v>
      </c>
      <c r="AJ49" s="121">
        <f>SUMIFS('28SepTo4Oct'!$P:$P, '28SepTo4Oct'!$J:$J, $A49)</f>
        <v>0</v>
      </c>
      <c r="AK49" s="123">
        <f t="shared" si="6"/>
        <v>0</v>
      </c>
      <c r="AL49" s="121">
        <f>SUMIFS('21SepTo27Sep'!$L:$L, '21SepTo27Sep'!$J:$J, $A49)</f>
        <v>1</v>
      </c>
      <c r="AM49" s="121">
        <f>SUMIFS('21SepTo27Sep'!$K:$K, '21SepTo27Sep'!$J:$J, $A49)</f>
        <v>2</v>
      </c>
      <c r="AN49" s="121">
        <f>SUMIFS('21SepTo27Sep'!$O:$O, '21SepTo27Sep'!$J:$J, $A49)</f>
        <v>3.34</v>
      </c>
      <c r="AO49" s="121">
        <f>SUMIFS('21SepTo27Sep'!$P:$P, '21SepTo27Sep'!$J:$J, $A49)</f>
        <v>24.94</v>
      </c>
      <c r="AP49" s="123">
        <f t="shared" si="7"/>
        <v>13.392141138732958</v>
      </c>
      <c r="AQ49" s="121">
        <f>SUMIFS('14SepTo20Sep'!$L:$L, '14SepTo20Sep'!$J:$J, $A49)</f>
        <v>0</v>
      </c>
      <c r="AR49" s="121">
        <f>SUMIFS('14SepTo20Sep'!$K:$K, '14SepTo20Sep'!$J:$J, $A49)</f>
        <v>0</v>
      </c>
      <c r="AS49" s="121">
        <f>SUMIFS('14SepTo20Sep'!$O:$O, '14SepTo20Sep'!$J:$J, $A49)</f>
        <v>0</v>
      </c>
      <c r="AT49" s="121">
        <f>SUMIFS('14SepTo20Sep'!$P:$P, '14SepTo20Sep'!$J:$J, $A49)</f>
        <v>0</v>
      </c>
      <c r="AU49" s="123">
        <f t="shared" si="8"/>
        <v>0</v>
      </c>
      <c r="AV49" s="121">
        <f>SUMIFS('7SepTo13Sep'!$L:$L, '7SepTo13Sep'!$J:$J, $A49)</f>
        <v>0</v>
      </c>
      <c r="AW49" s="121">
        <f>SUMIFS('7SepTo13Sep'!$K:$K, '7SepTo13Sep'!$J:$J, $A49)</f>
        <v>0</v>
      </c>
      <c r="AX49" s="121">
        <f>SUMIFS('7SepTo13Sep'!$O:$O, '7SepTo13Sep'!$J:$J, $A49)</f>
        <v>0</v>
      </c>
      <c r="AY49" s="121">
        <f>SUMIFS('7SepTo13Sep'!$P:$P, '7SepTo13Sep'!$J:$J, $A49)</f>
        <v>0</v>
      </c>
      <c r="AZ49" s="123">
        <f t="shared" si="9"/>
        <v>0</v>
      </c>
      <c r="BA49" s="121">
        <f>SUMIFS('31AugTo6Sep'!$L:$L, '31AugTo6Sep'!$J:$J, $A49)</f>
        <v>0</v>
      </c>
      <c r="BB49" s="121">
        <f>SUMIFS('31AugTo6Sep'!$K:$K, '31AugTo6Sep'!$J:$J, $A49)</f>
        <v>0</v>
      </c>
      <c r="BC49" s="121">
        <f>SUMIFS('31AugTo6Sep'!$O:$O, '31AugTo6Sep'!$J:$J, $A49)</f>
        <v>0</v>
      </c>
      <c r="BD49" s="121">
        <f>SUMIFS('31AugTo6Sep'!$P:$P, '31AugTo6Sep'!$J:$J, $A49)</f>
        <v>0</v>
      </c>
      <c r="BE49" s="123">
        <f t="shared" si="10"/>
        <v>0</v>
      </c>
      <c r="BF49" s="121">
        <f>SUMIFS('24AugTo29Aug'!$L:$L, '24AugTo29Aug'!$J:$J, $A49)</f>
        <v>0</v>
      </c>
      <c r="BG49" s="121">
        <f>SUMIFS('24AugTo29Aug'!$K:$K, '24AugTo29Aug'!$J:$J, $A49)</f>
        <v>0</v>
      </c>
      <c r="BH49" s="121">
        <f>SUMIFS('24AugTo29Aug'!$O:$O, '24AugTo29Aug'!$J:$J, $A49)</f>
        <v>0</v>
      </c>
      <c r="BI49" s="121">
        <f>SUMIFS('24AugTo29Aug'!$P:$P, '24AugTo29Aug'!$J:$J, $A49)</f>
        <v>0</v>
      </c>
      <c r="BJ49" s="123">
        <f t="shared" si="11"/>
        <v>0</v>
      </c>
      <c r="BK49" s="121">
        <f>SUMIFS('17AugTo21Aug'!$L:$L, '17AugTo21Aug'!$J:$J, $A49)</f>
        <v>0</v>
      </c>
      <c r="BL49" s="121">
        <f>SUMIFS('17AugTo21Aug'!$K:$K, '17AugTo21Aug'!$J:$J, $A49)</f>
        <v>0</v>
      </c>
      <c r="BM49" s="121">
        <f>SUMIFS('17AugTo21Aug'!$O:$O, '17AugTo21Aug'!$J:$J, $A49)</f>
        <v>0</v>
      </c>
      <c r="BN49" s="121">
        <f>SUMIFS('17AugTo21Aug'!$P:$P, '17AugTo21Aug'!$J:$J, $A49)</f>
        <v>0</v>
      </c>
      <c r="BO49" s="123">
        <f t="shared" si="12"/>
        <v>0</v>
      </c>
      <c r="BP49" s="121">
        <f>SUMIFS('10AugTo16Aug'!$L:$L, '10AugTo16Aug'!$J:$J, $A49)</f>
        <v>0</v>
      </c>
      <c r="BQ49" s="121">
        <f>SUMIFS('10AugTo16Aug'!$K:$K, '10AugTo16Aug'!$J:$J, $A49)</f>
        <v>0</v>
      </c>
      <c r="BR49" s="121">
        <f>SUMIFS('10AugTo16Aug'!$O:$O, '10AugTo16Aug'!$J:$J, $A49)</f>
        <v>0</v>
      </c>
      <c r="BS49" s="121">
        <f>SUMIFS('10AugTo16Aug'!$P:$P, '10AugTo16Aug'!$J:$J, $A49)</f>
        <v>0</v>
      </c>
      <c r="BT49" s="123">
        <f t="shared" si="13"/>
        <v>0</v>
      </c>
      <c r="BU49" s="121">
        <f>SUMIFS('3AugTo9Aug'!$L:$L, '3AugTo9Aug'!$J:$J, $A49)</f>
        <v>0</v>
      </c>
      <c r="BV49" s="121">
        <f>SUMIFS('3AugTo9Aug'!$K:$K, '3AugTo9Aug'!$J:$J, $A49)</f>
        <v>0</v>
      </c>
      <c r="BW49" s="121">
        <f>SUMIFS('3AugTo9Aug'!$O:$O, '3AugTo9Aug'!$J:$J, $A49)</f>
        <v>0</v>
      </c>
      <c r="BX49" s="121">
        <f>SUMIFS('3AugTo9Aug'!$P:$P, '3AugTo9Aug'!$J:$J, $A49)</f>
        <v>0</v>
      </c>
      <c r="BY49" s="123">
        <f t="shared" si="14"/>
        <v>0</v>
      </c>
      <c r="BZ49" s="121">
        <f>SUMIFS('27JulyTo2Aug'!$L:$L, '27JulyTo2Aug'!$J:$J, $A49)</f>
        <v>0</v>
      </c>
      <c r="CA49" s="121">
        <f>SUMIFS('27JulyTo2Aug'!$K:$K, '27JulyTo2Aug'!$J:$J, $A49)</f>
        <v>0</v>
      </c>
      <c r="CB49" s="121">
        <f>SUMIFS('27JulyTo2Aug'!$O:$O, '27JulyTo2Aug'!$J:$J, $A49)</f>
        <v>0</v>
      </c>
      <c r="CC49" s="121">
        <f>SUMIFS('27JulyTo2Aug'!$P:$P, '27JulyTo2Aug'!$J:$J, $A49)</f>
        <v>0</v>
      </c>
      <c r="CD49" s="123">
        <f t="shared" si="15"/>
        <v>0</v>
      </c>
    </row>
    <row r="50" spans="1:82" ht="14.25" customHeight="1" x14ac:dyDescent="0.3">
      <c r="A50" s="119" t="s">
        <v>404</v>
      </c>
      <c r="B50" s="120" t="str">
        <f t="shared" si="16"/>
        <v>NO TRAFFIC</v>
      </c>
      <c r="C50" s="121">
        <f>SUMIFS('9NovTo15Nov'!$L:$L, '9NovTo15Nov'!$J:$J, $A50)</f>
        <v>0</v>
      </c>
      <c r="D50" s="121">
        <f>SUMIFS('9NovTo15Nov'!$K:$K, '9NovTo15Nov'!$J:$J, $A50)</f>
        <v>0</v>
      </c>
      <c r="E50" s="121">
        <f>SUMIFS('9NovTo15Nov'!$O:$O, '9NovTo15Nov'!$J:$J, $A50)</f>
        <v>0</v>
      </c>
      <c r="F50" s="121">
        <f>SUMIFS('9NovTo15Nov'!$P:$P, '9NovTo15Nov'!$J:$J, $A50)</f>
        <v>0</v>
      </c>
      <c r="G50" s="122">
        <f t="shared" si="0"/>
        <v>0</v>
      </c>
      <c r="H50" s="121">
        <f>SUMIFS('2NovTo8Nov'!$L:$L, '2NovTo8Nov'!$J:$J, $A50)</f>
        <v>0</v>
      </c>
      <c r="I50" s="121">
        <f>SUMIFS('2NovTo8Nov'!$K:$K, '2NovTo8Nov'!$J:$J, $A50)</f>
        <v>0</v>
      </c>
      <c r="J50" s="121">
        <f>SUMIFS('2NovTo8Nov'!$O:$O, '2NovTo8Nov'!$J:$J, $A50)</f>
        <v>0</v>
      </c>
      <c r="K50" s="121">
        <f>SUMIFS('2NovTo8Nov'!$P:$P, '2NovTo8Nov'!$J:$J, $A50)</f>
        <v>0</v>
      </c>
      <c r="L50" s="122">
        <f t="shared" si="1"/>
        <v>0</v>
      </c>
      <c r="M50" s="121">
        <f>SUMIFS('26OctTo1Nov'!$L:$L, '26OctTo1Nov'!$J:$J, $A50)</f>
        <v>0</v>
      </c>
      <c r="N50" s="121">
        <f>SUMIFS('26OctTo1Nov'!$K:$K, '26OctTo1Nov'!$J:$J, $A50)</f>
        <v>0</v>
      </c>
      <c r="O50" s="121">
        <f>SUMIFS('26OctTo1Nov'!$O:$O, '26OctTo1Nov'!$J:$J, $A50)</f>
        <v>0</v>
      </c>
      <c r="P50" s="121">
        <f>SUMIFS('26OctTo1Nov'!$P:$P, '26OctTo1Nov'!$J:$J, $A50)</f>
        <v>0</v>
      </c>
      <c r="Q50" s="122">
        <f t="shared" si="2"/>
        <v>0</v>
      </c>
      <c r="R50" s="121">
        <f>SUMIFS('19OctTo25Oct'!$L:$L, '19OctTo25Oct'!$J:$J, $A50)</f>
        <v>0</v>
      </c>
      <c r="S50" s="121">
        <f>SUMIFS('19OctTo25Oct'!$K:$K, '19OctTo25Oct'!$J:$J, $A50)</f>
        <v>0</v>
      </c>
      <c r="T50" s="121">
        <f>SUMIFS('19OctTo25Oct'!$O:$O, '19OctTo25Oct'!$J:$J, $A50)</f>
        <v>0</v>
      </c>
      <c r="U50" s="121">
        <f>SUMIFS('19OctTo25Oct'!$P:$P, '19OctTo25Oct'!$J:$J, $A50)</f>
        <v>0</v>
      </c>
      <c r="V50" s="122">
        <f t="shared" si="3"/>
        <v>0</v>
      </c>
      <c r="W50" s="121">
        <f>SUMIFS('12OctTo18Oct'!$L:$L, '12OctTo18Oct'!$J:$J, $A50)</f>
        <v>0</v>
      </c>
      <c r="X50" s="121">
        <f>SUMIFS('12OctTo18Oct'!$K:$K, '12OctTo18Oct'!$J:$J, $A50)</f>
        <v>0</v>
      </c>
      <c r="Y50" s="121">
        <f>SUMIFS('12OctTo18Oct'!$O:$O, '12OctTo18Oct'!$J:$J, $A50)</f>
        <v>0</v>
      </c>
      <c r="Z50" s="121">
        <f>SUMIFS('12OctTo18Oct'!$P:$P, '12OctTo18Oct'!$J:$J, $A50)</f>
        <v>0</v>
      </c>
      <c r="AA50" s="122">
        <f t="shared" si="4"/>
        <v>0</v>
      </c>
      <c r="AB50" s="121">
        <f>SUMIFS('5OctTo11Oct'!$L:$L, '5OctTo11Oct'!$J:$J, $A50)</f>
        <v>0</v>
      </c>
      <c r="AC50" s="121">
        <f>SUMIFS('5OctTo11Oct'!$K:$K, '5OctTo11Oct'!$J:$J, $A50)</f>
        <v>0</v>
      </c>
      <c r="AD50" s="121">
        <f>SUMIFS('5OctTo11Oct'!$O:$O, '5OctTo11Oct'!$J:$J, $A50)</f>
        <v>0</v>
      </c>
      <c r="AE50" s="121">
        <f>SUMIFS('5OctTo11Oct'!$P:$P, '5OctTo11Oct'!$J:$J, $A50)</f>
        <v>0</v>
      </c>
      <c r="AF50" s="123">
        <f t="shared" si="5"/>
        <v>0</v>
      </c>
      <c r="AG50" s="121">
        <f>SUMIFS('28SepTo4Oct'!$L:$L, '28SepTo4Oct'!$J:$J, $A50)</f>
        <v>0</v>
      </c>
      <c r="AH50" s="121">
        <f>SUMIFS('28SepTo4Oct'!$K:$K, '28SepTo4Oct'!$J:$J, $A50)</f>
        <v>0</v>
      </c>
      <c r="AI50" s="121">
        <f>SUMIFS('28SepTo4Oct'!$O:$O, '28SepTo4Oct'!$J:$J, $A50)</f>
        <v>0</v>
      </c>
      <c r="AJ50" s="121">
        <f>SUMIFS('28SepTo4Oct'!$P:$P, '28SepTo4Oct'!$J:$J, $A50)</f>
        <v>0</v>
      </c>
      <c r="AK50" s="123">
        <f t="shared" si="6"/>
        <v>0</v>
      </c>
      <c r="AL50" s="121">
        <f>SUMIFS('21SepTo27Sep'!$L:$L, '21SepTo27Sep'!$J:$J, $A50)</f>
        <v>1</v>
      </c>
      <c r="AM50" s="121">
        <f>SUMIFS('21SepTo27Sep'!$K:$K, '21SepTo27Sep'!$J:$J, $A50)</f>
        <v>3</v>
      </c>
      <c r="AN50" s="121">
        <f>SUMIFS('21SepTo27Sep'!$O:$O, '21SepTo27Sep'!$J:$J, $A50)</f>
        <v>5.18</v>
      </c>
      <c r="AO50" s="121">
        <f>SUMIFS('21SepTo27Sep'!$P:$P, '21SepTo27Sep'!$J:$J, $A50)</f>
        <v>24.94</v>
      </c>
      <c r="AP50" s="123">
        <f t="shared" si="7"/>
        <v>20.769847634322371</v>
      </c>
      <c r="AQ50" s="121">
        <f>SUMIFS('14SepTo20Sep'!$L:$L, '14SepTo20Sep'!$J:$J, $A50)</f>
        <v>0</v>
      </c>
      <c r="AR50" s="121">
        <f>SUMIFS('14SepTo20Sep'!$K:$K, '14SepTo20Sep'!$J:$J, $A50)</f>
        <v>0</v>
      </c>
      <c r="AS50" s="121">
        <f>SUMIFS('14SepTo20Sep'!$O:$O, '14SepTo20Sep'!$J:$J, $A50)</f>
        <v>0</v>
      </c>
      <c r="AT50" s="121">
        <f>SUMIFS('14SepTo20Sep'!$P:$P, '14SepTo20Sep'!$J:$J, $A50)</f>
        <v>0</v>
      </c>
      <c r="AU50" s="123">
        <f t="shared" si="8"/>
        <v>0</v>
      </c>
      <c r="AV50" s="121">
        <f>SUMIFS('7SepTo13Sep'!$L:$L, '7SepTo13Sep'!$J:$J, $A50)</f>
        <v>0</v>
      </c>
      <c r="AW50" s="121">
        <f>SUMIFS('7SepTo13Sep'!$K:$K, '7SepTo13Sep'!$J:$J, $A50)</f>
        <v>0</v>
      </c>
      <c r="AX50" s="121">
        <f>SUMIFS('7SepTo13Sep'!$O:$O, '7SepTo13Sep'!$J:$J, $A50)</f>
        <v>0</v>
      </c>
      <c r="AY50" s="121">
        <f>SUMIFS('7SepTo13Sep'!$P:$P, '7SepTo13Sep'!$J:$J, $A50)</f>
        <v>0</v>
      </c>
      <c r="AZ50" s="123">
        <f t="shared" si="9"/>
        <v>0</v>
      </c>
      <c r="BA50" s="121">
        <f>SUMIFS('31AugTo6Sep'!$L:$L, '31AugTo6Sep'!$J:$J, $A50)</f>
        <v>0</v>
      </c>
      <c r="BB50" s="121">
        <f>SUMIFS('31AugTo6Sep'!$K:$K, '31AugTo6Sep'!$J:$J, $A50)</f>
        <v>0</v>
      </c>
      <c r="BC50" s="121">
        <f>SUMIFS('31AugTo6Sep'!$O:$O, '31AugTo6Sep'!$J:$J, $A50)</f>
        <v>0</v>
      </c>
      <c r="BD50" s="121">
        <f>SUMIFS('31AugTo6Sep'!$P:$P, '31AugTo6Sep'!$J:$J, $A50)</f>
        <v>0</v>
      </c>
      <c r="BE50" s="123">
        <f t="shared" si="10"/>
        <v>0</v>
      </c>
      <c r="BF50" s="121">
        <f>SUMIFS('24AugTo29Aug'!$L:$L, '24AugTo29Aug'!$J:$J, $A50)</f>
        <v>1</v>
      </c>
      <c r="BG50" s="121">
        <f>SUMIFS('24AugTo29Aug'!$K:$K, '24AugTo29Aug'!$J:$J, $A50)</f>
        <v>3</v>
      </c>
      <c r="BH50" s="121">
        <f>SUMIFS('24AugTo29Aug'!$O:$O, '24AugTo29Aug'!$J:$J, $A50)</f>
        <v>2.95</v>
      </c>
      <c r="BI50" s="121">
        <f>SUMIFS('24AugTo29Aug'!$P:$P, '24AugTo29Aug'!$J:$J, $A50)</f>
        <v>24.94</v>
      </c>
      <c r="BJ50" s="123">
        <f t="shared" si="11"/>
        <v>11.828388131515638</v>
      </c>
      <c r="BK50" s="121">
        <f>SUMIFS('17AugTo21Aug'!$L:$L, '17AugTo21Aug'!$J:$J, $A50)</f>
        <v>1</v>
      </c>
      <c r="BL50" s="121">
        <f>SUMIFS('17AugTo21Aug'!$K:$K, '17AugTo21Aug'!$J:$J, $A50)</f>
        <v>1</v>
      </c>
      <c r="BM50" s="121">
        <f>SUMIFS('17AugTo21Aug'!$O:$O, '17AugTo21Aug'!$J:$J, $A50)</f>
        <v>2.95</v>
      </c>
      <c r="BN50" s="121">
        <f>SUMIFS('17AugTo21Aug'!$P:$P, '17AugTo21Aug'!$J:$J, $A50)</f>
        <v>24.94</v>
      </c>
      <c r="BO50" s="123">
        <f t="shared" si="12"/>
        <v>11.828388131515638</v>
      </c>
      <c r="BP50" s="121">
        <f>SUMIFS('10AugTo16Aug'!$L:$L, '10AugTo16Aug'!$J:$J, $A50)</f>
        <v>0</v>
      </c>
      <c r="BQ50" s="121">
        <f>SUMIFS('10AugTo16Aug'!$K:$K, '10AugTo16Aug'!$J:$J, $A50)</f>
        <v>0</v>
      </c>
      <c r="BR50" s="121">
        <f>SUMIFS('10AugTo16Aug'!$O:$O, '10AugTo16Aug'!$J:$J, $A50)</f>
        <v>0</v>
      </c>
      <c r="BS50" s="121">
        <f>SUMIFS('10AugTo16Aug'!$P:$P, '10AugTo16Aug'!$J:$J, $A50)</f>
        <v>0</v>
      </c>
      <c r="BT50" s="123">
        <f t="shared" si="13"/>
        <v>0</v>
      </c>
      <c r="BU50" s="121">
        <f>SUMIFS('3AugTo9Aug'!$L:$L, '3AugTo9Aug'!$J:$J, $A50)</f>
        <v>0</v>
      </c>
      <c r="BV50" s="121">
        <f>SUMIFS('3AugTo9Aug'!$K:$K, '3AugTo9Aug'!$J:$J, $A50)</f>
        <v>0</v>
      </c>
      <c r="BW50" s="121">
        <f>SUMIFS('3AugTo9Aug'!$O:$O, '3AugTo9Aug'!$J:$J, $A50)</f>
        <v>0</v>
      </c>
      <c r="BX50" s="121">
        <f>SUMIFS('3AugTo9Aug'!$P:$P, '3AugTo9Aug'!$J:$J, $A50)</f>
        <v>0</v>
      </c>
      <c r="BY50" s="123">
        <f t="shared" si="14"/>
        <v>0</v>
      </c>
      <c r="BZ50" s="121">
        <f>SUMIFS('27JulyTo2Aug'!$L:$L, '27JulyTo2Aug'!$J:$J, $A50)</f>
        <v>0</v>
      </c>
      <c r="CA50" s="121">
        <f>SUMIFS('27JulyTo2Aug'!$K:$K, '27JulyTo2Aug'!$J:$J, $A50)</f>
        <v>0</v>
      </c>
      <c r="CB50" s="121">
        <f>SUMIFS('27JulyTo2Aug'!$O:$O, '27JulyTo2Aug'!$J:$J, $A50)</f>
        <v>0</v>
      </c>
      <c r="CC50" s="121">
        <f>SUMIFS('27JulyTo2Aug'!$P:$P, '27JulyTo2Aug'!$J:$J, $A50)</f>
        <v>0</v>
      </c>
      <c r="CD50" s="123">
        <f t="shared" si="15"/>
        <v>0</v>
      </c>
    </row>
    <row r="51" spans="1:82" ht="14.25" customHeight="1" x14ac:dyDescent="0.3">
      <c r="A51" s="119" t="s">
        <v>406</v>
      </c>
      <c r="B51" s="120" t="str">
        <f t="shared" si="16"/>
        <v>NO TRAFFIC</v>
      </c>
      <c r="C51" s="121">
        <f>SUMIFS('9NovTo15Nov'!$L:$L, '9NovTo15Nov'!$J:$J, $A51)</f>
        <v>0</v>
      </c>
      <c r="D51" s="121">
        <f>SUMIFS('9NovTo15Nov'!$K:$K, '9NovTo15Nov'!$J:$J, $A51)</f>
        <v>0</v>
      </c>
      <c r="E51" s="121">
        <f>SUMIFS('9NovTo15Nov'!$O:$O, '9NovTo15Nov'!$J:$J, $A51)</f>
        <v>0</v>
      </c>
      <c r="F51" s="121">
        <f>SUMIFS('9NovTo15Nov'!$P:$P, '9NovTo15Nov'!$J:$J, $A51)</f>
        <v>0</v>
      </c>
      <c r="G51" s="122">
        <f t="shared" si="0"/>
        <v>0</v>
      </c>
      <c r="H51" s="121">
        <f>SUMIFS('2NovTo8Nov'!$L:$L, '2NovTo8Nov'!$J:$J, $A51)</f>
        <v>0</v>
      </c>
      <c r="I51" s="121">
        <f>SUMIFS('2NovTo8Nov'!$K:$K, '2NovTo8Nov'!$J:$J, $A51)</f>
        <v>0</v>
      </c>
      <c r="J51" s="121">
        <f>SUMIFS('2NovTo8Nov'!$O:$O, '2NovTo8Nov'!$J:$J, $A51)</f>
        <v>0</v>
      </c>
      <c r="K51" s="121">
        <f>SUMIFS('2NovTo8Nov'!$P:$P, '2NovTo8Nov'!$J:$J, $A51)</f>
        <v>0</v>
      </c>
      <c r="L51" s="122">
        <f t="shared" si="1"/>
        <v>0</v>
      </c>
      <c r="M51" s="121">
        <f>SUMIFS('26OctTo1Nov'!$L:$L, '26OctTo1Nov'!$J:$J, $A51)</f>
        <v>0</v>
      </c>
      <c r="N51" s="121">
        <f>SUMIFS('26OctTo1Nov'!$K:$K, '26OctTo1Nov'!$J:$J, $A51)</f>
        <v>0</v>
      </c>
      <c r="O51" s="121">
        <f>SUMIFS('26OctTo1Nov'!$O:$O, '26OctTo1Nov'!$J:$J, $A51)</f>
        <v>0</v>
      </c>
      <c r="P51" s="121">
        <f>SUMIFS('26OctTo1Nov'!$P:$P, '26OctTo1Nov'!$J:$J, $A51)</f>
        <v>0</v>
      </c>
      <c r="Q51" s="122">
        <f t="shared" si="2"/>
        <v>0</v>
      </c>
      <c r="R51" s="121">
        <f>SUMIFS('19OctTo25Oct'!$L:$L, '19OctTo25Oct'!$J:$J, $A51)</f>
        <v>0</v>
      </c>
      <c r="S51" s="121">
        <f>SUMIFS('19OctTo25Oct'!$K:$K, '19OctTo25Oct'!$J:$J, $A51)</f>
        <v>0</v>
      </c>
      <c r="T51" s="121">
        <f>SUMIFS('19OctTo25Oct'!$O:$O, '19OctTo25Oct'!$J:$J, $A51)</f>
        <v>0</v>
      </c>
      <c r="U51" s="121">
        <f>SUMIFS('19OctTo25Oct'!$P:$P, '19OctTo25Oct'!$J:$J, $A51)</f>
        <v>0</v>
      </c>
      <c r="V51" s="122">
        <f t="shared" si="3"/>
        <v>0</v>
      </c>
      <c r="W51" s="121">
        <f>SUMIFS('12OctTo18Oct'!$L:$L, '12OctTo18Oct'!$J:$J, $A51)</f>
        <v>0</v>
      </c>
      <c r="X51" s="121">
        <f>SUMIFS('12OctTo18Oct'!$K:$K, '12OctTo18Oct'!$J:$J, $A51)</f>
        <v>0</v>
      </c>
      <c r="Y51" s="121">
        <f>SUMIFS('12OctTo18Oct'!$O:$O, '12OctTo18Oct'!$J:$J, $A51)</f>
        <v>0</v>
      </c>
      <c r="Z51" s="121">
        <f>SUMIFS('12OctTo18Oct'!$P:$P, '12OctTo18Oct'!$J:$J, $A51)</f>
        <v>0</v>
      </c>
      <c r="AA51" s="122">
        <f t="shared" si="4"/>
        <v>0</v>
      </c>
      <c r="AB51" s="121">
        <f>SUMIFS('5OctTo11Oct'!$L:$L, '5OctTo11Oct'!$J:$J, $A51)</f>
        <v>0</v>
      </c>
      <c r="AC51" s="121">
        <f>SUMIFS('5OctTo11Oct'!$K:$K, '5OctTo11Oct'!$J:$J, $A51)</f>
        <v>0</v>
      </c>
      <c r="AD51" s="121">
        <f>SUMIFS('5OctTo11Oct'!$O:$O, '5OctTo11Oct'!$J:$J, $A51)</f>
        <v>0</v>
      </c>
      <c r="AE51" s="121">
        <f>SUMIFS('5OctTo11Oct'!$P:$P, '5OctTo11Oct'!$J:$J, $A51)</f>
        <v>0</v>
      </c>
      <c r="AF51" s="123">
        <f t="shared" si="5"/>
        <v>0</v>
      </c>
      <c r="AG51" s="121">
        <f>SUMIFS('28SepTo4Oct'!$L:$L, '28SepTo4Oct'!$J:$J, $A51)</f>
        <v>0</v>
      </c>
      <c r="AH51" s="121">
        <f>SUMIFS('28SepTo4Oct'!$K:$K, '28SepTo4Oct'!$J:$J, $A51)</f>
        <v>0</v>
      </c>
      <c r="AI51" s="121">
        <f>SUMIFS('28SepTo4Oct'!$O:$O, '28SepTo4Oct'!$J:$J, $A51)</f>
        <v>0</v>
      </c>
      <c r="AJ51" s="121">
        <f>SUMIFS('28SepTo4Oct'!$P:$P, '28SepTo4Oct'!$J:$J, $A51)</f>
        <v>0</v>
      </c>
      <c r="AK51" s="123">
        <f t="shared" si="6"/>
        <v>0</v>
      </c>
      <c r="AL51" s="121">
        <f>SUMIFS('21SepTo27Sep'!$L:$L, '21SepTo27Sep'!$J:$J, $A51)</f>
        <v>1</v>
      </c>
      <c r="AM51" s="121">
        <f>SUMIFS('21SepTo27Sep'!$K:$K, '21SepTo27Sep'!$J:$J, $A51)</f>
        <v>5</v>
      </c>
      <c r="AN51" s="121">
        <f>SUMIFS('21SepTo27Sep'!$O:$O, '21SepTo27Sep'!$J:$J, $A51)</f>
        <v>4.0199999999999996</v>
      </c>
      <c r="AO51" s="121">
        <f>SUMIFS('21SepTo27Sep'!$P:$P, '21SepTo27Sep'!$J:$J, $A51)</f>
        <v>24.94</v>
      </c>
      <c r="AP51" s="123">
        <f t="shared" si="7"/>
        <v>16.118684843624699</v>
      </c>
      <c r="AQ51" s="121">
        <f>SUMIFS('14SepTo20Sep'!$L:$L, '14SepTo20Sep'!$J:$J, $A51)</f>
        <v>0</v>
      </c>
      <c r="AR51" s="121">
        <f>SUMIFS('14SepTo20Sep'!$K:$K, '14SepTo20Sep'!$J:$J, $A51)</f>
        <v>0</v>
      </c>
      <c r="AS51" s="121">
        <f>SUMIFS('14SepTo20Sep'!$O:$O, '14SepTo20Sep'!$J:$J, $A51)</f>
        <v>0</v>
      </c>
      <c r="AT51" s="121">
        <f>SUMIFS('14SepTo20Sep'!$P:$P, '14SepTo20Sep'!$J:$J, $A51)</f>
        <v>0</v>
      </c>
      <c r="AU51" s="123">
        <f t="shared" si="8"/>
        <v>0</v>
      </c>
      <c r="AV51" s="121">
        <f>SUMIFS('7SepTo13Sep'!$L:$L, '7SepTo13Sep'!$J:$J, $A51)</f>
        <v>0</v>
      </c>
      <c r="AW51" s="121">
        <f>SUMIFS('7SepTo13Sep'!$K:$K, '7SepTo13Sep'!$J:$J, $A51)</f>
        <v>0</v>
      </c>
      <c r="AX51" s="121">
        <f>SUMIFS('7SepTo13Sep'!$O:$O, '7SepTo13Sep'!$J:$J, $A51)</f>
        <v>0</v>
      </c>
      <c r="AY51" s="121">
        <f>SUMIFS('7SepTo13Sep'!$P:$P, '7SepTo13Sep'!$J:$J, $A51)</f>
        <v>0</v>
      </c>
      <c r="AZ51" s="123">
        <f t="shared" si="9"/>
        <v>0</v>
      </c>
      <c r="BA51" s="121">
        <f>SUMIFS('31AugTo6Sep'!$L:$L, '31AugTo6Sep'!$J:$J, $A51)</f>
        <v>0</v>
      </c>
      <c r="BB51" s="121">
        <f>SUMIFS('31AugTo6Sep'!$K:$K, '31AugTo6Sep'!$J:$J, $A51)</f>
        <v>0</v>
      </c>
      <c r="BC51" s="121">
        <f>SUMIFS('31AugTo6Sep'!$O:$O, '31AugTo6Sep'!$J:$J, $A51)</f>
        <v>0</v>
      </c>
      <c r="BD51" s="121">
        <f>SUMIFS('31AugTo6Sep'!$P:$P, '31AugTo6Sep'!$J:$J, $A51)</f>
        <v>0</v>
      </c>
      <c r="BE51" s="123">
        <f t="shared" si="10"/>
        <v>0</v>
      </c>
      <c r="BF51" s="121">
        <f>SUMIFS('24AugTo29Aug'!$L:$L, '24AugTo29Aug'!$J:$J, $A51)</f>
        <v>0</v>
      </c>
      <c r="BG51" s="121">
        <f>SUMIFS('24AugTo29Aug'!$K:$K, '24AugTo29Aug'!$J:$J, $A51)</f>
        <v>0</v>
      </c>
      <c r="BH51" s="121">
        <f>SUMIFS('24AugTo29Aug'!$O:$O, '24AugTo29Aug'!$J:$J, $A51)</f>
        <v>0</v>
      </c>
      <c r="BI51" s="121">
        <f>SUMIFS('24AugTo29Aug'!$P:$P, '24AugTo29Aug'!$J:$J, $A51)</f>
        <v>0</v>
      </c>
      <c r="BJ51" s="123">
        <f t="shared" si="11"/>
        <v>0</v>
      </c>
      <c r="BK51" s="121">
        <f>SUMIFS('17AugTo21Aug'!$L:$L, '17AugTo21Aug'!$J:$J, $A51)</f>
        <v>0</v>
      </c>
      <c r="BL51" s="121">
        <f>SUMIFS('17AugTo21Aug'!$K:$K, '17AugTo21Aug'!$J:$J, $A51)</f>
        <v>0</v>
      </c>
      <c r="BM51" s="121">
        <f>SUMIFS('17AugTo21Aug'!$O:$O, '17AugTo21Aug'!$J:$J, $A51)</f>
        <v>0</v>
      </c>
      <c r="BN51" s="121">
        <f>SUMIFS('17AugTo21Aug'!$P:$P, '17AugTo21Aug'!$J:$J, $A51)</f>
        <v>0</v>
      </c>
      <c r="BO51" s="123">
        <f t="shared" si="12"/>
        <v>0</v>
      </c>
      <c r="BP51" s="121">
        <f>SUMIFS('10AugTo16Aug'!$L:$L, '10AugTo16Aug'!$J:$J, $A51)</f>
        <v>0</v>
      </c>
      <c r="BQ51" s="121">
        <f>SUMIFS('10AugTo16Aug'!$K:$K, '10AugTo16Aug'!$J:$J, $A51)</f>
        <v>0</v>
      </c>
      <c r="BR51" s="121">
        <f>SUMIFS('10AugTo16Aug'!$O:$O, '10AugTo16Aug'!$J:$J, $A51)</f>
        <v>0</v>
      </c>
      <c r="BS51" s="121">
        <f>SUMIFS('10AugTo16Aug'!$P:$P, '10AugTo16Aug'!$J:$J, $A51)</f>
        <v>0</v>
      </c>
      <c r="BT51" s="123">
        <f t="shared" si="13"/>
        <v>0</v>
      </c>
      <c r="BU51" s="121">
        <f>SUMIFS('3AugTo9Aug'!$L:$L, '3AugTo9Aug'!$J:$J, $A51)</f>
        <v>0</v>
      </c>
      <c r="BV51" s="121">
        <f>SUMIFS('3AugTo9Aug'!$K:$K, '3AugTo9Aug'!$J:$J, $A51)</f>
        <v>0</v>
      </c>
      <c r="BW51" s="121">
        <f>SUMIFS('3AugTo9Aug'!$O:$O, '3AugTo9Aug'!$J:$J, $A51)</f>
        <v>0</v>
      </c>
      <c r="BX51" s="121">
        <f>SUMIFS('3AugTo9Aug'!$P:$P, '3AugTo9Aug'!$J:$J, $A51)</f>
        <v>0</v>
      </c>
      <c r="BY51" s="123">
        <f t="shared" si="14"/>
        <v>0</v>
      </c>
      <c r="BZ51" s="121">
        <f>SUMIFS('27JulyTo2Aug'!$L:$L, '27JulyTo2Aug'!$J:$J, $A51)</f>
        <v>0</v>
      </c>
      <c r="CA51" s="121">
        <f>SUMIFS('27JulyTo2Aug'!$K:$K, '27JulyTo2Aug'!$J:$J, $A51)</f>
        <v>0</v>
      </c>
      <c r="CB51" s="121">
        <f>SUMIFS('27JulyTo2Aug'!$O:$O, '27JulyTo2Aug'!$J:$J, $A51)</f>
        <v>0</v>
      </c>
      <c r="CC51" s="121">
        <f>SUMIFS('27JulyTo2Aug'!$P:$P, '27JulyTo2Aug'!$J:$J, $A51)</f>
        <v>0</v>
      </c>
      <c r="CD51" s="123">
        <f t="shared" si="15"/>
        <v>0</v>
      </c>
    </row>
    <row r="52" spans="1:82" ht="14.25" customHeight="1" x14ac:dyDescent="0.3">
      <c r="A52" s="119" t="s">
        <v>408</v>
      </c>
      <c r="B52" s="120" t="str">
        <f t="shared" si="16"/>
        <v>NO TRAFFIC</v>
      </c>
      <c r="C52" s="121">
        <f>SUMIFS('9NovTo15Nov'!$L:$L, '9NovTo15Nov'!$J:$J, $A52)</f>
        <v>0</v>
      </c>
      <c r="D52" s="121">
        <f>SUMIFS('9NovTo15Nov'!$K:$K, '9NovTo15Nov'!$J:$J, $A52)</f>
        <v>0</v>
      </c>
      <c r="E52" s="121">
        <f>SUMIFS('9NovTo15Nov'!$O:$O, '9NovTo15Nov'!$J:$J, $A52)</f>
        <v>0</v>
      </c>
      <c r="F52" s="121">
        <f>SUMIFS('9NovTo15Nov'!$P:$P, '9NovTo15Nov'!$J:$J, $A52)</f>
        <v>0</v>
      </c>
      <c r="G52" s="122">
        <f t="shared" si="0"/>
        <v>0</v>
      </c>
      <c r="H52" s="121">
        <f>SUMIFS('2NovTo8Nov'!$L:$L, '2NovTo8Nov'!$J:$J, $A52)</f>
        <v>0</v>
      </c>
      <c r="I52" s="121">
        <f>SUMIFS('2NovTo8Nov'!$K:$K, '2NovTo8Nov'!$J:$J, $A52)</f>
        <v>0</v>
      </c>
      <c r="J52" s="121">
        <f>SUMIFS('2NovTo8Nov'!$O:$O, '2NovTo8Nov'!$J:$J, $A52)</f>
        <v>0</v>
      </c>
      <c r="K52" s="121">
        <f>SUMIFS('2NovTo8Nov'!$P:$P, '2NovTo8Nov'!$J:$J, $A52)</f>
        <v>0</v>
      </c>
      <c r="L52" s="122">
        <f t="shared" si="1"/>
        <v>0</v>
      </c>
      <c r="M52" s="121">
        <f>SUMIFS('26OctTo1Nov'!$L:$L, '26OctTo1Nov'!$J:$J, $A52)</f>
        <v>0</v>
      </c>
      <c r="N52" s="121">
        <f>SUMIFS('26OctTo1Nov'!$K:$K, '26OctTo1Nov'!$J:$J, $A52)</f>
        <v>0</v>
      </c>
      <c r="O52" s="121">
        <f>SUMIFS('26OctTo1Nov'!$O:$O, '26OctTo1Nov'!$J:$J, $A52)</f>
        <v>0</v>
      </c>
      <c r="P52" s="121">
        <f>SUMIFS('26OctTo1Nov'!$P:$P, '26OctTo1Nov'!$J:$J, $A52)</f>
        <v>0</v>
      </c>
      <c r="Q52" s="122">
        <f t="shared" si="2"/>
        <v>0</v>
      </c>
      <c r="R52" s="121">
        <f>SUMIFS('19OctTo25Oct'!$L:$L, '19OctTo25Oct'!$J:$J, $A52)</f>
        <v>0</v>
      </c>
      <c r="S52" s="121">
        <f>SUMIFS('19OctTo25Oct'!$K:$K, '19OctTo25Oct'!$J:$J, $A52)</f>
        <v>0</v>
      </c>
      <c r="T52" s="121">
        <f>SUMIFS('19OctTo25Oct'!$O:$O, '19OctTo25Oct'!$J:$J, $A52)</f>
        <v>0</v>
      </c>
      <c r="U52" s="121">
        <f>SUMIFS('19OctTo25Oct'!$P:$P, '19OctTo25Oct'!$J:$J, $A52)</f>
        <v>0</v>
      </c>
      <c r="V52" s="122">
        <f t="shared" si="3"/>
        <v>0</v>
      </c>
      <c r="W52" s="121">
        <f>SUMIFS('12OctTo18Oct'!$L:$L, '12OctTo18Oct'!$J:$J, $A52)</f>
        <v>0</v>
      </c>
      <c r="X52" s="121">
        <f>SUMIFS('12OctTo18Oct'!$K:$K, '12OctTo18Oct'!$J:$J, $A52)</f>
        <v>0</v>
      </c>
      <c r="Y52" s="121">
        <f>SUMIFS('12OctTo18Oct'!$O:$O, '12OctTo18Oct'!$J:$J, $A52)</f>
        <v>0</v>
      </c>
      <c r="Z52" s="121">
        <f>SUMIFS('12OctTo18Oct'!$P:$P, '12OctTo18Oct'!$J:$J, $A52)</f>
        <v>0</v>
      </c>
      <c r="AA52" s="122">
        <f t="shared" si="4"/>
        <v>0</v>
      </c>
      <c r="AB52" s="121">
        <f>SUMIFS('5OctTo11Oct'!$L:$L, '5OctTo11Oct'!$J:$J, $A52)</f>
        <v>0</v>
      </c>
      <c r="AC52" s="121">
        <f>SUMIFS('5OctTo11Oct'!$K:$K, '5OctTo11Oct'!$J:$J, $A52)</f>
        <v>0</v>
      </c>
      <c r="AD52" s="121">
        <f>SUMIFS('5OctTo11Oct'!$O:$O, '5OctTo11Oct'!$J:$J, $A52)</f>
        <v>0</v>
      </c>
      <c r="AE52" s="121">
        <f>SUMIFS('5OctTo11Oct'!$P:$P, '5OctTo11Oct'!$J:$J, $A52)</f>
        <v>0</v>
      </c>
      <c r="AF52" s="123">
        <f t="shared" si="5"/>
        <v>0</v>
      </c>
      <c r="AG52" s="121">
        <f>SUMIFS('28SepTo4Oct'!$L:$L, '28SepTo4Oct'!$J:$J, $A52)</f>
        <v>0</v>
      </c>
      <c r="AH52" s="121">
        <f>SUMIFS('28SepTo4Oct'!$K:$K, '28SepTo4Oct'!$J:$J, $A52)</f>
        <v>0</v>
      </c>
      <c r="AI52" s="121">
        <f>SUMIFS('28SepTo4Oct'!$O:$O, '28SepTo4Oct'!$J:$J, $A52)</f>
        <v>0</v>
      </c>
      <c r="AJ52" s="121">
        <f>SUMIFS('28SepTo4Oct'!$P:$P, '28SepTo4Oct'!$J:$J, $A52)</f>
        <v>0</v>
      </c>
      <c r="AK52" s="123">
        <f t="shared" si="6"/>
        <v>0</v>
      </c>
      <c r="AL52" s="121">
        <f>SUMIFS('21SepTo27Sep'!$L:$L, '21SepTo27Sep'!$J:$J, $A52)</f>
        <v>2</v>
      </c>
      <c r="AM52" s="121">
        <f>SUMIFS('21SepTo27Sep'!$K:$K, '21SepTo27Sep'!$J:$J, $A52)</f>
        <v>10</v>
      </c>
      <c r="AN52" s="121">
        <f>SUMIFS('21SepTo27Sep'!$O:$O, '21SepTo27Sep'!$J:$J, $A52)</f>
        <v>10.029999999999999</v>
      </c>
      <c r="AO52" s="121">
        <f>SUMIFS('21SepTo27Sep'!$P:$P, '21SepTo27Sep'!$J:$J, $A52)</f>
        <v>49.88</v>
      </c>
      <c r="AP52" s="123">
        <f t="shared" si="7"/>
        <v>20.108259823576581</v>
      </c>
      <c r="AQ52" s="121">
        <f>SUMIFS('14SepTo20Sep'!$L:$L, '14SepTo20Sep'!$J:$J, $A52)</f>
        <v>2</v>
      </c>
      <c r="AR52" s="121">
        <f>SUMIFS('14SepTo20Sep'!$K:$K, '14SepTo20Sep'!$J:$J, $A52)</f>
        <v>47</v>
      </c>
      <c r="AS52" s="121">
        <f>SUMIFS('14SepTo20Sep'!$O:$O, '14SepTo20Sep'!$J:$J, $A52)</f>
        <v>6.89</v>
      </c>
      <c r="AT52" s="121">
        <f>SUMIFS('14SepTo20Sep'!$P:$P, '14SepTo20Sep'!$J:$J, $A52)</f>
        <v>24.94</v>
      </c>
      <c r="AU52" s="123">
        <f t="shared" si="8"/>
        <v>27.626303127506013</v>
      </c>
      <c r="AV52" s="121">
        <f>SUMIFS('7SepTo13Sep'!$L:$L, '7SepTo13Sep'!$J:$J, $A52)</f>
        <v>0</v>
      </c>
      <c r="AW52" s="121">
        <f>SUMIFS('7SepTo13Sep'!$K:$K, '7SepTo13Sep'!$J:$J, $A52)</f>
        <v>0</v>
      </c>
      <c r="AX52" s="121">
        <f>SUMIFS('7SepTo13Sep'!$O:$O, '7SepTo13Sep'!$J:$J, $A52)</f>
        <v>0</v>
      </c>
      <c r="AY52" s="121">
        <f>SUMIFS('7SepTo13Sep'!$P:$P, '7SepTo13Sep'!$J:$J, $A52)</f>
        <v>0</v>
      </c>
      <c r="AZ52" s="123">
        <f t="shared" si="9"/>
        <v>0</v>
      </c>
      <c r="BA52" s="121">
        <f>SUMIFS('31AugTo6Sep'!$L:$L, '31AugTo6Sep'!$J:$J, $A52)</f>
        <v>0</v>
      </c>
      <c r="BB52" s="121">
        <f>SUMIFS('31AugTo6Sep'!$K:$K, '31AugTo6Sep'!$J:$J, $A52)</f>
        <v>0</v>
      </c>
      <c r="BC52" s="121">
        <f>SUMIFS('31AugTo6Sep'!$O:$O, '31AugTo6Sep'!$J:$J, $A52)</f>
        <v>0</v>
      </c>
      <c r="BD52" s="121">
        <f>SUMIFS('31AugTo6Sep'!$P:$P, '31AugTo6Sep'!$J:$J, $A52)</f>
        <v>0</v>
      </c>
      <c r="BE52" s="123">
        <f t="shared" si="10"/>
        <v>0</v>
      </c>
      <c r="BF52" s="121">
        <f>SUMIFS('24AugTo29Aug'!$L:$L, '24AugTo29Aug'!$J:$J, $A52)</f>
        <v>0</v>
      </c>
      <c r="BG52" s="121">
        <f>SUMIFS('24AugTo29Aug'!$K:$K, '24AugTo29Aug'!$J:$J, $A52)</f>
        <v>0</v>
      </c>
      <c r="BH52" s="121">
        <f>SUMIFS('24AugTo29Aug'!$O:$O, '24AugTo29Aug'!$J:$J, $A52)</f>
        <v>0</v>
      </c>
      <c r="BI52" s="121">
        <f>SUMIFS('24AugTo29Aug'!$P:$P, '24AugTo29Aug'!$J:$J, $A52)</f>
        <v>0</v>
      </c>
      <c r="BJ52" s="123">
        <f t="shared" si="11"/>
        <v>0</v>
      </c>
      <c r="BK52" s="121">
        <f>SUMIFS('17AugTo21Aug'!$L:$L, '17AugTo21Aug'!$J:$J, $A52)</f>
        <v>0</v>
      </c>
      <c r="BL52" s="121">
        <f>SUMIFS('17AugTo21Aug'!$K:$K, '17AugTo21Aug'!$J:$J, $A52)</f>
        <v>0</v>
      </c>
      <c r="BM52" s="121">
        <f>SUMIFS('17AugTo21Aug'!$O:$O, '17AugTo21Aug'!$J:$J, $A52)</f>
        <v>0</v>
      </c>
      <c r="BN52" s="121">
        <f>SUMIFS('17AugTo21Aug'!$P:$P, '17AugTo21Aug'!$J:$J, $A52)</f>
        <v>0</v>
      </c>
      <c r="BO52" s="123">
        <f t="shared" si="12"/>
        <v>0</v>
      </c>
      <c r="BP52" s="121">
        <f>SUMIFS('10AugTo16Aug'!$L:$L, '10AugTo16Aug'!$J:$J, $A52)</f>
        <v>0</v>
      </c>
      <c r="BQ52" s="121">
        <f>SUMIFS('10AugTo16Aug'!$K:$K, '10AugTo16Aug'!$J:$J, $A52)</f>
        <v>0</v>
      </c>
      <c r="BR52" s="121">
        <f>SUMIFS('10AugTo16Aug'!$O:$O, '10AugTo16Aug'!$J:$J, $A52)</f>
        <v>0</v>
      </c>
      <c r="BS52" s="121">
        <f>SUMIFS('10AugTo16Aug'!$P:$P, '10AugTo16Aug'!$J:$J, $A52)</f>
        <v>0</v>
      </c>
      <c r="BT52" s="123">
        <f t="shared" si="13"/>
        <v>0</v>
      </c>
      <c r="BU52" s="121">
        <f>SUMIFS('3AugTo9Aug'!$L:$L, '3AugTo9Aug'!$J:$J, $A52)</f>
        <v>0</v>
      </c>
      <c r="BV52" s="121">
        <f>SUMIFS('3AugTo9Aug'!$K:$K, '3AugTo9Aug'!$J:$J, $A52)</f>
        <v>0</v>
      </c>
      <c r="BW52" s="121">
        <f>SUMIFS('3AugTo9Aug'!$O:$O, '3AugTo9Aug'!$J:$J, $A52)</f>
        <v>0</v>
      </c>
      <c r="BX52" s="121">
        <f>SUMIFS('3AugTo9Aug'!$P:$P, '3AugTo9Aug'!$J:$J, $A52)</f>
        <v>0</v>
      </c>
      <c r="BY52" s="123">
        <f t="shared" si="14"/>
        <v>0</v>
      </c>
      <c r="BZ52" s="121">
        <f>SUMIFS('27JulyTo2Aug'!$L:$L, '27JulyTo2Aug'!$J:$J, $A52)</f>
        <v>0</v>
      </c>
      <c r="CA52" s="121">
        <f>SUMIFS('27JulyTo2Aug'!$K:$K, '27JulyTo2Aug'!$J:$J, $A52)</f>
        <v>0</v>
      </c>
      <c r="CB52" s="121">
        <f>SUMIFS('27JulyTo2Aug'!$O:$O, '27JulyTo2Aug'!$J:$J, $A52)</f>
        <v>0</v>
      </c>
      <c r="CC52" s="121">
        <f>SUMIFS('27JulyTo2Aug'!$P:$P, '27JulyTo2Aug'!$J:$J, $A52)</f>
        <v>0</v>
      </c>
      <c r="CD52" s="123">
        <f t="shared" si="15"/>
        <v>0</v>
      </c>
    </row>
    <row r="53" spans="1:82" ht="14.25" customHeight="1" x14ac:dyDescent="0.3">
      <c r="A53" s="119" t="s">
        <v>421</v>
      </c>
      <c r="B53" s="120" t="str">
        <f t="shared" si="16"/>
        <v>NO TRAFFIC</v>
      </c>
      <c r="C53" s="121">
        <f>SUMIFS('9NovTo15Nov'!$L:$L, '9NovTo15Nov'!$J:$J, $A53)</f>
        <v>0</v>
      </c>
      <c r="D53" s="121">
        <f>SUMIFS('9NovTo15Nov'!$K:$K, '9NovTo15Nov'!$J:$J, $A53)</f>
        <v>0</v>
      </c>
      <c r="E53" s="121">
        <f>SUMIFS('9NovTo15Nov'!$O:$O, '9NovTo15Nov'!$J:$J, $A53)</f>
        <v>0</v>
      </c>
      <c r="F53" s="121">
        <f>SUMIFS('9NovTo15Nov'!$P:$P, '9NovTo15Nov'!$J:$J, $A53)</f>
        <v>0</v>
      </c>
      <c r="G53" s="122">
        <f t="shared" si="0"/>
        <v>0</v>
      </c>
      <c r="H53" s="121">
        <f>SUMIFS('2NovTo8Nov'!$L:$L, '2NovTo8Nov'!$J:$J, $A53)</f>
        <v>0</v>
      </c>
      <c r="I53" s="121">
        <f>SUMIFS('2NovTo8Nov'!$K:$K, '2NovTo8Nov'!$J:$J, $A53)</f>
        <v>0</v>
      </c>
      <c r="J53" s="121">
        <f>SUMIFS('2NovTo8Nov'!$O:$O, '2NovTo8Nov'!$J:$J, $A53)</f>
        <v>0</v>
      </c>
      <c r="K53" s="121">
        <f>SUMIFS('2NovTo8Nov'!$P:$P, '2NovTo8Nov'!$J:$J, $A53)</f>
        <v>0</v>
      </c>
      <c r="L53" s="122">
        <f t="shared" si="1"/>
        <v>0</v>
      </c>
      <c r="M53" s="121">
        <f>SUMIFS('26OctTo1Nov'!$L:$L, '26OctTo1Nov'!$J:$J, $A53)</f>
        <v>0</v>
      </c>
      <c r="N53" s="121">
        <f>SUMIFS('26OctTo1Nov'!$K:$K, '26OctTo1Nov'!$J:$J, $A53)</f>
        <v>0</v>
      </c>
      <c r="O53" s="121">
        <f>SUMIFS('26OctTo1Nov'!$O:$O, '26OctTo1Nov'!$J:$J, $A53)</f>
        <v>0</v>
      </c>
      <c r="P53" s="121">
        <f>SUMIFS('26OctTo1Nov'!$P:$P, '26OctTo1Nov'!$J:$J, $A53)</f>
        <v>0</v>
      </c>
      <c r="Q53" s="122">
        <f t="shared" si="2"/>
        <v>0</v>
      </c>
      <c r="R53" s="121">
        <f>SUMIFS('19OctTo25Oct'!$L:$L, '19OctTo25Oct'!$J:$J, $A53)</f>
        <v>0</v>
      </c>
      <c r="S53" s="121">
        <f>SUMIFS('19OctTo25Oct'!$K:$K, '19OctTo25Oct'!$J:$J, $A53)</f>
        <v>0</v>
      </c>
      <c r="T53" s="121">
        <f>SUMIFS('19OctTo25Oct'!$O:$O, '19OctTo25Oct'!$J:$J, $A53)</f>
        <v>0</v>
      </c>
      <c r="U53" s="121">
        <f>SUMIFS('19OctTo25Oct'!$P:$P, '19OctTo25Oct'!$J:$J, $A53)</f>
        <v>0</v>
      </c>
      <c r="V53" s="122">
        <f t="shared" si="3"/>
        <v>0</v>
      </c>
      <c r="W53" s="121">
        <f>SUMIFS('12OctTo18Oct'!$L:$L, '12OctTo18Oct'!$J:$J, $A53)</f>
        <v>0</v>
      </c>
      <c r="X53" s="121">
        <f>SUMIFS('12OctTo18Oct'!$K:$K, '12OctTo18Oct'!$J:$J, $A53)</f>
        <v>0</v>
      </c>
      <c r="Y53" s="121">
        <f>SUMIFS('12OctTo18Oct'!$O:$O, '12OctTo18Oct'!$J:$J, $A53)</f>
        <v>0</v>
      </c>
      <c r="Z53" s="121">
        <f>SUMIFS('12OctTo18Oct'!$P:$P, '12OctTo18Oct'!$J:$J, $A53)</f>
        <v>0</v>
      </c>
      <c r="AA53" s="122">
        <f t="shared" si="4"/>
        <v>0</v>
      </c>
      <c r="AB53" s="121">
        <f>SUMIFS('5OctTo11Oct'!$L:$L, '5OctTo11Oct'!$J:$J, $A53)</f>
        <v>0</v>
      </c>
      <c r="AC53" s="121">
        <f>SUMIFS('5OctTo11Oct'!$K:$K, '5OctTo11Oct'!$J:$J, $A53)</f>
        <v>0</v>
      </c>
      <c r="AD53" s="121">
        <f>SUMIFS('5OctTo11Oct'!$O:$O, '5OctTo11Oct'!$J:$J, $A53)</f>
        <v>0</v>
      </c>
      <c r="AE53" s="121">
        <f>SUMIFS('5OctTo11Oct'!$P:$P, '5OctTo11Oct'!$J:$J, $A53)</f>
        <v>0</v>
      </c>
      <c r="AF53" s="123">
        <f t="shared" si="5"/>
        <v>0</v>
      </c>
      <c r="AG53" s="121">
        <f>SUMIFS('28SepTo4Oct'!$L:$L, '28SepTo4Oct'!$J:$J, $A53)</f>
        <v>0</v>
      </c>
      <c r="AH53" s="121">
        <f>SUMIFS('28SepTo4Oct'!$K:$K, '28SepTo4Oct'!$J:$J, $A53)</f>
        <v>0</v>
      </c>
      <c r="AI53" s="121">
        <f>SUMIFS('28SepTo4Oct'!$O:$O, '28SepTo4Oct'!$J:$J, $A53)</f>
        <v>0</v>
      </c>
      <c r="AJ53" s="121">
        <f>SUMIFS('28SepTo4Oct'!$P:$P, '28SepTo4Oct'!$J:$J, $A53)</f>
        <v>0</v>
      </c>
      <c r="AK53" s="123">
        <f t="shared" si="6"/>
        <v>0</v>
      </c>
      <c r="AL53" s="121">
        <f>SUMIFS('21SepTo27Sep'!$L:$L, '21SepTo27Sep'!$J:$J, $A53)</f>
        <v>1</v>
      </c>
      <c r="AM53" s="121">
        <f>SUMIFS('21SepTo27Sep'!$K:$K, '21SepTo27Sep'!$J:$J, $A53)</f>
        <v>2</v>
      </c>
      <c r="AN53" s="121">
        <f>SUMIFS('21SepTo27Sep'!$O:$O, '21SepTo27Sep'!$J:$J, $A53)</f>
        <v>5.68</v>
      </c>
      <c r="AO53" s="121">
        <f>SUMIFS('21SepTo27Sep'!$P:$P, '21SepTo27Sep'!$J:$J, $A53)</f>
        <v>24.94</v>
      </c>
      <c r="AP53" s="123">
        <f t="shared" si="7"/>
        <v>22.774659182036885</v>
      </c>
      <c r="AQ53" s="121">
        <f>SUMIFS('14SepTo20Sep'!$L:$L, '14SepTo20Sep'!$J:$J, $A53)</f>
        <v>0</v>
      </c>
      <c r="AR53" s="121">
        <f>SUMIFS('14SepTo20Sep'!$K:$K, '14SepTo20Sep'!$J:$J, $A53)</f>
        <v>0</v>
      </c>
      <c r="AS53" s="121">
        <f>SUMIFS('14SepTo20Sep'!$O:$O, '14SepTo20Sep'!$J:$J, $A53)</f>
        <v>0</v>
      </c>
      <c r="AT53" s="121">
        <f>SUMIFS('14SepTo20Sep'!$P:$P, '14SepTo20Sep'!$J:$J, $A53)</f>
        <v>0</v>
      </c>
      <c r="AU53" s="123">
        <f t="shared" si="8"/>
        <v>0</v>
      </c>
      <c r="AV53" s="121">
        <f>SUMIFS('7SepTo13Sep'!$L:$L, '7SepTo13Sep'!$J:$J, $A53)</f>
        <v>2</v>
      </c>
      <c r="AW53" s="121">
        <f>SUMIFS('7SepTo13Sep'!$K:$K, '7SepTo13Sep'!$J:$J, $A53)</f>
        <v>5</v>
      </c>
      <c r="AX53" s="121">
        <f>SUMIFS('7SepTo13Sep'!$O:$O, '7SepTo13Sep'!$J:$J, $A53)</f>
        <v>6.38</v>
      </c>
      <c r="AY53" s="121">
        <f>SUMIFS('7SepTo13Sep'!$P:$P, '7SepTo13Sep'!$J:$J, $A53)</f>
        <v>49.88</v>
      </c>
      <c r="AZ53" s="123">
        <f t="shared" si="9"/>
        <v>12.790697674418606</v>
      </c>
      <c r="BA53" s="121">
        <f>SUMIFS('31AugTo6Sep'!$L:$L, '31AugTo6Sep'!$J:$J, $A53)</f>
        <v>0</v>
      </c>
      <c r="BB53" s="121">
        <f>SUMIFS('31AugTo6Sep'!$K:$K, '31AugTo6Sep'!$J:$J, $A53)</f>
        <v>0</v>
      </c>
      <c r="BC53" s="121">
        <f>SUMIFS('31AugTo6Sep'!$O:$O, '31AugTo6Sep'!$J:$J, $A53)</f>
        <v>0</v>
      </c>
      <c r="BD53" s="121">
        <f>SUMIFS('31AugTo6Sep'!$P:$P, '31AugTo6Sep'!$J:$J, $A53)</f>
        <v>0</v>
      </c>
      <c r="BE53" s="123">
        <f t="shared" si="10"/>
        <v>0</v>
      </c>
      <c r="BF53" s="121">
        <f>SUMIFS('24AugTo29Aug'!$L:$L, '24AugTo29Aug'!$J:$J, $A53)</f>
        <v>0</v>
      </c>
      <c r="BG53" s="121">
        <f>SUMIFS('24AugTo29Aug'!$K:$K, '24AugTo29Aug'!$J:$J, $A53)</f>
        <v>0</v>
      </c>
      <c r="BH53" s="121">
        <f>SUMIFS('24AugTo29Aug'!$O:$O, '24AugTo29Aug'!$J:$J, $A53)</f>
        <v>0</v>
      </c>
      <c r="BI53" s="121">
        <f>SUMIFS('24AugTo29Aug'!$P:$P, '24AugTo29Aug'!$J:$J, $A53)</f>
        <v>0</v>
      </c>
      <c r="BJ53" s="123">
        <f t="shared" si="11"/>
        <v>0</v>
      </c>
      <c r="BK53" s="121">
        <f>SUMIFS('17AugTo21Aug'!$L:$L, '17AugTo21Aug'!$J:$J, $A53)</f>
        <v>0</v>
      </c>
      <c r="BL53" s="121">
        <f>SUMIFS('17AugTo21Aug'!$K:$K, '17AugTo21Aug'!$J:$J, $A53)</f>
        <v>0</v>
      </c>
      <c r="BM53" s="121">
        <f>SUMIFS('17AugTo21Aug'!$O:$O, '17AugTo21Aug'!$J:$J, $A53)</f>
        <v>0</v>
      </c>
      <c r="BN53" s="121">
        <f>SUMIFS('17AugTo21Aug'!$P:$P, '17AugTo21Aug'!$J:$J, $A53)</f>
        <v>0</v>
      </c>
      <c r="BO53" s="123">
        <f t="shared" si="12"/>
        <v>0</v>
      </c>
      <c r="BP53" s="121">
        <f>SUMIFS('10AugTo16Aug'!$L:$L, '10AugTo16Aug'!$J:$J, $A53)</f>
        <v>1</v>
      </c>
      <c r="BQ53" s="121">
        <f>SUMIFS('10AugTo16Aug'!$K:$K, '10AugTo16Aug'!$J:$J, $A53)</f>
        <v>2</v>
      </c>
      <c r="BR53" s="121">
        <f>SUMIFS('10AugTo16Aug'!$O:$O, '10AugTo16Aug'!$J:$J, $A53)</f>
        <v>1.82</v>
      </c>
      <c r="BS53" s="121">
        <f>SUMIFS('10AugTo16Aug'!$P:$P, '10AugTo16Aug'!$J:$J, $A53)</f>
        <v>24.94</v>
      </c>
      <c r="BT53" s="123">
        <f t="shared" si="13"/>
        <v>7.2975140336808337</v>
      </c>
      <c r="BU53" s="121">
        <f>SUMIFS('3AugTo9Aug'!$L:$L, '3AugTo9Aug'!$J:$J, $A53)</f>
        <v>0</v>
      </c>
      <c r="BV53" s="121">
        <f>SUMIFS('3AugTo9Aug'!$K:$K, '3AugTo9Aug'!$J:$J, $A53)</f>
        <v>0</v>
      </c>
      <c r="BW53" s="121">
        <f>SUMIFS('3AugTo9Aug'!$O:$O, '3AugTo9Aug'!$J:$J, $A53)</f>
        <v>0</v>
      </c>
      <c r="BX53" s="121">
        <f>SUMIFS('3AugTo9Aug'!$P:$P, '3AugTo9Aug'!$J:$J, $A53)</f>
        <v>0</v>
      </c>
      <c r="BY53" s="123">
        <f t="shared" si="14"/>
        <v>0</v>
      </c>
      <c r="BZ53" s="121">
        <f>SUMIFS('27JulyTo2Aug'!$L:$L, '27JulyTo2Aug'!$J:$J, $A53)</f>
        <v>0</v>
      </c>
      <c r="CA53" s="121">
        <f>SUMIFS('27JulyTo2Aug'!$K:$K, '27JulyTo2Aug'!$J:$J, $A53)</f>
        <v>0</v>
      </c>
      <c r="CB53" s="121">
        <f>SUMIFS('27JulyTo2Aug'!$O:$O, '27JulyTo2Aug'!$J:$J, $A53)</f>
        <v>0</v>
      </c>
      <c r="CC53" s="121">
        <f>SUMIFS('27JulyTo2Aug'!$P:$P, '27JulyTo2Aug'!$J:$J, $A53)</f>
        <v>0</v>
      </c>
      <c r="CD53" s="123">
        <f t="shared" si="15"/>
        <v>0</v>
      </c>
    </row>
    <row r="54" spans="1:82" ht="14.25" customHeight="1" x14ac:dyDescent="0.3">
      <c r="A54" s="124" t="s">
        <v>613</v>
      </c>
      <c r="B54" s="120" t="str">
        <f t="shared" si="16"/>
        <v>NO TRAFFIC</v>
      </c>
      <c r="C54" s="121">
        <f>SUMIFS('9NovTo15Nov'!$L:$L, '9NovTo15Nov'!$J:$J, $A54)</f>
        <v>0</v>
      </c>
      <c r="D54" s="121">
        <f>SUMIFS('9NovTo15Nov'!$K:$K, '9NovTo15Nov'!$J:$J, $A54)</f>
        <v>0</v>
      </c>
      <c r="E54" s="121">
        <f>SUMIFS('9NovTo15Nov'!$O:$O, '9NovTo15Nov'!$J:$J, $A54)</f>
        <v>0</v>
      </c>
      <c r="F54" s="121">
        <f>SUMIFS('9NovTo15Nov'!$P:$P, '9NovTo15Nov'!$J:$J, $A54)</f>
        <v>0</v>
      </c>
      <c r="G54" s="122">
        <f t="shared" si="0"/>
        <v>0</v>
      </c>
      <c r="H54" s="121">
        <f>SUMIFS('2NovTo8Nov'!$L:$L, '2NovTo8Nov'!$J:$J, $A54)</f>
        <v>0</v>
      </c>
      <c r="I54" s="121">
        <f>SUMIFS('2NovTo8Nov'!$K:$K, '2NovTo8Nov'!$J:$J, $A54)</f>
        <v>0</v>
      </c>
      <c r="J54" s="121">
        <f>SUMIFS('2NovTo8Nov'!$O:$O, '2NovTo8Nov'!$J:$J, $A54)</f>
        <v>0</v>
      </c>
      <c r="K54" s="121">
        <f>SUMIFS('2NovTo8Nov'!$P:$P, '2NovTo8Nov'!$J:$J, $A54)</f>
        <v>0</v>
      </c>
      <c r="L54" s="122">
        <f t="shared" si="1"/>
        <v>0</v>
      </c>
      <c r="M54" s="121">
        <f>SUMIFS('26OctTo1Nov'!$L:$L, '26OctTo1Nov'!$J:$J, $A54)</f>
        <v>0</v>
      </c>
      <c r="N54" s="121">
        <f>SUMIFS('26OctTo1Nov'!$K:$K, '26OctTo1Nov'!$J:$J, $A54)</f>
        <v>0</v>
      </c>
      <c r="O54" s="121">
        <f>SUMIFS('26OctTo1Nov'!$O:$O, '26OctTo1Nov'!$J:$J, $A54)</f>
        <v>0</v>
      </c>
      <c r="P54" s="121">
        <f>SUMIFS('26OctTo1Nov'!$P:$P, '26OctTo1Nov'!$J:$J, $A54)</f>
        <v>0</v>
      </c>
      <c r="Q54" s="122">
        <f t="shared" si="2"/>
        <v>0</v>
      </c>
      <c r="R54" s="121">
        <f>SUMIFS('19OctTo25Oct'!$L:$L, '19OctTo25Oct'!$J:$J, $A54)</f>
        <v>0</v>
      </c>
      <c r="S54" s="121">
        <f>SUMIFS('19OctTo25Oct'!$K:$K, '19OctTo25Oct'!$J:$J, $A54)</f>
        <v>0</v>
      </c>
      <c r="T54" s="121">
        <f>SUMIFS('19OctTo25Oct'!$O:$O, '19OctTo25Oct'!$J:$J, $A54)</f>
        <v>0</v>
      </c>
      <c r="U54" s="121">
        <f>SUMIFS('19OctTo25Oct'!$P:$P, '19OctTo25Oct'!$J:$J, $A54)</f>
        <v>0</v>
      </c>
      <c r="V54" s="122">
        <f t="shared" si="3"/>
        <v>0</v>
      </c>
      <c r="W54" s="121">
        <f>SUMIFS('12OctTo18Oct'!$L:$L, '12OctTo18Oct'!$J:$J, $A54)</f>
        <v>0</v>
      </c>
      <c r="X54" s="121">
        <f>SUMIFS('12OctTo18Oct'!$K:$K, '12OctTo18Oct'!$J:$J, $A54)</f>
        <v>0</v>
      </c>
      <c r="Y54" s="121">
        <f>SUMIFS('12OctTo18Oct'!$O:$O, '12OctTo18Oct'!$J:$J, $A54)</f>
        <v>0</v>
      </c>
      <c r="Z54" s="121">
        <f>SUMIFS('12OctTo18Oct'!$P:$P, '12OctTo18Oct'!$J:$J, $A54)</f>
        <v>0</v>
      </c>
      <c r="AA54" s="122">
        <f t="shared" si="4"/>
        <v>0</v>
      </c>
      <c r="AB54" s="121">
        <f>SUMIFS('5OctTo11Oct'!$L:$L, '5OctTo11Oct'!$J:$J, $A54)</f>
        <v>0</v>
      </c>
      <c r="AC54" s="121">
        <f>SUMIFS('5OctTo11Oct'!$K:$K, '5OctTo11Oct'!$J:$J, $A54)</f>
        <v>0</v>
      </c>
      <c r="AD54" s="121">
        <f>SUMIFS('5OctTo11Oct'!$O:$O, '5OctTo11Oct'!$J:$J, $A54)</f>
        <v>0</v>
      </c>
      <c r="AE54" s="121">
        <f>SUMIFS('5OctTo11Oct'!$P:$P, '5OctTo11Oct'!$J:$J, $A54)</f>
        <v>0</v>
      </c>
      <c r="AF54" s="123">
        <f t="shared" si="5"/>
        <v>0</v>
      </c>
      <c r="AG54" s="121">
        <f>SUMIFS('28SepTo4Oct'!$L:$L, '28SepTo4Oct'!$J:$J, $A54)</f>
        <v>0</v>
      </c>
      <c r="AH54" s="121">
        <f>SUMIFS('28SepTo4Oct'!$K:$K, '28SepTo4Oct'!$J:$J, $A54)</f>
        <v>0</v>
      </c>
      <c r="AI54" s="121">
        <f>SUMIFS('28SepTo4Oct'!$O:$O, '28SepTo4Oct'!$J:$J, $A54)</f>
        <v>0</v>
      </c>
      <c r="AJ54" s="121">
        <f>SUMIFS('28SepTo4Oct'!$P:$P, '28SepTo4Oct'!$J:$J, $A54)</f>
        <v>0</v>
      </c>
      <c r="AK54" s="123">
        <f t="shared" si="6"/>
        <v>0</v>
      </c>
      <c r="AL54" s="121">
        <f>SUMIFS('21SepTo27Sep'!$L:$L, '21SepTo27Sep'!$J:$J, $A54)</f>
        <v>0</v>
      </c>
      <c r="AM54" s="121">
        <f>SUMIFS('21SepTo27Sep'!$K:$K, '21SepTo27Sep'!$J:$J, $A54)</f>
        <v>0</v>
      </c>
      <c r="AN54" s="121">
        <f>SUMIFS('21SepTo27Sep'!$O:$O, '21SepTo27Sep'!$J:$J, $A54)</f>
        <v>0</v>
      </c>
      <c r="AO54" s="121">
        <f>SUMIFS('21SepTo27Sep'!$P:$P, '21SepTo27Sep'!$J:$J, $A54)</f>
        <v>0</v>
      </c>
      <c r="AP54" s="123">
        <f t="shared" si="7"/>
        <v>0</v>
      </c>
      <c r="AQ54" s="121">
        <f>SUMIFS('14SepTo20Sep'!$L:$L, '14SepTo20Sep'!$J:$J, $A54)</f>
        <v>0</v>
      </c>
      <c r="AR54" s="121">
        <f>SUMIFS('14SepTo20Sep'!$K:$K, '14SepTo20Sep'!$J:$J, $A54)</f>
        <v>0</v>
      </c>
      <c r="AS54" s="121">
        <f>SUMIFS('14SepTo20Sep'!$O:$O, '14SepTo20Sep'!$J:$J, $A54)</f>
        <v>0</v>
      </c>
      <c r="AT54" s="121">
        <f>SUMIFS('14SepTo20Sep'!$P:$P, '14SepTo20Sep'!$J:$J, $A54)</f>
        <v>0</v>
      </c>
      <c r="AU54" s="123">
        <f t="shared" si="8"/>
        <v>0</v>
      </c>
      <c r="AV54" s="121">
        <f>SUMIFS('7SepTo13Sep'!$L:$L, '7SepTo13Sep'!$J:$J, $A54)</f>
        <v>0</v>
      </c>
      <c r="AW54" s="121">
        <f>SUMIFS('7SepTo13Sep'!$K:$K, '7SepTo13Sep'!$J:$J, $A54)</f>
        <v>0</v>
      </c>
      <c r="AX54" s="121">
        <f>SUMIFS('7SepTo13Sep'!$O:$O, '7SepTo13Sep'!$J:$J, $A54)</f>
        <v>0</v>
      </c>
      <c r="AY54" s="121">
        <f>SUMIFS('7SepTo13Sep'!$P:$P, '7SepTo13Sep'!$J:$J, $A54)</f>
        <v>0</v>
      </c>
      <c r="AZ54" s="123">
        <f t="shared" si="9"/>
        <v>0</v>
      </c>
      <c r="BA54" s="121">
        <f>SUMIFS('31AugTo6Sep'!$L:$L, '31AugTo6Sep'!$J:$J, $A54)</f>
        <v>0</v>
      </c>
      <c r="BB54" s="121">
        <f>SUMIFS('31AugTo6Sep'!$K:$K, '31AugTo6Sep'!$J:$J, $A54)</f>
        <v>0</v>
      </c>
      <c r="BC54" s="121">
        <f>SUMIFS('31AugTo6Sep'!$O:$O, '31AugTo6Sep'!$J:$J, $A54)</f>
        <v>0</v>
      </c>
      <c r="BD54" s="121">
        <f>SUMIFS('31AugTo6Sep'!$P:$P, '31AugTo6Sep'!$J:$J, $A54)</f>
        <v>0</v>
      </c>
      <c r="BE54" s="123">
        <f t="shared" si="10"/>
        <v>0</v>
      </c>
      <c r="BF54" s="121">
        <f>SUMIFS('24AugTo29Aug'!$L:$L, '24AugTo29Aug'!$J:$J, $A54)</f>
        <v>3</v>
      </c>
      <c r="BG54" s="121">
        <f>SUMIFS('24AugTo29Aug'!$K:$K, '24AugTo29Aug'!$J:$J, $A54)</f>
        <v>4</v>
      </c>
      <c r="BH54" s="121">
        <f>SUMIFS('24AugTo29Aug'!$O:$O, '24AugTo29Aug'!$J:$J, $A54)</f>
        <v>8.51</v>
      </c>
      <c r="BI54" s="121">
        <f>SUMIFS('24AugTo29Aug'!$P:$P, '24AugTo29Aug'!$J:$J, $A54)</f>
        <v>24.94</v>
      </c>
      <c r="BJ54" s="123">
        <f t="shared" si="11"/>
        <v>34.121892542101037</v>
      </c>
      <c r="BK54" s="121">
        <f>SUMIFS('17AugTo21Aug'!$L:$L, '17AugTo21Aug'!$J:$J, $A54)</f>
        <v>0</v>
      </c>
      <c r="BL54" s="121">
        <f>SUMIFS('17AugTo21Aug'!$K:$K, '17AugTo21Aug'!$J:$J, $A54)</f>
        <v>0</v>
      </c>
      <c r="BM54" s="121">
        <f>SUMIFS('17AugTo21Aug'!$O:$O, '17AugTo21Aug'!$J:$J, $A54)</f>
        <v>0</v>
      </c>
      <c r="BN54" s="121">
        <f>SUMIFS('17AugTo21Aug'!$P:$P, '17AugTo21Aug'!$J:$J, $A54)</f>
        <v>0</v>
      </c>
      <c r="BO54" s="123">
        <f t="shared" si="12"/>
        <v>0</v>
      </c>
      <c r="BP54" s="121">
        <f>SUMIFS('10AugTo16Aug'!$L:$L, '10AugTo16Aug'!$J:$J, $A54)</f>
        <v>0</v>
      </c>
      <c r="BQ54" s="121">
        <f>SUMIFS('10AugTo16Aug'!$K:$K, '10AugTo16Aug'!$J:$J, $A54)</f>
        <v>0</v>
      </c>
      <c r="BR54" s="121">
        <f>SUMIFS('10AugTo16Aug'!$O:$O, '10AugTo16Aug'!$J:$J, $A54)</f>
        <v>0</v>
      </c>
      <c r="BS54" s="121">
        <f>SUMIFS('10AugTo16Aug'!$P:$P, '10AugTo16Aug'!$J:$J, $A54)</f>
        <v>0</v>
      </c>
      <c r="BT54" s="123">
        <f t="shared" si="13"/>
        <v>0</v>
      </c>
      <c r="BU54" s="121">
        <f>SUMIFS('3AugTo9Aug'!$L:$L, '3AugTo9Aug'!$J:$J, $A54)</f>
        <v>0</v>
      </c>
      <c r="BV54" s="121">
        <f>SUMIFS('3AugTo9Aug'!$K:$K, '3AugTo9Aug'!$J:$J, $A54)</f>
        <v>0</v>
      </c>
      <c r="BW54" s="121">
        <f>SUMIFS('3AugTo9Aug'!$O:$O, '3AugTo9Aug'!$J:$J, $A54)</f>
        <v>0</v>
      </c>
      <c r="BX54" s="121">
        <f>SUMIFS('3AugTo9Aug'!$P:$P, '3AugTo9Aug'!$J:$J, $A54)</f>
        <v>0</v>
      </c>
      <c r="BY54" s="123">
        <f t="shared" si="14"/>
        <v>0</v>
      </c>
      <c r="BZ54" s="121">
        <f>SUMIFS('27JulyTo2Aug'!$L:$L, '27JulyTo2Aug'!$J:$J, $A54)</f>
        <v>0</v>
      </c>
      <c r="CA54" s="121">
        <f>SUMIFS('27JulyTo2Aug'!$K:$K, '27JulyTo2Aug'!$J:$J, $A54)</f>
        <v>0</v>
      </c>
      <c r="CB54" s="121">
        <f>SUMIFS('27JulyTo2Aug'!$O:$O, '27JulyTo2Aug'!$J:$J, $A54)</f>
        <v>0</v>
      </c>
      <c r="CC54" s="121">
        <f>SUMIFS('27JulyTo2Aug'!$P:$P, '27JulyTo2Aug'!$J:$J, $A54)</f>
        <v>0</v>
      </c>
      <c r="CD54" s="123">
        <f t="shared" si="15"/>
        <v>0</v>
      </c>
    </row>
    <row r="55" spans="1:82" ht="14.25" customHeight="1" x14ac:dyDescent="0.3">
      <c r="A55" s="124" t="s">
        <v>507</v>
      </c>
      <c r="B55" s="120" t="str">
        <f t="shared" si="16"/>
        <v>NO TRAFFIC</v>
      </c>
      <c r="C55" s="121">
        <f>SUMIFS('9NovTo15Nov'!$L:$L, '9NovTo15Nov'!$J:$J, $A55)</f>
        <v>0</v>
      </c>
      <c r="D55" s="121">
        <f>SUMIFS('9NovTo15Nov'!$K:$K, '9NovTo15Nov'!$J:$J, $A55)</f>
        <v>0</v>
      </c>
      <c r="E55" s="121">
        <f>SUMIFS('9NovTo15Nov'!$O:$O, '9NovTo15Nov'!$J:$J, $A55)</f>
        <v>0</v>
      </c>
      <c r="F55" s="121">
        <f>SUMIFS('9NovTo15Nov'!$P:$P, '9NovTo15Nov'!$J:$J, $A55)</f>
        <v>0</v>
      </c>
      <c r="G55" s="122">
        <f t="shared" si="0"/>
        <v>0</v>
      </c>
      <c r="H55" s="121">
        <f>SUMIFS('2NovTo8Nov'!$L:$L, '2NovTo8Nov'!$J:$J, $A55)</f>
        <v>0</v>
      </c>
      <c r="I55" s="121">
        <f>SUMIFS('2NovTo8Nov'!$K:$K, '2NovTo8Nov'!$J:$J, $A55)</f>
        <v>0</v>
      </c>
      <c r="J55" s="121">
        <f>SUMIFS('2NovTo8Nov'!$O:$O, '2NovTo8Nov'!$J:$J, $A55)</f>
        <v>0</v>
      </c>
      <c r="K55" s="121">
        <f>SUMIFS('2NovTo8Nov'!$P:$P, '2NovTo8Nov'!$J:$J, $A55)</f>
        <v>0</v>
      </c>
      <c r="L55" s="122">
        <f t="shared" si="1"/>
        <v>0</v>
      </c>
      <c r="M55" s="121">
        <f>SUMIFS('26OctTo1Nov'!$L:$L, '26OctTo1Nov'!$J:$J, $A55)</f>
        <v>0</v>
      </c>
      <c r="N55" s="121">
        <f>SUMIFS('26OctTo1Nov'!$K:$K, '26OctTo1Nov'!$J:$J, $A55)</f>
        <v>0</v>
      </c>
      <c r="O55" s="121">
        <f>SUMIFS('26OctTo1Nov'!$O:$O, '26OctTo1Nov'!$J:$J, $A55)</f>
        <v>0</v>
      </c>
      <c r="P55" s="121">
        <f>SUMIFS('26OctTo1Nov'!$P:$P, '26OctTo1Nov'!$J:$J, $A55)</f>
        <v>0</v>
      </c>
      <c r="Q55" s="122">
        <f t="shared" si="2"/>
        <v>0</v>
      </c>
      <c r="R55" s="121">
        <f>SUMIFS('19OctTo25Oct'!$L:$L, '19OctTo25Oct'!$J:$J, $A55)</f>
        <v>0</v>
      </c>
      <c r="S55" s="121">
        <f>SUMIFS('19OctTo25Oct'!$K:$K, '19OctTo25Oct'!$J:$J, $A55)</f>
        <v>0</v>
      </c>
      <c r="T55" s="121">
        <f>SUMIFS('19OctTo25Oct'!$O:$O, '19OctTo25Oct'!$J:$J, $A55)</f>
        <v>0</v>
      </c>
      <c r="U55" s="121">
        <f>SUMIFS('19OctTo25Oct'!$P:$P, '19OctTo25Oct'!$J:$J, $A55)</f>
        <v>0</v>
      </c>
      <c r="V55" s="122">
        <f t="shared" si="3"/>
        <v>0</v>
      </c>
      <c r="W55" s="121">
        <f>SUMIFS('12OctTo18Oct'!$L:$L, '12OctTo18Oct'!$J:$J, $A55)</f>
        <v>0</v>
      </c>
      <c r="X55" s="121">
        <f>SUMIFS('12OctTo18Oct'!$K:$K, '12OctTo18Oct'!$J:$J, $A55)</f>
        <v>0</v>
      </c>
      <c r="Y55" s="121">
        <f>SUMIFS('12OctTo18Oct'!$O:$O, '12OctTo18Oct'!$J:$J, $A55)</f>
        <v>0</v>
      </c>
      <c r="Z55" s="121">
        <f>SUMIFS('12OctTo18Oct'!$P:$P, '12OctTo18Oct'!$J:$J, $A55)</f>
        <v>0</v>
      </c>
      <c r="AA55" s="122">
        <f t="shared" si="4"/>
        <v>0</v>
      </c>
      <c r="AB55" s="121">
        <f>SUMIFS('5OctTo11Oct'!$L:$L, '5OctTo11Oct'!$J:$J, $A55)</f>
        <v>0</v>
      </c>
      <c r="AC55" s="121">
        <f>SUMIFS('5OctTo11Oct'!$K:$K, '5OctTo11Oct'!$J:$J, $A55)</f>
        <v>0</v>
      </c>
      <c r="AD55" s="121">
        <f>SUMIFS('5OctTo11Oct'!$O:$O, '5OctTo11Oct'!$J:$J, $A55)</f>
        <v>0</v>
      </c>
      <c r="AE55" s="121">
        <f>SUMIFS('5OctTo11Oct'!$P:$P, '5OctTo11Oct'!$J:$J, $A55)</f>
        <v>0</v>
      </c>
      <c r="AF55" s="123">
        <f t="shared" si="5"/>
        <v>0</v>
      </c>
      <c r="AG55" s="121">
        <f>SUMIFS('28SepTo4Oct'!$L:$L, '28SepTo4Oct'!$J:$J, $A55)</f>
        <v>0</v>
      </c>
      <c r="AH55" s="121">
        <f>SUMIFS('28SepTo4Oct'!$K:$K, '28SepTo4Oct'!$J:$J, $A55)</f>
        <v>0</v>
      </c>
      <c r="AI55" s="121">
        <f>SUMIFS('28SepTo4Oct'!$O:$O, '28SepTo4Oct'!$J:$J, $A55)</f>
        <v>0</v>
      </c>
      <c r="AJ55" s="121">
        <f>SUMIFS('28SepTo4Oct'!$P:$P, '28SepTo4Oct'!$J:$J, $A55)</f>
        <v>0</v>
      </c>
      <c r="AK55" s="123">
        <f t="shared" si="6"/>
        <v>0</v>
      </c>
      <c r="AL55" s="121">
        <f>SUMIFS('21SepTo27Sep'!$L:$L, '21SepTo27Sep'!$J:$J, $A55)</f>
        <v>0</v>
      </c>
      <c r="AM55" s="121">
        <f>SUMIFS('21SepTo27Sep'!$K:$K, '21SepTo27Sep'!$J:$J, $A55)</f>
        <v>0</v>
      </c>
      <c r="AN55" s="121">
        <f>SUMIFS('21SepTo27Sep'!$O:$O, '21SepTo27Sep'!$J:$J, $A55)</f>
        <v>0</v>
      </c>
      <c r="AO55" s="121">
        <f>SUMIFS('21SepTo27Sep'!$P:$P, '21SepTo27Sep'!$J:$J, $A55)</f>
        <v>0</v>
      </c>
      <c r="AP55" s="123">
        <f t="shared" si="7"/>
        <v>0</v>
      </c>
      <c r="AQ55" s="121">
        <f>SUMIFS('14SepTo20Sep'!$L:$L, '14SepTo20Sep'!$J:$J, $A55)</f>
        <v>1</v>
      </c>
      <c r="AR55" s="121">
        <f>SUMIFS('14SepTo20Sep'!$K:$K, '14SepTo20Sep'!$J:$J, $A55)</f>
        <v>4</v>
      </c>
      <c r="AS55" s="121">
        <f>SUMIFS('14SepTo20Sep'!$O:$O, '14SepTo20Sep'!$J:$J, $A55)</f>
        <v>4.3499999999999996</v>
      </c>
      <c r="AT55" s="121">
        <f>SUMIFS('14SepTo20Sep'!$P:$P, '14SepTo20Sep'!$J:$J, $A55)</f>
        <v>21.9</v>
      </c>
      <c r="AU55" s="123">
        <f t="shared" si="8"/>
        <v>19.863013698630137</v>
      </c>
      <c r="AV55" s="121">
        <f>SUMIFS('7SepTo13Sep'!$L:$L, '7SepTo13Sep'!$J:$J, $A55)</f>
        <v>0</v>
      </c>
      <c r="AW55" s="121">
        <f>SUMIFS('7SepTo13Sep'!$K:$K, '7SepTo13Sep'!$J:$J, $A55)</f>
        <v>0</v>
      </c>
      <c r="AX55" s="121">
        <f>SUMIFS('7SepTo13Sep'!$O:$O, '7SepTo13Sep'!$J:$J, $A55)</f>
        <v>0</v>
      </c>
      <c r="AY55" s="121">
        <f>SUMIFS('7SepTo13Sep'!$P:$P, '7SepTo13Sep'!$J:$J, $A55)</f>
        <v>0</v>
      </c>
      <c r="AZ55" s="123">
        <f t="shared" si="9"/>
        <v>0</v>
      </c>
      <c r="BA55" s="121">
        <f>SUMIFS('31AugTo6Sep'!$L:$L, '31AugTo6Sep'!$J:$J, $A55)</f>
        <v>0</v>
      </c>
      <c r="BB55" s="121">
        <f>SUMIFS('31AugTo6Sep'!$K:$K, '31AugTo6Sep'!$J:$J, $A55)</f>
        <v>0</v>
      </c>
      <c r="BC55" s="121">
        <f>SUMIFS('31AugTo6Sep'!$O:$O, '31AugTo6Sep'!$J:$J, $A55)</f>
        <v>0</v>
      </c>
      <c r="BD55" s="121">
        <f>SUMIFS('31AugTo6Sep'!$P:$P, '31AugTo6Sep'!$J:$J, $A55)</f>
        <v>0</v>
      </c>
      <c r="BE55" s="123">
        <f t="shared" si="10"/>
        <v>0</v>
      </c>
      <c r="BF55" s="121">
        <f>SUMIFS('24AugTo29Aug'!$L:$L, '24AugTo29Aug'!$J:$J, $A55)</f>
        <v>1</v>
      </c>
      <c r="BG55" s="121">
        <f>SUMIFS('24AugTo29Aug'!$K:$K, '24AugTo29Aug'!$J:$J, $A55)</f>
        <v>3</v>
      </c>
      <c r="BH55" s="121">
        <f>SUMIFS('24AugTo29Aug'!$O:$O, '24AugTo29Aug'!$J:$J, $A55)</f>
        <v>3.35</v>
      </c>
      <c r="BI55" s="121">
        <f>SUMIFS('24AugTo29Aug'!$P:$P, '24AugTo29Aug'!$J:$J, $A55)</f>
        <v>21.95</v>
      </c>
      <c r="BJ55" s="123">
        <f t="shared" si="11"/>
        <v>15.261958997722097</v>
      </c>
      <c r="BK55" s="121">
        <f>SUMIFS('17AugTo21Aug'!$L:$L, '17AugTo21Aug'!$J:$J, $A55)</f>
        <v>0</v>
      </c>
      <c r="BL55" s="121">
        <f>SUMIFS('17AugTo21Aug'!$K:$K, '17AugTo21Aug'!$J:$J, $A55)</f>
        <v>0</v>
      </c>
      <c r="BM55" s="121">
        <f>SUMIFS('17AugTo21Aug'!$O:$O, '17AugTo21Aug'!$J:$J, $A55)</f>
        <v>0</v>
      </c>
      <c r="BN55" s="121">
        <f>SUMIFS('17AugTo21Aug'!$P:$P, '17AugTo21Aug'!$J:$J, $A55)</f>
        <v>0</v>
      </c>
      <c r="BO55" s="123">
        <f t="shared" si="12"/>
        <v>0</v>
      </c>
      <c r="BP55" s="121">
        <f>SUMIFS('10AugTo16Aug'!$L:$L, '10AugTo16Aug'!$J:$J, $A55)</f>
        <v>2</v>
      </c>
      <c r="BQ55" s="121">
        <f>SUMIFS('10AugTo16Aug'!$K:$K, '10AugTo16Aug'!$J:$J, $A55)</f>
        <v>19</v>
      </c>
      <c r="BR55" s="121">
        <f>SUMIFS('10AugTo16Aug'!$O:$O, '10AugTo16Aug'!$J:$J, $A55)</f>
        <v>8.91</v>
      </c>
      <c r="BS55" s="121">
        <f>SUMIFS('10AugTo16Aug'!$P:$P, '10AugTo16Aug'!$J:$J, $A55)</f>
        <v>21.95</v>
      </c>
      <c r="BT55" s="123">
        <f t="shared" si="13"/>
        <v>40.592255125284737</v>
      </c>
      <c r="BU55" s="121">
        <f>SUMIFS('3AugTo9Aug'!$L:$L, '3AugTo9Aug'!$J:$J, $A55)</f>
        <v>0</v>
      </c>
      <c r="BV55" s="121">
        <f>SUMIFS('3AugTo9Aug'!$K:$K, '3AugTo9Aug'!$J:$J, $A55)</f>
        <v>0</v>
      </c>
      <c r="BW55" s="121">
        <f>SUMIFS('3AugTo9Aug'!$O:$O, '3AugTo9Aug'!$J:$J, $A55)</f>
        <v>0</v>
      </c>
      <c r="BX55" s="121">
        <f>SUMIFS('3AugTo9Aug'!$P:$P, '3AugTo9Aug'!$J:$J, $A55)</f>
        <v>0</v>
      </c>
      <c r="BY55" s="123">
        <f t="shared" si="14"/>
        <v>0</v>
      </c>
      <c r="BZ55" s="121">
        <f>SUMIFS('27JulyTo2Aug'!$L:$L, '27JulyTo2Aug'!$J:$J, $A55)</f>
        <v>0</v>
      </c>
      <c r="CA55" s="121">
        <f>SUMIFS('27JulyTo2Aug'!$K:$K, '27JulyTo2Aug'!$J:$J, $A55)</f>
        <v>0</v>
      </c>
      <c r="CB55" s="121">
        <f>SUMIFS('27JulyTo2Aug'!$O:$O, '27JulyTo2Aug'!$J:$J, $A55)</f>
        <v>0</v>
      </c>
      <c r="CC55" s="121">
        <f>SUMIFS('27JulyTo2Aug'!$P:$P, '27JulyTo2Aug'!$J:$J, $A55)</f>
        <v>0</v>
      </c>
      <c r="CD55" s="123">
        <f t="shared" si="15"/>
        <v>0</v>
      </c>
    </row>
    <row r="56" spans="1:82" ht="14.25" customHeight="1" x14ac:dyDescent="0.3">
      <c r="A56" s="124" t="s">
        <v>372</v>
      </c>
      <c r="B56" s="120" t="str">
        <f t="shared" si="16"/>
        <v>NO TRAFFIC</v>
      </c>
      <c r="C56" s="121">
        <f>SUMIFS('9NovTo15Nov'!$L:$L, '9NovTo15Nov'!$J:$J, $A56)</f>
        <v>0</v>
      </c>
      <c r="D56" s="121">
        <f>SUMIFS('9NovTo15Nov'!$K:$K, '9NovTo15Nov'!$J:$J, $A56)</f>
        <v>0</v>
      </c>
      <c r="E56" s="121">
        <f>SUMIFS('9NovTo15Nov'!$O:$O, '9NovTo15Nov'!$J:$J, $A56)</f>
        <v>0</v>
      </c>
      <c r="F56" s="121">
        <f>SUMIFS('9NovTo15Nov'!$P:$P, '9NovTo15Nov'!$J:$J, $A56)</f>
        <v>0</v>
      </c>
      <c r="G56" s="122">
        <f t="shared" si="0"/>
        <v>0</v>
      </c>
      <c r="H56" s="121">
        <f>SUMIFS('2NovTo8Nov'!$L:$L, '2NovTo8Nov'!$J:$J, $A56)</f>
        <v>0</v>
      </c>
      <c r="I56" s="121">
        <f>SUMIFS('2NovTo8Nov'!$K:$K, '2NovTo8Nov'!$J:$J, $A56)</f>
        <v>0</v>
      </c>
      <c r="J56" s="121">
        <f>SUMIFS('2NovTo8Nov'!$O:$O, '2NovTo8Nov'!$J:$J, $A56)</f>
        <v>0</v>
      </c>
      <c r="K56" s="121">
        <f>SUMIFS('2NovTo8Nov'!$P:$P, '2NovTo8Nov'!$J:$J, $A56)</f>
        <v>0</v>
      </c>
      <c r="L56" s="122">
        <f t="shared" si="1"/>
        <v>0</v>
      </c>
      <c r="M56" s="121">
        <f>SUMIFS('26OctTo1Nov'!$L:$L, '26OctTo1Nov'!$J:$J, $A56)</f>
        <v>0</v>
      </c>
      <c r="N56" s="121">
        <f>SUMIFS('26OctTo1Nov'!$K:$K, '26OctTo1Nov'!$J:$J, $A56)</f>
        <v>0</v>
      </c>
      <c r="O56" s="121">
        <f>SUMIFS('26OctTo1Nov'!$O:$O, '26OctTo1Nov'!$J:$J, $A56)</f>
        <v>0</v>
      </c>
      <c r="P56" s="121">
        <f>SUMIFS('26OctTo1Nov'!$P:$P, '26OctTo1Nov'!$J:$J, $A56)</f>
        <v>0</v>
      </c>
      <c r="Q56" s="122">
        <f t="shared" si="2"/>
        <v>0</v>
      </c>
      <c r="R56" s="121">
        <f>SUMIFS('19OctTo25Oct'!$L:$L, '19OctTo25Oct'!$J:$J, $A56)</f>
        <v>0</v>
      </c>
      <c r="S56" s="121">
        <f>SUMIFS('19OctTo25Oct'!$K:$K, '19OctTo25Oct'!$J:$J, $A56)</f>
        <v>0</v>
      </c>
      <c r="T56" s="121">
        <f>SUMIFS('19OctTo25Oct'!$O:$O, '19OctTo25Oct'!$J:$J, $A56)</f>
        <v>0</v>
      </c>
      <c r="U56" s="121">
        <f>SUMIFS('19OctTo25Oct'!$P:$P, '19OctTo25Oct'!$J:$J, $A56)</f>
        <v>0</v>
      </c>
      <c r="V56" s="122">
        <f t="shared" si="3"/>
        <v>0</v>
      </c>
      <c r="W56" s="121">
        <f>SUMIFS('12OctTo18Oct'!$L:$L, '12OctTo18Oct'!$J:$J, $A56)</f>
        <v>0</v>
      </c>
      <c r="X56" s="121">
        <f>SUMIFS('12OctTo18Oct'!$K:$K, '12OctTo18Oct'!$J:$J, $A56)</f>
        <v>0</v>
      </c>
      <c r="Y56" s="121">
        <f>SUMIFS('12OctTo18Oct'!$O:$O, '12OctTo18Oct'!$J:$J, $A56)</f>
        <v>0</v>
      </c>
      <c r="Z56" s="121">
        <f>SUMIFS('12OctTo18Oct'!$P:$P, '12OctTo18Oct'!$J:$J, $A56)</f>
        <v>0</v>
      </c>
      <c r="AA56" s="122">
        <f t="shared" si="4"/>
        <v>0</v>
      </c>
      <c r="AB56" s="121">
        <f>SUMIFS('5OctTo11Oct'!$L:$L, '5OctTo11Oct'!$J:$J, $A56)</f>
        <v>0</v>
      </c>
      <c r="AC56" s="121">
        <f>SUMIFS('5OctTo11Oct'!$K:$K, '5OctTo11Oct'!$J:$J, $A56)</f>
        <v>0</v>
      </c>
      <c r="AD56" s="121">
        <f>SUMIFS('5OctTo11Oct'!$O:$O, '5OctTo11Oct'!$J:$J, $A56)</f>
        <v>0</v>
      </c>
      <c r="AE56" s="121">
        <f>SUMIFS('5OctTo11Oct'!$P:$P, '5OctTo11Oct'!$J:$J, $A56)</f>
        <v>0</v>
      </c>
      <c r="AF56" s="123">
        <f t="shared" si="5"/>
        <v>0</v>
      </c>
      <c r="AG56" s="121">
        <f>SUMIFS('28SepTo4Oct'!$L:$L, '28SepTo4Oct'!$J:$J, $A56)</f>
        <v>0</v>
      </c>
      <c r="AH56" s="121">
        <f>SUMIFS('28SepTo4Oct'!$K:$K, '28SepTo4Oct'!$J:$J, $A56)</f>
        <v>0</v>
      </c>
      <c r="AI56" s="121">
        <f>SUMIFS('28SepTo4Oct'!$O:$O, '28SepTo4Oct'!$J:$J, $A56)</f>
        <v>0</v>
      </c>
      <c r="AJ56" s="121">
        <f>SUMIFS('28SepTo4Oct'!$P:$P, '28SepTo4Oct'!$J:$J, $A56)</f>
        <v>0</v>
      </c>
      <c r="AK56" s="123">
        <f t="shared" si="6"/>
        <v>0</v>
      </c>
      <c r="AL56" s="121">
        <f>SUMIFS('21SepTo27Sep'!$L:$L, '21SepTo27Sep'!$J:$J, $A56)</f>
        <v>0</v>
      </c>
      <c r="AM56" s="121">
        <f>SUMIFS('21SepTo27Sep'!$K:$K, '21SepTo27Sep'!$J:$J, $A56)</f>
        <v>0</v>
      </c>
      <c r="AN56" s="121">
        <f>SUMIFS('21SepTo27Sep'!$O:$O, '21SepTo27Sep'!$J:$J, $A56)</f>
        <v>0</v>
      </c>
      <c r="AO56" s="121">
        <f>SUMIFS('21SepTo27Sep'!$P:$P, '21SepTo27Sep'!$J:$J, $A56)</f>
        <v>0</v>
      </c>
      <c r="AP56" s="123">
        <f t="shared" si="7"/>
        <v>0</v>
      </c>
      <c r="AQ56" s="121">
        <f>SUMIFS('14SepTo20Sep'!$L:$L, '14SepTo20Sep'!$J:$J, $A56)</f>
        <v>0</v>
      </c>
      <c r="AR56" s="121">
        <f>SUMIFS('14SepTo20Sep'!$K:$K, '14SepTo20Sep'!$J:$J, $A56)</f>
        <v>0</v>
      </c>
      <c r="AS56" s="121">
        <f>SUMIFS('14SepTo20Sep'!$O:$O, '14SepTo20Sep'!$J:$J, $A56)</f>
        <v>0</v>
      </c>
      <c r="AT56" s="121">
        <f>SUMIFS('14SepTo20Sep'!$P:$P, '14SepTo20Sep'!$J:$J, $A56)</f>
        <v>0</v>
      </c>
      <c r="AU56" s="123">
        <f t="shared" si="8"/>
        <v>0</v>
      </c>
      <c r="AV56" s="121">
        <f>SUMIFS('7SepTo13Sep'!$L:$L, '7SepTo13Sep'!$J:$J, $A56)</f>
        <v>0</v>
      </c>
      <c r="AW56" s="121">
        <f>SUMIFS('7SepTo13Sep'!$K:$K, '7SepTo13Sep'!$J:$J, $A56)</f>
        <v>0</v>
      </c>
      <c r="AX56" s="121">
        <f>SUMIFS('7SepTo13Sep'!$O:$O, '7SepTo13Sep'!$J:$J, $A56)</f>
        <v>0</v>
      </c>
      <c r="AY56" s="121">
        <f>SUMIFS('7SepTo13Sep'!$P:$P, '7SepTo13Sep'!$J:$J, $A56)</f>
        <v>0</v>
      </c>
      <c r="AZ56" s="123">
        <f t="shared" si="9"/>
        <v>0</v>
      </c>
      <c r="BA56" s="121">
        <f>SUMIFS('31AugTo6Sep'!$L:$L, '31AugTo6Sep'!$J:$J, $A56)</f>
        <v>2</v>
      </c>
      <c r="BB56" s="121">
        <f>SUMIFS('31AugTo6Sep'!$K:$K, '31AugTo6Sep'!$J:$J, $A56)</f>
        <v>4</v>
      </c>
      <c r="BC56" s="121">
        <f>SUMIFS('31AugTo6Sep'!$O:$O, '31AugTo6Sep'!$J:$J, $A56)</f>
        <v>11.95</v>
      </c>
      <c r="BD56" s="121">
        <f>SUMIFS('31AugTo6Sep'!$P:$P, '31AugTo6Sep'!$J:$J, $A56)</f>
        <v>21.9</v>
      </c>
      <c r="BE56" s="123">
        <f t="shared" si="10"/>
        <v>54.566210045662103</v>
      </c>
      <c r="BF56" s="121">
        <f>SUMIFS('24AugTo29Aug'!$L:$L, '24AugTo29Aug'!$J:$J, $A56)</f>
        <v>0</v>
      </c>
      <c r="BG56" s="121">
        <f>SUMIFS('24AugTo29Aug'!$K:$K, '24AugTo29Aug'!$J:$J, $A56)</f>
        <v>0</v>
      </c>
      <c r="BH56" s="121">
        <f>SUMIFS('24AugTo29Aug'!$O:$O, '24AugTo29Aug'!$J:$J, $A56)</f>
        <v>0</v>
      </c>
      <c r="BI56" s="121">
        <f>SUMIFS('24AugTo29Aug'!$P:$P, '24AugTo29Aug'!$J:$J, $A56)</f>
        <v>0</v>
      </c>
      <c r="BJ56" s="123">
        <f t="shared" si="11"/>
        <v>0</v>
      </c>
      <c r="BK56" s="121">
        <f>SUMIFS('17AugTo21Aug'!$L:$L, '17AugTo21Aug'!$J:$J, $A56)</f>
        <v>0</v>
      </c>
      <c r="BL56" s="121">
        <f>SUMIFS('17AugTo21Aug'!$K:$K, '17AugTo21Aug'!$J:$J, $A56)</f>
        <v>0</v>
      </c>
      <c r="BM56" s="121">
        <f>SUMIFS('17AugTo21Aug'!$O:$O, '17AugTo21Aug'!$J:$J, $A56)</f>
        <v>0</v>
      </c>
      <c r="BN56" s="121">
        <f>SUMIFS('17AugTo21Aug'!$P:$P, '17AugTo21Aug'!$J:$J, $A56)</f>
        <v>0</v>
      </c>
      <c r="BO56" s="123">
        <f t="shared" si="12"/>
        <v>0</v>
      </c>
      <c r="BP56" s="121">
        <f>SUMIFS('10AugTo16Aug'!$L:$L, '10AugTo16Aug'!$J:$J, $A56)</f>
        <v>2</v>
      </c>
      <c r="BQ56" s="121">
        <f>SUMIFS('10AugTo16Aug'!$K:$K, '10AugTo16Aug'!$J:$J, $A56)</f>
        <v>9</v>
      </c>
      <c r="BR56" s="121">
        <f>SUMIFS('10AugTo16Aug'!$O:$O, '10AugTo16Aug'!$J:$J, $A56)</f>
        <v>4.8499999999999996</v>
      </c>
      <c r="BS56" s="121">
        <f>SUMIFS('10AugTo16Aug'!$P:$P, '10AugTo16Aug'!$J:$J, $A56)</f>
        <v>21.95</v>
      </c>
      <c r="BT56" s="123">
        <f t="shared" si="13"/>
        <v>22.095671981776764</v>
      </c>
      <c r="BU56" s="121">
        <f>SUMIFS('3AugTo9Aug'!$L:$L, '3AugTo9Aug'!$J:$J, $A56)</f>
        <v>0</v>
      </c>
      <c r="BV56" s="121">
        <f>SUMIFS('3AugTo9Aug'!$K:$K, '3AugTo9Aug'!$J:$J, $A56)</f>
        <v>0</v>
      </c>
      <c r="BW56" s="121">
        <f>SUMIFS('3AugTo9Aug'!$O:$O, '3AugTo9Aug'!$J:$J, $A56)</f>
        <v>0</v>
      </c>
      <c r="BX56" s="121">
        <f>SUMIFS('3AugTo9Aug'!$P:$P, '3AugTo9Aug'!$J:$J, $A56)</f>
        <v>0</v>
      </c>
      <c r="BY56" s="123">
        <f t="shared" si="14"/>
        <v>0</v>
      </c>
      <c r="BZ56" s="121">
        <f>SUMIFS('27JulyTo2Aug'!$L:$L, '27JulyTo2Aug'!$J:$J, $A56)</f>
        <v>0</v>
      </c>
      <c r="CA56" s="121">
        <f>SUMIFS('27JulyTo2Aug'!$K:$K, '27JulyTo2Aug'!$J:$J, $A56)</f>
        <v>0</v>
      </c>
      <c r="CB56" s="121">
        <f>SUMIFS('27JulyTo2Aug'!$O:$O, '27JulyTo2Aug'!$J:$J, $A56)</f>
        <v>0</v>
      </c>
      <c r="CC56" s="121">
        <f>SUMIFS('27JulyTo2Aug'!$P:$P, '27JulyTo2Aug'!$J:$J, $A56)</f>
        <v>0</v>
      </c>
      <c r="CD56" s="123">
        <f t="shared" si="15"/>
        <v>0</v>
      </c>
    </row>
    <row r="57" spans="1:82" ht="14.25" customHeight="1" x14ac:dyDescent="0.3">
      <c r="A57" s="119" t="s">
        <v>448</v>
      </c>
      <c r="B57" s="120" t="str">
        <f t="shared" si="16"/>
        <v>NO TRAFFIC</v>
      </c>
      <c r="C57" s="121">
        <f>SUMIFS('9NovTo15Nov'!$L:$L, '9NovTo15Nov'!$J:$J, $A57)</f>
        <v>0</v>
      </c>
      <c r="D57" s="121">
        <f>SUMIFS('9NovTo15Nov'!$K:$K, '9NovTo15Nov'!$J:$J, $A57)</f>
        <v>0</v>
      </c>
      <c r="E57" s="121">
        <f>SUMIFS('9NovTo15Nov'!$O:$O, '9NovTo15Nov'!$J:$J, $A57)</f>
        <v>0</v>
      </c>
      <c r="F57" s="121">
        <f>SUMIFS('9NovTo15Nov'!$P:$P, '9NovTo15Nov'!$J:$J, $A57)</f>
        <v>0</v>
      </c>
      <c r="G57" s="122">
        <f t="shared" si="0"/>
        <v>0</v>
      </c>
      <c r="H57" s="121">
        <f>SUMIFS('2NovTo8Nov'!$L:$L, '2NovTo8Nov'!$J:$J, $A57)</f>
        <v>0</v>
      </c>
      <c r="I57" s="121">
        <f>SUMIFS('2NovTo8Nov'!$K:$K, '2NovTo8Nov'!$J:$J, $A57)</f>
        <v>0</v>
      </c>
      <c r="J57" s="121">
        <f>SUMIFS('2NovTo8Nov'!$O:$O, '2NovTo8Nov'!$J:$J, $A57)</f>
        <v>0</v>
      </c>
      <c r="K57" s="121">
        <f>SUMIFS('2NovTo8Nov'!$P:$P, '2NovTo8Nov'!$J:$J, $A57)</f>
        <v>0</v>
      </c>
      <c r="L57" s="122">
        <f t="shared" si="1"/>
        <v>0</v>
      </c>
      <c r="M57" s="121">
        <f>SUMIFS('26OctTo1Nov'!$L:$L, '26OctTo1Nov'!$J:$J, $A57)</f>
        <v>0</v>
      </c>
      <c r="N57" s="121">
        <f>SUMIFS('26OctTo1Nov'!$K:$K, '26OctTo1Nov'!$J:$J, $A57)</f>
        <v>0</v>
      </c>
      <c r="O57" s="121">
        <f>SUMIFS('26OctTo1Nov'!$O:$O, '26OctTo1Nov'!$J:$J, $A57)</f>
        <v>0</v>
      </c>
      <c r="P57" s="121">
        <f>SUMIFS('26OctTo1Nov'!$P:$P, '26OctTo1Nov'!$J:$J, $A57)</f>
        <v>0</v>
      </c>
      <c r="Q57" s="122">
        <f t="shared" si="2"/>
        <v>0</v>
      </c>
      <c r="R57" s="121">
        <f>SUMIFS('19OctTo25Oct'!$L:$L, '19OctTo25Oct'!$J:$J, $A57)</f>
        <v>0</v>
      </c>
      <c r="S57" s="121">
        <f>SUMIFS('19OctTo25Oct'!$K:$K, '19OctTo25Oct'!$J:$J, $A57)</f>
        <v>0</v>
      </c>
      <c r="T57" s="121">
        <f>SUMIFS('19OctTo25Oct'!$O:$O, '19OctTo25Oct'!$J:$J, $A57)</f>
        <v>0</v>
      </c>
      <c r="U57" s="121">
        <f>SUMIFS('19OctTo25Oct'!$P:$P, '19OctTo25Oct'!$J:$J, $A57)</f>
        <v>0</v>
      </c>
      <c r="V57" s="122">
        <f t="shared" si="3"/>
        <v>0</v>
      </c>
      <c r="W57" s="121">
        <f>SUMIFS('12OctTo18Oct'!$L:$L, '12OctTo18Oct'!$J:$J, $A57)</f>
        <v>0</v>
      </c>
      <c r="X57" s="121">
        <f>SUMIFS('12OctTo18Oct'!$K:$K, '12OctTo18Oct'!$J:$J, $A57)</f>
        <v>0</v>
      </c>
      <c r="Y57" s="121">
        <f>SUMIFS('12OctTo18Oct'!$O:$O, '12OctTo18Oct'!$J:$J, $A57)</f>
        <v>0</v>
      </c>
      <c r="Z57" s="121">
        <f>SUMIFS('12OctTo18Oct'!$P:$P, '12OctTo18Oct'!$J:$J, $A57)</f>
        <v>0</v>
      </c>
      <c r="AA57" s="122">
        <f t="shared" si="4"/>
        <v>0</v>
      </c>
      <c r="AB57" s="121">
        <f>SUMIFS('5OctTo11Oct'!$L:$L, '5OctTo11Oct'!$J:$J, $A57)</f>
        <v>0</v>
      </c>
      <c r="AC57" s="121">
        <f>SUMIFS('5OctTo11Oct'!$K:$K, '5OctTo11Oct'!$J:$J, $A57)</f>
        <v>0</v>
      </c>
      <c r="AD57" s="121">
        <f>SUMIFS('5OctTo11Oct'!$O:$O, '5OctTo11Oct'!$J:$J, $A57)</f>
        <v>0</v>
      </c>
      <c r="AE57" s="121">
        <f>SUMIFS('5OctTo11Oct'!$P:$P, '5OctTo11Oct'!$J:$J, $A57)</f>
        <v>0</v>
      </c>
      <c r="AF57" s="123">
        <f t="shared" si="5"/>
        <v>0</v>
      </c>
      <c r="AG57" s="121">
        <f>SUMIFS('28SepTo4Oct'!$L:$L, '28SepTo4Oct'!$J:$J, $A57)</f>
        <v>0</v>
      </c>
      <c r="AH57" s="121">
        <f>SUMIFS('28SepTo4Oct'!$K:$K, '28SepTo4Oct'!$J:$J, $A57)</f>
        <v>0</v>
      </c>
      <c r="AI57" s="121">
        <f>SUMIFS('28SepTo4Oct'!$O:$O, '28SepTo4Oct'!$J:$J, $A57)</f>
        <v>0</v>
      </c>
      <c r="AJ57" s="121">
        <f>SUMIFS('28SepTo4Oct'!$P:$P, '28SepTo4Oct'!$J:$J, $A57)</f>
        <v>0</v>
      </c>
      <c r="AK57" s="123">
        <f t="shared" si="6"/>
        <v>0</v>
      </c>
      <c r="AL57" s="121">
        <f>SUMIFS('21SepTo27Sep'!$L:$L, '21SepTo27Sep'!$J:$J, $A57)</f>
        <v>2</v>
      </c>
      <c r="AM57" s="121">
        <f>SUMIFS('21SepTo27Sep'!$K:$K, '21SepTo27Sep'!$J:$J, $A57)</f>
        <v>14</v>
      </c>
      <c r="AN57" s="121">
        <f>SUMIFS('21SepTo27Sep'!$O:$O, '21SepTo27Sep'!$J:$J, $A57)</f>
        <v>6.78</v>
      </c>
      <c r="AO57" s="121">
        <f>SUMIFS('21SepTo27Sep'!$P:$P, '21SepTo27Sep'!$J:$J, $A57)</f>
        <v>21.9</v>
      </c>
      <c r="AP57" s="123">
        <f t="shared" si="7"/>
        <v>30.958904109589042</v>
      </c>
      <c r="AQ57" s="121">
        <f>SUMIFS('14SepTo20Sep'!$L:$L, '14SepTo20Sep'!$J:$J, $A57)</f>
        <v>0</v>
      </c>
      <c r="AR57" s="121">
        <f>SUMIFS('14SepTo20Sep'!$K:$K, '14SepTo20Sep'!$J:$J, $A57)</f>
        <v>0</v>
      </c>
      <c r="AS57" s="121">
        <f>SUMIFS('14SepTo20Sep'!$O:$O, '14SepTo20Sep'!$J:$J, $A57)</f>
        <v>0</v>
      </c>
      <c r="AT57" s="121">
        <f>SUMIFS('14SepTo20Sep'!$P:$P, '14SepTo20Sep'!$J:$J, $A57)</f>
        <v>0</v>
      </c>
      <c r="AU57" s="123">
        <f t="shared" si="8"/>
        <v>0</v>
      </c>
      <c r="AV57" s="121">
        <f>SUMIFS('7SepTo13Sep'!$L:$L, '7SepTo13Sep'!$J:$J, $A57)</f>
        <v>0</v>
      </c>
      <c r="AW57" s="121">
        <f>SUMIFS('7SepTo13Sep'!$K:$K, '7SepTo13Sep'!$J:$J, $A57)</f>
        <v>0</v>
      </c>
      <c r="AX57" s="121">
        <f>SUMIFS('7SepTo13Sep'!$O:$O, '7SepTo13Sep'!$J:$J, $A57)</f>
        <v>0</v>
      </c>
      <c r="AY57" s="121">
        <f>SUMIFS('7SepTo13Sep'!$P:$P, '7SepTo13Sep'!$J:$J, $A57)</f>
        <v>0</v>
      </c>
      <c r="AZ57" s="123">
        <f t="shared" si="9"/>
        <v>0</v>
      </c>
      <c r="BA57" s="121">
        <f>SUMIFS('31AugTo6Sep'!$L:$L, '31AugTo6Sep'!$J:$J, $A57)</f>
        <v>0</v>
      </c>
      <c r="BB57" s="121">
        <f>SUMIFS('31AugTo6Sep'!$K:$K, '31AugTo6Sep'!$J:$J, $A57)</f>
        <v>0</v>
      </c>
      <c r="BC57" s="121">
        <f>SUMIFS('31AugTo6Sep'!$O:$O, '31AugTo6Sep'!$J:$J, $A57)</f>
        <v>0</v>
      </c>
      <c r="BD57" s="121">
        <f>SUMIFS('31AugTo6Sep'!$P:$P, '31AugTo6Sep'!$J:$J, $A57)</f>
        <v>0</v>
      </c>
      <c r="BE57" s="123">
        <f t="shared" si="10"/>
        <v>0</v>
      </c>
      <c r="BF57" s="121">
        <f>SUMIFS('24AugTo29Aug'!$L:$L, '24AugTo29Aug'!$J:$J, $A57)</f>
        <v>0</v>
      </c>
      <c r="BG57" s="121">
        <f>SUMIFS('24AugTo29Aug'!$K:$K, '24AugTo29Aug'!$J:$J, $A57)</f>
        <v>0</v>
      </c>
      <c r="BH57" s="121">
        <f>SUMIFS('24AugTo29Aug'!$O:$O, '24AugTo29Aug'!$J:$J, $A57)</f>
        <v>0</v>
      </c>
      <c r="BI57" s="121">
        <f>SUMIFS('24AugTo29Aug'!$P:$P, '24AugTo29Aug'!$J:$J, $A57)</f>
        <v>0</v>
      </c>
      <c r="BJ57" s="123">
        <f t="shared" si="11"/>
        <v>0</v>
      </c>
      <c r="BK57" s="121">
        <f>SUMIFS('17AugTo21Aug'!$L:$L, '17AugTo21Aug'!$J:$J, $A57)</f>
        <v>0</v>
      </c>
      <c r="BL57" s="121">
        <f>SUMIFS('17AugTo21Aug'!$K:$K, '17AugTo21Aug'!$J:$J, $A57)</f>
        <v>0</v>
      </c>
      <c r="BM57" s="121">
        <f>SUMIFS('17AugTo21Aug'!$O:$O, '17AugTo21Aug'!$J:$J, $A57)</f>
        <v>0</v>
      </c>
      <c r="BN57" s="121">
        <f>SUMIFS('17AugTo21Aug'!$P:$P, '17AugTo21Aug'!$J:$J, $A57)</f>
        <v>0</v>
      </c>
      <c r="BO57" s="123">
        <f t="shared" si="12"/>
        <v>0</v>
      </c>
      <c r="BP57" s="121">
        <f>SUMIFS('10AugTo16Aug'!$L:$L, '10AugTo16Aug'!$J:$J, $A57)</f>
        <v>0</v>
      </c>
      <c r="BQ57" s="121">
        <f>SUMIFS('10AugTo16Aug'!$K:$K, '10AugTo16Aug'!$J:$J, $A57)</f>
        <v>0</v>
      </c>
      <c r="BR57" s="121">
        <f>SUMIFS('10AugTo16Aug'!$O:$O, '10AugTo16Aug'!$J:$J, $A57)</f>
        <v>0</v>
      </c>
      <c r="BS57" s="121">
        <f>SUMIFS('10AugTo16Aug'!$P:$P, '10AugTo16Aug'!$J:$J, $A57)</f>
        <v>0</v>
      </c>
      <c r="BT57" s="123">
        <f t="shared" si="13"/>
        <v>0</v>
      </c>
      <c r="BU57" s="121">
        <f>SUMIFS('3AugTo9Aug'!$L:$L, '3AugTo9Aug'!$J:$J, $A57)</f>
        <v>0</v>
      </c>
      <c r="BV57" s="121">
        <f>SUMIFS('3AugTo9Aug'!$K:$K, '3AugTo9Aug'!$J:$J, $A57)</f>
        <v>0</v>
      </c>
      <c r="BW57" s="121">
        <f>SUMIFS('3AugTo9Aug'!$O:$O, '3AugTo9Aug'!$J:$J, $A57)</f>
        <v>0</v>
      </c>
      <c r="BX57" s="121">
        <f>SUMIFS('3AugTo9Aug'!$P:$P, '3AugTo9Aug'!$J:$J, $A57)</f>
        <v>0</v>
      </c>
      <c r="BY57" s="123">
        <f t="shared" si="14"/>
        <v>0</v>
      </c>
      <c r="BZ57" s="121">
        <f>SUMIFS('27JulyTo2Aug'!$L:$L, '27JulyTo2Aug'!$J:$J, $A57)</f>
        <v>0</v>
      </c>
      <c r="CA57" s="121">
        <f>SUMIFS('27JulyTo2Aug'!$K:$K, '27JulyTo2Aug'!$J:$J, $A57)</f>
        <v>0</v>
      </c>
      <c r="CB57" s="121">
        <f>SUMIFS('27JulyTo2Aug'!$O:$O, '27JulyTo2Aug'!$J:$J, $A57)</f>
        <v>0</v>
      </c>
      <c r="CC57" s="121">
        <f>SUMIFS('27JulyTo2Aug'!$P:$P, '27JulyTo2Aug'!$J:$J, $A57)</f>
        <v>0</v>
      </c>
      <c r="CD57" s="123">
        <f t="shared" si="15"/>
        <v>0</v>
      </c>
    </row>
    <row r="58" spans="1:82" ht="14.25" customHeight="1" x14ac:dyDescent="0.3">
      <c r="A58" s="124" t="s">
        <v>168</v>
      </c>
      <c r="B58" s="120" t="str">
        <f t="shared" si="16"/>
        <v>NO TRAFFIC</v>
      </c>
      <c r="C58" s="121">
        <f>SUMIFS('9NovTo15Nov'!$L:$L, '9NovTo15Nov'!$J:$J, $A58)</f>
        <v>0</v>
      </c>
      <c r="D58" s="121">
        <f>SUMIFS('9NovTo15Nov'!$K:$K, '9NovTo15Nov'!$J:$J, $A58)</f>
        <v>0</v>
      </c>
      <c r="E58" s="121">
        <f>SUMIFS('9NovTo15Nov'!$O:$O, '9NovTo15Nov'!$J:$J, $A58)</f>
        <v>0</v>
      </c>
      <c r="F58" s="121">
        <f>SUMIFS('9NovTo15Nov'!$P:$P, '9NovTo15Nov'!$J:$J, $A58)</f>
        <v>0</v>
      </c>
      <c r="G58" s="122">
        <f t="shared" si="0"/>
        <v>0</v>
      </c>
      <c r="H58" s="121">
        <f>SUMIFS('2NovTo8Nov'!$L:$L, '2NovTo8Nov'!$J:$J, $A58)</f>
        <v>0</v>
      </c>
      <c r="I58" s="121">
        <f>SUMIFS('2NovTo8Nov'!$K:$K, '2NovTo8Nov'!$J:$J, $A58)</f>
        <v>0</v>
      </c>
      <c r="J58" s="121">
        <f>SUMIFS('2NovTo8Nov'!$O:$O, '2NovTo8Nov'!$J:$J, $A58)</f>
        <v>0</v>
      </c>
      <c r="K58" s="121">
        <f>SUMIFS('2NovTo8Nov'!$P:$P, '2NovTo8Nov'!$J:$J, $A58)</f>
        <v>0</v>
      </c>
      <c r="L58" s="122">
        <f t="shared" si="1"/>
        <v>0</v>
      </c>
      <c r="M58" s="121">
        <f>SUMIFS('26OctTo1Nov'!$L:$L, '26OctTo1Nov'!$J:$J, $A58)</f>
        <v>0</v>
      </c>
      <c r="N58" s="121">
        <f>SUMIFS('26OctTo1Nov'!$K:$K, '26OctTo1Nov'!$J:$J, $A58)</f>
        <v>0</v>
      </c>
      <c r="O58" s="121">
        <f>SUMIFS('26OctTo1Nov'!$O:$O, '26OctTo1Nov'!$J:$J, $A58)</f>
        <v>0</v>
      </c>
      <c r="P58" s="121">
        <f>SUMIFS('26OctTo1Nov'!$P:$P, '26OctTo1Nov'!$J:$J, $A58)</f>
        <v>0</v>
      </c>
      <c r="Q58" s="122">
        <f t="shared" si="2"/>
        <v>0</v>
      </c>
      <c r="R58" s="121">
        <f>SUMIFS('19OctTo25Oct'!$L:$L, '19OctTo25Oct'!$J:$J, $A58)</f>
        <v>0</v>
      </c>
      <c r="S58" s="121">
        <f>SUMIFS('19OctTo25Oct'!$K:$K, '19OctTo25Oct'!$J:$J, $A58)</f>
        <v>0</v>
      </c>
      <c r="T58" s="121">
        <f>SUMIFS('19OctTo25Oct'!$O:$O, '19OctTo25Oct'!$J:$J, $A58)</f>
        <v>0</v>
      </c>
      <c r="U58" s="121">
        <f>SUMIFS('19OctTo25Oct'!$P:$P, '19OctTo25Oct'!$J:$J, $A58)</f>
        <v>0</v>
      </c>
      <c r="V58" s="122">
        <f t="shared" si="3"/>
        <v>0</v>
      </c>
      <c r="W58" s="121">
        <f>SUMIFS('12OctTo18Oct'!$L:$L, '12OctTo18Oct'!$J:$J, $A58)</f>
        <v>0</v>
      </c>
      <c r="X58" s="121">
        <f>SUMIFS('12OctTo18Oct'!$K:$K, '12OctTo18Oct'!$J:$J, $A58)</f>
        <v>0</v>
      </c>
      <c r="Y58" s="121">
        <f>SUMIFS('12OctTo18Oct'!$O:$O, '12OctTo18Oct'!$J:$J, $A58)</f>
        <v>0</v>
      </c>
      <c r="Z58" s="121">
        <f>SUMIFS('12OctTo18Oct'!$P:$P, '12OctTo18Oct'!$J:$J, $A58)</f>
        <v>0</v>
      </c>
      <c r="AA58" s="122">
        <f t="shared" si="4"/>
        <v>0</v>
      </c>
      <c r="AB58" s="121">
        <f>SUMIFS('5OctTo11Oct'!$L:$L, '5OctTo11Oct'!$J:$J, $A58)</f>
        <v>0</v>
      </c>
      <c r="AC58" s="121">
        <f>SUMIFS('5OctTo11Oct'!$K:$K, '5OctTo11Oct'!$J:$J, $A58)</f>
        <v>0</v>
      </c>
      <c r="AD58" s="121">
        <f>SUMIFS('5OctTo11Oct'!$O:$O, '5OctTo11Oct'!$J:$J, $A58)</f>
        <v>0</v>
      </c>
      <c r="AE58" s="121">
        <f>SUMIFS('5OctTo11Oct'!$P:$P, '5OctTo11Oct'!$J:$J, $A58)</f>
        <v>0</v>
      </c>
      <c r="AF58" s="123">
        <f t="shared" si="5"/>
        <v>0</v>
      </c>
      <c r="AG58" s="121">
        <f>SUMIFS('28SepTo4Oct'!$L:$L, '28SepTo4Oct'!$J:$J, $A58)</f>
        <v>0</v>
      </c>
      <c r="AH58" s="121">
        <f>SUMIFS('28SepTo4Oct'!$K:$K, '28SepTo4Oct'!$J:$J, $A58)</f>
        <v>0</v>
      </c>
      <c r="AI58" s="121">
        <f>SUMIFS('28SepTo4Oct'!$O:$O, '28SepTo4Oct'!$J:$J, $A58)</f>
        <v>0</v>
      </c>
      <c r="AJ58" s="121">
        <f>SUMIFS('28SepTo4Oct'!$P:$P, '28SepTo4Oct'!$J:$J, $A58)</f>
        <v>0</v>
      </c>
      <c r="AK58" s="123">
        <f t="shared" si="6"/>
        <v>0</v>
      </c>
      <c r="AL58" s="121">
        <f>SUMIFS('21SepTo27Sep'!$L:$L, '21SepTo27Sep'!$J:$J, $A58)</f>
        <v>0</v>
      </c>
      <c r="AM58" s="121">
        <f>SUMIFS('21SepTo27Sep'!$K:$K, '21SepTo27Sep'!$J:$J, $A58)</f>
        <v>0</v>
      </c>
      <c r="AN58" s="121">
        <f>SUMIFS('21SepTo27Sep'!$O:$O, '21SepTo27Sep'!$J:$J, $A58)</f>
        <v>0</v>
      </c>
      <c r="AO58" s="121">
        <f>SUMIFS('21SepTo27Sep'!$P:$P, '21SepTo27Sep'!$J:$J, $A58)</f>
        <v>0</v>
      </c>
      <c r="AP58" s="123">
        <f t="shared" si="7"/>
        <v>0</v>
      </c>
      <c r="AQ58" s="121">
        <f>SUMIFS('14SepTo20Sep'!$L:$L, '14SepTo20Sep'!$J:$J, $A58)</f>
        <v>0</v>
      </c>
      <c r="AR58" s="121">
        <f>SUMIFS('14SepTo20Sep'!$K:$K, '14SepTo20Sep'!$J:$J, $A58)</f>
        <v>0</v>
      </c>
      <c r="AS58" s="121">
        <f>SUMIFS('14SepTo20Sep'!$O:$O, '14SepTo20Sep'!$J:$J, $A58)</f>
        <v>0</v>
      </c>
      <c r="AT58" s="121">
        <f>SUMIFS('14SepTo20Sep'!$P:$P, '14SepTo20Sep'!$J:$J, $A58)</f>
        <v>0</v>
      </c>
      <c r="AU58" s="123">
        <f t="shared" si="8"/>
        <v>0</v>
      </c>
      <c r="AV58" s="121">
        <f>SUMIFS('7SepTo13Sep'!$L:$L, '7SepTo13Sep'!$J:$J, $A58)</f>
        <v>0</v>
      </c>
      <c r="AW58" s="121">
        <f>SUMIFS('7SepTo13Sep'!$K:$K, '7SepTo13Sep'!$J:$J, $A58)</f>
        <v>0</v>
      </c>
      <c r="AX58" s="121">
        <f>SUMIFS('7SepTo13Sep'!$O:$O, '7SepTo13Sep'!$J:$J, $A58)</f>
        <v>0</v>
      </c>
      <c r="AY58" s="121">
        <f>SUMIFS('7SepTo13Sep'!$P:$P, '7SepTo13Sep'!$J:$J, $A58)</f>
        <v>0</v>
      </c>
      <c r="AZ58" s="123">
        <f t="shared" si="9"/>
        <v>0</v>
      </c>
      <c r="BA58" s="121">
        <f>SUMIFS('31AugTo6Sep'!$L:$L, '31AugTo6Sep'!$J:$J, $A58)</f>
        <v>0</v>
      </c>
      <c r="BB58" s="121">
        <f>SUMIFS('31AugTo6Sep'!$K:$K, '31AugTo6Sep'!$J:$J, $A58)</f>
        <v>0</v>
      </c>
      <c r="BC58" s="121">
        <f>SUMIFS('31AugTo6Sep'!$O:$O, '31AugTo6Sep'!$J:$J, $A58)</f>
        <v>0</v>
      </c>
      <c r="BD58" s="121">
        <f>SUMIFS('31AugTo6Sep'!$P:$P, '31AugTo6Sep'!$J:$J, $A58)</f>
        <v>0</v>
      </c>
      <c r="BE58" s="123">
        <f t="shared" si="10"/>
        <v>0</v>
      </c>
      <c r="BF58" s="121">
        <f>SUMIFS('24AugTo29Aug'!$L:$L, '24AugTo29Aug'!$J:$J, $A58)</f>
        <v>0</v>
      </c>
      <c r="BG58" s="121">
        <f>SUMIFS('24AugTo29Aug'!$K:$K, '24AugTo29Aug'!$J:$J, $A58)</f>
        <v>0</v>
      </c>
      <c r="BH58" s="121">
        <f>SUMIFS('24AugTo29Aug'!$O:$O, '24AugTo29Aug'!$J:$J, $A58)</f>
        <v>0</v>
      </c>
      <c r="BI58" s="121">
        <f>SUMIFS('24AugTo29Aug'!$P:$P, '24AugTo29Aug'!$J:$J, $A58)</f>
        <v>0</v>
      </c>
      <c r="BJ58" s="123">
        <f t="shared" si="11"/>
        <v>0</v>
      </c>
      <c r="BK58" s="121">
        <f>SUMIFS('17AugTo21Aug'!$L:$L, '17AugTo21Aug'!$J:$J, $A58)</f>
        <v>2</v>
      </c>
      <c r="BL58" s="121">
        <f>SUMIFS('17AugTo21Aug'!$K:$K, '17AugTo21Aug'!$J:$J, $A58)</f>
        <v>3</v>
      </c>
      <c r="BM58" s="121">
        <f>SUMIFS('17AugTo21Aug'!$O:$O, '17AugTo21Aug'!$J:$J, $A58)</f>
        <v>5.35</v>
      </c>
      <c r="BN58" s="121">
        <f>SUMIFS('17AugTo21Aug'!$P:$P, '17AugTo21Aug'!$J:$J, $A58)</f>
        <v>21.95</v>
      </c>
      <c r="BO58" s="123">
        <f t="shared" si="12"/>
        <v>24.373576309794988</v>
      </c>
      <c r="BP58" s="121">
        <f>SUMIFS('10AugTo16Aug'!$L:$L, '10AugTo16Aug'!$J:$J, $A58)</f>
        <v>0</v>
      </c>
      <c r="BQ58" s="121">
        <f>SUMIFS('10AugTo16Aug'!$K:$K, '10AugTo16Aug'!$J:$J, $A58)</f>
        <v>0</v>
      </c>
      <c r="BR58" s="121">
        <f>SUMIFS('10AugTo16Aug'!$O:$O, '10AugTo16Aug'!$J:$J, $A58)</f>
        <v>0</v>
      </c>
      <c r="BS58" s="121">
        <f>SUMIFS('10AugTo16Aug'!$P:$P, '10AugTo16Aug'!$J:$J, $A58)</f>
        <v>0</v>
      </c>
      <c r="BT58" s="123">
        <f t="shared" si="13"/>
        <v>0</v>
      </c>
      <c r="BU58" s="121">
        <f>SUMIFS('3AugTo9Aug'!$L:$L, '3AugTo9Aug'!$J:$J, $A58)</f>
        <v>0</v>
      </c>
      <c r="BV58" s="121">
        <f>SUMIFS('3AugTo9Aug'!$K:$K, '3AugTo9Aug'!$J:$J, $A58)</f>
        <v>0</v>
      </c>
      <c r="BW58" s="121">
        <f>SUMIFS('3AugTo9Aug'!$O:$O, '3AugTo9Aug'!$J:$J, $A58)</f>
        <v>0</v>
      </c>
      <c r="BX58" s="121">
        <f>SUMIFS('3AugTo9Aug'!$P:$P, '3AugTo9Aug'!$J:$J, $A58)</f>
        <v>0</v>
      </c>
      <c r="BY58" s="123">
        <f t="shared" si="14"/>
        <v>0</v>
      </c>
      <c r="BZ58" s="121">
        <f>SUMIFS('27JulyTo2Aug'!$L:$L, '27JulyTo2Aug'!$J:$J, $A58)</f>
        <v>0</v>
      </c>
      <c r="CA58" s="121">
        <f>SUMIFS('27JulyTo2Aug'!$K:$K, '27JulyTo2Aug'!$J:$J, $A58)</f>
        <v>0</v>
      </c>
      <c r="CB58" s="121">
        <f>SUMIFS('27JulyTo2Aug'!$O:$O, '27JulyTo2Aug'!$J:$J, $A58)</f>
        <v>0</v>
      </c>
      <c r="CC58" s="121">
        <f>SUMIFS('27JulyTo2Aug'!$P:$P, '27JulyTo2Aug'!$J:$J, $A58)</f>
        <v>0</v>
      </c>
      <c r="CD58" s="123">
        <f t="shared" si="15"/>
        <v>0</v>
      </c>
    </row>
    <row r="59" spans="1:82" ht="14.25" customHeight="1" x14ac:dyDescent="0.3">
      <c r="A59" s="125" t="s">
        <v>471</v>
      </c>
      <c r="B59" s="120" t="str">
        <f t="shared" si="16"/>
        <v>NO TRAFFIC</v>
      </c>
      <c r="C59" s="121">
        <f>SUMIFS('9NovTo15Nov'!$L:$L, '9NovTo15Nov'!$J:$J, $A59)</f>
        <v>0</v>
      </c>
      <c r="D59" s="121">
        <f>SUMIFS('9NovTo15Nov'!$K:$K, '9NovTo15Nov'!$J:$J, $A59)</f>
        <v>0</v>
      </c>
      <c r="E59" s="121">
        <f>SUMIFS('9NovTo15Nov'!$O:$O, '9NovTo15Nov'!$J:$J, $A59)</f>
        <v>0</v>
      </c>
      <c r="F59" s="121">
        <f>SUMIFS('9NovTo15Nov'!$P:$P, '9NovTo15Nov'!$J:$J, $A59)</f>
        <v>0</v>
      </c>
      <c r="G59" s="122">
        <f t="shared" si="0"/>
        <v>0</v>
      </c>
      <c r="H59" s="121">
        <f>SUMIFS('2NovTo8Nov'!$L:$L, '2NovTo8Nov'!$J:$J, $A59)</f>
        <v>0</v>
      </c>
      <c r="I59" s="121">
        <f>SUMIFS('2NovTo8Nov'!$K:$K, '2NovTo8Nov'!$J:$J, $A59)</f>
        <v>0</v>
      </c>
      <c r="J59" s="121">
        <f>SUMIFS('2NovTo8Nov'!$O:$O, '2NovTo8Nov'!$J:$J, $A59)</f>
        <v>0</v>
      </c>
      <c r="K59" s="121">
        <f>SUMIFS('2NovTo8Nov'!$P:$P, '2NovTo8Nov'!$J:$J, $A59)</f>
        <v>0</v>
      </c>
      <c r="L59" s="122">
        <f t="shared" si="1"/>
        <v>0</v>
      </c>
      <c r="M59" s="121">
        <f>SUMIFS('26OctTo1Nov'!$L:$L, '26OctTo1Nov'!$J:$J, $A59)</f>
        <v>0</v>
      </c>
      <c r="N59" s="121">
        <f>SUMIFS('26OctTo1Nov'!$K:$K, '26OctTo1Nov'!$J:$J, $A59)</f>
        <v>0</v>
      </c>
      <c r="O59" s="121">
        <f>SUMIFS('26OctTo1Nov'!$O:$O, '26OctTo1Nov'!$J:$J, $A59)</f>
        <v>0</v>
      </c>
      <c r="P59" s="121">
        <f>SUMIFS('26OctTo1Nov'!$P:$P, '26OctTo1Nov'!$J:$J, $A59)</f>
        <v>0</v>
      </c>
      <c r="Q59" s="122">
        <f t="shared" si="2"/>
        <v>0</v>
      </c>
      <c r="R59" s="121">
        <f>SUMIFS('19OctTo25Oct'!$L:$L, '19OctTo25Oct'!$J:$J, $A59)</f>
        <v>0</v>
      </c>
      <c r="S59" s="121">
        <f>SUMIFS('19OctTo25Oct'!$K:$K, '19OctTo25Oct'!$J:$J, $A59)</f>
        <v>0</v>
      </c>
      <c r="T59" s="121">
        <f>SUMIFS('19OctTo25Oct'!$O:$O, '19OctTo25Oct'!$J:$J, $A59)</f>
        <v>0</v>
      </c>
      <c r="U59" s="121">
        <f>SUMIFS('19OctTo25Oct'!$P:$P, '19OctTo25Oct'!$J:$J, $A59)</f>
        <v>0</v>
      </c>
      <c r="V59" s="122">
        <f t="shared" si="3"/>
        <v>0</v>
      </c>
      <c r="W59" s="121">
        <f>SUMIFS('12OctTo18Oct'!$L:$L, '12OctTo18Oct'!$J:$J, $A59)</f>
        <v>0</v>
      </c>
      <c r="X59" s="121">
        <f>SUMIFS('12OctTo18Oct'!$K:$K, '12OctTo18Oct'!$J:$J, $A59)</f>
        <v>0</v>
      </c>
      <c r="Y59" s="121">
        <f>SUMIFS('12OctTo18Oct'!$O:$O, '12OctTo18Oct'!$J:$J, $A59)</f>
        <v>0</v>
      </c>
      <c r="Z59" s="121">
        <f>SUMIFS('12OctTo18Oct'!$P:$P, '12OctTo18Oct'!$J:$J, $A59)</f>
        <v>0</v>
      </c>
      <c r="AA59" s="122">
        <f t="shared" si="4"/>
        <v>0</v>
      </c>
      <c r="AB59" s="121">
        <f>SUMIFS('5OctTo11Oct'!$L:$L, '5OctTo11Oct'!$J:$J, $A59)</f>
        <v>0</v>
      </c>
      <c r="AC59" s="121">
        <f>SUMIFS('5OctTo11Oct'!$K:$K, '5OctTo11Oct'!$J:$J, $A59)</f>
        <v>0</v>
      </c>
      <c r="AD59" s="121">
        <f>SUMIFS('5OctTo11Oct'!$O:$O, '5OctTo11Oct'!$J:$J, $A59)</f>
        <v>0</v>
      </c>
      <c r="AE59" s="121">
        <f>SUMIFS('5OctTo11Oct'!$P:$P, '5OctTo11Oct'!$J:$J, $A59)</f>
        <v>0</v>
      </c>
      <c r="AF59" s="123">
        <f t="shared" si="5"/>
        <v>0</v>
      </c>
      <c r="AG59" s="121">
        <f>SUMIFS('28SepTo4Oct'!$L:$L, '28SepTo4Oct'!$J:$J, $A59)</f>
        <v>0</v>
      </c>
      <c r="AH59" s="121">
        <f>SUMIFS('28SepTo4Oct'!$K:$K, '28SepTo4Oct'!$J:$J, $A59)</f>
        <v>0</v>
      </c>
      <c r="AI59" s="121">
        <f>SUMIFS('28SepTo4Oct'!$O:$O, '28SepTo4Oct'!$J:$J, $A59)</f>
        <v>0</v>
      </c>
      <c r="AJ59" s="121">
        <f>SUMIFS('28SepTo4Oct'!$P:$P, '28SepTo4Oct'!$J:$J, $A59)</f>
        <v>0</v>
      </c>
      <c r="AK59" s="123">
        <f t="shared" si="6"/>
        <v>0</v>
      </c>
      <c r="AL59" s="121">
        <f>SUMIFS('21SepTo27Sep'!$L:$L, '21SepTo27Sep'!$J:$J, $A59)</f>
        <v>7</v>
      </c>
      <c r="AM59" s="121">
        <f>SUMIFS('21SepTo27Sep'!$K:$K, '21SepTo27Sep'!$J:$J, $A59)</f>
        <v>107</v>
      </c>
      <c r="AN59" s="121">
        <f>SUMIFS('21SepTo27Sep'!$O:$O, '21SepTo27Sep'!$J:$J, $A59)</f>
        <v>27.83</v>
      </c>
      <c r="AO59" s="121">
        <f>SUMIFS('21SepTo27Sep'!$P:$P, '21SepTo27Sep'!$J:$J, $A59)</f>
        <v>21.9</v>
      </c>
      <c r="AP59" s="123">
        <f t="shared" si="7"/>
        <v>127.07762557077626</v>
      </c>
      <c r="AQ59" s="121">
        <f>SUMIFS('14SepTo20Sep'!$L:$L, '14SepTo20Sep'!$J:$J, $A59)</f>
        <v>0</v>
      </c>
      <c r="AR59" s="121">
        <f>SUMIFS('14SepTo20Sep'!$K:$K, '14SepTo20Sep'!$J:$J, $A59)</f>
        <v>0</v>
      </c>
      <c r="AS59" s="121">
        <f>SUMIFS('14SepTo20Sep'!$O:$O, '14SepTo20Sep'!$J:$J, $A59)</f>
        <v>0</v>
      </c>
      <c r="AT59" s="121">
        <f>SUMIFS('14SepTo20Sep'!$P:$P, '14SepTo20Sep'!$J:$J, $A59)</f>
        <v>0</v>
      </c>
      <c r="AU59" s="123">
        <f t="shared" si="8"/>
        <v>0</v>
      </c>
      <c r="AV59" s="121">
        <f>SUMIFS('7SepTo13Sep'!$L:$L, '7SepTo13Sep'!$J:$J, $A59)</f>
        <v>0</v>
      </c>
      <c r="AW59" s="121">
        <f>SUMIFS('7SepTo13Sep'!$K:$K, '7SepTo13Sep'!$J:$J, $A59)</f>
        <v>0</v>
      </c>
      <c r="AX59" s="121">
        <f>SUMIFS('7SepTo13Sep'!$O:$O, '7SepTo13Sep'!$J:$J, $A59)</f>
        <v>0</v>
      </c>
      <c r="AY59" s="121">
        <f>SUMIFS('7SepTo13Sep'!$P:$P, '7SepTo13Sep'!$J:$J, $A59)</f>
        <v>0</v>
      </c>
      <c r="AZ59" s="123">
        <f t="shared" si="9"/>
        <v>0</v>
      </c>
      <c r="BA59" s="121">
        <f>SUMIFS('31AugTo6Sep'!$L:$L, '31AugTo6Sep'!$J:$J, $A59)</f>
        <v>0</v>
      </c>
      <c r="BB59" s="121">
        <f>SUMIFS('31AugTo6Sep'!$K:$K, '31AugTo6Sep'!$J:$J, $A59)</f>
        <v>0</v>
      </c>
      <c r="BC59" s="121">
        <f>SUMIFS('31AugTo6Sep'!$O:$O, '31AugTo6Sep'!$J:$J, $A59)</f>
        <v>0</v>
      </c>
      <c r="BD59" s="121">
        <f>SUMIFS('31AugTo6Sep'!$P:$P, '31AugTo6Sep'!$J:$J, $A59)</f>
        <v>0</v>
      </c>
      <c r="BE59" s="123">
        <f t="shared" si="10"/>
        <v>0</v>
      </c>
      <c r="BF59" s="121">
        <f>SUMIFS('24AugTo29Aug'!$L:$L, '24AugTo29Aug'!$J:$J, $A59)</f>
        <v>0</v>
      </c>
      <c r="BG59" s="121">
        <f>SUMIFS('24AugTo29Aug'!$K:$K, '24AugTo29Aug'!$J:$J, $A59)</f>
        <v>0</v>
      </c>
      <c r="BH59" s="121">
        <f>SUMIFS('24AugTo29Aug'!$O:$O, '24AugTo29Aug'!$J:$J, $A59)</f>
        <v>0</v>
      </c>
      <c r="BI59" s="121">
        <f>SUMIFS('24AugTo29Aug'!$P:$P, '24AugTo29Aug'!$J:$J, $A59)</f>
        <v>0</v>
      </c>
      <c r="BJ59" s="123">
        <f t="shared" si="11"/>
        <v>0</v>
      </c>
      <c r="BK59" s="121">
        <f>SUMIFS('17AugTo21Aug'!$L:$L, '17AugTo21Aug'!$J:$J, $A59)</f>
        <v>0</v>
      </c>
      <c r="BL59" s="121">
        <f>SUMIFS('17AugTo21Aug'!$K:$K, '17AugTo21Aug'!$J:$J, $A59)</f>
        <v>0</v>
      </c>
      <c r="BM59" s="121">
        <f>SUMIFS('17AugTo21Aug'!$O:$O, '17AugTo21Aug'!$J:$J, $A59)</f>
        <v>0</v>
      </c>
      <c r="BN59" s="121">
        <f>SUMIFS('17AugTo21Aug'!$P:$P, '17AugTo21Aug'!$J:$J, $A59)</f>
        <v>0</v>
      </c>
      <c r="BO59" s="123">
        <f t="shared" si="12"/>
        <v>0</v>
      </c>
      <c r="BP59" s="121">
        <f>SUMIFS('10AugTo16Aug'!$L:$L, '10AugTo16Aug'!$J:$J, $A59)</f>
        <v>0</v>
      </c>
      <c r="BQ59" s="121">
        <f>SUMIFS('10AugTo16Aug'!$K:$K, '10AugTo16Aug'!$J:$J, $A59)</f>
        <v>0</v>
      </c>
      <c r="BR59" s="121">
        <f>SUMIFS('10AugTo16Aug'!$O:$O, '10AugTo16Aug'!$J:$J, $A59)</f>
        <v>0</v>
      </c>
      <c r="BS59" s="121">
        <f>SUMIFS('10AugTo16Aug'!$P:$P, '10AugTo16Aug'!$J:$J, $A59)</f>
        <v>0</v>
      </c>
      <c r="BT59" s="123">
        <f t="shared" si="13"/>
        <v>0</v>
      </c>
      <c r="BU59" s="121">
        <f>SUMIFS('3AugTo9Aug'!$L:$L, '3AugTo9Aug'!$J:$J, $A59)</f>
        <v>0</v>
      </c>
      <c r="BV59" s="121">
        <f>SUMIFS('3AugTo9Aug'!$K:$K, '3AugTo9Aug'!$J:$J, $A59)</f>
        <v>0</v>
      </c>
      <c r="BW59" s="121">
        <f>SUMIFS('3AugTo9Aug'!$O:$O, '3AugTo9Aug'!$J:$J, $A59)</f>
        <v>0</v>
      </c>
      <c r="BX59" s="121">
        <f>SUMIFS('3AugTo9Aug'!$P:$P, '3AugTo9Aug'!$J:$J, $A59)</f>
        <v>0</v>
      </c>
      <c r="BY59" s="123">
        <f t="shared" si="14"/>
        <v>0</v>
      </c>
      <c r="BZ59" s="121">
        <f>SUMIFS('27JulyTo2Aug'!$L:$L, '27JulyTo2Aug'!$J:$J, $A59)</f>
        <v>0</v>
      </c>
      <c r="CA59" s="121">
        <f>SUMIFS('27JulyTo2Aug'!$K:$K, '27JulyTo2Aug'!$J:$J, $A59)</f>
        <v>0</v>
      </c>
      <c r="CB59" s="121">
        <f>SUMIFS('27JulyTo2Aug'!$O:$O, '27JulyTo2Aug'!$J:$J, $A59)</f>
        <v>0</v>
      </c>
      <c r="CC59" s="121">
        <f>SUMIFS('27JulyTo2Aug'!$P:$P, '27JulyTo2Aug'!$J:$J, $A59)</f>
        <v>0</v>
      </c>
      <c r="CD59" s="123">
        <f t="shared" si="15"/>
        <v>0</v>
      </c>
    </row>
    <row r="60" spans="1:82" ht="14.25" customHeight="1" x14ac:dyDescent="0.3">
      <c r="A60" s="119" t="s">
        <v>457</v>
      </c>
      <c r="B60" s="120" t="str">
        <f t="shared" si="16"/>
        <v>NO TRAFFIC</v>
      </c>
      <c r="C60" s="121">
        <f>SUMIFS('9NovTo15Nov'!$L:$L, '9NovTo15Nov'!$J:$J, $A60)</f>
        <v>0</v>
      </c>
      <c r="D60" s="121">
        <f>SUMIFS('9NovTo15Nov'!$K:$K, '9NovTo15Nov'!$J:$J, $A60)</f>
        <v>0</v>
      </c>
      <c r="E60" s="121">
        <f>SUMIFS('9NovTo15Nov'!$O:$O, '9NovTo15Nov'!$J:$J, $A60)</f>
        <v>0</v>
      </c>
      <c r="F60" s="121">
        <f>SUMIFS('9NovTo15Nov'!$P:$P, '9NovTo15Nov'!$J:$J, $A60)</f>
        <v>0</v>
      </c>
      <c r="G60" s="122">
        <f t="shared" si="0"/>
        <v>0</v>
      </c>
      <c r="H60" s="121">
        <f>SUMIFS('2NovTo8Nov'!$L:$L, '2NovTo8Nov'!$J:$J, $A60)</f>
        <v>0</v>
      </c>
      <c r="I60" s="121">
        <f>SUMIFS('2NovTo8Nov'!$K:$K, '2NovTo8Nov'!$J:$J, $A60)</f>
        <v>0</v>
      </c>
      <c r="J60" s="121">
        <f>SUMIFS('2NovTo8Nov'!$O:$O, '2NovTo8Nov'!$J:$J, $A60)</f>
        <v>0</v>
      </c>
      <c r="K60" s="121">
        <f>SUMIFS('2NovTo8Nov'!$P:$P, '2NovTo8Nov'!$J:$J, $A60)</f>
        <v>0</v>
      </c>
      <c r="L60" s="122">
        <f t="shared" si="1"/>
        <v>0</v>
      </c>
      <c r="M60" s="121">
        <f>SUMIFS('26OctTo1Nov'!$L:$L, '26OctTo1Nov'!$J:$J, $A60)</f>
        <v>0</v>
      </c>
      <c r="N60" s="121">
        <f>SUMIFS('26OctTo1Nov'!$K:$K, '26OctTo1Nov'!$J:$J, $A60)</f>
        <v>0</v>
      </c>
      <c r="O60" s="121">
        <f>SUMIFS('26OctTo1Nov'!$O:$O, '26OctTo1Nov'!$J:$J, $A60)</f>
        <v>0</v>
      </c>
      <c r="P60" s="121">
        <f>SUMIFS('26OctTo1Nov'!$P:$P, '26OctTo1Nov'!$J:$J, $A60)</f>
        <v>0</v>
      </c>
      <c r="Q60" s="122">
        <f t="shared" si="2"/>
        <v>0</v>
      </c>
      <c r="R60" s="121">
        <f>SUMIFS('19OctTo25Oct'!$L:$L, '19OctTo25Oct'!$J:$J, $A60)</f>
        <v>0</v>
      </c>
      <c r="S60" s="121">
        <f>SUMIFS('19OctTo25Oct'!$K:$K, '19OctTo25Oct'!$J:$J, $A60)</f>
        <v>0</v>
      </c>
      <c r="T60" s="121">
        <f>SUMIFS('19OctTo25Oct'!$O:$O, '19OctTo25Oct'!$J:$J, $A60)</f>
        <v>0</v>
      </c>
      <c r="U60" s="121">
        <f>SUMIFS('19OctTo25Oct'!$P:$P, '19OctTo25Oct'!$J:$J, $A60)</f>
        <v>0</v>
      </c>
      <c r="V60" s="122">
        <f t="shared" si="3"/>
        <v>0</v>
      </c>
      <c r="W60" s="121">
        <f>SUMIFS('12OctTo18Oct'!$L:$L, '12OctTo18Oct'!$J:$J, $A60)</f>
        <v>0</v>
      </c>
      <c r="X60" s="121">
        <f>SUMIFS('12OctTo18Oct'!$K:$K, '12OctTo18Oct'!$J:$J, $A60)</f>
        <v>0</v>
      </c>
      <c r="Y60" s="121">
        <f>SUMIFS('12OctTo18Oct'!$O:$O, '12OctTo18Oct'!$J:$J, $A60)</f>
        <v>0</v>
      </c>
      <c r="Z60" s="121">
        <f>SUMIFS('12OctTo18Oct'!$P:$P, '12OctTo18Oct'!$J:$J, $A60)</f>
        <v>0</v>
      </c>
      <c r="AA60" s="122">
        <f t="shared" si="4"/>
        <v>0</v>
      </c>
      <c r="AB60" s="121">
        <f>SUMIFS('5OctTo11Oct'!$L:$L, '5OctTo11Oct'!$J:$J, $A60)</f>
        <v>0</v>
      </c>
      <c r="AC60" s="121">
        <f>SUMIFS('5OctTo11Oct'!$K:$K, '5OctTo11Oct'!$J:$J, $A60)</f>
        <v>0</v>
      </c>
      <c r="AD60" s="121">
        <f>SUMIFS('5OctTo11Oct'!$O:$O, '5OctTo11Oct'!$J:$J, $A60)</f>
        <v>0</v>
      </c>
      <c r="AE60" s="121">
        <f>SUMIFS('5OctTo11Oct'!$P:$P, '5OctTo11Oct'!$J:$J, $A60)</f>
        <v>0</v>
      </c>
      <c r="AF60" s="123">
        <f t="shared" si="5"/>
        <v>0</v>
      </c>
      <c r="AG60" s="121">
        <f>SUMIFS('28SepTo4Oct'!$L:$L, '28SepTo4Oct'!$J:$J, $A60)</f>
        <v>0</v>
      </c>
      <c r="AH60" s="121">
        <f>SUMIFS('28SepTo4Oct'!$K:$K, '28SepTo4Oct'!$J:$J, $A60)</f>
        <v>0</v>
      </c>
      <c r="AI60" s="121">
        <f>SUMIFS('28SepTo4Oct'!$O:$O, '28SepTo4Oct'!$J:$J, $A60)</f>
        <v>0</v>
      </c>
      <c r="AJ60" s="121">
        <f>SUMIFS('28SepTo4Oct'!$P:$P, '28SepTo4Oct'!$J:$J, $A60)</f>
        <v>0</v>
      </c>
      <c r="AK60" s="123">
        <f t="shared" si="6"/>
        <v>0</v>
      </c>
      <c r="AL60" s="121">
        <f>SUMIFS('21SepTo27Sep'!$L:$L, '21SepTo27Sep'!$J:$J, $A60)</f>
        <v>1</v>
      </c>
      <c r="AM60" s="121">
        <f>SUMIFS('21SepTo27Sep'!$K:$K, '21SepTo27Sep'!$J:$J, $A60)</f>
        <v>2</v>
      </c>
      <c r="AN60" s="121">
        <f>SUMIFS('21SepTo27Sep'!$O:$O, '21SepTo27Sep'!$J:$J, $A60)</f>
        <v>3.98</v>
      </c>
      <c r="AO60" s="121">
        <f>SUMIFS('21SepTo27Sep'!$P:$P, '21SepTo27Sep'!$J:$J, $A60)</f>
        <v>24.94</v>
      </c>
      <c r="AP60" s="123">
        <f t="shared" si="7"/>
        <v>15.958299919807537</v>
      </c>
      <c r="AQ60" s="121">
        <f>SUMIFS('14SepTo20Sep'!$L:$L, '14SepTo20Sep'!$J:$J, $A60)</f>
        <v>0</v>
      </c>
      <c r="AR60" s="121">
        <f>SUMIFS('14SepTo20Sep'!$K:$K, '14SepTo20Sep'!$J:$J, $A60)</f>
        <v>0</v>
      </c>
      <c r="AS60" s="121">
        <f>SUMIFS('14SepTo20Sep'!$O:$O, '14SepTo20Sep'!$J:$J, $A60)</f>
        <v>0</v>
      </c>
      <c r="AT60" s="121">
        <f>SUMIFS('14SepTo20Sep'!$P:$P, '14SepTo20Sep'!$J:$J, $A60)</f>
        <v>0</v>
      </c>
      <c r="AU60" s="123">
        <f t="shared" si="8"/>
        <v>0</v>
      </c>
      <c r="AV60" s="121">
        <f>SUMIFS('7SepTo13Sep'!$L:$L, '7SepTo13Sep'!$J:$J, $A60)</f>
        <v>0</v>
      </c>
      <c r="AW60" s="121">
        <f>SUMIFS('7SepTo13Sep'!$K:$K, '7SepTo13Sep'!$J:$J, $A60)</f>
        <v>0</v>
      </c>
      <c r="AX60" s="121">
        <f>SUMIFS('7SepTo13Sep'!$O:$O, '7SepTo13Sep'!$J:$J, $A60)</f>
        <v>0</v>
      </c>
      <c r="AY60" s="121">
        <f>SUMIFS('7SepTo13Sep'!$P:$P, '7SepTo13Sep'!$J:$J, $A60)</f>
        <v>0</v>
      </c>
      <c r="AZ60" s="123">
        <f t="shared" si="9"/>
        <v>0</v>
      </c>
      <c r="BA60" s="121">
        <f>SUMIFS('31AugTo6Sep'!$L:$L, '31AugTo6Sep'!$J:$J, $A60)</f>
        <v>0</v>
      </c>
      <c r="BB60" s="121">
        <f>SUMIFS('31AugTo6Sep'!$K:$K, '31AugTo6Sep'!$J:$J, $A60)</f>
        <v>0</v>
      </c>
      <c r="BC60" s="121">
        <f>SUMIFS('31AugTo6Sep'!$O:$O, '31AugTo6Sep'!$J:$J, $A60)</f>
        <v>0</v>
      </c>
      <c r="BD60" s="121">
        <f>SUMIFS('31AugTo6Sep'!$P:$P, '31AugTo6Sep'!$J:$J, $A60)</f>
        <v>0</v>
      </c>
      <c r="BE60" s="123">
        <f t="shared" si="10"/>
        <v>0</v>
      </c>
      <c r="BF60" s="121">
        <f>SUMIFS('24AugTo29Aug'!$L:$L, '24AugTo29Aug'!$J:$J, $A60)</f>
        <v>0</v>
      </c>
      <c r="BG60" s="121">
        <f>SUMIFS('24AugTo29Aug'!$K:$K, '24AugTo29Aug'!$J:$J, $A60)</f>
        <v>0</v>
      </c>
      <c r="BH60" s="121">
        <f>SUMIFS('24AugTo29Aug'!$O:$O, '24AugTo29Aug'!$J:$J, $A60)</f>
        <v>0</v>
      </c>
      <c r="BI60" s="121">
        <f>SUMIFS('24AugTo29Aug'!$P:$P, '24AugTo29Aug'!$J:$J, $A60)</f>
        <v>0</v>
      </c>
      <c r="BJ60" s="123">
        <f t="shared" si="11"/>
        <v>0</v>
      </c>
      <c r="BK60" s="121">
        <f>SUMIFS('17AugTo21Aug'!$L:$L, '17AugTo21Aug'!$J:$J, $A60)</f>
        <v>0</v>
      </c>
      <c r="BL60" s="121">
        <f>SUMIFS('17AugTo21Aug'!$K:$K, '17AugTo21Aug'!$J:$J, $A60)</f>
        <v>0</v>
      </c>
      <c r="BM60" s="121">
        <f>SUMIFS('17AugTo21Aug'!$O:$O, '17AugTo21Aug'!$J:$J, $A60)</f>
        <v>0</v>
      </c>
      <c r="BN60" s="121">
        <f>SUMIFS('17AugTo21Aug'!$P:$P, '17AugTo21Aug'!$J:$J, $A60)</f>
        <v>0</v>
      </c>
      <c r="BO60" s="123">
        <f t="shared" si="12"/>
        <v>0</v>
      </c>
      <c r="BP60" s="121">
        <f>SUMIFS('10AugTo16Aug'!$L:$L, '10AugTo16Aug'!$J:$J, $A60)</f>
        <v>0</v>
      </c>
      <c r="BQ60" s="121">
        <f>SUMIFS('10AugTo16Aug'!$K:$K, '10AugTo16Aug'!$J:$J, $A60)</f>
        <v>0</v>
      </c>
      <c r="BR60" s="121">
        <f>SUMIFS('10AugTo16Aug'!$O:$O, '10AugTo16Aug'!$J:$J, $A60)</f>
        <v>0</v>
      </c>
      <c r="BS60" s="121">
        <f>SUMIFS('10AugTo16Aug'!$P:$P, '10AugTo16Aug'!$J:$J, $A60)</f>
        <v>0</v>
      </c>
      <c r="BT60" s="123">
        <f t="shared" si="13"/>
        <v>0</v>
      </c>
      <c r="BU60" s="121">
        <f>SUMIFS('3AugTo9Aug'!$L:$L, '3AugTo9Aug'!$J:$J, $A60)</f>
        <v>0</v>
      </c>
      <c r="BV60" s="121">
        <f>SUMIFS('3AugTo9Aug'!$K:$K, '3AugTo9Aug'!$J:$J, $A60)</f>
        <v>0</v>
      </c>
      <c r="BW60" s="121">
        <f>SUMIFS('3AugTo9Aug'!$O:$O, '3AugTo9Aug'!$J:$J, $A60)</f>
        <v>0</v>
      </c>
      <c r="BX60" s="121">
        <f>SUMIFS('3AugTo9Aug'!$P:$P, '3AugTo9Aug'!$J:$J, $A60)</f>
        <v>0</v>
      </c>
      <c r="BY60" s="123">
        <f t="shared" si="14"/>
        <v>0</v>
      </c>
      <c r="BZ60" s="121">
        <f>SUMIFS('27JulyTo2Aug'!$L:$L, '27JulyTo2Aug'!$J:$J, $A60)</f>
        <v>0</v>
      </c>
      <c r="CA60" s="121">
        <f>SUMIFS('27JulyTo2Aug'!$K:$K, '27JulyTo2Aug'!$J:$J, $A60)</f>
        <v>0</v>
      </c>
      <c r="CB60" s="121">
        <f>SUMIFS('27JulyTo2Aug'!$O:$O, '27JulyTo2Aug'!$J:$J, $A60)</f>
        <v>0</v>
      </c>
      <c r="CC60" s="121">
        <f>SUMIFS('27JulyTo2Aug'!$P:$P, '27JulyTo2Aug'!$J:$J, $A60)</f>
        <v>0</v>
      </c>
      <c r="CD60" s="123">
        <f t="shared" si="15"/>
        <v>0</v>
      </c>
    </row>
    <row r="61" spans="1:82" ht="14.25" customHeight="1" x14ac:dyDescent="0.3">
      <c r="A61" s="124" t="s">
        <v>169</v>
      </c>
      <c r="B61" s="120" t="str">
        <f t="shared" si="16"/>
        <v>WINNER</v>
      </c>
      <c r="C61" s="121">
        <f>SUMIFS('9NovTo15Nov'!$L:$L, '9NovTo15Nov'!$J:$J, $A61)</f>
        <v>0</v>
      </c>
      <c r="D61" s="121">
        <f>SUMIFS('9NovTo15Nov'!$K:$K, '9NovTo15Nov'!$J:$J, $A61)</f>
        <v>0</v>
      </c>
      <c r="E61" s="121">
        <f>SUMIFS('9NovTo15Nov'!$O:$O, '9NovTo15Nov'!$J:$J, $A61)</f>
        <v>0</v>
      </c>
      <c r="F61" s="121">
        <f>SUMIFS('9NovTo15Nov'!$P:$P, '9NovTo15Nov'!$J:$J, $A61)</f>
        <v>0</v>
      </c>
      <c r="G61" s="122">
        <f t="shared" si="0"/>
        <v>0</v>
      </c>
      <c r="H61" s="121">
        <f>SUMIFS('2NovTo8Nov'!$L:$L, '2NovTo8Nov'!$J:$J, $A61)</f>
        <v>1</v>
      </c>
      <c r="I61" s="121">
        <f>SUMIFS('2NovTo8Nov'!$K:$K, '2NovTo8Nov'!$J:$J, $A61)</f>
        <v>6</v>
      </c>
      <c r="J61" s="121">
        <f>SUMIFS('2NovTo8Nov'!$O:$O, '2NovTo8Nov'!$J:$J, $A61)</f>
        <v>4.28</v>
      </c>
      <c r="K61" s="121">
        <f>SUMIFS('2NovTo8Nov'!$P:$P, '2NovTo8Nov'!$J:$J, $A61)</f>
        <v>21.9</v>
      </c>
      <c r="L61" s="122">
        <f t="shared" si="1"/>
        <v>19.543378995433791</v>
      </c>
      <c r="M61" s="121">
        <f>SUMIFS('26OctTo1Nov'!$L:$L, '26OctTo1Nov'!$J:$J, $A61)</f>
        <v>0</v>
      </c>
      <c r="N61" s="121">
        <f>SUMIFS('26OctTo1Nov'!$K:$K, '26OctTo1Nov'!$J:$J, $A61)</f>
        <v>0</v>
      </c>
      <c r="O61" s="121">
        <f>SUMIFS('26OctTo1Nov'!$O:$O, '26OctTo1Nov'!$J:$J, $A61)</f>
        <v>0</v>
      </c>
      <c r="P61" s="121">
        <f>SUMIFS('26OctTo1Nov'!$P:$P, '26OctTo1Nov'!$J:$J, $A61)</f>
        <v>0</v>
      </c>
      <c r="Q61" s="122">
        <f t="shared" si="2"/>
        <v>0</v>
      </c>
      <c r="R61" s="121">
        <f>SUMIFS('19OctTo25Oct'!$L:$L, '19OctTo25Oct'!$J:$J, $A61)</f>
        <v>0</v>
      </c>
      <c r="S61" s="121">
        <f>SUMIFS('19OctTo25Oct'!$K:$K, '19OctTo25Oct'!$J:$J, $A61)</f>
        <v>0</v>
      </c>
      <c r="T61" s="121">
        <f>SUMIFS('19OctTo25Oct'!$O:$O, '19OctTo25Oct'!$J:$J, $A61)</f>
        <v>0</v>
      </c>
      <c r="U61" s="121">
        <f>SUMIFS('19OctTo25Oct'!$P:$P, '19OctTo25Oct'!$J:$J, $A61)</f>
        <v>0</v>
      </c>
      <c r="V61" s="122">
        <f t="shared" si="3"/>
        <v>0</v>
      </c>
      <c r="W61" s="121">
        <f>SUMIFS('12OctTo18Oct'!$L:$L, '12OctTo18Oct'!$J:$J, $A61)</f>
        <v>0</v>
      </c>
      <c r="X61" s="121">
        <f>SUMIFS('12OctTo18Oct'!$K:$K, '12OctTo18Oct'!$J:$J, $A61)</f>
        <v>0</v>
      </c>
      <c r="Y61" s="121">
        <f>SUMIFS('12OctTo18Oct'!$O:$O, '12OctTo18Oct'!$J:$J, $A61)</f>
        <v>0</v>
      </c>
      <c r="Z61" s="121">
        <f>SUMIFS('12OctTo18Oct'!$P:$P, '12OctTo18Oct'!$J:$J, $A61)</f>
        <v>0</v>
      </c>
      <c r="AA61" s="122">
        <f t="shared" si="4"/>
        <v>0</v>
      </c>
      <c r="AB61" s="121">
        <f>SUMIFS('5OctTo11Oct'!$L:$L, '5OctTo11Oct'!$J:$J, $A61)</f>
        <v>0</v>
      </c>
      <c r="AC61" s="121">
        <f>SUMIFS('5OctTo11Oct'!$K:$K, '5OctTo11Oct'!$J:$J, $A61)</f>
        <v>0</v>
      </c>
      <c r="AD61" s="121">
        <f>SUMIFS('5OctTo11Oct'!$O:$O, '5OctTo11Oct'!$J:$J, $A61)</f>
        <v>0</v>
      </c>
      <c r="AE61" s="121">
        <f>SUMIFS('5OctTo11Oct'!$P:$P, '5OctTo11Oct'!$J:$J, $A61)</f>
        <v>0</v>
      </c>
      <c r="AF61" s="123">
        <f t="shared" si="5"/>
        <v>0</v>
      </c>
      <c r="AG61" s="121">
        <f>SUMIFS('28SepTo4Oct'!$L:$L, '28SepTo4Oct'!$J:$J, $A61)</f>
        <v>0</v>
      </c>
      <c r="AH61" s="121">
        <f>SUMIFS('28SepTo4Oct'!$K:$K, '28SepTo4Oct'!$J:$J, $A61)</f>
        <v>0</v>
      </c>
      <c r="AI61" s="121">
        <f>SUMIFS('28SepTo4Oct'!$O:$O, '28SepTo4Oct'!$J:$J, $A61)</f>
        <v>0</v>
      </c>
      <c r="AJ61" s="121">
        <f>SUMIFS('28SepTo4Oct'!$P:$P, '28SepTo4Oct'!$J:$J, $A61)</f>
        <v>0</v>
      </c>
      <c r="AK61" s="123">
        <f t="shared" si="6"/>
        <v>0</v>
      </c>
      <c r="AL61" s="121">
        <f>SUMIFS('21SepTo27Sep'!$L:$L, '21SepTo27Sep'!$J:$J, $A61)</f>
        <v>0</v>
      </c>
      <c r="AM61" s="121">
        <f>SUMIFS('21SepTo27Sep'!$K:$K, '21SepTo27Sep'!$J:$J, $A61)</f>
        <v>0</v>
      </c>
      <c r="AN61" s="121">
        <f>SUMIFS('21SepTo27Sep'!$O:$O, '21SepTo27Sep'!$J:$J, $A61)</f>
        <v>0</v>
      </c>
      <c r="AO61" s="121">
        <f>SUMIFS('21SepTo27Sep'!$P:$P, '21SepTo27Sep'!$J:$J, $A61)</f>
        <v>0</v>
      </c>
      <c r="AP61" s="123">
        <f t="shared" si="7"/>
        <v>0</v>
      </c>
      <c r="AQ61" s="121">
        <f>SUMIFS('14SepTo20Sep'!$L:$L, '14SepTo20Sep'!$J:$J, $A61)</f>
        <v>2</v>
      </c>
      <c r="AR61" s="121">
        <f>SUMIFS('14SepTo20Sep'!$K:$K, '14SepTo20Sep'!$J:$J, $A61)</f>
        <v>6</v>
      </c>
      <c r="AS61" s="121">
        <f>SUMIFS('14SepTo20Sep'!$O:$O, '14SepTo20Sep'!$J:$J, $A61)</f>
        <v>8.34</v>
      </c>
      <c r="AT61" s="121">
        <f>SUMIFS('14SepTo20Sep'!$P:$P, '14SepTo20Sep'!$J:$J, $A61)</f>
        <v>43.8</v>
      </c>
      <c r="AU61" s="123">
        <f t="shared" si="8"/>
        <v>19.041095890410961</v>
      </c>
      <c r="AV61" s="121">
        <f>SUMIFS('7SepTo13Sep'!$L:$L, '7SepTo13Sep'!$J:$J, $A61)</f>
        <v>0</v>
      </c>
      <c r="AW61" s="121">
        <f>SUMIFS('7SepTo13Sep'!$K:$K, '7SepTo13Sep'!$J:$J, $A61)</f>
        <v>0</v>
      </c>
      <c r="AX61" s="121">
        <f>SUMIFS('7SepTo13Sep'!$O:$O, '7SepTo13Sep'!$J:$J, $A61)</f>
        <v>0</v>
      </c>
      <c r="AY61" s="121">
        <f>SUMIFS('7SepTo13Sep'!$P:$P, '7SepTo13Sep'!$J:$J, $A61)</f>
        <v>0</v>
      </c>
      <c r="AZ61" s="123">
        <f t="shared" si="9"/>
        <v>0</v>
      </c>
      <c r="BA61" s="121">
        <f>SUMIFS('31AugTo6Sep'!$L:$L, '31AugTo6Sep'!$J:$J, $A61)</f>
        <v>0</v>
      </c>
      <c r="BB61" s="121">
        <f>SUMIFS('31AugTo6Sep'!$K:$K, '31AugTo6Sep'!$J:$J, $A61)</f>
        <v>0</v>
      </c>
      <c r="BC61" s="121">
        <f>SUMIFS('31AugTo6Sep'!$O:$O, '31AugTo6Sep'!$J:$J, $A61)</f>
        <v>0</v>
      </c>
      <c r="BD61" s="121">
        <f>SUMIFS('31AugTo6Sep'!$P:$P, '31AugTo6Sep'!$J:$J, $A61)</f>
        <v>0</v>
      </c>
      <c r="BE61" s="123">
        <f t="shared" si="10"/>
        <v>0</v>
      </c>
      <c r="BF61" s="121">
        <f>SUMIFS('24AugTo29Aug'!$L:$L, '24AugTo29Aug'!$J:$J, $A61)</f>
        <v>0</v>
      </c>
      <c r="BG61" s="121">
        <f>SUMIFS('24AugTo29Aug'!$K:$K, '24AugTo29Aug'!$J:$J, $A61)</f>
        <v>0</v>
      </c>
      <c r="BH61" s="121">
        <f>SUMIFS('24AugTo29Aug'!$O:$O, '24AugTo29Aug'!$J:$J, $A61)</f>
        <v>0</v>
      </c>
      <c r="BI61" s="121">
        <f>SUMIFS('24AugTo29Aug'!$P:$P, '24AugTo29Aug'!$J:$J, $A61)</f>
        <v>0</v>
      </c>
      <c r="BJ61" s="123">
        <f t="shared" si="11"/>
        <v>0</v>
      </c>
      <c r="BK61" s="121">
        <f>SUMIFS('17AugTo21Aug'!$L:$L, '17AugTo21Aug'!$J:$J, $A61)</f>
        <v>0</v>
      </c>
      <c r="BL61" s="121">
        <f>SUMIFS('17AugTo21Aug'!$K:$K, '17AugTo21Aug'!$J:$J, $A61)</f>
        <v>0</v>
      </c>
      <c r="BM61" s="121">
        <f>SUMIFS('17AugTo21Aug'!$O:$O, '17AugTo21Aug'!$J:$J, $A61)</f>
        <v>0</v>
      </c>
      <c r="BN61" s="121">
        <f>SUMIFS('17AugTo21Aug'!$P:$P, '17AugTo21Aug'!$J:$J, $A61)</f>
        <v>0</v>
      </c>
      <c r="BO61" s="123">
        <f t="shared" si="12"/>
        <v>0</v>
      </c>
      <c r="BP61" s="121">
        <f>SUMIFS('10AugTo16Aug'!$L:$L, '10AugTo16Aug'!$J:$J, $A61)</f>
        <v>0</v>
      </c>
      <c r="BQ61" s="121">
        <f>SUMIFS('10AugTo16Aug'!$K:$K, '10AugTo16Aug'!$J:$J, $A61)</f>
        <v>0</v>
      </c>
      <c r="BR61" s="121">
        <f>SUMIFS('10AugTo16Aug'!$O:$O, '10AugTo16Aug'!$J:$J, $A61)</f>
        <v>0</v>
      </c>
      <c r="BS61" s="121">
        <f>SUMIFS('10AugTo16Aug'!$P:$P, '10AugTo16Aug'!$J:$J, $A61)</f>
        <v>0</v>
      </c>
      <c r="BT61" s="123">
        <f t="shared" si="13"/>
        <v>0</v>
      </c>
      <c r="BU61" s="121">
        <f>SUMIFS('3AugTo9Aug'!$L:$L, '3AugTo9Aug'!$J:$J, $A61)</f>
        <v>0</v>
      </c>
      <c r="BV61" s="121">
        <f>SUMIFS('3AugTo9Aug'!$K:$K, '3AugTo9Aug'!$J:$J, $A61)</f>
        <v>0</v>
      </c>
      <c r="BW61" s="121">
        <f>SUMIFS('3AugTo9Aug'!$O:$O, '3AugTo9Aug'!$J:$J, $A61)</f>
        <v>0</v>
      </c>
      <c r="BX61" s="121">
        <f>SUMIFS('3AugTo9Aug'!$P:$P, '3AugTo9Aug'!$J:$J, $A61)</f>
        <v>0</v>
      </c>
      <c r="BY61" s="123">
        <f t="shared" si="14"/>
        <v>0</v>
      </c>
      <c r="BZ61" s="121">
        <f>SUMIFS('27JulyTo2Aug'!$L:$L, '27JulyTo2Aug'!$J:$J, $A61)</f>
        <v>0</v>
      </c>
      <c r="CA61" s="121">
        <f>SUMIFS('27JulyTo2Aug'!$K:$K, '27JulyTo2Aug'!$J:$J, $A61)</f>
        <v>0</v>
      </c>
      <c r="CB61" s="121">
        <f>SUMIFS('27JulyTo2Aug'!$O:$O, '27JulyTo2Aug'!$J:$J, $A61)</f>
        <v>0</v>
      </c>
      <c r="CC61" s="121">
        <f>SUMIFS('27JulyTo2Aug'!$P:$P, '27JulyTo2Aug'!$J:$J, $A61)</f>
        <v>0</v>
      </c>
      <c r="CD61" s="123">
        <f t="shared" si="15"/>
        <v>0</v>
      </c>
    </row>
    <row r="62" spans="1:82" ht="14.25" customHeight="1" x14ac:dyDescent="0.3">
      <c r="A62" s="124" t="s">
        <v>579</v>
      </c>
      <c r="B62" s="120" t="str">
        <f t="shared" si="16"/>
        <v>NO TRAFFIC</v>
      </c>
      <c r="C62" s="121">
        <f>SUMIFS('9NovTo15Nov'!$L:$L, '9NovTo15Nov'!$J:$J, $A62)</f>
        <v>0</v>
      </c>
      <c r="D62" s="121">
        <f>SUMIFS('9NovTo15Nov'!$K:$K, '9NovTo15Nov'!$J:$J, $A62)</f>
        <v>0</v>
      </c>
      <c r="E62" s="121">
        <f>SUMIFS('9NovTo15Nov'!$O:$O, '9NovTo15Nov'!$J:$J, $A62)</f>
        <v>0</v>
      </c>
      <c r="F62" s="121">
        <f>SUMIFS('9NovTo15Nov'!$P:$P, '9NovTo15Nov'!$J:$J, $A62)</f>
        <v>0</v>
      </c>
      <c r="G62" s="122">
        <f t="shared" si="0"/>
        <v>0</v>
      </c>
      <c r="H62" s="121">
        <f>SUMIFS('2NovTo8Nov'!$L:$L, '2NovTo8Nov'!$J:$J, $A62)</f>
        <v>0</v>
      </c>
      <c r="I62" s="121">
        <f>SUMIFS('2NovTo8Nov'!$K:$K, '2NovTo8Nov'!$J:$J, $A62)</f>
        <v>0</v>
      </c>
      <c r="J62" s="121">
        <f>SUMIFS('2NovTo8Nov'!$O:$O, '2NovTo8Nov'!$J:$J, $A62)</f>
        <v>0</v>
      </c>
      <c r="K62" s="121">
        <f>SUMIFS('2NovTo8Nov'!$P:$P, '2NovTo8Nov'!$J:$J, $A62)</f>
        <v>0</v>
      </c>
      <c r="L62" s="122">
        <f t="shared" si="1"/>
        <v>0</v>
      </c>
      <c r="M62" s="121">
        <f>SUMIFS('26OctTo1Nov'!$L:$L, '26OctTo1Nov'!$J:$J, $A62)</f>
        <v>0</v>
      </c>
      <c r="N62" s="121">
        <f>SUMIFS('26OctTo1Nov'!$K:$K, '26OctTo1Nov'!$J:$J, $A62)</f>
        <v>0</v>
      </c>
      <c r="O62" s="121">
        <f>SUMIFS('26OctTo1Nov'!$O:$O, '26OctTo1Nov'!$J:$J, $A62)</f>
        <v>0</v>
      </c>
      <c r="P62" s="121">
        <f>SUMIFS('26OctTo1Nov'!$P:$P, '26OctTo1Nov'!$J:$J, $A62)</f>
        <v>0</v>
      </c>
      <c r="Q62" s="122">
        <f t="shared" si="2"/>
        <v>0</v>
      </c>
      <c r="R62" s="121">
        <f>SUMIFS('19OctTo25Oct'!$L:$L, '19OctTo25Oct'!$J:$J, $A62)</f>
        <v>0</v>
      </c>
      <c r="S62" s="121">
        <f>SUMIFS('19OctTo25Oct'!$K:$K, '19OctTo25Oct'!$J:$J, $A62)</f>
        <v>0</v>
      </c>
      <c r="T62" s="121">
        <f>SUMIFS('19OctTo25Oct'!$O:$O, '19OctTo25Oct'!$J:$J, $A62)</f>
        <v>0</v>
      </c>
      <c r="U62" s="121">
        <f>SUMIFS('19OctTo25Oct'!$P:$P, '19OctTo25Oct'!$J:$J, $A62)</f>
        <v>0</v>
      </c>
      <c r="V62" s="122">
        <f t="shared" si="3"/>
        <v>0</v>
      </c>
      <c r="W62" s="121">
        <f>SUMIFS('12OctTo18Oct'!$L:$L, '12OctTo18Oct'!$J:$J, $A62)</f>
        <v>0</v>
      </c>
      <c r="X62" s="121">
        <f>SUMIFS('12OctTo18Oct'!$K:$K, '12OctTo18Oct'!$J:$J, $A62)</f>
        <v>0</v>
      </c>
      <c r="Y62" s="121">
        <f>SUMIFS('12OctTo18Oct'!$O:$O, '12OctTo18Oct'!$J:$J, $A62)</f>
        <v>0</v>
      </c>
      <c r="Z62" s="121">
        <f>SUMIFS('12OctTo18Oct'!$P:$P, '12OctTo18Oct'!$J:$J, $A62)</f>
        <v>0</v>
      </c>
      <c r="AA62" s="122">
        <f t="shared" si="4"/>
        <v>0</v>
      </c>
      <c r="AB62" s="121">
        <f>SUMIFS('5OctTo11Oct'!$L:$L, '5OctTo11Oct'!$J:$J, $A62)</f>
        <v>0</v>
      </c>
      <c r="AC62" s="121">
        <f>SUMIFS('5OctTo11Oct'!$K:$K, '5OctTo11Oct'!$J:$J, $A62)</f>
        <v>0</v>
      </c>
      <c r="AD62" s="121">
        <f>SUMIFS('5OctTo11Oct'!$O:$O, '5OctTo11Oct'!$J:$J, $A62)</f>
        <v>0</v>
      </c>
      <c r="AE62" s="121">
        <f>SUMIFS('5OctTo11Oct'!$P:$P, '5OctTo11Oct'!$J:$J, $A62)</f>
        <v>0</v>
      </c>
      <c r="AF62" s="123">
        <f t="shared" si="5"/>
        <v>0</v>
      </c>
      <c r="AG62" s="121">
        <f>SUMIFS('28SepTo4Oct'!$L:$L, '28SepTo4Oct'!$J:$J, $A62)</f>
        <v>0</v>
      </c>
      <c r="AH62" s="121">
        <f>SUMIFS('28SepTo4Oct'!$K:$K, '28SepTo4Oct'!$J:$J, $A62)</f>
        <v>0</v>
      </c>
      <c r="AI62" s="121">
        <f>SUMIFS('28SepTo4Oct'!$O:$O, '28SepTo4Oct'!$J:$J, $A62)</f>
        <v>0</v>
      </c>
      <c r="AJ62" s="121">
        <f>SUMIFS('28SepTo4Oct'!$P:$P, '28SepTo4Oct'!$J:$J, $A62)</f>
        <v>0</v>
      </c>
      <c r="AK62" s="123">
        <f t="shared" si="6"/>
        <v>0</v>
      </c>
      <c r="AL62" s="121">
        <f>SUMIFS('21SepTo27Sep'!$L:$L, '21SepTo27Sep'!$J:$J, $A62)</f>
        <v>0</v>
      </c>
      <c r="AM62" s="121">
        <f>SUMIFS('21SepTo27Sep'!$K:$K, '21SepTo27Sep'!$J:$J, $A62)</f>
        <v>0</v>
      </c>
      <c r="AN62" s="121">
        <f>SUMIFS('21SepTo27Sep'!$O:$O, '21SepTo27Sep'!$J:$J, $A62)</f>
        <v>0</v>
      </c>
      <c r="AO62" s="121">
        <f>SUMIFS('21SepTo27Sep'!$P:$P, '21SepTo27Sep'!$J:$J, $A62)</f>
        <v>0</v>
      </c>
      <c r="AP62" s="123">
        <f t="shared" si="7"/>
        <v>0</v>
      </c>
      <c r="AQ62" s="121">
        <f>SUMIFS('14SepTo20Sep'!$L:$L, '14SepTo20Sep'!$J:$J, $A62)</f>
        <v>0</v>
      </c>
      <c r="AR62" s="121">
        <f>SUMIFS('14SepTo20Sep'!$K:$K, '14SepTo20Sep'!$J:$J, $A62)</f>
        <v>0</v>
      </c>
      <c r="AS62" s="121">
        <f>SUMIFS('14SepTo20Sep'!$O:$O, '14SepTo20Sep'!$J:$J, $A62)</f>
        <v>0</v>
      </c>
      <c r="AT62" s="121">
        <f>SUMIFS('14SepTo20Sep'!$P:$P, '14SepTo20Sep'!$J:$J, $A62)</f>
        <v>0</v>
      </c>
      <c r="AU62" s="123">
        <f t="shared" si="8"/>
        <v>0</v>
      </c>
      <c r="AV62" s="121">
        <f>SUMIFS('7SepTo13Sep'!$L:$L, '7SepTo13Sep'!$J:$J, $A62)</f>
        <v>0</v>
      </c>
      <c r="AW62" s="121">
        <f>SUMIFS('7SepTo13Sep'!$K:$K, '7SepTo13Sep'!$J:$J, $A62)</f>
        <v>0</v>
      </c>
      <c r="AX62" s="121">
        <f>SUMIFS('7SepTo13Sep'!$O:$O, '7SepTo13Sep'!$J:$J, $A62)</f>
        <v>0</v>
      </c>
      <c r="AY62" s="121">
        <f>SUMIFS('7SepTo13Sep'!$P:$P, '7SepTo13Sep'!$J:$J, $A62)</f>
        <v>0</v>
      </c>
      <c r="AZ62" s="123">
        <f t="shared" si="9"/>
        <v>0</v>
      </c>
      <c r="BA62" s="121">
        <f>SUMIFS('31AugTo6Sep'!$L:$L, '31AugTo6Sep'!$J:$J, $A62)</f>
        <v>2</v>
      </c>
      <c r="BB62" s="121">
        <f>SUMIFS('31AugTo6Sep'!$K:$K, '31AugTo6Sep'!$J:$J, $A62)</f>
        <v>20</v>
      </c>
      <c r="BC62" s="121">
        <f>SUMIFS('31AugTo6Sep'!$O:$O, '31AugTo6Sep'!$J:$J, $A62)</f>
        <v>10.86</v>
      </c>
      <c r="BD62" s="121">
        <f>SUMIFS('31AugTo6Sep'!$P:$P, '31AugTo6Sep'!$J:$J, $A62)</f>
        <v>21.9</v>
      </c>
      <c r="BE62" s="123">
        <f t="shared" si="10"/>
        <v>49.589041095890416</v>
      </c>
      <c r="BF62" s="121">
        <f>SUMIFS('24AugTo29Aug'!$L:$L, '24AugTo29Aug'!$J:$J, $A62)</f>
        <v>0</v>
      </c>
      <c r="BG62" s="121">
        <f>SUMIFS('24AugTo29Aug'!$K:$K, '24AugTo29Aug'!$J:$J, $A62)</f>
        <v>0</v>
      </c>
      <c r="BH62" s="121">
        <f>SUMIFS('24AugTo29Aug'!$O:$O, '24AugTo29Aug'!$J:$J, $A62)</f>
        <v>0</v>
      </c>
      <c r="BI62" s="121">
        <f>SUMIFS('24AugTo29Aug'!$P:$P, '24AugTo29Aug'!$J:$J, $A62)</f>
        <v>0</v>
      </c>
      <c r="BJ62" s="123">
        <f t="shared" si="11"/>
        <v>0</v>
      </c>
      <c r="BK62" s="121">
        <f>SUMIFS('17AugTo21Aug'!$L:$L, '17AugTo21Aug'!$J:$J, $A62)</f>
        <v>1</v>
      </c>
      <c r="BL62" s="121">
        <f>SUMIFS('17AugTo21Aug'!$K:$K, '17AugTo21Aug'!$J:$J, $A62)</f>
        <v>15</v>
      </c>
      <c r="BM62" s="121">
        <f>SUMIFS('17AugTo21Aug'!$O:$O, '17AugTo21Aug'!$J:$J, $A62)</f>
        <v>5.68</v>
      </c>
      <c r="BN62" s="121">
        <f>SUMIFS('17AugTo21Aug'!$P:$P, '17AugTo21Aug'!$J:$J, $A62)</f>
        <v>21.95</v>
      </c>
      <c r="BO62" s="123">
        <f t="shared" si="12"/>
        <v>25.876993166287015</v>
      </c>
      <c r="BP62" s="121">
        <f>SUMIFS('10AugTo16Aug'!$L:$L, '10AugTo16Aug'!$J:$J, $A62)</f>
        <v>0</v>
      </c>
      <c r="BQ62" s="121">
        <f>SUMIFS('10AugTo16Aug'!$K:$K, '10AugTo16Aug'!$J:$J, $A62)</f>
        <v>0</v>
      </c>
      <c r="BR62" s="121">
        <f>SUMIFS('10AugTo16Aug'!$O:$O, '10AugTo16Aug'!$J:$J, $A62)</f>
        <v>0</v>
      </c>
      <c r="BS62" s="121">
        <f>SUMIFS('10AugTo16Aug'!$P:$P, '10AugTo16Aug'!$J:$J, $A62)</f>
        <v>0</v>
      </c>
      <c r="BT62" s="123">
        <f t="shared" si="13"/>
        <v>0</v>
      </c>
      <c r="BU62" s="121">
        <f>SUMIFS('3AugTo9Aug'!$L:$L, '3AugTo9Aug'!$J:$J, $A62)</f>
        <v>1</v>
      </c>
      <c r="BV62" s="121">
        <f>SUMIFS('3AugTo9Aug'!$K:$K, '3AugTo9Aug'!$J:$J, $A62)</f>
        <v>1</v>
      </c>
      <c r="BW62" s="121">
        <f>SUMIFS('3AugTo9Aug'!$O:$O, '3AugTo9Aug'!$J:$J, $A62)</f>
        <v>3.2</v>
      </c>
      <c r="BX62" s="121">
        <f>SUMIFS('3AugTo9Aug'!$P:$P, '3AugTo9Aug'!$J:$J, $A62)</f>
        <v>24.95</v>
      </c>
      <c r="BY62" s="123">
        <f t="shared" si="14"/>
        <v>12.825651302605213</v>
      </c>
      <c r="BZ62" s="121">
        <f>SUMIFS('27JulyTo2Aug'!$L:$L, '27JulyTo2Aug'!$J:$J, $A62)</f>
        <v>0</v>
      </c>
      <c r="CA62" s="121">
        <f>SUMIFS('27JulyTo2Aug'!$K:$K, '27JulyTo2Aug'!$J:$J, $A62)</f>
        <v>0</v>
      </c>
      <c r="CB62" s="121">
        <f>SUMIFS('27JulyTo2Aug'!$O:$O, '27JulyTo2Aug'!$J:$J, $A62)</f>
        <v>0</v>
      </c>
      <c r="CC62" s="121">
        <f>SUMIFS('27JulyTo2Aug'!$P:$P, '27JulyTo2Aug'!$J:$J, $A62)</f>
        <v>0</v>
      </c>
      <c r="CD62" s="123">
        <f t="shared" si="15"/>
        <v>0</v>
      </c>
    </row>
    <row r="63" spans="1:82" ht="14.25" customHeight="1" x14ac:dyDescent="0.3">
      <c r="A63" s="124" t="s">
        <v>840</v>
      </c>
      <c r="B63" s="120" t="str">
        <f t="shared" si="16"/>
        <v>NO TRAFFIC</v>
      </c>
      <c r="C63" s="121">
        <f>SUMIFS('9NovTo15Nov'!$L:$L, '9NovTo15Nov'!$J:$J, $A63)</f>
        <v>0</v>
      </c>
      <c r="D63" s="121">
        <f>SUMIFS('9NovTo15Nov'!$K:$K, '9NovTo15Nov'!$J:$J, $A63)</f>
        <v>0</v>
      </c>
      <c r="E63" s="121">
        <f>SUMIFS('9NovTo15Nov'!$O:$O, '9NovTo15Nov'!$J:$J, $A63)</f>
        <v>0</v>
      </c>
      <c r="F63" s="121">
        <f>SUMIFS('9NovTo15Nov'!$P:$P, '9NovTo15Nov'!$J:$J, $A63)</f>
        <v>0</v>
      </c>
      <c r="G63" s="122">
        <f t="shared" si="0"/>
        <v>0</v>
      </c>
      <c r="H63" s="121">
        <f>SUMIFS('2NovTo8Nov'!$L:$L, '2NovTo8Nov'!$J:$J, $A63)</f>
        <v>0</v>
      </c>
      <c r="I63" s="121">
        <f>SUMIFS('2NovTo8Nov'!$K:$K, '2NovTo8Nov'!$J:$J, $A63)</f>
        <v>0</v>
      </c>
      <c r="J63" s="121">
        <f>SUMIFS('2NovTo8Nov'!$O:$O, '2NovTo8Nov'!$J:$J, $A63)</f>
        <v>0</v>
      </c>
      <c r="K63" s="121">
        <f>SUMIFS('2NovTo8Nov'!$P:$P, '2NovTo8Nov'!$J:$J, $A63)</f>
        <v>0</v>
      </c>
      <c r="L63" s="122">
        <f t="shared" si="1"/>
        <v>0</v>
      </c>
      <c r="M63" s="121">
        <f>SUMIFS('26OctTo1Nov'!$L:$L, '26OctTo1Nov'!$J:$J, $A63)</f>
        <v>0</v>
      </c>
      <c r="N63" s="121">
        <f>SUMIFS('26OctTo1Nov'!$K:$K, '26OctTo1Nov'!$J:$J, $A63)</f>
        <v>0</v>
      </c>
      <c r="O63" s="121">
        <f>SUMIFS('26OctTo1Nov'!$O:$O, '26OctTo1Nov'!$J:$J, $A63)</f>
        <v>0</v>
      </c>
      <c r="P63" s="121">
        <f>SUMIFS('26OctTo1Nov'!$P:$P, '26OctTo1Nov'!$J:$J, $A63)</f>
        <v>0</v>
      </c>
      <c r="Q63" s="122">
        <f t="shared" si="2"/>
        <v>0</v>
      </c>
      <c r="R63" s="121">
        <f>SUMIFS('19OctTo25Oct'!$L:$L, '19OctTo25Oct'!$J:$J, $A63)</f>
        <v>0</v>
      </c>
      <c r="S63" s="121">
        <f>SUMIFS('19OctTo25Oct'!$K:$K, '19OctTo25Oct'!$J:$J, $A63)</f>
        <v>0</v>
      </c>
      <c r="T63" s="121">
        <f>SUMIFS('19OctTo25Oct'!$O:$O, '19OctTo25Oct'!$J:$J, $A63)</f>
        <v>0</v>
      </c>
      <c r="U63" s="121">
        <f>SUMIFS('19OctTo25Oct'!$P:$P, '19OctTo25Oct'!$J:$J, $A63)</f>
        <v>0</v>
      </c>
      <c r="V63" s="122">
        <f t="shared" si="3"/>
        <v>0</v>
      </c>
      <c r="W63" s="121">
        <f>SUMIFS('12OctTo18Oct'!$L:$L, '12OctTo18Oct'!$J:$J, $A63)</f>
        <v>0</v>
      </c>
      <c r="X63" s="121">
        <f>SUMIFS('12OctTo18Oct'!$K:$K, '12OctTo18Oct'!$J:$J, $A63)</f>
        <v>0</v>
      </c>
      <c r="Y63" s="121">
        <f>SUMIFS('12OctTo18Oct'!$O:$O, '12OctTo18Oct'!$J:$J, $A63)</f>
        <v>0</v>
      </c>
      <c r="Z63" s="121">
        <f>SUMIFS('12OctTo18Oct'!$P:$P, '12OctTo18Oct'!$J:$J, $A63)</f>
        <v>0</v>
      </c>
      <c r="AA63" s="122">
        <f t="shared" si="4"/>
        <v>0</v>
      </c>
      <c r="AB63" s="121">
        <f>SUMIFS('5OctTo11Oct'!$L:$L, '5OctTo11Oct'!$J:$J, $A63)</f>
        <v>0</v>
      </c>
      <c r="AC63" s="121">
        <f>SUMIFS('5OctTo11Oct'!$K:$K, '5OctTo11Oct'!$J:$J, $A63)</f>
        <v>0</v>
      </c>
      <c r="AD63" s="121">
        <f>SUMIFS('5OctTo11Oct'!$O:$O, '5OctTo11Oct'!$J:$J, $A63)</f>
        <v>0</v>
      </c>
      <c r="AE63" s="121">
        <f>SUMIFS('5OctTo11Oct'!$P:$P, '5OctTo11Oct'!$J:$J, $A63)</f>
        <v>0</v>
      </c>
      <c r="AF63" s="123">
        <f t="shared" si="5"/>
        <v>0</v>
      </c>
      <c r="AG63" s="121">
        <f>SUMIFS('28SepTo4Oct'!$L:$L, '28SepTo4Oct'!$J:$J, $A63)</f>
        <v>0</v>
      </c>
      <c r="AH63" s="121">
        <f>SUMIFS('28SepTo4Oct'!$K:$K, '28SepTo4Oct'!$J:$J, $A63)</f>
        <v>0</v>
      </c>
      <c r="AI63" s="121">
        <f>SUMIFS('28SepTo4Oct'!$O:$O, '28SepTo4Oct'!$J:$J, $A63)</f>
        <v>0</v>
      </c>
      <c r="AJ63" s="121">
        <f>SUMIFS('28SepTo4Oct'!$P:$P, '28SepTo4Oct'!$J:$J, $A63)</f>
        <v>0</v>
      </c>
      <c r="AK63" s="123">
        <f t="shared" si="6"/>
        <v>0</v>
      </c>
      <c r="AL63" s="121">
        <f>SUMIFS('21SepTo27Sep'!$L:$L, '21SepTo27Sep'!$J:$J, $A63)</f>
        <v>0</v>
      </c>
      <c r="AM63" s="121">
        <f>SUMIFS('21SepTo27Sep'!$K:$K, '21SepTo27Sep'!$J:$J, $A63)</f>
        <v>0</v>
      </c>
      <c r="AN63" s="121">
        <f>SUMIFS('21SepTo27Sep'!$O:$O, '21SepTo27Sep'!$J:$J, $A63)</f>
        <v>0</v>
      </c>
      <c r="AO63" s="121">
        <f>SUMIFS('21SepTo27Sep'!$P:$P, '21SepTo27Sep'!$J:$J, $A63)</f>
        <v>0</v>
      </c>
      <c r="AP63" s="123">
        <f t="shared" si="7"/>
        <v>0</v>
      </c>
      <c r="AQ63" s="121">
        <f>SUMIFS('14SepTo20Sep'!$L:$L, '14SepTo20Sep'!$J:$J, $A63)</f>
        <v>0</v>
      </c>
      <c r="AR63" s="121">
        <f>SUMIFS('14SepTo20Sep'!$K:$K, '14SepTo20Sep'!$J:$J, $A63)</f>
        <v>0</v>
      </c>
      <c r="AS63" s="121">
        <f>SUMIFS('14SepTo20Sep'!$O:$O, '14SepTo20Sep'!$J:$J, $A63)</f>
        <v>0</v>
      </c>
      <c r="AT63" s="121">
        <f>SUMIFS('14SepTo20Sep'!$P:$P, '14SepTo20Sep'!$J:$J, $A63)</f>
        <v>0</v>
      </c>
      <c r="AU63" s="123">
        <f t="shared" si="8"/>
        <v>0</v>
      </c>
      <c r="AV63" s="121">
        <f>SUMIFS('7SepTo13Sep'!$L:$L, '7SepTo13Sep'!$J:$J, $A63)</f>
        <v>0</v>
      </c>
      <c r="AW63" s="121">
        <f>SUMIFS('7SepTo13Sep'!$K:$K, '7SepTo13Sep'!$J:$J, $A63)</f>
        <v>0</v>
      </c>
      <c r="AX63" s="121">
        <f>SUMIFS('7SepTo13Sep'!$O:$O, '7SepTo13Sep'!$J:$J, $A63)</f>
        <v>0</v>
      </c>
      <c r="AY63" s="121">
        <f>SUMIFS('7SepTo13Sep'!$P:$P, '7SepTo13Sep'!$J:$J, $A63)</f>
        <v>0</v>
      </c>
      <c r="AZ63" s="123">
        <f t="shared" si="9"/>
        <v>0</v>
      </c>
      <c r="BA63" s="121">
        <f>SUMIFS('31AugTo6Sep'!$L:$L, '31AugTo6Sep'!$J:$J, $A63)</f>
        <v>0</v>
      </c>
      <c r="BB63" s="121">
        <f>SUMIFS('31AugTo6Sep'!$K:$K, '31AugTo6Sep'!$J:$J, $A63)</f>
        <v>0</v>
      </c>
      <c r="BC63" s="121">
        <f>SUMIFS('31AugTo6Sep'!$O:$O, '31AugTo6Sep'!$J:$J, $A63)</f>
        <v>0</v>
      </c>
      <c r="BD63" s="121">
        <f>SUMIFS('31AugTo6Sep'!$P:$P, '31AugTo6Sep'!$J:$J, $A63)</f>
        <v>0</v>
      </c>
      <c r="BE63" s="123">
        <f t="shared" si="10"/>
        <v>0</v>
      </c>
      <c r="BF63" s="121">
        <f>SUMIFS('24AugTo29Aug'!$L:$L, '24AugTo29Aug'!$J:$J, $A63)</f>
        <v>0</v>
      </c>
      <c r="BG63" s="121">
        <f>SUMIFS('24AugTo29Aug'!$K:$K, '24AugTo29Aug'!$J:$J, $A63)</f>
        <v>0</v>
      </c>
      <c r="BH63" s="121">
        <f>SUMIFS('24AugTo29Aug'!$O:$O, '24AugTo29Aug'!$J:$J, $A63)</f>
        <v>0</v>
      </c>
      <c r="BI63" s="121">
        <f>SUMIFS('24AugTo29Aug'!$P:$P, '24AugTo29Aug'!$J:$J, $A63)</f>
        <v>0</v>
      </c>
      <c r="BJ63" s="123">
        <f t="shared" si="11"/>
        <v>0</v>
      </c>
      <c r="BK63" s="121">
        <f>SUMIFS('17AugTo21Aug'!$L:$L, '17AugTo21Aug'!$J:$J, $A63)</f>
        <v>0</v>
      </c>
      <c r="BL63" s="121">
        <f>SUMIFS('17AugTo21Aug'!$K:$K, '17AugTo21Aug'!$J:$J, $A63)</f>
        <v>0</v>
      </c>
      <c r="BM63" s="121">
        <f>SUMIFS('17AugTo21Aug'!$O:$O, '17AugTo21Aug'!$J:$J, $A63)</f>
        <v>0</v>
      </c>
      <c r="BN63" s="121">
        <f>SUMIFS('17AugTo21Aug'!$P:$P, '17AugTo21Aug'!$J:$J, $A63)</f>
        <v>0</v>
      </c>
      <c r="BO63" s="123">
        <f t="shared" si="12"/>
        <v>0</v>
      </c>
      <c r="BP63" s="121">
        <f>SUMIFS('10AugTo16Aug'!$L:$L, '10AugTo16Aug'!$J:$J, $A63)</f>
        <v>0</v>
      </c>
      <c r="BQ63" s="121">
        <f>SUMIFS('10AugTo16Aug'!$K:$K, '10AugTo16Aug'!$J:$J, $A63)</f>
        <v>0</v>
      </c>
      <c r="BR63" s="121">
        <f>SUMIFS('10AugTo16Aug'!$O:$O, '10AugTo16Aug'!$J:$J, $A63)</f>
        <v>0</v>
      </c>
      <c r="BS63" s="121">
        <f>SUMIFS('10AugTo16Aug'!$P:$P, '10AugTo16Aug'!$J:$J, $A63)</f>
        <v>0</v>
      </c>
      <c r="BT63" s="123">
        <f t="shared" si="13"/>
        <v>0</v>
      </c>
      <c r="BU63" s="121">
        <f>SUMIFS('3AugTo9Aug'!$L:$L, '3AugTo9Aug'!$J:$J, $A63)</f>
        <v>0</v>
      </c>
      <c r="BV63" s="121">
        <f>SUMIFS('3AugTo9Aug'!$K:$K, '3AugTo9Aug'!$J:$J, $A63)</f>
        <v>0</v>
      </c>
      <c r="BW63" s="121">
        <f>SUMIFS('3AugTo9Aug'!$O:$O, '3AugTo9Aug'!$J:$J, $A63)</f>
        <v>0</v>
      </c>
      <c r="BX63" s="121">
        <f>SUMIFS('3AugTo9Aug'!$P:$P, '3AugTo9Aug'!$J:$J, $A63)</f>
        <v>0</v>
      </c>
      <c r="BY63" s="123">
        <f t="shared" si="14"/>
        <v>0</v>
      </c>
      <c r="BZ63" s="121">
        <f>SUMIFS('27JulyTo2Aug'!$L:$L, '27JulyTo2Aug'!$J:$J, $A63)</f>
        <v>4</v>
      </c>
      <c r="CA63" s="121">
        <f>SUMIFS('27JulyTo2Aug'!$K:$K, '27JulyTo2Aug'!$J:$J, $A63)</f>
        <v>21</v>
      </c>
      <c r="CB63" s="121">
        <f>SUMIFS('27JulyTo2Aug'!$O:$O, '27JulyTo2Aug'!$J:$J, $A63)</f>
        <v>17.45</v>
      </c>
      <c r="CC63" s="121">
        <f>SUMIFS('27JulyTo2Aug'!$P:$P, '27JulyTo2Aug'!$J:$J, $A63)</f>
        <v>49.9</v>
      </c>
      <c r="CD63" s="123">
        <f t="shared" si="15"/>
        <v>34.969939879759522</v>
      </c>
    </row>
    <row r="64" spans="1:82" ht="14.25" customHeight="1" x14ac:dyDescent="0.3">
      <c r="A64" s="119" t="s">
        <v>398</v>
      </c>
      <c r="B64" s="120" t="str">
        <f t="shared" si="16"/>
        <v>NO TRAFFIC</v>
      </c>
      <c r="C64" s="121">
        <f>SUMIFS('9NovTo15Nov'!$L:$L, '9NovTo15Nov'!$J:$J, $A64)</f>
        <v>0</v>
      </c>
      <c r="D64" s="121">
        <f>SUMIFS('9NovTo15Nov'!$K:$K, '9NovTo15Nov'!$J:$J, $A64)</f>
        <v>0</v>
      </c>
      <c r="E64" s="121">
        <f>SUMIFS('9NovTo15Nov'!$O:$O, '9NovTo15Nov'!$J:$J, $A64)</f>
        <v>0</v>
      </c>
      <c r="F64" s="121">
        <f>SUMIFS('9NovTo15Nov'!$P:$P, '9NovTo15Nov'!$J:$J, $A64)</f>
        <v>0</v>
      </c>
      <c r="G64" s="122">
        <f t="shared" si="0"/>
        <v>0</v>
      </c>
      <c r="H64" s="121">
        <f>SUMIFS('2NovTo8Nov'!$L:$L, '2NovTo8Nov'!$J:$J, $A64)</f>
        <v>0</v>
      </c>
      <c r="I64" s="121">
        <f>SUMIFS('2NovTo8Nov'!$K:$K, '2NovTo8Nov'!$J:$J, $A64)</f>
        <v>0</v>
      </c>
      <c r="J64" s="121">
        <f>SUMIFS('2NovTo8Nov'!$O:$O, '2NovTo8Nov'!$J:$J, $A64)</f>
        <v>0</v>
      </c>
      <c r="K64" s="121">
        <f>SUMIFS('2NovTo8Nov'!$P:$P, '2NovTo8Nov'!$J:$J, $A64)</f>
        <v>0</v>
      </c>
      <c r="L64" s="122">
        <f t="shared" si="1"/>
        <v>0</v>
      </c>
      <c r="M64" s="121">
        <f>SUMIFS('26OctTo1Nov'!$L:$L, '26OctTo1Nov'!$J:$J, $A64)</f>
        <v>0</v>
      </c>
      <c r="N64" s="121">
        <f>SUMIFS('26OctTo1Nov'!$K:$K, '26OctTo1Nov'!$J:$J, $A64)</f>
        <v>0</v>
      </c>
      <c r="O64" s="121">
        <f>SUMIFS('26OctTo1Nov'!$O:$O, '26OctTo1Nov'!$J:$J, $A64)</f>
        <v>0</v>
      </c>
      <c r="P64" s="121">
        <f>SUMIFS('26OctTo1Nov'!$P:$P, '26OctTo1Nov'!$J:$J, $A64)</f>
        <v>0</v>
      </c>
      <c r="Q64" s="122">
        <f t="shared" si="2"/>
        <v>0</v>
      </c>
      <c r="R64" s="121">
        <f>SUMIFS('19OctTo25Oct'!$L:$L, '19OctTo25Oct'!$J:$J, $A64)</f>
        <v>0</v>
      </c>
      <c r="S64" s="121">
        <f>SUMIFS('19OctTo25Oct'!$K:$K, '19OctTo25Oct'!$J:$J, $A64)</f>
        <v>0</v>
      </c>
      <c r="T64" s="121">
        <f>SUMIFS('19OctTo25Oct'!$O:$O, '19OctTo25Oct'!$J:$J, $A64)</f>
        <v>0</v>
      </c>
      <c r="U64" s="121">
        <f>SUMIFS('19OctTo25Oct'!$P:$P, '19OctTo25Oct'!$J:$J, $A64)</f>
        <v>0</v>
      </c>
      <c r="V64" s="122">
        <f t="shared" si="3"/>
        <v>0</v>
      </c>
      <c r="W64" s="121">
        <f>SUMIFS('12OctTo18Oct'!$L:$L, '12OctTo18Oct'!$J:$J, $A64)</f>
        <v>0</v>
      </c>
      <c r="X64" s="121">
        <f>SUMIFS('12OctTo18Oct'!$K:$K, '12OctTo18Oct'!$J:$J, $A64)</f>
        <v>0</v>
      </c>
      <c r="Y64" s="121">
        <f>SUMIFS('12OctTo18Oct'!$O:$O, '12OctTo18Oct'!$J:$J, $A64)</f>
        <v>0</v>
      </c>
      <c r="Z64" s="121">
        <f>SUMIFS('12OctTo18Oct'!$P:$P, '12OctTo18Oct'!$J:$J, $A64)</f>
        <v>0</v>
      </c>
      <c r="AA64" s="122">
        <f t="shared" si="4"/>
        <v>0</v>
      </c>
      <c r="AB64" s="121">
        <f>SUMIFS('5OctTo11Oct'!$L:$L, '5OctTo11Oct'!$J:$J, $A64)</f>
        <v>0</v>
      </c>
      <c r="AC64" s="121">
        <f>SUMIFS('5OctTo11Oct'!$K:$K, '5OctTo11Oct'!$J:$J, $A64)</f>
        <v>0</v>
      </c>
      <c r="AD64" s="121">
        <f>SUMIFS('5OctTo11Oct'!$O:$O, '5OctTo11Oct'!$J:$J, $A64)</f>
        <v>0</v>
      </c>
      <c r="AE64" s="121">
        <f>SUMIFS('5OctTo11Oct'!$P:$P, '5OctTo11Oct'!$J:$J, $A64)</f>
        <v>0</v>
      </c>
      <c r="AF64" s="123">
        <f t="shared" si="5"/>
        <v>0</v>
      </c>
      <c r="AG64" s="121">
        <f>SUMIFS('28SepTo4Oct'!$L:$L, '28SepTo4Oct'!$J:$J, $A64)</f>
        <v>0</v>
      </c>
      <c r="AH64" s="121">
        <f>SUMIFS('28SepTo4Oct'!$K:$K, '28SepTo4Oct'!$J:$J, $A64)</f>
        <v>0</v>
      </c>
      <c r="AI64" s="121">
        <f>SUMIFS('28SepTo4Oct'!$O:$O, '28SepTo4Oct'!$J:$J, $A64)</f>
        <v>0</v>
      </c>
      <c r="AJ64" s="121">
        <f>SUMIFS('28SepTo4Oct'!$P:$P, '28SepTo4Oct'!$J:$J, $A64)</f>
        <v>0</v>
      </c>
      <c r="AK64" s="123">
        <f t="shared" si="6"/>
        <v>0</v>
      </c>
      <c r="AL64" s="121">
        <f>SUMIFS('21SepTo27Sep'!$L:$L, '21SepTo27Sep'!$J:$J, $A64)</f>
        <v>1</v>
      </c>
      <c r="AM64" s="121">
        <f>SUMIFS('21SepTo27Sep'!$K:$K, '21SepTo27Sep'!$J:$J, $A64)</f>
        <v>1</v>
      </c>
      <c r="AN64" s="121">
        <f>SUMIFS('21SepTo27Sep'!$O:$O, '21SepTo27Sep'!$J:$J, $A64)</f>
        <v>3.16</v>
      </c>
      <c r="AO64" s="121">
        <f>SUMIFS('21SepTo27Sep'!$P:$P, '21SepTo27Sep'!$J:$J, $A64)</f>
        <v>24.94</v>
      </c>
      <c r="AP64" s="123">
        <f t="shared" si="7"/>
        <v>12.670408981555733</v>
      </c>
      <c r="AQ64" s="121">
        <f>SUMIFS('14SepTo20Sep'!$L:$L, '14SepTo20Sep'!$J:$J, $A64)</f>
        <v>0</v>
      </c>
      <c r="AR64" s="121">
        <f>SUMIFS('14SepTo20Sep'!$K:$K, '14SepTo20Sep'!$J:$J, $A64)</f>
        <v>0</v>
      </c>
      <c r="AS64" s="121">
        <f>SUMIFS('14SepTo20Sep'!$O:$O, '14SepTo20Sep'!$J:$J, $A64)</f>
        <v>0</v>
      </c>
      <c r="AT64" s="121">
        <f>SUMIFS('14SepTo20Sep'!$P:$P, '14SepTo20Sep'!$J:$J, $A64)</f>
        <v>0</v>
      </c>
      <c r="AU64" s="123">
        <f t="shared" si="8"/>
        <v>0</v>
      </c>
      <c r="AV64" s="121">
        <f>SUMIFS('7SepTo13Sep'!$L:$L, '7SepTo13Sep'!$J:$J, $A64)</f>
        <v>0</v>
      </c>
      <c r="AW64" s="121">
        <f>SUMIFS('7SepTo13Sep'!$K:$K, '7SepTo13Sep'!$J:$J, $A64)</f>
        <v>0</v>
      </c>
      <c r="AX64" s="121">
        <f>SUMIFS('7SepTo13Sep'!$O:$O, '7SepTo13Sep'!$J:$J, $A64)</f>
        <v>0</v>
      </c>
      <c r="AY64" s="121">
        <f>SUMIFS('7SepTo13Sep'!$P:$P, '7SepTo13Sep'!$J:$J, $A64)</f>
        <v>0</v>
      </c>
      <c r="AZ64" s="123">
        <f t="shared" si="9"/>
        <v>0</v>
      </c>
      <c r="BA64" s="121">
        <f>SUMIFS('31AugTo6Sep'!$L:$L, '31AugTo6Sep'!$J:$J, $A64)</f>
        <v>0</v>
      </c>
      <c r="BB64" s="121">
        <f>SUMIFS('31AugTo6Sep'!$K:$K, '31AugTo6Sep'!$J:$J, $A64)</f>
        <v>0</v>
      </c>
      <c r="BC64" s="121">
        <f>SUMIFS('31AugTo6Sep'!$O:$O, '31AugTo6Sep'!$J:$J, $A64)</f>
        <v>0</v>
      </c>
      <c r="BD64" s="121">
        <f>SUMIFS('31AugTo6Sep'!$P:$P, '31AugTo6Sep'!$J:$J, $A64)</f>
        <v>0</v>
      </c>
      <c r="BE64" s="123">
        <f t="shared" si="10"/>
        <v>0</v>
      </c>
      <c r="BF64" s="121">
        <f>SUMIFS('24AugTo29Aug'!$L:$L, '24AugTo29Aug'!$J:$J, $A64)</f>
        <v>0</v>
      </c>
      <c r="BG64" s="121">
        <f>SUMIFS('24AugTo29Aug'!$K:$K, '24AugTo29Aug'!$J:$J, $A64)</f>
        <v>0</v>
      </c>
      <c r="BH64" s="121">
        <f>SUMIFS('24AugTo29Aug'!$O:$O, '24AugTo29Aug'!$J:$J, $A64)</f>
        <v>0</v>
      </c>
      <c r="BI64" s="121">
        <f>SUMIFS('24AugTo29Aug'!$P:$P, '24AugTo29Aug'!$J:$J, $A64)</f>
        <v>0</v>
      </c>
      <c r="BJ64" s="123">
        <f t="shared" si="11"/>
        <v>0</v>
      </c>
      <c r="BK64" s="121">
        <f>SUMIFS('17AugTo21Aug'!$L:$L, '17AugTo21Aug'!$J:$J, $A64)</f>
        <v>0</v>
      </c>
      <c r="BL64" s="121">
        <f>SUMIFS('17AugTo21Aug'!$K:$K, '17AugTo21Aug'!$J:$J, $A64)</f>
        <v>0</v>
      </c>
      <c r="BM64" s="121">
        <f>SUMIFS('17AugTo21Aug'!$O:$O, '17AugTo21Aug'!$J:$J, $A64)</f>
        <v>0</v>
      </c>
      <c r="BN64" s="121">
        <f>SUMIFS('17AugTo21Aug'!$P:$P, '17AugTo21Aug'!$J:$J, $A64)</f>
        <v>0</v>
      </c>
      <c r="BO64" s="123">
        <f t="shared" si="12"/>
        <v>0</v>
      </c>
      <c r="BP64" s="121">
        <f>SUMIFS('10AugTo16Aug'!$L:$L, '10AugTo16Aug'!$J:$J, $A64)</f>
        <v>0</v>
      </c>
      <c r="BQ64" s="121">
        <f>SUMIFS('10AugTo16Aug'!$K:$K, '10AugTo16Aug'!$J:$J, $A64)</f>
        <v>0</v>
      </c>
      <c r="BR64" s="121">
        <f>SUMIFS('10AugTo16Aug'!$O:$O, '10AugTo16Aug'!$J:$J, $A64)</f>
        <v>0</v>
      </c>
      <c r="BS64" s="121">
        <f>SUMIFS('10AugTo16Aug'!$P:$P, '10AugTo16Aug'!$J:$J, $A64)</f>
        <v>0</v>
      </c>
      <c r="BT64" s="123">
        <f t="shared" si="13"/>
        <v>0</v>
      </c>
      <c r="BU64" s="121">
        <f>SUMIFS('3AugTo9Aug'!$L:$L, '3AugTo9Aug'!$J:$J, $A64)</f>
        <v>0</v>
      </c>
      <c r="BV64" s="121">
        <f>SUMIFS('3AugTo9Aug'!$K:$K, '3AugTo9Aug'!$J:$J, $A64)</f>
        <v>0</v>
      </c>
      <c r="BW64" s="121">
        <f>SUMIFS('3AugTo9Aug'!$O:$O, '3AugTo9Aug'!$J:$J, $A64)</f>
        <v>0</v>
      </c>
      <c r="BX64" s="121">
        <f>SUMIFS('3AugTo9Aug'!$P:$P, '3AugTo9Aug'!$J:$J, $A64)</f>
        <v>0</v>
      </c>
      <c r="BY64" s="123">
        <f t="shared" si="14"/>
        <v>0</v>
      </c>
      <c r="BZ64" s="121">
        <f>SUMIFS('27JulyTo2Aug'!$L:$L, '27JulyTo2Aug'!$J:$J, $A64)</f>
        <v>0</v>
      </c>
      <c r="CA64" s="121">
        <f>SUMIFS('27JulyTo2Aug'!$K:$K, '27JulyTo2Aug'!$J:$J, $A64)</f>
        <v>0</v>
      </c>
      <c r="CB64" s="121">
        <f>SUMIFS('27JulyTo2Aug'!$O:$O, '27JulyTo2Aug'!$J:$J, $A64)</f>
        <v>0</v>
      </c>
      <c r="CC64" s="121">
        <f>SUMIFS('27JulyTo2Aug'!$P:$P, '27JulyTo2Aug'!$J:$J, $A64)</f>
        <v>0</v>
      </c>
      <c r="CD64" s="123">
        <f t="shared" si="15"/>
        <v>0</v>
      </c>
    </row>
    <row r="65" spans="1:82" ht="14.25" customHeight="1" x14ac:dyDescent="0.3">
      <c r="A65" s="119" t="s">
        <v>401</v>
      </c>
      <c r="B65" s="120" t="str">
        <f t="shared" si="16"/>
        <v>NO TRAFFIC</v>
      </c>
      <c r="C65" s="121">
        <f>SUMIFS('9NovTo15Nov'!$L:$L, '9NovTo15Nov'!$J:$J, $A65)</f>
        <v>0</v>
      </c>
      <c r="D65" s="121">
        <f>SUMIFS('9NovTo15Nov'!$K:$K, '9NovTo15Nov'!$J:$J, $A65)</f>
        <v>0</v>
      </c>
      <c r="E65" s="121">
        <f>SUMIFS('9NovTo15Nov'!$O:$O, '9NovTo15Nov'!$J:$J, $A65)</f>
        <v>0</v>
      </c>
      <c r="F65" s="121">
        <f>SUMIFS('9NovTo15Nov'!$P:$P, '9NovTo15Nov'!$J:$J, $A65)</f>
        <v>0</v>
      </c>
      <c r="G65" s="122">
        <f t="shared" si="0"/>
        <v>0</v>
      </c>
      <c r="H65" s="121">
        <f>SUMIFS('2NovTo8Nov'!$L:$L, '2NovTo8Nov'!$J:$J, $A65)</f>
        <v>0</v>
      </c>
      <c r="I65" s="121">
        <f>SUMIFS('2NovTo8Nov'!$K:$K, '2NovTo8Nov'!$J:$J, $A65)</f>
        <v>0</v>
      </c>
      <c r="J65" s="121">
        <f>SUMIFS('2NovTo8Nov'!$O:$O, '2NovTo8Nov'!$J:$J, $A65)</f>
        <v>0</v>
      </c>
      <c r="K65" s="121">
        <f>SUMIFS('2NovTo8Nov'!$P:$P, '2NovTo8Nov'!$J:$J, $A65)</f>
        <v>0</v>
      </c>
      <c r="L65" s="122">
        <f t="shared" si="1"/>
        <v>0</v>
      </c>
      <c r="M65" s="121">
        <f>SUMIFS('26OctTo1Nov'!$L:$L, '26OctTo1Nov'!$J:$J, $A65)</f>
        <v>0</v>
      </c>
      <c r="N65" s="121">
        <f>SUMIFS('26OctTo1Nov'!$K:$K, '26OctTo1Nov'!$J:$J, $A65)</f>
        <v>0</v>
      </c>
      <c r="O65" s="121">
        <f>SUMIFS('26OctTo1Nov'!$O:$O, '26OctTo1Nov'!$J:$J, $A65)</f>
        <v>0</v>
      </c>
      <c r="P65" s="121">
        <f>SUMIFS('26OctTo1Nov'!$P:$P, '26OctTo1Nov'!$J:$J, $A65)</f>
        <v>0</v>
      </c>
      <c r="Q65" s="122">
        <f t="shared" si="2"/>
        <v>0</v>
      </c>
      <c r="R65" s="121">
        <f>SUMIFS('19OctTo25Oct'!$L:$L, '19OctTo25Oct'!$J:$J, $A65)</f>
        <v>0</v>
      </c>
      <c r="S65" s="121">
        <f>SUMIFS('19OctTo25Oct'!$K:$K, '19OctTo25Oct'!$J:$J, $A65)</f>
        <v>0</v>
      </c>
      <c r="T65" s="121">
        <f>SUMIFS('19OctTo25Oct'!$O:$O, '19OctTo25Oct'!$J:$J, $A65)</f>
        <v>0</v>
      </c>
      <c r="U65" s="121">
        <f>SUMIFS('19OctTo25Oct'!$P:$P, '19OctTo25Oct'!$J:$J, $A65)</f>
        <v>0</v>
      </c>
      <c r="V65" s="122">
        <f t="shared" si="3"/>
        <v>0</v>
      </c>
      <c r="W65" s="121">
        <f>SUMIFS('12OctTo18Oct'!$L:$L, '12OctTo18Oct'!$J:$J, $A65)</f>
        <v>0</v>
      </c>
      <c r="X65" s="121">
        <f>SUMIFS('12OctTo18Oct'!$K:$K, '12OctTo18Oct'!$J:$J, $A65)</f>
        <v>0</v>
      </c>
      <c r="Y65" s="121">
        <f>SUMIFS('12OctTo18Oct'!$O:$O, '12OctTo18Oct'!$J:$J, $A65)</f>
        <v>0</v>
      </c>
      <c r="Z65" s="121">
        <f>SUMIFS('12OctTo18Oct'!$P:$P, '12OctTo18Oct'!$J:$J, $A65)</f>
        <v>0</v>
      </c>
      <c r="AA65" s="122">
        <f t="shared" si="4"/>
        <v>0</v>
      </c>
      <c r="AB65" s="121">
        <f>SUMIFS('5OctTo11Oct'!$L:$L, '5OctTo11Oct'!$J:$J, $A65)</f>
        <v>0</v>
      </c>
      <c r="AC65" s="121">
        <f>SUMIFS('5OctTo11Oct'!$K:$K, '5OctTo11Oct'!$J:$J, $A65)</f>
        <v>0</v>
      </c>
      <c r="AD65" s="121">
        <f>SUMIFS('5OctTo11Oct'!$O:$O, '5OctTo11Oct'!$J:$J, $A65)</f>
        <v>0</v>
      </c>
      <c r="AE65" s="121">
        <f>SUMIFS('5OctTo11Oct'!$P:$P, '5OctTo11Oct'!$J:$J, $A65)</f>
        <v>0</v>
      </c>
      <c r="AF65" s="123">
        <f t="shared" si="5"/>
        <v>0</v>
      </c>
      <c r="AG65" s="121">
        <f>SUMIFS('28SepTo4Oct'!$L:$L, '28SepTo4Oct'!$J:$J, $A65)</f>
        <v>0</v>
      </c>
      <c r="AH65" s="121">
        <f>SUMIFS('28SepTo4Oct'!$K:$K, '28SepTo4Oct'!$J:$J, $A65)</f>
        <v>0</v>
      </c>
      <c r="AI65" s="121">
        <f>SUMIFS('28SepTo4Oct'!$O:$O, '28SepTo4Oct'!$J:$J, $A65)</f>
        <v>0</v>
      </c>
      <c r="AJ65" s="121">
        <f>SUMIFS('28SepTo4Oct'!$P:$P, '28SepTo4Oct'!$J:$J, $A65)</f>
        <v>0</v>
      </c>
      <c r="AK65" s="123">
        <f t="shared" si="6"/>
        <v>0</v>
      </c>
      <c r="AL65" s="121">
        <f>SUMIFS('21SepTo27Sep'!$L:$L, '21SepTo27Sep'!$J:$J, $A65)</f>
        <v>1</v>
      </c>
      <c r="AM65" s="121">
        <f>SUMIFS('21SepTo27Sep'!$K:$K, '21SepTo27Sep'!$J:$J, $A65)</f>
        <v>1</v>
      </c>
      <c r="AN65" s="121">
        <f>SUMIFS('21SepTo27Sep'!$O:$O, '21SepTo27Sep'!$J:$J, $A65)</f>
        <v>3.16</v>
      </c>
      <c r="AO65" s="121">
        <f>SUMIFS('21SepTo27Sep'!$P:$P, '21SepTo27Sep'!$J:$J, $A65)</f>
        <v>24.94</v>
      </c>
      <c r="AP65" s="123">
        <f t="shared" si="7"/>
        <v>12.670408981555733</v>
      </c>
      <c r="AQ65" s="121">
        <f>SUMIFS('14SepTo20Sep'!$L:$L, '14SepTo20Sep'!$J:$J, $A65)</f>
        <v>0</v>
      </c>
      <c r="AR65" s="121">
        <f>SUMIFS('14SepTo20Sep'!$K:$K, '14SepTo20Sep'!$J:$J, $A65)</f>
        <v>0</v>
      </c>
      <c r="AS65" s="121">
        <f>SUMIFS('14SepTo20Sep'!$O:$O, '14SepTo20Sep'!$J:$J, $A65)</f>
        <v>0</v>
      </c>
      <c r="AT65" s="121">
        <f>SUMIFS('14SepTo20Sep'!$P:$P, '14SepTo20Sep'!$J:$J, $A65)</f>
        <v>0</v>
      </c>
      <c r="AU65" s="123">
        <f t="shared" si="8"/>
        <v>0</v>
      </c>
      <c r="AV65" s="121">
        <f>SUMIFS('7SepTo13Sep'!$L:$L, '7SepTo13Sep'!$J:$J, $A65)</f>
        <v>0</v>
      </c>
      <c r="AW65" s="121">
        <f>SUMIFS('7SepTo13Sep'!$K:$K, '7SepTo13Sep'!$J:$J, $A65)</f>
        <v>0</v>
      </c>
      <c r="AX65" s="121">
        <f>SUMIFS('7SepTo13Sep'!$O:$O, '7SepTo13Sep'!$J:$J, $A65)</f>
        <v>0</v>
      </c>
      <c r="AY65" s="121">
        <f>SUMIFS('7SepTo13Sep'!$P:$P, '7SepTo13Sep'!$J:$J, $A65)</f>
        <v>0</v>
      </c>
      <c r="AZ65" s="123">
        <f t="shared" si="9"/>
        <v>0</v>
      </c>
      <c r="BA65" s="121">
        <f>SUMIFS('31AugTo6Sep'!$L:$L, '31AugTo6Sep'!$J:$J, $A65)</f>
        <v>0</v>
      </c>
      <c r="BB65" s="121">
        <f>SUMIFS('31AugTo6Sep'!$K:$K, '31AugTo6Sep'!$J:$J, $A65)</f>
        <v>0</v>
      </c>
      <c r="BC65" s="121">
        <f>SUMIFS('31AugTo6Sep'!$O:$O, '31AugTo6Sep'!$J:$J, $A65)</f>
        <v>0</v>
      </c>
      <c r="BD65" s="121">
        <f>SUMIFS('31AugTo6Sep'!$P:$P, '31AugTo6Sep'!$J:$J, $A65)</f>
        <v>0</v>
      </c>
      <c r="BE65" s="123">
        <f t="shared" si="10"/>
        <v>0</v>
      </c>
      <c r="BF65" s="121">
        <f>SUMIFS('24AugTo29Aug'!$L:$L, '24AugTo29Aug'!$J:$J, $A65)</f>
        <v>0</v>
      </c>
      <c r="BG65" s="121">
        <f>SUMIFS('24AugTo29Aug'!$K:$K, '24AugTo29Aug'!$J:$J, $A65)</f>
        <v>0</v>
      </c>
      <c r="BH65" s="121">
        <f>SUMIFS('24AugTo29Aug'!$O:$O, '24AugTo29Aug'!$J:$J, $A65)</f>
        <v>0</v>
      </c>
      <c r="BI65" s="121">
        <f>SUMIFS('24AugTo29Aug'!$P:$P, '24AugTo29Aug'!$J:$J, $A65)</f>
        <v>0</v>
      </c>
      <c r="BJ65" s="123">
        <f t="shared" si="11"/>
        <v>0</v>
      </c>
      <c r="BK65" s="121">
        <f>SUMIFS('17AugTo21Aug'!$L:$L, '17AugTo21Aug'!$J:$J, $A65)</f>
        <v>0</v>
      </c>
      <c r="BL65" s="121">
        <f>SUMIFS('17AugTo21Aug'!$K:$K, '17AugTo21Aug'!$J:$J, $A65)</f>
        <v>0</v>
      </c>
      <c r="BM65" s="121">
        <f>SUMIFS('17AugTo21Aug'!$O:$O, '17AugTo21Aug'!$J:$J, $A65)</f>
        <v>0</v>
      </c>
      <c r="BN65" s="121">
        <f>SUMIFS('17AugTo21Aug'!$P:$P, '17AugTo21Aug'!$J:$J, $A65)</f>
        <v>0</v>
      </c>
      <c r="BO65" s="123">
        <f t="shared" si="12"/>
        <v>0</v>
      </c>
      <c r="BP65" s="121">
        <f>SUMIFS('10AugTo16Aug'!$L:$L, '10AugTo16Aug'!$J:$J, $A65)</f>
        <v>0</v>
      </c>
      <c r="BQ65" s="121">
        <f>SUMIFS('10AugTo16Aug'!$K:$K, '10AugTo16Aug'!$J:$J, $A65)</f>
        <v>0</v>
      </c>
      <c r="BR65" s="121">
        <f>SUMIFS('10AugTo16Aug'!$O:$O, '10AugTo16Aug'!$J:$J, $A65)</f>
        <v>0</v>
      </c>
      <c r="BS65" s="121">
        <f>SUMIFS('10AugTo16Aug'!$P:$P, '10AugTo16Aug'!$J:$J, $A65)</f>
        <v>0</v>
      </c>
      <c r="BT65" s="123">
        <f t="shared" si="13"/>
        <v>0</v>
      </c>
      <c r="BU65" s="121">
        <f>SUMIFS('3AugTo9Aug'!$L:$L, '3AugTo9Aug'!$J:$J, $A65)</f>
        <v>1</v>
      </c>
      <c r="BV65" s="121">
        <f>SUMIFS('3AugTo9Aug'!$K:$K, '3AugTo9Aug'!$J:$J, $A65)</f>
        <v>1</v>
      </c>
      <c r="BW65" s="121">
        <f>SUMIFS('3AugTo9Aug'!$O:$O, '3AugTo9Aug'!$J:$J, $A65)</f>
        <v>2.1800000000000002</v>
      </c>
      <c r="BX65" s="121">
        <f>SUMIFS('3AugTo9Aug'!$P:$P, '3AugTo9Aug'!$J:$J, $A65)</f>
        <v>24.94</v>
      </c>
      <c r="BY65" s="123">
        <f t="shared" si="14"/>
        <v>8.7409783480352843</v>
      </c>
      <c r="BZ65" s="121">
        <f>SUMIFS('27JulyTo2Aug'!$L:$L, '27JulyTo2Aug'!$J:$J, $A65)</f>
        <v>0</v>
      </c>
      <c r="CA65" s="121">
        <f>SUMIFS('27JulyTo2Aug'!$K:$K, '27JulyTo2Aug'!$J:$J, $A65)</f>
        <v>0</v>
      </c>
      <c r="CB65" s="121">
        <f>SUMIFS('27JulyTo2Aug'!$O:$O, '27JulyTo2Aug'!$J:$J, $A65)</f>
        <v>0</v>
      </c>
      <c r="CC65" s="121">
        <f>SUMIFS('27JulyTo2Aug'!$P:$P, '27JulyTo2Aug'!$J:$J, $A65)</f>
        <v>0</v>
      </c>
      <c r="CD65" s="123">
        <f t="shared" si="15"/>
        <v>0</v>
      </c>
    </row>
    <row r="66" spans="1:82" ht="14.25" customHeight="1" x14ac:dyDescent="0.3">
      <c r="A66" s="119" t="s">
        <v>402</v>
      </c>
      <c r="B66" s="120" t="str">
        <f t="shared" si="16"/>
        <v>NO TRAFFIC</v>
      </c>
      <c r="C66" s="121">
        <f>SUMIFS('9NovTo15Nov'!$L:$L, '9NovTo15Nov'!$J:$J, $A66)</f>
        <v>0</v>
      </c>
      <c r="D66" s="121">
        <f>SUMIFS('9NovTo15Nov'!$K:$K, '9NovTo15Nov'!$J:$J, $A66)</f>
        <v>0</v>
      </c>
      <c r="E66" s="121">
        <f>SUMIFS('9NovTo15Nov'!$O:$O, '9NovTo15Nov'!$J:$J, $A66)</f>
        <v>0</v>
      </c>
      <c r="F66" s="121">
        <f>SUMIFS('9NovTo15Nov'!$P:$P, '9NovTo15Nov'!$J:$J, $A66)</f>
        <v>0</v>
      </c>
      <c r="G66" s="122">
        <f t="shared" si="0"/>
        <v>0</v>
      </c>
      <c r="H66" s="121">
        <f>SUMIFS('2NovTo8Nov'!$L:$L, '2NovTo8Nov'!$J:$J, $A66)</f>
        <v>0</v>
      </c>
      <c r="I66" s="121">
        <f>SUMIFS('2NovTo8Nov'!$K:$K, '2NovTo8Nov'!$J:$J, $A66)</f>
        <v>0</v>
      </c>
      <c r="J66" s="121">
        <f>SUMIFS('2NovTo8Nov'!$O:$O, '2NovTo8Nov'!$J:$J, $A66)</f>
        <v>0</v>
      </c>
      <c r="K66" s="121">
        <f>SUMIFS('2NovTo8Nov'!$P:$P, '2NovTo8Nov'!$J:$J, $A66)</f>
        <v>0</v>
      </c>
      <c r="L66" s="122">
        <f t="shared" si="1"/>
        <v>0</v>
      </c>
      <c r="M66" s="121">
        <f>SUMIFS('26OctTo1Nov'!$L:$L, '26OctTo1Nov'!$J:$J, $A66)</f>
        <v>0</v>
      </c>
      <c r="N66" s="121">
        <f>SUMIFS('26OctTo1Nov'!$K:$K, '26OctTo1Nov'!$J:$J, $A66)</f>
        <v>0</v>
      </c>
      <c r="O66" s="121">
        <f>SUMIFS('26OctTo1Nov'!$O:$O, '26OctTo1Nov'!$J:$J, $A66)</f>
        <v>0</v>
      </c>
      <c r="P66" s="121">
        <f>SUMIFS('26OctTo1Nov'!$P:$P, '26OctTo1Nov'!$J:$J, $A66)</f>
        <v>0</v>
      </c>
      <c r="Q66" s="122">
        <f t="shared" si="2"/>
        <v>0</v>
      </c>
      <c r="R66" s="121">
        <f>SUMIFS('19OctTo25Oct'!$L:$L, '19OctTo25Oct'!$J:$J, $A66)</f>
        <v>0</v>
      </c>
      <c r="S66" s="121">
        <f>SUMIFS('19OctTo25Oct'!$K:$K, '19OctTo25Oct'!$J:$J, $A66)</f>
        <v>0</v>
      </c>
      <c r="T66" s="121">
        <f>SUMIFS('19OctTo25Oct'!$O:$O, '19OctTo25Oct'!$J:$J, $A66)</f>
        <v>0</v>
      </c>
      <c r="U66" s="121">
        <f>SUMIFS('19OctTo25Oct'!$P:$P, '19OctTo25Oct'!$J:$J, $A66)</f>
        <v>0</v>
      </c>
      <c r="V66" s="122">
        <f t="shared" si="3"/>
        <v>0</v>
      </c>
      <c r="W66" s="121">
        <f>SUMIFS('12OctTo18Oct'!$L:$L, '12OctTo18Oct'!$J:$J, $A66)</f>
        <v>0</v>
      </c>
      <c r="X66" s="121">
        <f>SUMIFS('12OctTo18Oct'!$K:$K, '12OctTo18Oct'!$J:$J, $A66)</f>
        <v>0</v>
      </c>
      <c r="Y66" s="121">
        <f>SUMIFS('12OctTo18Oct'!$O:$O, '12OctTo18Oct'!$J:$J, $A66)</f>
        <v>0</v>
      </c>
      <c r="Z66" s="121">
        <f>SUMIFS('12OctTo18Oct'!$P:$P, '12OctTo18Oct'!$J:$J, $A66)</f>
        <v>0</v>
      </c>
      <c r="AA66" s="122">
        <f t="shared" si="4"/>
        <v>0</v>
      </c>
      <c r="AB66" s="121">
        <f>SUMIFS('5OctTo11Oct'!$L:$L, '5OctTo11Oct'!$J:$J, $A66)</f>
        <v>0</v>
      </c>
      <c r="AC66" s="121">
        <f>SUMIFS('5OctTo11Oct'!$K:$K, '5OctTo11Oct'!$J:$J, $A66)</f>
        <v>0</v>
      </c>
      <c r="AD66" s="121">
        <f>SUMIFS('5OctTo11Oct'!$O:$O, '5OctTo11Oct'!$J:$J, $A66)</f>
        <v>0</v>
      </c>
      <c r="AE66" s="121">
        <f>SUMIFS('5OctTo11Oct'!$P:$P, '5OctTo11Oct'!$J:$J, $A66)</f>
        <v>0</v>
      </c>
      <c r="AF66" s="123">
        <f t="shared" si="5"/>
        <v>0</v>
      </c>
      <c r="AG66" s="121">
        <f>SUMIFS('28SepTo4Oct'!$L:$L, '28SepTo4Oct'!$J:$J, $A66)</f>
        <v>0</v>
      </c>
      <c r="AH66" s="121">
        <f>SUMIFS('28SepTo4Oct'!$K:$K, '28SepTo4Oct'!$J:$J, $A66)</f>
        <v>0</v>
      </c>
      <c r="AI66" s="121">
        <f>SUMIFS('28SepTo4Oct'!$O:$O, '28SepTo4Oct'!$J:$J, $A66)</f>
        <v>0</v>
      </c>
      <c r="AJ66" s="121">
        <f>SUMIFS('28SepTo4Oct'!$P:$P, '28SepTo4Oct'!$J:$J, $A66)</f>
        <v>0</v>
      </c>
      <c r="AK66" s="123">
        <f t="shared" si="6"/>
        <v>0</v>
      </c>
      <c r="AL66" s="121">
        <f>SUMIFS('21SepTo27Sep'!$L:$L, '21SepTo27Sep'!$J:$J, $A66)</f>
        <v>1</v>
      </c>
      <c r="AM66" s="121">
        <f>SUMIFS('21SepTo27Sep'!$K:$K, '21SepTo27Sep'!$J:$J, $A66)</f>
        <v>1</v>
      </c>
      <c r="AN66" s="121">
        <f>SUMIFS('21SepTo27Sep'!$O:$O, '21SepTo27Sep'!$J:$J, $A66)</f>
        <v>5.18</v>
      </c>
      <c r="AO66" s="121">
        <f>SUMIFS('21SepTo27Sep'!$P:$P, '21SepTo27Sep'!$J:$J, $A66)</f>
        <v>24.94</v>
      </c>
      <c r="AP66" s="123">
        <f t="shared" si="7"/>
        <v>20.769847634322371</v>
      </c>
      <c r="AQ66" s="121">
        <f>SUMIFS('14SepTo20Sep'!$L:$L, '14SepTo20Sep'!$J:$J, $A66)</f>
        <v>0</v>
      </c>
      <c r="AR66" s="121">
        <f>SUMIFS('14SepTo20Sep'!$K:$K, '14SepTo20Sep'!$J:$J, $A66)</f>
        <v>0</v>
      </c>
      <c r="AS66" s="121">
        <f>SUMIFS('14SepTo20Sep'!$O:$O, '14SepTo20Sep'!$J:$J, $A66)</f>
        <v>0</v>
      </c>
      <c r="AT66" s="121">
        <f>SUMIFS('14SepTo20Sep'!$P:$P, '14SepTo20Sep'!$J:$J, $A66)</f>
        <v>0</v>
      </c>
      <c r="AU66" s="123">
        <f t="shared" si="8"/>
        <v>0</v>
      </c>
      <c r="AV66" s="121">
        <f>SUMIFS('7SepTo13Sep'!$L:$L, '7SepTo13Sep'!$J:$J, $A66)</f>
        <v>0</v>
      </c>
      <c r="AW66" s="121">
        <f>SUMIFS('7SepTo13Sep'!$K:$K, '7SepTo13Sep'!$J:$J, $A66)</f>
        <v>0</v>
      </c>
      <c r="AX66" s="121">
        <f>SUMIFS('7SepTo13Sep'!$O:$O, '7SepTo13Sep'!$J:$J, $A66)</f>
        <v>0</v>
      </c>
      <c r="AY66" s="121">
        <f>SUMIFS('7SepTo13Sep'!$P:$P, '7SepTo13Sep'!$J:$J, $A66)</f>
        <v>0</v>
      </c>
      <c r="AZ66" s="123">
        <f t="shared" si="9"/>
        <v>0</v>
      </c>
      <c r="BA66" s="121">
        <f>SUMIFS('31AugTo6Sep'!$L:$L, '31AugTo6Sep'!$J:$J, $A66)</f>
        <v>0</v>
      </c>
      <c r="BB66" s="121">
        <f>SUMIFS('31AugTo6Sep'!$K:$K, '31AugTo6Sep'!$J:$J, $A66)</f>
        <v>0</v>
      </c>
      <c r="BC66" s="121">
        <f>SUMIFS('31AugTo6Sep'!$O:$O, '31AugTo6Sep'!$J:$J, $A66)</f>
        <v>0</v>
      </c>
      <c r="BD66" s="121">
        <f>SUMIFS('31AugTo6Sep'!$P:$P, '31AugTo6Sep'!$J:$J, $A66)</f>
        <v>0</v>
      </c>
      <c r="BE66" s="123">
        <f t="shared" si="10"/>
        <v>0</v>
      </c>
      <c r="BF66" s="121">
        <f>SUMIFS('24AugTo29Aug'!$L:$L, '24AugTo29Aug'!$J:$J, $A66)</f>
        <v>0</v>
      </c>
      <c r="BG66" s="121">
        <f>SUMIFS('24AugTo29Aug'!$K:$K, '24AugTo29Aug'!$J:$J, $A66)</f>
        <v>0</v>
      </c>
      <c r="BH66" s="121">
        <f>SUMIFS('24AugTo29Aug'!$O:$O, '24AugTo29Aug'!$J:$J, $A66)</f>
        <v>0</v>
      </c>
      <c r="BI66" s="121">
        <f>SUMIFS('24AugTo29Aug'!$P:$P, '24AugTo29Aug'!$J:$J, $A66)</f>
        <v>0</v>
      </c>
      <c r="BJ66" s="123">
        <f t="shared" si="11"/>
        <v>0</v>
      </c>
      <c r="BK66" s="121">
        <f>SUMIFS('17AugTo21Aug'!$L:$L, '17AugTo21Aug'!$J:$J, $A66)</f>
        <v>0</v>
      </c>
      <c r="BL66" s="121">
        <f>SUMIFS('17AugTo21Aug'!$K:$K, '17AugTo21Aug'!$J:$J, $A66)</f>
        <v>0</v>
      </c>
      <c r="BM66" s="121">
        <f>SUMIFS('17AugTo21Aug'!$O:$O, '17AugTo21Aug'!$J:$J, $A66)</f>
        <v>0</v>
      </c>
      <c r="BN66" s="121">
        <f>SUMIFS('17AugTo21Aug'!$P:$P, '17AugTo21Aug'!$J:$J, $A66)</f>
        <v>0</v>
      </c>
      <c r="BO66" s="123">
        <f t="shared" si="12"/>
        <v>0</v>
      </c>
      <c r="BP66" s="121">
        <f>SUMIFS('10AugTo16Aug'!$L:$L, '10AugTo16Aug'!$J:$J, $A66)</f>
        <v>0</v>
      </c>
      <c r="BQ66" s="121">
        <f>SUMIFS('10AugTo16Aug'!$K:$K, '10AugTo16Aug'!$J:$J, $A66)</f>
        <v>0</v>
      </c>
      <c r="BR66" s="121">
        <f>SUMIFS('10AugTo16Aug'!$O:$O, '10AugTo16Aug'!$J:$J, $A66)</f>
        <v>0</v>
      </c>
      <c r="BS66" s="121">
        <f>SUMIFS('10AugTo16Aug'!$P:$P, '10AugTo16Aug'!$J:$J, $A66)</f>
        <v>0</v>
      </c>
      <c r="BT66" s="123">
        <f t="shared" si="13"/>
        <v>0</v>
      </c>
      <c r="BU66" s="121">
        <f>SUMIFS('3AugTo9Aug'!$L:$L, '3AugTo9Aug'!$J:$J, $A66)</f>
        <v>0</v>
      </c>
      <c r="BV66" s="121">
        <f>SUMIFS('3AugTo9Aug'!$K:$K, '3AugTo9Aug'!$J:$J, $A66)</f>
        <v>0</v>
      </c>
      <c r="BW66" s="121">
        <f>SUMIFS('3AugTo9Aug'!$O:$O, '3AugTo9Aug'!$J:$J, $A66)</f>
        <v>0</v>
      </c>
      <c r="BX66" s="121">
        <f>SUMIFS('3AugTo9Aug'!$P:$P, '3AugTo9Aug'!$J:$J, $A66)</f>
        <v>0</v>
      </c>
      <c r="BY66" s="123">
        <f t="shared" si="14"/>
        <v>0</v>
      </c>
      <c r="BZ66" s="121">
        <f>SUMIFS('27JulyTo2Aug'!$L:$L, '27JulyTo2Aug'!$J:$J, $A66)</f>
        <v>0</v>
      </c>
      <c r="CA66" s="121">
        <f>SUMIFS('27JulyTo2Aug'!$K:$K, '27JulyTo2Aug'!$J:$J, $A66)</f>
        <v>0</v>
      </c>
      <c r="CB66" s="121">
        <f>SUMIFS('27JulyTo2Aug'!$O:$O, '27JulyTo2Aug'!$J:$J, $A66)</f>
        <v>0</v>
      </c>
      <c r="CC66" s="121">
        <f>SUMIFS('27JulyTo2Aug'!$P:$P, '27JulyTo2Aug'!$J:$J, $A66)</f>
        <v>0</v>
      </c>
      <c r="CD66" s="123">
        <f t="shared" si="15"/>
        <v>0</v>
      </c>
    </row>
    <row r="67" spans="1:82" ht="14.25" customHeight="1" x14ac:dyDescent="0.3">
      <c r="A67" s="119" t="s">
        <v>403</v>
      </c>
      <c r="B67" s="120" t="str">
        <f t="shared" si="16"/>
        <v>NO TRAFFIC</v>
      </c>
      <c r="C67" s="121">
        <f>SUMIFS('9NovTo15Nov'!$L:$L, '9NovTo15Nov'!$J:$J, $A67)</f>
        <v>0</v>
      </c>
      <c r="D67" s="121">
        <f>SUMIFS('9NovTo15Nov'!$K:$K, '9NovTo15Nov'!$J:$J, $A67)</f>
        <v>0</v>
      </c>
      <c r="E67" s="121">
        <f>SUMIFS('9NovTo15Nov'!$O:$O, '9NovTo15Nov'!$J:$J, $A67)</f>
        <v>0</v>
      </c>
      <c r="F67" s="121">
        <f>SUMIFS('9NovTo15Nov'!$P:$P, '9NovTo15Nov'!$J:$J, $A67)</f>
        <v>0</v>
      </c>
      <c r="G67" s="122">
        <f t="shared" si="0"/>
        <v>0</v>
      </c>
      <c r="H67" s="121">
        <f>SUMIFS('2NovTo8Nov'!$L:$L, '2NovTo8Nov'!$J:$J, $A67)</f>
        <v>0</v>
      </c>
      <c r="I67" s="121">
        <f>SUMIFS('2NovTo8Nov'!$K:$K, '2NovTo8Nov'!$J:$J, $A67)</f>
        <v>0</v>
      </c>
      <c r="J67" s="121">
        <f>SUMIFS('2NovTo8Nov'!$O:$O, '2NovTo8Nov'!$J:$J, $A67)</f>
        <v>0</v>
      </c>
      <c r="K67" s="121">
        <f>SUMIFS('2NovTo8Nov'!$P:$P, '2NovTo8Nov'!$J:$J, $A67)</f>
        <v>0</v>
      </c>
      <c r="L67" s="122">
        <f t="shared" si="1"/>
        <v>0</v>
      </c>
      <c r="M67" s="121">
        <f>SUMIFS('26OctTo1Nov'!$L:$L, '26OctTo1Nov'!$J:$J, $A67)</f>
        <v>0</v>
      </c>
      <c r="N67" s="121">
        <f>SUMIFS('26OctTo1Nov'!$K:$K, '26OctTo1Nov'!$J:$J, $A67)</f>
        <v>0</v>
      </c>
      <c r="O67" s="121">
        <f>SUMIFS('26OctTo1Nov'!$O:$O, '26OctTo1Nov'!$J:$J, $A67)</f>
        <v>0</v>
      </c>
      <c r="P67" s="121">
        <f>SUMIFS('26OctTo1Nov'!$P:$P, '26OctTo1Nov'!$J:$J, $A67)</f>
        <v>0</v>
      </c>
      <c r="Q67" s="122">
        <f t="shared" si="2"/>
        <v>0</v>
      </c>
      <c r="R67" s="121">
        <f>SUMIFS('19OctTo25Oct'!$L:$L, '19OctTo25Oct'!$J:$J, $A67)</f>
        <v>0</v>
      </c>
      <c r="S67" s="121">
        <f>SUMIFS('19OctTo25Oct'!$K:$K, '19OctTo25Oct'!$J:$J, $A67)</f>
        <v>0</v>
      </c>
      <c r="T67" s="121">
        <f>SUMIFS('19OctTo25Oct'!$O:$O, '19OctTo25Oct'!$J:$J, $A67)</f>
        <v>0</v>
      </c>
      <c r="U67" s="121">
        <f>SUMIFS('19OctTo25Oct'!$P:$P, '19OctTo25Oct'!$J:$J, $A67)</f>
        <v>0</v>
      </c>
      <c r="V67" s="122">
        <f t="shared" si="3"/>
        <v>0</v>
      </c>
      <c r="W67" s="121">
        <f>SUMIFS('12OctTo18Oct'!$L:$L, '12OctTo18Oct'!$J:$J, $A67)</f>
        <v>0</v>
      </c>
      <c r="X67" s="121">
        <f>SUMIFS('12OctTo18Oct'!$K:$K, '12OctTo18Oct'!$J:$J, $A67)</f>
        <v>0</v>
      </c>
      <c r="Y67" s="121">
        <f>SUMIFS('12OctTo18Oct'!$O:$O, '12OctTo18Oct'!$J:$J, $A67)</f>
        <v>0</v>
      </c>
      <c r="Z67" s="121">
        <f>SUMIFS('12OctTo18Oct'!$P:$P, '12OctTo18Oct'!$J:$J, $A67)</f>
        <v>0</v>
      </c>
      <c r="AA67" s="122">
        <f t="shared" si="4"/>
        <v>0</v>
      </c>
      <c r="AB67" s="121">
        <f>SUMIFS('5OctTo11Oct'!$L:$L, '5OctTo11Oct'!$J:$J, $A67)</f>
        <v>0</v>
      </c>
      <c r="AC67" s="121">
        <f>SUMIFS('5OctTo11Oct'!$K:$K, '5OctTo11Oct'!$J:$J, $A67)</f>
        <v>0</v>
      </c>
      <c r="AD67" s="121">
        <f>SUMIFS('5OctTo11Oct'!$O:$O, '5OctTo11Oct'!$J:$J, $A67)</f>
        <v>0</v>
      </c>
      <c r="AE67" s="121">
        <f>SUMIFS('5OctTo11Oct'!$P:$P, '5OctTo11Oct'!$J:$J, $A67)</f>
        <v>0</v>
      </c>
      <c r="AF67" s="123">
        <f t="shared" si="5"/>
        <v>0</v>
      </c>
      <c r="AG67" s="121">
        <f>SUMIFS('28SepTo4Oct'!$L:$L, '28SepTo4Oct'!$J:$J, $A67)</f>
        <v>0</v>
      </c>
      <c r="AH67" s="121">
        <f>SUMIFS('28SepTo4Oct'!$K:$K, '28SepTo4Oct'!$J:$J, $A67)</f>
        <v>0</v>
      </c>
      <c r="AI67" s="121">
        <f>SUMIFS('28SepTo4Oct'!$O:$O, '28SepTo4Oct'!$J:$J, $A67)</f>
        <v>0</v>
      </c>
      <c r="AJ67" s="121">
        <f>SUMIFS('28SepTo4Oct'!$P:$P, '28SepTo4Oct'!$J:$J, $A67)</f>
        <v>0</v>
      </c>
      <c r="AK67" s="123">
        <f t="shared" si="6"/>
        <v>0</v>
      </c>
      <c r="AL67" s="121">
        <f>SUMIFS('21SepTo27Sep'!$L:$L, '21SepTo27Sep'!$J:$J, $A67)</f>
        <v>1</v>
      </c>
      <c r="AM67" s="121">
        <f>SUMIFS('21SepTo27Sep'!$K:$K, '21SepTo27Sep'!$J:$J, $A67)</f>
        <v>4</v>
      </c>
      <c r="AN67" s="121">
        <f>SUMIFS('21SepTo27Sep'!$O:$O, '21SepTo27Sep'!$J:$J, $A67)</f>
        <v>3.27</v>
      </c>
      <c r="AO67" s="121">
        <f>SUMIFS('21SepTo27Sep'!$P:$P, '21SepTo27Sep'!$J:$J, $A67)</f>
        <v>24.94</v>
      </c>
      <c r="AP67" s="123">
        <f t="shared" si="7"/>
        <v>13.111467522052928</v>
      </c>
      <c r="AQ67" s="121">
        <f>SUMIFS('14SepTo20Sep'!$L:$L, '14SepTo20Sep'!$J:$J, $A67)</f>
        <v>0</v>
      </c>
      <c r="AR67" s="121">
        <f>SUMIFS('14SepTo20Sep'!$K:$K, '14SepTo20Sep'!$J:$J, $A67)</f>
        <v>0</v>
      </c>
      <c r="AS67" s="121">
        <f>SUMIFS('14SepTo20Sep'!$O:$O, '14SepTo20Sep'!$J:$J, $A67)</f>
        <v>0</v>
      </c>
      <c r="AT67" s="121">
        <f>SUMIFS('14SepTo20Sep'!$P:$P, '14SepTo20Sep'!$J:$J, $A67)</f>
        <v>0</v>
      </c>
      <c r="AU67" s="123">
        <f t="shared" si="8"/>
        <v>0</v>
      </c>
      <c r="AV67" s="121">
        <f>SUMIFS('7SepTo13Sep'!$L:$L, '7SepTo13Sep'!$J:$J, $A67)</f>
        <v>0</v>
      </c>
      <c r="AW67" s="121">
        <f>SUMIFS('7SepTo13Sep'!$K:$K, '7SepTo13Sep'!$J:$J, $A67)</f>
        <v>0</v>
      </c>
      <c r="AX67" s="121">
        <f>SUMIFS('7SepTo13Sep'!$O:$O, '7SepTo13Sep'!$J:$J, $A67)</f>
        <v>0</v>
      </c>
      <c r="AY67" s="121">
        <f>SUMIFS('7SepTo13Sep'!$P:$P, '7SepTo13Sep'!$J:$J, $A67)</f>
        <v>0</v>
      </c>
      <c r="AZ67" s="123">
        <f t="shared" si="9"/>
        <v>0</v>
      </c>
      <c r="BA67" s="121">
        <f>SUMIFS('31AugTo6Sep'!$L:$L, '31AugTo6Sep'!$J:$J, $A67)</f>
        <v>0</v>
      </c>
      <c r="BB67" s="121">
        <f>SUMIFS('31AugTo6Sep'!$K:$K, '31AugTo6Sep'!$J:$J, $A67)</f>
        <v>0</v>
      </c>
      <c r="BC67" s="121">
        <f>SUMIFS('31AugTo6Sep'!$O:$O, '31AugTo6Sep'!$J:$J, $A67)</f>
        <v>0</v>
      </c>
      <c r="BD67" s="121">
        <f>SUMIFS('31AugTo6Sep'!$P:$P, '31AugTo6Sep'!$J:$J, $A67)</f>
        <v>0</v>
      </c>
      <c r="BE67" s="123">
        <f t="shared" si="10"/>
        <v>0</v>
      </c>
      <c r="BF67" s="121">
        <f>SUMIFS('24AugTo29Aug'!$L:$L, '24AugTo29Aug'!$J:$J, $A67)</f>
        <v>0</v>
      </c>
      <c r="BG67" s="121">
        <f>SUMIFS('24AugTo29Aug'!$K:$K, '24AugTo29Aug'!$J:$J, $A67)</f>
        <v>0</v>
      </c>
      <c r="BH67" s="121">
        <f>SUMIFS('24AugTo29Aug'!$O:$O, '24AugTo29Aug'!$J:$J, $A67)</f>
        <v>0</v>
      </c>
      <c r="BI67" s="121">
        <f>SUMIFS('24AugTo29Aug'!$P:$P, '24AugTo29Aug'!$J:$J, $A67)</f>
        <v>0</v>
      </c>
      <c r="BJ67" s="123">
        <f t="shared" si="11"/>
        <v>0</v>
      </c>
      <c r="BK67" s="121">
        <f>SUMIFS('17AugTo21Aug'!$L:$L, '17AugTo21Aug'!$J:$J, $A67)</f>
        <v>0</v>
      </c>
      <c r="BL67" s="121">
        <f>SUMIFS('17AugTo21Aug'!$K:$K, '17AugTo21Aug'!$J:$J, $A67)</f>
        <v>0</v>
      </c>
      <c r="BM67" s="121">
        <f>SUMIFS('17AugTo21Aug'!$O:$O, '17AugTo21Aug'!$J:$J, $A67)</f>
        <v>0</v>
      </c>
      <c r="BN67" s="121">
        <f>SUMIFS('17AugTo21Aug'!$P:$P, '17AugTo21Aug'!$J:$J, $A67)</f>
        <v>0</v>
      </c>
      <c r="BO67" s="123">
        <f t="shared" si="12"/>
        <v>0</v>
      </c>
      <c r="BP67" s="121">
        <f>SUMIFS('10AugTo16Aug'!$L:$L, '10AugTo16Aug'!$J:$J, $A67)</f>
        <v>0</v>
      </c>
      <c r="BQ67" s="121">
        <f>SUMIFS('10AugTo16Aug'!$K:$K, '10AugTo16Aug'!$J:$J, $A67)</f>
        <v>0</v>
      </c>
      <c r="BR67" s="121">
        <f>SUMIFS('10AugTo16Aug'!$O:$O, '10AugTo16Aug'!$J:$J, $A67)</f>
        <v>0</v>
      </c>
      <c r="BS67" s="121">
        <f>SUMIFS('10AugTo16Aug'!$P:$P, '10AugTo16Aug'!$J:$J, $A67)</f>
        <v>0</v>
      </c>
      <c r="BT67" s="123">
        <f t="shared" si="13"/>
        <v>0</v>
      </c>
      <c r="BU67" s="121">
        <f>SUMIFS('3AugTo9Aug'!$L:$L, '3AugTo9Aug'!$J:$J, $A67)</f>
        <v>0</v>
      </c>
      <c r="BV67" s="121">
        <f>SUMIFS('3AugTo9Aug'!$K:$K, '3AugTo9Aug'!$J:$J, $A67)</f>
        <v>0</v>
      </c>
      <c r="BW67" s="121">
        <f>SUMIFS('3AugTo9Aug'!$O:$O, '3AugTo9Aug'!$J:$J, $A67)</f>
        <v>0</v>
      </c>
      <c r="BX67" s="121">
        <f>SUMIFS('3AugTo9Aug'!$P:$P, '3AugTo9Aug'!$J:$J, $A67)</f>
        <v>0</v>
      </c>
      <c r="BY67" s="123">
        <f t="shared" si="14"/>
        <v>0</v>
      </c>
      <c r="BZ67" s="121">
        <f>SUMIFS('27JulyTo2Aug'!$L:$L, '27JulyTo2Aug'!$J:$J, $A67)</f>
        <v>0</v>
      </c>
      <c r="CA67" s="121">
        <f>SUMIFS('27JulyTo2Aug'!$K:$K, '27JulyTo2Aug'!$J:$J, $A67)</f>
        <v>0</v>
      </c>
      <c r="CB67" s="121">
        <f>SUMIFS('27JulyTo2Aug'!$O:$O, '27JulyTo2Aug'!$J:$J, $A67)</f>
        <v>0</v>
      </c>
      <c r="CC67" s="121">
        <f>SUMIFS('27JulyTo2Aug'!$P:$P, '27JulyTo2Aug'!$J:$J, $A67)</f>
        <v>0</v>
      </c>
      <c r="CD67" s="123">
        <f t="shared" si="15"/>
        <v>0</v>
      </c>
    </row>
    <row r="68" spans="1:82" ht="14.25" customHeight="1" x14ac:dyDescent="0.3">
      <c r="A68" s="119" t="s">
        <v>411</v>
      </c>
      <c r="B68" s="120" t="str">
        <f t="shared" ref="B68:B131" si="17">IF(
    (E68+J68+O68+T68+Y68)=0,
    "NO TRAFFIC",
    IF(
        (F68+K68+P68+U68+Z68)=0,
        "CLICKS NO SALES",
        IF(
            ((E68+J68+O68+T68+Y68)/(F68+K68+P68+U68+Z68)*100)&lt;=35,
            "WINNER",
            "HIGH ACOS"
        )
    )
)</f>
        <v>NO TRAFFIC</v>
      </c>
      <c r="C68" s="121">
        <f>SUMIFS('9NovTo15Nov'!$L:$L, '9NovTo15Nov'!$J:$J, $A68)</f>
        <v>0</v>
      </c>
      <c r="D68" s="121">
        <f>SUMIFS('9NovTo15Nov'!$K:$K, '9NovTo15Nov'!$J:$J, $A68)</f>
        <v>0</v>
      </c>
      <c r="E68" s="121">
        <f>SUMIFS('9NovTo15Nov'!$O:$O, '9NovTo15Nov'!$J:$J, $A68)</f>
        <v>0</v>
      </c>
      <c r="F68" s="121">
        <f>SUMIFS('9NovTo15Nov'!$P:$P, '9NovTo15Nov'!$J:$J, $A68)</f>
        <v>0</v>
      </c>
      <c r="G68" s="122">
        <f t="shared" si="0"/>
        <v>0</v>
      </c>
      <c r="H68" s="121">
        <f>SUMIFS('2NovTo8Nov'!$L:$L, '2NovTo8Nov'!$J:$J, $A68)</f>
        <v>0</v>
      </c>
      <c r="I68" s="121">
        <f>SUMIFS('2NovTo8Nov'!$K:$K, '2NovTo8Nov'!$J:$J, $A68)</f>
        <v>0</v>
      </c>
      <c r="J68" s="121">
        <f>SUMIFS('2NovTo8Nov'!$O:$O, '2NovTo8Nov'!$J:$J, $A68)</f>
        <v>0</v>
      </c>
      <c r="K68" s="121">
        <f>SUMIFS('2NovTo8Nov'!$P:$P, '2NovTo8Nov'!$J:$J, $A68)</f>
        <v>0</v>
      </c>
      <c r="L68" s="122">
        <f t="shared" si="1"/>
        <v>0</v>
      </c>
      <c r="M68" s="121">
        <f>SUMIFS('26OctTo1Nov'!$L:$L, '26OctTo1Nov'!$J:$J, $A68)</f>
        <v>0</v>
      </c>
      <c r="N68" s="121">
        <f>SUMIFS('26OctTo1Nov'!$K:$K, '26OctTo1Nov'!$J:$J, $A68)</f>
        <v>0</v>
      </c>
      <c r="O68" s="121">
        <f>SUMIFS('26OctTo1Nov'!$O:$O, '26OctTo1Nov'!$J:$J, $A68)</f>
        <v>0</v>
      </c>
      <c r="P68" s="121">
        <f>SUMIFS('26OctTo1Nov'!$P:$P, '26OctTo1Nov'!$J:$J, $A68)</f>
        <v>0</v>
      </c>
      <c r="Q68" s="122">
        <f t="shared" si="2"/>
        <v>0</v>
      </c>
      <c r="R68" s="121">
        <f>SUMIFS('19OctTo25Oct'!$L:$L, '19OctTo25Oct'!$J:$J, $A68)</f>
        <v>0</v>
      </c>
      <c r="S68" s="121">
        <f>SUMIFS('19OctTo25Oct'!$K:$K, '19OctTo25Oct'!$J:$J, $A68)</f>
        <v>0</v>
      </c>
      <c r="T68" s="121">
        <f>SUMIFS('19OctTo25Oct'!$O:$O, '19OctTo25Oct'!$J:$J, $A68)</f>
        <v>0</v>
      </c>
      <c r="U68" s="121">
        <f>SUMIFS('19OctTo25Oct'!$P:$P, '19OctTo25Oct'!$J:$J, $A68)</f>
        <v>0</v>
      </c>
      <c r="V68" s="122">
        <f t="shared" si="3"/>
        <v>0</v>
      </c>
      <c r="W68" s="121">
        <f>SUMIFS('12OctTo18Oct'!$L:$L, '12OctTo18Oct'!$J:$J, $A68)</f>
        <v>0</v>
      </c>
      <c r="X68" s="121">
        <f>SUMIFS('12OctTo18Oct'!$K:$K, '12OctTo18Oct'!$J:$J, $A68)</f>
        <v>0</v>
      </c>
      <c r="Y68" s="121">
        <f>SUMIFS('12OctTo18Oct'!$O:$O, '12OctTo18Oct'!$J:$J, $A68)</f>
        <v>0</v>
      </c>
      <c r="Z68" s="121">
        <f>SUMIFS('12OctTo18Oct'!$P:$P, '12OctTo18Oct'!$J:$J, $A68)</f>
        <v>0</v>
      </c>
      <c r="AA68" s="122">
        <f t="shared" si="4"/>
        <v>0</v>
      </c>
      <c r="AB68" s="121">
        <f>SUMIFS('5OctTo11Oct'!$L:$L, '5OctTo11Oct'!$J:$J, $A68)</f>
        <v>0</v>
      </c>
      <c r="AC68" s="121">
        <f>SUMIFS('5OctTo11Oct'!$K:$K, '5OctTo11Oct'!$J:$J, $A68)</f>
        <v>0</v>
      </c>
      <c r="AD68" s="121">
        <f>SUMIFS('5OctTo11Oct'!$O:$O, '5OctTo11Oct'!$J:$J, $A68)</f>
        <v>0</v>
      </c>
      <c r="AE68" s="121">
        <f>SUMIFS('5OctTo11Oct'!$P:$P, '5OctTo11Oct'!$J:$J, $A68)</f>
        <v>0</v>
      </c>
      <c r="AF68" s="123">
        <f t="shared" si="5"/>
        <v>0</v>
      </c>
      <c r="AG68" s="121">
        <f>SUMIFS('28SepTo4Oct'!$L:$L, '28SepTo4Oct'!$J:$J, $A68)</f>
        <v>0</v>
      </c>
      <c r="AH68" s="121">
        <f>SUMIFS('28SepTo4Oct'!$K:$K, '28SepTo4Oct'!$J:$J, $A68)</f>
        <v>0</v>
      </c>
      <c r="AI68" s="121">
        <f>SUMIFS('28SepTo4Oct'!$O:$O, '28SepTo4Oct'!$J:$J, $A68)</f>
        <v>0</v>
      </c>
      <c r="AJ68" s="121">
        <f>SUMIFS('28SepTo4Oct'!$P:$P, '28SepTo4Oct'!$J:$J, $A68)</f>
        <v>0</v>
      </c>
      <c r="AK68" s="123">
        <f t="shared" si="6"/>
        <v>0</v>
      </c>
      <c r="AL68" s="121">
        <f>SUMIFS('21SepTo27Sep'!$L:$L, '21SepTo27Sep'!$J:$J, $A68)</f>
        <v>1</v>
      </c>
      <c r="AM68" s="121">
        <f>SUMIFS('21SepTo27Sep'!$K:$K, '21SepTo27Sep'!$J:$J, $A68)</f>
        <v>4</v>
      </c>
      <c r="AN68" s="121">
        <f>SUMIFS('21SepTo27Sep'!$O:$O, '21SepTo27Sep'!$J:$J, $A68)</f>
        <v>3.34</v>
      </c>
      <c r="AO68" s="121">
        <f>SUMIFS('21SepTo27Sep'!$P:$P, '21SepTo27Sep'!$J:$J, $A68)</f>
        <v>24.94</v>
      </c>
      <c r="AP68" s="123">
        <f t="shared" si="7"/>
        <v>13.392141138732958</v>
      </c>
      <c r="AQ68" s="121">
        <f>SUMIFS('14SepTo20Sep'!$L:$L, '14SepTo20Sep'!$J:$J, $A68)</f>
        <v>0</v>
      </c>
      <c r="AR68" s="121">
        <f>SUMIFS('14SepTo20Sep'!$K:$K, '14SepTo20Sep'!$J:$J, $A68)</f>
        <v>0</v>
      </c>
      <c r="AS68" s="121">
        <f>SUMIFS('14SepTo20Sep'!$O:$O, '14SepTo20Sep'!$J:$J, $A68)</f>
        <v>0</v>
      </c>
      <c r="AT68" s="121">
        <f>SUMIFS('14SepTo20Sep'!$P:$P, '14SepTo20Sep'!$J:$J, $A68)</f>
        <v>0</v>
      </c>
      <c r="AU68" s="123">
        <f t="shared" si="8"/>
        <v>0</v>
      </c>
      <c r="AV68" s="121">
        <f>SUMIFS('7SepTo13Sep'!$L:$L, '7SepTo13Sep'!$J:$J, $A68)</f>
        <v>0</v>
      </c>
      <c r="AW68" s="121">
        <f>SUMIFS('7SepTo13Sep'!$K:$K, '7SepTo13Sep'!$J:$J, $A68)</f>
        <v>0</v>
      </c>
      <c r="AX68" s="121">
        <f>SUMIFS('7SepTo13Sep'!$O:$O, '7SepTo13Sep'!$J:$J, $A68)</f>
        <v>0</v>
      </c>
      <c r="AY68" s="121">
        <f>SUMIFS('7SepTo13Sep'!$P:$P, '7SepTo13Sep'!$J:$J, $A68)</f>
        <v>0</v>
      </c>
      <c r="AZ68" s="123">
        <f t="shared" si="9"/>
        <v>0</v>
      </c>
      <c r="BA68" s="121">
        <f>SUMIFS('31AugTo6Sep'!$L:$L, '31AugTo6Sep'!$J:$J, $A68)</f>
        <v>0</v>
      </c>
      <c r="BB68" s="121">
        <f>SUMIFS('31AugTo6Sep'!$K:$K, '31AugTo6Sep'!$J:$J, $A68)</f>
        <v>0</v>
      </c>
      <c r="BC68" s="121">
        <f>SUMIFS('31AugTo6Sep'!$O:$O, '31AugTo6Sep'!$J:$J, $A68)</f>
        <v>0</v>
      </c>
      <c r="BD68" s="121">
        <f>SUMIFS('31AugTo6Sep'!$P:$P, '31AugTo6Sep'!$J:$J, $A68)</f>
        <v>0</v>
      </c>
      <c r="BE68" s="123">
        <f t="shared" si="10"/>
        <v>0</v>
      </c>
      <c r="BF68" s="121">
        <f>SUMIFS('24AugTo29Aug'!$L:$L, '24AugTo29Aug'!$J:$J, $A68)</f>
        <v>0</v>
      </c>
      <c r="BG68" s="121">
        <f>SUMIFS('24AugTo29Aug'!$K:$K, '24AugTo29Aug'!$J:$J, $A68)</f>
        <v>0</v>
      </c>
      <c r="BH68" s="121">
        <f>SUMIFS('24AugTo29Aug'!$O:$O, '24AugTo29Aug'!$J:$J, $A68)</f>
        <v>0</v>
      </c>
      <c r="BI68" s="121">
        <f>SUMIFS('24AugTo29Aug'!$P:$P, '24AugTo29Aug'!$J:$J, $A68)</f>
        <v>0</v>
      </c>
      <c r="BJ68" s="123">
        <f t="shared" si="11"/>
        <v>0</v>
      </c>
      <c r="BK68" s="121">
        <f>SUMIFS('17AugTo21Aug'!$L:$L, '17AugTo21Aug'!$J:$J, $A68)</f>
        <v>0</v>
      </c>
      <c r="BL68" s="121">
        <f>SUMIFS('17AugTo21Aug'!$K:$K, '17AugTo21Aug'!$J:$J, $A68)</f>
        <v>0</v>
      </c>
      <c r="BM68" s="121">
        <f>SUMIFS('17AugTo21Aug'!$O:$O, '17AugTo21Aug'!$J:$J, $A68)</f>
        <v>0</v>
      </c>
      <c r="BN68" s="121">
        <f>SUMIFS('17AugTo21Aug'!$P:$P, '17AugTo21Aug'!$J:$J, $A68)</f>
        <v>0</v>
      </c>
      <c r="BO68" s="123">
        <f t="shared" si="12"/>
        <v>0</v>
      </c>
      <c r="BP68" s="121">
        <f>SUMIFS('10AugTo16Aug'!$L:$L, '10AugTo16Aug'!$J:$J, $A68)</f>
        <v>0</v>
      </c>
      <c r="BQ68" s="121">
        <f>SUMIFS('10AugTo16Aug'!$K:$K, '10AugTo16Aug'!$J:$J, $A68)</f>
        <v>0</v>
      </c>
      <c r="BR68" s="121">
        <f>SUMIFS('10AugTo16Aug'!$O:$O, '10AugTo16Aug'!$J:$J, $A68)</f>
        <v>0</v>
      </c>
      <c r="BS68" s="121">
        <f>SUMIFS('10AugTo16Aug'!$P:$P, '10AugTo16Aug'!$J:$J, $A68)</f>
        <v>0</v>
      </c>
      <c r="BT68" s="123">
        <f t="shared" si="13"/>
        <v>0</v>
      </c>
      <c r="BU68" s="121">
        <f>SUMIFS('3AugTo9Aug'!$L:$L, '3AugTo9Aug'!$J:$J, $A68)</f>
        <v>0</v>
      </c>
      <c r="BV68" s="121">
        <f>SUMIFS('3AugTo9Aug'!$K:$K, '3AugTo9Aug'!$J:$J, $A68)</f>
        <v>0</v>
      </c>
      <c r="BW68" s="121">
        <f>SUMIFS('3AugTo9Aug'!$O:$O, '3AugTo9Aug'!$J:$J, $A68)</f>
        <v>0</v>
      </c>
      <c r="BX68" s="121">
        <f>SUMIFS('3AugTo9Aug'!$P:$P, '3AugTo9Aug'!$J:$J, $A68)</f>
        <v>0</v>
      </c>
      <c r="BY68" s="123">
        <f t="shared" si="14"/>
        <v>0</v>
      </c>
      <c r="BZ68" s="121">
        <f>SUMIFS('27JulyTo2Aug'!$L:$L, '27JulyTo2Aug'!$J:$J, $A68)</f>
        <v>0</v>
      </c>
      <c r="CA68" s="121">
        <f>SUMIFS('27JulyTo2Aug'!$K:$K, '27JulyTo2Aug'!$J:$J, $A68)</f>
        <v>0</v>
      </c>
      <c r="CB68" s="121">
        <f>SUMIFS('27JulyTo2Aug'!$O:$O, '27JulyTo2Aug'!$J:$J, $A68)</f>
        <v>0</v>
      </c>
      <c r="CC68" s="121">
        <f>SUMIFS('27JulyTo2Aug'!$P:$P, '27JulyTo2Aug'!$J:$J, $A68)</f>
        <v>0</v>
      </c>
      <c r="CD68" s="123">
        <f t="shared" si="15"/>
        <v>0</v>
      </c>
    </row>
    <row r="69" spans="1:82" ht="14.25" customHeight="1" x14ac:dyDescent="0.3">
      <c r="A69" s="119" t="s">
        <v>412</v>
      </c>
      <c r="B69" s="120" t="str">
        <f t="shared" si="17"/>
        <v>NO TRAFFIC</v>
      </c>
      <c r="C69" s="121">
        <f>SUMIFS('9NovTo15Nov'!$L:$L, '9NovTo15Nov'!$J:$J, $A69)</f>
        <v>0</v>
      </c>
      <c r="D69" s="121">
        <f>SUMIFS('9NovTo15Nov'!$K:$K, '9NovTo15Nov'!$J:$J, $A69)</f>
        <v>0</v>
      </c>
      <c r="E69" s="121">
        <f>SUMIFS('9NovTo15Nov'!$O:$O, '9NovTo15Nov'!$J:$J, $A69)</f>
        <v>0</v>
      </c>
      <c r="F69" s="121">
        <f>SUMIFS('9NovTo15Nov'!$P:$P, '9NovTo15Nov'!$J:$J, $A69)</f>
        <v>0</v>
      </c>
      <c r="G69" s="122">
        <f t="shared" si="0"/>
        <v>0</v>
      </c>
      <c r="H69" s="121">
        <f>SUMIFS('2NovTo8Nov'!$L:$L, '2NovTo8Nov'!$J:$J, $A69)</f>
        <v>0</v>
      </c>
      <c r="I69" s="121">
        <f>SUMIFS('2NovTo8Nov'!$K:$K, '2NovTo8Nov'!$J:$J, $A69)</f>
        <v>0</v>
      </c>
      <c r="J69" s="121">
        <f>SUMIFS('2NovTo8Nov'!$O:$O, '2NovTo8Nov'!$J:$J, $A69)</f>
        <v>0</v>
      </c>
      <c r="K69" s="121">
        <f>SUMIFS('2NovTo8Nov'!$P:$P, '2NovTo8Nov'!$J:$J, $A69)</f>
        <v>0</v>
      </c>
      <c r="L69" s="122">
        <f t="shared" si="1"/>
        <v>0</v>
      </c>
      <c r="M69" s="121">
        <f>SUMIFS('26OctTo1Nov'!$L:$L, '26OctTo1Nov'!$J:$J, $A69)</f>
        <v>0</v>
      </c>
      <c r="N69" s="121">
        <f>SUMIFS('26OctTo1Nov'!$K:$K, '26OctTo1Nov'!$J:$J, $A69)</f>
        <v>0</v>
      </c>
      <c r="O69" s="121">
        <f>SUMIFS('26OctTo1Nov'!$O:$O, '26OctTo1Nov'!$J:$J, $A69)</f>
        <v>0</v>
      </c>
      <c r="P69" s="121">
        <f>SUMIFS('26OctTo1Nov'!$P:$P, '26OctTo1Nov'!$J:$J, $A69)</f>
        <v>0</v>
      </c>
      <c r="Q69" s="122">
        <f t="shared" si="2"/>
        <v>0</v>
      </c>
      <c r="R69" s="121">
        <f>SUMIFS('19OctTo25Oct'!$L:$L, '19OctTo25Oct'!$J:$J, $A69)</f>
        <v>0</v>
      </c>
      <c r="S69" s="121">
        <f>SUMIFS('19OctTo25Oct'!$K:$K, '19OctTo25Oct'!$J:$J, $A69)</f>
        <v>0</v>
      </c>
      <c r="T69" s="121">
        <f>SUMIFS('19OctTo25Oct'!$O:$O, '19OctTo25Oct'!$J:$J, $A69)</f>
        <v>0</v>
      </c>
      <c r="U69" s="121">
        <f>SUMIFS('19OctTo25Oct'!$P:$P, '19OctTo25Oct'!$J:$J, $A69)</f>
        <v>0</v>
      </c>
      <c r="V69" s="122">
        <f t="shared" si="3"/>
        <v>0</v>
      </c>
      <c r="W69" s="121">
        <f>SUMIFS('12OctTo18Oct'!$L:$L, '12OctTo18Oct'!$J:$J, $A69)</f>
        <v>0</v>
      </c>
      <c r="X69" s="121">
        <f>SUMIFS('12OctTo18Oct'!$K:$K, '12OctTo18Oct'!$J:$J, $A69)</f>
        <v>0</v>
      </c>
      <c r="Y69" s="121">
        <f>SUMIFS('12OctTo18Oct'!$O:$O, '12OctTo18Oct'!$J:$J, $A69)</f>
        <v>0</v>
      </c>
      <c r="Z69" s="121">
        <f>SUMIFS('12OctTo18Oct'!$P:$P, '12OctTo18Oct'!$J:$J, $A69)</f>
        <v>0</v>
      </c>
      <c r="AA69" s="122">
        <f t="shared" si="4"/>
        <v>0</v>
      </c>
      <c r="AB69" s="121">
        <f>SUMIFS('5OctTo11Oct'!$L:$L, '5OctTo11Oct'!$J:$J, $A69)</f>
        <v>0</v>
      </c>
      <c r="AC69" s="121">
        <f>SUMIFS('5OctTo11Oct'!$K:$K, '5OctTo11Oct'!$J:$J, $A69)</f>
        <v>0</v>
      </c>
      <c r="AD69" s="121">
        <f>SUMIFS('5OctTo11Oct'!$O:$O, '5OctTo11Oct'!$J:$J, $A69)</f>
        <v>0</v>
      </c>
      <c r="AE69" s="121">
        <f>SUMIFS('5OctTo11Oct'!$P:$P, '5OctTo11Oct'!$J:$J, $A69)</f>
        <v>0</v>
      </c>
      <c r="AF69" s="123">
        <f t="shared" si="5"/>
        <v>0</v>
      </c>
      <c r="AG69" s="121">
        <f>SUMIFS('28SepTo4Oct'!$L:$L, '28SepTo4Oct'!$J:$J, $A69)</f>
        <v>0</v>
      </c>
      <c r="AH69" s="121">
        <f>SUMIFS('28SepTo4Oct'!$K:$K, '28SepTo4Oct'!$J:$J, $A69)</f>
        <v>0</v>
      </c>
      <c r="AI69" s="121">
        <f>SUMIFS('28SepTo4Oct'!$O:$O, '28SepTo4Oct'!$J:$J, $A69)</f>
        <v>0</v>
      </c>
      <c r="AJ69" s="121">
        <f>SUMIFS('28SepTo4Oct'!$P:$P, '28SepTo4Oct'!$J:$J, $A69)</f>
        <v>0</v>
      </c>
      <c r="AK69" s="123">
        <f t="shared" si="6"/>
        <v>0</v>
      </c>
      <c r="AL69" s="121">
        <f>SUMIFS('21SepTo27Sep'!$L:$L, '21SepTo27Sep'!$J:$J, $A69)</f>
        <v>1</v>
      </c>
      <c r="AM69" s="121">
        <f>SUMIFS('21SepTo27Sep'!$K:$K, '21SepTo27Sep'!$J:$J, $A69)</f>
        <v>1</v>
      </c>
      <c r="AN69" s="121">
        <f>SUMIFS('21SepTo27Sep'!$O:$O, '21SepTo27Sep'!$J:$J, $A69)</f>
        <v>2.2200000000000002</v>
      </c>
      <c r="AO69" s="121">
        <f>SUMIFS('21SepTo27Sep'!$P:$P, '21SepTo27Sep'!$J:$J, $A69)</f>
        <v>24.94</v>
      </c>
      <c r="AP69" s="123">
        <f t="shared" si="7"/>
        <v>8.9013632718524462</v>
      </c>
      <c r="AQ69" s="121">
        <f>SUMIFS('14SepTo20Sep'!$L:$L, '14SepTo20Sep'!$J:$J, $A69)</f>
        <v>0</v>
      </c>
      <c r="AR69" s="121">
        <f>SUMIFS('14SepTo20Sep'!$K:$K, '14SepTo20Sep'!$J:$J, $A69)</f>
        <v>0</v>
      </c>
      <c r="AS69" s="121">
        <f>SUMIFS('14SepTo20Sep'!$O:$O, '14SepTo20Sep'!$J:$J, $A69)</f>
        <v>0</v>
      </c>
      <c r="AT69" s="121">
        <f>SUMIFS('14SepTo20Sep'!$P:$P, '14SepTo20Sep'!$J:$J, $A69)</f>
        <v>0</v>
      </c>
      <c r="AU69" s="123">
        <f t="shared" si="8"/>
        <v>0</v>
      </c>
      <c r="AV69" s="121">
        <f>SUMIFS('7SepTo13Sep'!$L:$L, '7SepTo13Sep'!$J:$J, $A69)</f>
        <v>0</v>
      </c>
      <c r="AW69" s="121">
        <f>SUMIFS('7SepTo13Sep'!$K:$K, '7SepTo13Sep'!$J:$J, $A69)</f>
        <v>0</v>
      </c>
      <c r="AX69" s="121">
        <f>SUMIFS('7SepTo13Sep'!$O:$O, '7SepTo13Sep'!$J:$J, $A69)</f>
        <v>0</v>
      </c>
      <c r="AY69" s="121">
        <f>SUMIFS('7SepTo13Sep'!$P:$P, '7SepTo13Sep'!$J:$J, $A69)</f>
        <v>0</v>
      </c>
      <c r="AZ69" s="123">
        <f t="shared" si="9"/>
        <v>0</v>
      </c>
      <c r="BA69" s="121">
        <f>SUMIFS('31AugTo6Sep'!$L:$L, '31AugTo6Sep'!$J:$J, $A69)</f>
        <v>0</v>
      </c>
      <c r="BB69" s="121">
        <f>SUMIFS('31AugTo6Sep'!$K:$K, '31AugTo6Sep'!$J:$J, $A69)</f>
        <v>0</v>
      </c>
      <c r="BC69" s="121">
        <f>SUMIFS('31AugTo6Sep'!$O:$O, '31AugTo6Sep'!$J:$J, $A69)</f>
        <v>0</v>
      </c>
      <c r="BD69" s="121">
        <f>SUMIFS('31AugTo6Sep'!$P:$P, '31AugTo6Sep'!$J:$J, $A69)</f>
        <v>0</v>
      </c>
      <c r="BE69" s="123">
        <f t="shared" si="10"/>
        <v>0</v>
      </c>
      <c r="BF69" s="121">
        <f>SUMIFS('24AugTo29Aug'!$L:$L, '24AugTo29Aug'!$J:$J, $A69)</f>
        <v>0</v>
      </c>
      <c r="BG69" s="121">
        <f>SUMIFS('24AugTo29Aug'!$K:$K, '24AugTo29Aug'!$J:$J, $A69)</f>
        <v>0</v>
      </c>
      <c r="BH69" s="121">
        <f>SUMIFS('24AugTo29Aug'!$O:$O, '24AugTo29Aug'!$J:$J, $A69)</f>
        <v>0</v>
      </c>
      <c r="BI69" s="121">
        <f>SUMIFS('24AugTo29Aug'!$P:$P, '24AugTo29Aug'!$J:$J, $A69)</f>
        <v>0</v>
      </c>
      <c r="BJ69" s="123">
        <f t="shared" si="11"/>
        <v>0</v>
      </c>
      <c r="BK69" s="121">
        <f>SUMIFS('17AugTo21Aug'!$L:$L, '17AugTo21Aug'!$J:$J, $A69)</f>
        <v>0</v>
      </c>
      <c r="BL69" s="121">
        <f>SUMIFS('17AugTo21Aug'!$K:$K, '17AugTo21Aug'!$J:$J, $A69)</f>
        <v>0</v>
      </c>
      <c r="BM69" s="121">
        <f>SUMIFS('17AugTo21Aug'!$O:$O, '17AugTo21Aug'!$J:$J, $A69)</f>
        <v>0</v>
      </c>
      <c r="BN69" s="121">
        <f>SUMIFS('17AugTo21Aug'!$P:$P, '17AugTo21Aug'!$J:$J, $A69)</f>
        <v>0</v>
      </c>
      <c r="BO69" s="123">
        <f t="shared" si="12"/>
        <v>0</v>
      </c>
      <c r="BP69" s="121">
        <f>SUMIFS('10AugTo16Aug'!$L:$L, '10AugTo16Aug'!$J:$J, $A69)</f>
        <v>0</v>
      </c>
      <c r="BQ69" s="121">
        <f>SUMIFS('10AugTo16Aug'!$K:$K, '10AugTo16Aug'!$J:$J, $A69)</f>
        <v>0</v>
      </c>
      <c r="BR69" s="121">
        <f>SUMIFS('10AugTo16Aug'!$O:$O, '10AugTo16Aug'!$J:$J, $A69)</f>
        <v>0</v>
      </c>
      <c r="BS69" s="121">
        <f>SUMIFS('10AugTo16Aug'!$P:$P, '10AugTo16Aug'!$J:$J, $A69)</f>
        <v>0</v>
      </c>
      <c r="BT69" s="123">
        <f t="shared" si="13"/>
        <v>0</v>
      </c>
      <c r="BU69" s="121">
        <f>SUMIFS('3AugTo9Aug'!$L:$L, '3AugTo9Aug'!$J:$J, $A69)</f>
        <v>0</v>
      </c>
      <c r="BV69" s="121">
        <f>SUMIFS('3AugTo9Aug'!$K:$K, '3AugTo9Aug'!$J:$J, $A69)</f>
        <v>0</v>
      </c>
      <c r="BW69" s="121">
        <f>SUMIFS('3AugTo9Aug'!$O:$O, '3AugTo9Aug'!$J:$J, $A69)</f>
        <v>0</v>
      </c>
      <c r="BX69" s="121">
        <f>SUMIFS('3AugTo9Aug'!$P:$P, '3AugTo9Aug'!$J:$J, $A69)</f>
        <v>0</v>
      </c>
      <c r="BY69" s="123">
        <f t="shared" si="14"/>
        <v>0</v>
      </c>
      <c r="BZ69" s="121">
        <f>SUMIFS('27JulyTo2Aug'!$L:$L, '27JulyTo2Aug'!$J:$J, $A69)</f>
        <v>0</v>
      </c>
      <c r="CA69" s="121">
        <f>SUMIFS('27JulyTo2Aug'!$K:$K, '27JulyTo2Aug'!$J:$J, $A69)</f>
        <v>0</v>
      </c>
      <c r="CB69" s="121">
        <f>SUMIFS('27JulyTo2Aug'!$O:$O, '27JulyTo2Aug'!$J:$J, $A69)</f>
        <v>0</v>
      </c>
      <c r="CC69" s="121">
        <f>SUMIFS('27JulyTo2Aug'!$P:$P, '27JulyTo2Aug'!$J:$J, $A69)</f>
        <v>0</v>
      </c>
      <c r="CD69" s="123">
        <f t="shared" si="15"/>
        <v>0</v>
      </c>
    </row>
    <row r="70" spans="1:82" ht="14.25" customHeight="1" x14ac:dyDescent="0.3">
      <c r="A70" s="119" t="s">
        <v>414</v>
      </c>
      <c r="B70" s="120" t="str">
        <f t="shared" si="17"/>
        <v>NO TRAFFIC</v>
      </c>
      <c r="C70" s="121">
        <f>SUMIFS('9NovTo15Nov'!$L:$L, '9NovTo15Nov'!$J:$J, $A70)</f>
        <v>0</v>
      </c>
      <c r="D70" s="121">
        <f>SUMIFS('9NovTo15Nov'!$K:$K, '9NovTo15Nov'!$J:$J, $A70)</f>
        <v>0</v>
      </c>
      <c r="E70" s="121">
        <f>SUMIFS('9NovTo15Nov'!$O:$O, '9NovTo15Nov'!$J:$J, $A70)</f>
        <v>0</v>
      </c>
      <c r="F70" s="121">
        <f>SUMIFS('9NovTo15Nov'!$P:$P, '9NovTo15Nov'!$J:$J, $A70)</f>
        <v>0</v>
      </c>
      <c r="G70" s="122">
        <f t="shared" si="0"/>
        <v>0</v>
      </c>
      <c r="H70" s="121">
        <f>SUMIFS('2NovTo8Nov'!$L:$L, '2NovTo8Nov'!$J:$J, $A70)</f>
        <v>0</v>
      </c>
      <c r="I70" s="121">
        <f>SUMIFS('2NovTo8Nov'!$K:$K, '2NovTo8Nov'!$J:$J, $A70)</f>
        <v>0</v>
      </c>
      <c r="J70" s="121">
        <f>SUMIFS('2NovTo8Nov'!$O:$O, '2NovTo8Nov'!$J:$J, $A70)</f>
        <v>0</v>
      </c>
      <c r="K70" s="121">
        <f>SUMIFS('2NovTo8Nov'!$P:$P, '2NovTo8Nov'!$J:$J, $A70)</f>
        <v>0</v>
      </c>
      <c r="L70" s="122">
        <f t="shared" si="1"/>
        <v>0</v>
      </c>
      <c r="M70" s="121">
        <f>SUMIFS('26OctTo1Nov'!$L:$L, '26OctTo1Nov'!$J:$J, $A70)</f>
        <v>0</v>
      </c>
      <c r="N70" s="121">
        <f>SUMIFS('26OctTo1Nov'!$K:$K, '26OctTo1Nov'!$J:$J, $A70)</f>
        <v>0</v>
      </c>
      <c r="O70" s="121">
        <f>SUMIFS('26OctTo1Nov'!$O:$O, '26OctTo1Nov'!$J:$J, $A70)</f>
        <v>0</v>
      </c>
      <c r="P70" s="121">
        <f>SUMIFS('26OctTo1Nov'!$P:$P, '26OctTo1Nov'!$J:$J, $A70)</f>
        <v>0</v>
      </c>
      <c r="Q70" s="122">
        <f t="shared" si="2"/>
        <v>0</v>
      </c>
      <c r="R70" s="121">
        <f>SUMIFS('19OctTo25Oct'!$L:$L, '19OctTo25Oct'!$J:$J, $A70)</f>
        <v>0</v>
      </c>
      <c r="S70" s="121">
        <f>SUMIFS('19OctTo25Oct'!$K:$K, '19OctTo25Oct'!$J:$J, $A70)</f>
        <v>0</v>
      </c>
      <c r="T70" s="121">
        <f>SUMIFS('19OctTo25Oct'!$O:$O, '19OctTo25Oct'!$J:$J, $A70)</f>
        <v>0</v>
      </c>
      <c r="U70" s="121">
        <f>SUMIFS('19OctTo25Oct'!$P:$P, '19OctTo25Oct'!$J:$J, $A70)</f>
        <v>0</v>
      </c>
      <c r="V70" s="122">
        <f t="shared" si="3"/>
        <v>0</v>
      </c>
      <c r="W70" s="121">
        <f>SUMIFS('12OctTo18Oct'!$L:$L, '12OctTo18Oct'!$J:$J, $A70)</f>
        <v>0</v>
      </c>
      <c r="X70" s="121">
        <f>SUMIFS('12OctTo18Oct'!$K:$K, '12OctTo18Oct'!$J:$J, $A70)</f>
        <v>0</v>
      </c>
      <c r="Y70" s="121">
        <f>SUMIFS('12OctTo18Oct'!$O:$O, '12OctTo18Oct'!$J:$J, $A70)</f>
        <v>0</v>
      </c>
      <c r="Z70" s="121">
        <f>SUMIFS('12OctTo18Oct'!$P:$P, '12OctTo18Oct'!$J:$J, $A70)</f>
        <v>0</v>
      </c>
      <c r="AA70" s="122">
        <f t="shared" si="4"/>
        <v>0</v>
      </c>
      <c r="AB70" s="121">
        <f>SUMIFS('5OctTo11Oct'!$L:$L, '5OctTo11Oct'!$J:$J, $A70)</f>
        <v>0</v>
      </c>
      <c r="AC70" s="121">
        <f>SUMIFS('5OctTo11Oct'!$K:$K, '5OctTo11Oct'!$J:$J, $A70)</f>
        <v>0</v>
      </c>
      <c r="AD70" s="121">
        <f>SUMIFS('5OctTo11Oct'!$O:$O, '5OctTo11Oct'!$J:$J, $A70)</f>
        <v>0</v>
      </c>
      <c r="AE70" s="121">
        <f>SUMIFS('5OctTo11Oct'!$P:$P, '5OctTo11Oct'!$J:$J, $A70)</f>
        <v>0</v>
      </c>
      <c r="AF70" s="123">
        <f t="shared" si="5"/>
        <v>0</v>
      </c>
      <c r="AG70" s="121">
        <f>SUMIFS('28SepTo4Oct'!$L:$L, '28SepTo4Oct'!$J:$J, $A70)</f>
        <v>0</v>
      </c>
      <c r="AH70" s="121">
        <f>SUMIFS('28SepTo4Oct'!$K:$K, '28SepTo4Oct'!$J:$J, $A70)</f>
        <v>0</v>
      </c>
      <c r="AI70" s="121">
        <f>SUMIFS('28SepTo4Oct'!$O:$O, '28SepTo4Oct'!$J:$J, $A70)</f>
        <v>0</v>
      </c>
      <c r="AJ70" s="121">
        <f>SUMIFS('28SepTo4Oct'!$P:$P, '28SepTo4Oct'!$J:$J, $A70)</f>
        <v>0</v>
      </c>
      <c r="AK70" s="123">
        <f t="shared" si="6"/>
        <v>0</v>
      </c>
      <c r="AL70" s="121">
        <f>SUMIFS('21SepTo27Sep'!$L:$L, '21SepTo27Sep'!$J:$J, $A70)</f>
        <v>1</v>
      </c>
      <c r="AM70" s="121">
        <f>SUMIFS('21SepTo27Sep'!$K:$K, '21SepTo27Sep'!$J:$J, $A70)</f>
        <v>2</v>
      </c>
      <c r="AN70" s="121">
        <f>SUMIFS('21SepTo27Sep'!$O:$O, '21SepTo27Sep'!$J:$J, $A70)</f>
        <v>3.7</v>
      </c>
      <c r="AO70" s="121">
        <f>SUMIFS('21SepTo27Sep'!$P:$P, '21SepTo27Sep'!$J:$J, $A70)</f>
        <v>24.94</v>
      </c>
      <c r="AP70" s="123">
        <f t="shared" si="7"/>
        <v>14.83560545308741</v>
      </c>
      <c r="AQ70" s="121">
        <f>SUMIFS('14SepTo20Sep'!$L:$L, '14SepTo20Sep'!$J:$J, $A70)</f>
        <v>0</v>
      </c>
      <c r="AR70" s="121">
        <f>SUMIFS('14SepTo20Sep'!$K:$K, '14SepTo20Sep'!$J:$J, $A70)</f>
        <v>0</v>
      </c>
      <c r="AS70" s="121">
        <f>SUMIFS('14SepTo20Sep'!$O:$O, '14SepTo20Sep'!$J:$J, $A70)</f>
        <v>0</v>
      </c>
      <c r="AT70" s="121">
        <f>SUMIFS('14SepTo20Sep'!$P:$P, '14SepTo20Sep'!$J:$J, $A70)</f>
        <v>0</v>
      </c>
      <c r="AU70" s="123">
        <f t="shared" si="8"/>
        <v>0</v>
      </c>
      <c r="AV70" s="121">
        <f>SUMIFS('7SepTo13Sep'!$L:$L, '7SepTo13Sep'!$J:$J, $A70)</f>
        <v>0</v>
      </c>
      <c r="AW70" s="121">
        <f>SUMIFS('7SepTo13Sep'!$K:$K, '7SepTo13Sep'!$J:$J, $A70)</f>
        <v>0</v>
      </c>
      <c r="AX70" s="121">
        <f>SUMIFS('7SepTo13Sep'!$O:$O, '7SepTo13Sep'!$J:$J, $A70)</f>
        <v>0</v>
      </c>
      <c r="AY70" s="121">
        <f>SUMIFS('7SepTo13Sep'!$P:$P, '7SepTo13Sep'!$J:$J, $A70)</f>
        <v>0</v>
      </c>
      <c r="AZ70" s="123">
        <f t="shared" si="9"/>
        <v>0</v>
      </c>
      <c r="BA70" s="121">
        <f>SUMIFS('31AugTo6Sep'!$L:$L, '31AugTo6Sep'!$J:$J, $A70)</f>
        <v>0</v>
      </c>
      <c r="BB70" s="121">
        <f>SUMIFS('31AugTo6Sep'!$K:$K, '31AugTo6Sep'!$J:$J, $A70)</f>
        <v>0</v>
      </c>
      <c r="BC70" s="121">
        <f>SUMIFS('31AugTo6Sep'!$O:$O, '31AugTo6Sep'!$J:$J, $A70)</f>
        <v>0</v>
      </c>
      <c r="BD70" s="121">
        <f>SUMIFS('31AugTo6Sep'!$P:$P, '31AugTo6Sep'!$J:$J, $A70)</f>
        <v>0</v>
      </c>
      <c r="BE70" s="123">
        <f t="shared" si="10"/>
        <v>0</v>
      </c>
      <c r="BF70" s="121">
        <f>SUMIFS('24AugTo29Aug'!$L:$L, '24AugTo29Aug'!$J:$J, $A70)</f>
        <v>0</v>
      </c>
      <c r="BG70" s="121">
        <f>SUMIFS('24AugTo29Aug'!$K:$K, '24AugTo29Aug'!$J:$J, $A70)</f>
        <v>0</v>
      </c>
      <c r="BH70" s="121">
        <f>SUMIFS('24AugTo29Aug'!$O:$O, '24AugTo29Aug'!$J:$J, $A70)</f>
        <v>0</v>
      </c>
      <c r="BI70" s="121">
        <f>SUMIFS('24AugTo29Aug'!$P:$P, '24AugTo29Aug'!$J:$J, $A70)</f>
        <v>0</v>
      </c>
      <c r="BJ70" s="123">
        <f t="shared" si="11"/>
        <v>0</v>
      </c>
      <c r="BK70" s="121">
        <f>SUMIFS('17AugTo21Aug'!$L:$L, '17AugTo21Aug'!$J:$J, $A70)</f>
        <v>0</v>
      </c>
      <c r="BL70" s="121">
        <f>SUMIFS('17AugTo21Aug'!$K:$K, '17AugTo21Aug'!$J:$J, $A70)</f>
        <v>0</v>
      </c>
      <c r="BM70" s="121">
        <f>SUMIFS('17AugTo21Aug'!$O:$O, '17AugTo21Aug'!$J:$J, $A70)</f>
        <v>0</v>
      </c>
      <c r="BN70" s="121">
        <f>SUMIFS('17AugTo21Aug'!$P:$P, '17AugTo21Aug'!$J:$J, $A70)</f>
        <v>0</v>
      </c>
      <c r="BO70" s="123">
        <f t="shared" si="12"/>
        <v>0</v>
      </c>
      <c r="BP70" s="121">
        <f>SUMIFS('10AugTo16Aug'!$L:$L, '10AugTo16Aug'!$J:$J, $A70)</f>
        <v>0</v>
      </c>
      <c r="BQ70" s="121">
        <f>SUMIFS('10AugTo16Aug'!$K:$K, '10AugTo16Aug'!$J:$J, $A70)</f>
        <v>0</v>
      </c>
      <c r="BR70" s="121">
        <f>SUMIFS('10AugTo16Aug'!$O:$O, '10AugTo16Aug'!$J:$J, $A70)</f>
        <v>0</v>
      </c>
      <c r="BS70" s="121">
        <f>SUMIFS('10AugTo16Aug'!$P:$P, '10AugTo16Aug'!$J:$J, $A70)</f>
        <v>0</v>
      </c>
      <c r="BT70" s="123">
        <f t="shared" si="13"/>
        <v>0</v>
      </c>
      <c r="BU70" s="121">
        <f>SUMIFS('3AugTo9Aug'!$L:$L, '3AugTo9Aug'!$J:$J, $A70)</f>
        <v>0</v>
      </c>
      <c r="BV70" s="121">
        <f>SUMIFS('3AugTo9Aug'!$K:$K, '3AugTo9Aug'!$J:$J, $A70)</f>
        <v>0</v>
      </c>
      <c r="BW70" s="121">
        <f>SUMIFS('3AugTo9Aug'!$O:$O, '3AugTo9Aug'!$J:$J, $A70)</f>
        <v>0</v>
      </c>
      <c r="BX70" s="121">
        <f>SUMIFS('3AugTo9Aug'!$P:$P, '3AugTo9Aug'!$J:$J, $A70)</f>
        <v>0</v>
      </c>
      <c r="BY70" s="123">
        <f t="shared" si="14"/>
        <v>0</v>
      </c>
      <c r="BZ70" s="121">
        <f>SUMIFS('27JulyTo2Aug'!$L:$L, '27JulyTo2Aug'!$J:$J, $A70)</f>
        <v>0</v>
      </c>
      <c r="CA70" s="121">
        <f>SUMIFS('27JulyTo2Aug'!$K:$K, '27JulyTo2Aug'!$J:$J, $A70)</f>
        <v>0</v>
      </c>
      <c r="CB70" s="121">
        <f>SUMIFS('27JulyTo2Aug'!$O:$O, '27JulyTo2Aug'!$J:$J, $A70)</f>
        <v>0</v>
      </c>
      <c r="CC70" s="121">
        <f>SUMIFS('27JulyTo2Aug'!$P:$P, '27JulyTo2Aug'!$J:$J, $A70)</f>
        <v>0</v>
      </c>
      <c r="CD70" s="123">
        <f t="shared" si="15"/>
        <v>0</v>
      </c>
    </row>
    <row r="71" spans="1:82" ht="14.25" customHeight="1" x14ac:dyDescent="0.3">
      <c r="A71" s="119" t="s">
        <v>417</v>
      </c>
      <c r="B71" s="120" t="str">
        <f t="shared" si="17"/>
        <v>NO TRAFFIC</v>
      </c>
      <c r="C71" s="121">
        <f>SUMIFS('9NovTo15Nov'!$L:$L, '9NovTo15Nov'!$J:$J, $A71)</f>
        <v>0</v>
      </c>
      <c r="D71" s="121">
        <f>SUMIFS('9NovTo15Nov'!$K:$K, '9NovTo15Nov'!$J:$J, $A71)</f>
        <v>0</v>
      </c>
      <c r="E71" s="121">
        <f>SUMIFS('9NovTo15Nov'!$O:$O, '9NovTo15Nov'!$J:$J, $A71)</f>
        <v>0</v>
      </c>
      <c r="F71" s="121">
        <f>SUMIFS('9NovTo15Nov'!$P:$P, '9NovTo15Nov'!$J:$J, $A71)</f>
        <v>0</v>
      </c>
      <c r="G71" s="122">
        <f t="shared" si="0"/>
        <v>0</v>
      </c>
      <c r="H71" s="121">
        <f>SUMIFS('2NovTo8Nov'!$L:$L, '2NovTo8Nov'!$J:$J, $A71)</f>
        <v>0</v>
      </c>
      <c r="I71" s="121">
        <f>SUMIFS('2NovTo8Nov'!$K:$K, '2NovTo8Nov'!$J:$J, $A71)</f>
        <v>0</v>
      </c>
      <c r="J71" s="121">
        <f>SUMIFS('2NovTo8Nov'!$O:$O, '2NovTo8Nov'!$J:$J, $A71)</f>
        <v>0</v>
      </c>
      <c r="K71" s="121">
        <f>SUMIFS('2NovTo8Nov'!$P:$P, '2NovTo8Nov'!$J:$J, $A71)</f>
        <v>0</v>
      </c>
      <c r="L71" s="122">
        <f t="shared" si="1"/>
        <v>0</v>
      </c>
      <c r="M71" s="121">
        <f>SUMIFS('26OctTo1Nov'!$L:$L, '26OctTo1Nov'!$J:$J, $A71)</f>
        <v>0</v>
      </c>
      <c r="N71" s="121">
        <f>SUMIFS('26OctTo1Nov'!$K:$K, '26OctTo1Nov'!$J:$J, $A71)</f>
        <v>0</v>
      </c>
      <c r="O71" s="121">
        <f>SUMIFS('26OctTo1Nov'!$O:$O, '26OctTo1Nov'!$J:$J, $A71)</f>
        <v>0</v>
      </c>
      <c r="P71" s="121">
        <f>SUMIFS('26OctTo1Nov'!$P:$P, '26OctTo1Nov'!$J:$J, $A71)</f>
        <v>0</v>
      </c>
      <c r="Q71" s="122">
        <f t="shared" si="2"/>
        <v>0</v>
      </c>
      <c r="R71" s="121">
        <f>SUMIFS('19OctTo25Oct'!$L:$L, '19OctTo25Oct'!$J:$J, $A71)</f>
        <v>0</v>
      </c>
      <c r="S71" s="121">
        <f>SUMIFS('19OctTo25Oct'!$K:$K, '19OctTo25Oct'!$J:$J, $A71)</f>
        <v>0</v>
      </c>
      <c r="T71" s="121">
        <f>SUMIFS('19OctTo25Oct'!$O:$O, '19OctTo25Oct'!$J:$J, $A71)</f>
        <v>0</v>
      </c>
      <c r="U71" s="121">
        <f>SUMIFS('19OctTo25Oct'!$P:$P, '19OctTo25Oct'!$J:$J, $A71)</f>
        <v>0</v>
      </c>
      <c r="V71" s="122">
        <f t="shared" si="3"/>
        <v>0</v>
      </c>
      <c r="W71" s="121">
        <f>SUMIFS('12OctTo18Oct'!$L:$L, '12OctTo18Oct'!$J:$J, $A71)</f>
        <v>0</v>
      </c>
      <c r="X71" s="121">
        <f>SUMIFS('12OctTo18Oct'!$K:$K, '12OctTo18Oct'!$J:$J, $A71)</f>
        <v>0</v>
      </c>
      <c r="Y71" s="121">
        <f>SUMIFS('12OctTo18Oct'!$O:$O, '12OctTo18Oct'!$J:$J, $A71)</f>
        <v>0</v>
      </c>
      <c r="Z71" s="121">
        <f>SUMIFS('12OctTo18Oct'!$P:$P, '12OctTo18Oct'!$J:$J, $A71)</f>
        <v>0</v>
      </c>
      <c r="AA71" s="122">
        <f t="shared" si="4"/>
        <v>0</v>
      </c>
      <c r="AB71" s="121">
        <f>SUMIFS('5OctTo11Oct'!$L:$L, '5OctTo11Oct'!$J:$J, $A71)</f>
        <v>0</v>
      </c>
      <c r="AC71" s="121">
        <f>SUMIFS('5OctTo11Oct'!$K:$K, '5OctTo11Oct'!$J:$J, $A71)</f>
        <v>0</v>
      </c>
      <c r="AD71" s="121">
        <f>SUMIFS('5OctTo11Oct'!$O:$O, '5OctTo11Oct'!$J:$J, $A71)</f>
        <v>0</v>
      </c>
      <c r="AE71" s="121">
        <f>SUMIFS('5OctTo11Oct'!$P:$P, '5OctTo11Oct'!$J:$J, $A71)</f>
        <v>0</v>
      </c>
      <c r="AF71" s="123">
        <f t="shared" si="5"/>
        <v>0</v>
      </c>
      <c r="AG71" s="121">
        <f>SUMIFS('28SepTo4Oct'!$L:$L, '28SepTo4Oct'!$J:$J, $A71)</f>
        <v>0</v>
      </c>
      <c r="AH71" s="121">
        <f>SUMIFS('28SepTo4Oct'!$K:$K, '28SepTo4Oct'!$J:$J, $A71)</f>
        <v>0</v>
      </c>
      <c r="AI71" s="121">
        <f>SUMIFS('28SepTo4Oct'!$O:$O, '28SepTo4Oct'!$J:$J, $A71)</f>
        <v>0</v>
      </c>
      <c r="AJ71" s="121">
        <f>SUMIFS('28SepTo4Oct'!$P:$P, '28SepTo4Oct'!$J:$J, $A71)</f>
        <v>0</v>
      </c>
      <c r="AK71" s="123">
        <f t="shared" si="6"/>
        <v>0</v>
      </c>
      <c r="AL71" s="121">
        <f>SUMIFS('21SepTo27Sep'!$L:$L, '21SepTo27Sep'!$J:$J, $A71)</f>
        <v>1</v>
      </c>
      <c r="AM71" s="121">
        <f>SUMIFS('21SepTo27Sep'!$K:$K, '21SepTo27Sep'!$J:$J, $A71)</f>
        <v>1</v>
      </c>
      <c r="AN71" s="121">
        <f>SUMIFS('21SepTo27Sep'!$O:$O, '21SepTo27Sep'!$J:$J, $A71)</f>
        <v>2.85</v>
      </c>
      <c r="AO71" s="121">
        <f>SUMIFS('21SepTo27Sep'!$P:$P, '21SepTo27Sep'!$J:$J, $A71)</f>
        <v>24.94</v>
      </c>
      <c r="AP71" s="123">
        <f t="shared" si="7"/>
        <v>11.427425821972733</v>
      </c>
      <c r="AQ71" s="121">
        <f>SUMIFS('14SepTo20Sep'!$L:$L, '14SepTo20Sep'!$J:$J, $A71)</f>
        <v>0</v>
      </c>
      <c r="AR71" s="121">
        <f>SUMIFS('14SepTo20Sep'!$K:$K, '14SepTo20Sep'!$J:$J, $A71)</f>
        <v>0</v>
      </c>
      <c r="AS71" s="121">
        <f>SUMIFS('14SepTo20Sep'!$O:$O, '14SepTo20Sep'!$J:$J, $A71)</f>
        <v>0</v>
      </c>
      <c r="AT71" s="121">
        <f>SUMIFS('14SepTo20Sep'!$P:$P, '14SepTo20Sep'!$J:$J, $A71)</f>
        <v>0</v>
      </c>
      <c r="AU71" s="123">
        <f t="shared" si="8"/>
        <v>0</v>
      </c>
      <c r="AV71" s="121">
        <f>SUMIFS('7SepTo13Sep'!$L:$L, '7SepTo13Sep'!$J:$J, $A71)</f>
        <v>0</v>
      </c>
      <c r="AW71" s="121">
        <f>SUMIFS('7SepTo13Sep'!$K:$K, '7SepTo13Sep'!$J:$J, $A71)</f>
        <v>0</v>
      </c>
      <c r="AX71" s="121">
        <f>SUMIFS('7SepTo13Sep'!$O:$O, '7SepTo13Sep'!$J:$J, $A71)</f>
        <v>0</v>
      </c>
      <c r="AY71" s="121">
        <f>SUMIFS('7SepTo13Sep'!$P:$P, '7SepTo13Sep'!$J:$J, $A71)</f>
        <v>0</v>
      </c>
      <c r="AZ71" s="123">
        <f t="shared" si="9"/>
        <v>0</v>
      </c>
      <c r="BA71" s="121">
        <f>SUMIFS('31AugTo6Sep'!$L:$L, '31AugTo6Sep'!$J:$J, $A71)</f>
        <v>0</v>
      </c>
      <c r="BB71" s="121">
        <f>SUMIFS('31AugTo6Sep'!$K:$K, '31AugTo6Sep'!$J:$J, $A71)</f>
        <v>0</v>
      </c>
      <c r="BC71" s="121">
        <f>SUMIFS('31AugTo6Sep'!$O:$O, '31AugTo6Sep'!$J:$J, $A71)</f>
        <v>0</v>
      </c>
      <c r="BD71" s="121">
        <f>SUMIFS('31AugTo6Sep'!$P:$P, '31AugTo6Sep'!$J:$J, $A71)</f>
        <v>0</v>
      </c>
      <c r="BE71" s="123">
        <f t="shared" si="10"/>
        <v>0</v>
      </c>
      <c r="BF71" s="121">
        <f>SUMIFS('24AugTo29Aug'!$L:$L, '24AugTo29Aug'!$J:$J, $A71)</f>
        <v>0</v>
      </c>
      <c r="BG71" s="121">
        <f>SUMIFS('24AugTo29Aug'!$K:$K, '24AugTo29Aug'!$J:$J, $A71)</f>
        <v>0</v>
      </c>
      <c r="BH71" s="121">
        <f>SUMIFS('24AugTo29Aug'!$O:$O, '24AugTo29Aug'!$J:$J, $A71)</f>
        <v>0</v>
      </c>
      <c r="BI71" s="121">
        <f>SUMIFS('24AugTo29Aug'!$P:$P, '24AugTo29Aug'!$J:$J, $A71)</f>
        <v>0</v>
      </c>
      <c r="BJ71" s="123">
        <f t="shared" si="11"/>
        <v>0</v>
      </c>
      <c r="BK71" s="121">
        <f>SUMIFS('17AugTo21Aug'!$L:$L, '17AugTo21Aug'!$J:$J, $A71)</f>
        <v>0</v>
      </c>
      <c r="BL71" s="121">
        <f>SUMIFS('17AugTo21Aug'!$K:$K, '17AugTo21Aug'!$J:$J, $A71)</f>
        <v>0</v>
      </c>
      <c r="BM71" s="121">
        <f>SUMIFS('17AugTo21Aug'!$O:$O, '17AugTo21Aug'!$J:$J, $A71)</f>
        <v>0</v>
      </c>
      <c r="BN71" s="121">
        <f>SUMIFS('17AugTo21Aug'!$P:$P, '17AugTo21Aug'!$J:$J, $A71)</f>
        <v>0</v>
      </c>
      <c r="BO71" s="123">
        <f t="shared" si="12"/>
        <v>0</v>
      </c>
      <c r="BP71" s="121">
        <f>SUMIFS('10AugTo16Aug'!$L:$L, '10AugTo16Aug'!$J:$J, $A71)</f>
        <v>0</v>
      </c>
      <c r="BQ71" s="121">
        <f>SUMIFS('10AugTo16Aug'!$K:$K, '10AugTo16Aug'!$J:$J, $A71)</f>
        <v>0</v>
      </c>
      <c r="BR71" s="121">
        <f>SUMIFS('10AugTo16Aug'!$O:$O, '10AugTo16Aug'!$J:$J, $A71)</f>
        <v>0</v>
      </c>
      <c r="BS71" s="121">
        <f>SUMIFS('10AugTo16Aug'!$P:$P, '10AugTo16Aug'!$J:$J, $A71)</f>
        <v>0</v>
      </c>
      <c r="BT71" s="123">
        <f t="shared" si="13"/>
        <v>0</v>
      </c>
      <c r="BU71" s="121">
        <f>SUMIFS('3AugTo9Aug'!$L:$L, '3AugTo9Aug'!$J:$J, $A71)</f>
        <v>0</v>
      </c>
      <c r="BV71" s="121">
        <f>SUMIFS('3AugTo9Aug'!$K:$K, '3AugTo9Aug'!$J:$J, $A71)</f>
        <v>0</v>
      </c>
      <c r="BW71" s="121">
        <f>SUMIFS('3AugTo9Aug'!$O:$O, '3AugTo9Aug'!$J:$J, $A71)</f>
        <v>0</v>
      </c>
      <c r="BX71" s="121">
        <f>SUMIFS('3AugTo9Aug'!$P:$P, '3AugTo9Aug'!$J:$J, $A71)</f>
        <v>0</v>
      </c>
      <c r="BY71" s="123">
        <f t="shared" si="14"/>
        <v>0</v>
      </c>
      <c r="BZ71" s="121">
        <f>SUMIFS('27JulyTo2Aug'!$L:$L, '27JulyTo2Aug'!$J:$J, $A71)</f>
        <v>0</v>
      </c>
      <c r="CA71" s="121">
        <f>SUMIFS('27JulyTo2Aug'!$K:$K, '27JulyTo2Aug'!$J:$J, $A71)</f>
        <v>0</v>
      </c>
      <c r="CB71" s="121">
        <f>SUMIFS('27JulyTo2Aug'!$O:$O, '27JulyTo2Aug'!$J:$J, $A71)</f>
        <v>0</v>
      </c>
      <c r="CC71" s="121">
        <f>SUMIFS('27JulyTo2Aug'!$P:$P, '27JulyTo2Aug'!$J:$J, $A71)</f>
        <v>0</v>
      </c>
      <c r="CD71" s="123">
        <f t="shared" si="15"/>
        <v>0</v>
      </c>
    </row>
    <row r="72" spans="1:82" ht="14.25" customHeight="1" x14ac:dyDescent="0.3">
      <c r="A72" s="119" t="s">
        <v>425</v>
      </c>
      <c r="B72" s="120" t="str">
        <f t="shared" si="17"/>
        <v>NO TRAFFIC</v>
      </c>
      <c r="C72" s="121">
        <f>SUMIFS('9NovTo15Nov'!$L:$L, '9NovTo15Nov'!$J:$J, $A72)</f>
        <v>0</v>
      </c>
      <c r="D72" s="121">
        <f>SUMIFS('9NovTo15Nov'!$K:$K, '9NovTo15Nov'!$J:$J, $A72)</f>
        <v>0</v>
      </c>
      <c r="E72" s="121">
        <f>SUMIFS('9NovTo15Nov'!$O:$O, '9NovTo15Nov'!$J:$J, $A72)</f>
        <v>0</v>
      </c>
      <c r="F72" s="121">
        <f>SUMIFS('9NovTo15Nov'!$P:$P, '9NovTo15Nov'!$J:$J, $A72)</f>
        <v>0</v>
      </c>
      <c r="G72" s="122">
        <f t="shared" si="0"/>
        <v>0</v>
      </c>
      <c r="H72" s="121">
        <f>SUMIFS('2NovTo8Nov'!$L:$L, '2NovTo8Nov'!$J:$J, $A72)</f>
        <v>0</v>
      </c>
      <c r="I72" s="121">
        <f>SUMIFS('2NovTo8Nov'!$K:$K, '2NovTo8Nov'!$J:$J, $A72)</f>
        <v>0</v>
      </c>
      <c r="J72" s="121">
        <f>SUMIFS('2NovTo8Nov'!$O:$O, '2NovTo8Nov'!$J:$J, $A72)</f>
        <v>0</v>
      </c>
      <c r="K72" s="121">
        <f>SUMIFS('2NovTo8Nov'!$P:$P, '2NovTo8Nov'!$J:$J, $A72)</f>
        <v>0</v>
      </c>
      <c r="L72" s="122">
        <f t="shared" si="1"/>
        <v>0</v>
      </c>
      <c r="M72" s="121">
        <f>SUMIFS('26OctTo1Nov'!$L:$L, '26OctTo1Nov'!$J:$J, $A72)</f>
        <v>0</v>
      </c>
      <c r="N72" s="121">
        <f>SUMIFS('26OctTo1Nov'!$K:$K, '26OctTo1Nov'!$J:$J, $A72)</f>
        <v>0</v>
      </c>
      <c r="O72" s="121">
        <f>SUMIFS('26OctTo1Nov'!$O:$O, '26OctTo1Nov'!$J:$J, $A72)</f>
        <v>0</v>
      </c>
      <c r="P72" s="121">
        <f>SUMIFS('26OctTo1Nov'!$P:$P, '26OctTo1Nov'!$J:$J, $A72)</f>
        <v>0</v>
      </c>
      <c r="Q72" s="122">
        <f t="shared" si="2"/>
        <v>0</v>
      </c>
      <c r="R72" s="121">
        <f>SUMIFS('19OctTo25Oct'!$L:$L, '19OctTo25Oct'!$J:$J, $A72)</f>
        <v>0</v>
      </c>
      <c r="S72" s="121">
        <f>SUMIFS('19OctTo25Oct'!$K:$K, '19OctTo25Oct'!$J:$J, $A72)</f>
        <v>0</v>
      </c>
      <c r="T72" s="121">
        <f>SUMIFS('19OctTo25Oct'!$O:$O, '19OctTo25Oct'!$J:$J, $A72)</f>
        <v>0</v>
      </c>
      <c r="U72" s="121">
        <f>SUMIFS('19OctTo25Oct'!$P:$P, '19OctTo25Oct'!$J:$J, $A72)</f>
        <v>0</v>
      </c>
      <c r="V72" s="122">
        <f t="shared" si="3"/>
        <v>0</v>
      </c>
      <c r="W72" s="121">
        <f>SUMIFS('12OctTo18Oct'!$L:$L, '12OctTo18Oct'!$J:$J, $A72)</f>
        <v>0</v>
      </c>
      <c r="X72" s="121">
        <f>SUMIFS('12OctTo18Oct'!$K:$K, '12OctTo18Oct'!$J:$J, $A72)</f>
        <v>0</v>
      </c>
      <c r="Y72" s="121">
        <f>SUMIFS('12OctTo18Oct'!$O:$O, '12OctTo18Oct'!$J:$J, $A72)</f>
        <v>0</v>
      </c>
      <c r="Z72" s="121">
        <f>SUMIFS('12OctTo18Oct'!$P:$P, '12OctTo18Oct'!$J:$J, $A72)</f>
        <v>0</v>
      </c>
      <c r="AA72" s="122">
        <f t="shared" si="4"/>
        <v>0</v>
      </c>
      <c r="AB72" s="121">
        <f>SUMIFS('5OctTo11Oct'!$L:$L, '5OctTo11Oct'!$J:$J, $A72)</f>
        <v>0</v>
      </c>
      <c r="AC72" s="121">
        <f>SUMIFS('5OctTo11Oct'!$K:$K, '5OctTo11Oct'!$J:$J, $A72)</f>
        <v>0</v>
      </c>
      <c r="AD72" s="121">
        <f>SUMIFS('5OctTo11Oct'!$O:$O, '5OctTo11Oct'!$J:$J, $A72)</f>
        <v>0</v>
      </c>
      <c r="AE72" s="121">
        <f>SUMIFS('5OctTo11Oct'!$P:$P, '5OctTo11Oct'!$J:$J, $A72)</f>
        <v>0</v>
      </c>
      <c r="AF72" s="123">
        <f t="shared" si="5"/>
        <v>0</v>
      </c>
      <c r="AG72" s="121">
        <f>SUMIFS('28SepTo4Oct'!$L:$L, '28SepTo4Oct'!$J:$J, $A72)</f>
        <v>0</v>
      </c>
      <c r="AH72" s="121">
        <f>SUMIFS('28SepTo4Oct'!$K:$K, '28SepTo4Oct'!$J:$J, $A72)</f>
        <v>0</v>
      </c>
      <c r="AI72" s="121">
        <f>SUMIFS('28SepTo4Oct'!$O:$O, '28SepTo4Oct'!$J:$J, $A72)</f>
        <v>0</v>
      </c>
      <c r="AJ72" s="121">
        <f>SUMIFS('28SepTo4Oct'!$P:$P, '28SepTo4Oct'!$J:$J, $A72)</f>
        <v>0</v>
      </c>
      <c r="AK72" s="123">
        <f t="shared" si="6"/>
        <v>0</v>
      </c>
      <c r="AL72" s="121">
        <f>SUMIFS('21SepTo27Sep'!$L:$L, '21SepTo27Sep'!$J:$J, $A72)</f>
        <v>2</v>
      </c>
      <c r="AM72" s="121">
        <f>SUMIFS('21SepTo27Sep'!$K:$K, '21SepTo27Sep'!$J:$J, $A72)</f>
        <v>4</v>
      </c>
      <c r="AN72" s="121">
        <f>SUMIFS('21SepTo27Sep'!$O:$O, '21SepTo27Sep'!$J:$J, $A72)</f>
        <v>7.35</v>
      </c>
      <c r="AO72" s="121">
        <f>SUMIFS('21SepTo27Sep'!$P:$P, '21SepTo27Sep'!$J:$J, $A72)</f>
        <v>24.94</v>
      </c>
      <c r="AP72" s="123">
        <f t="shared" si="7"/>
        <v>29.470729751403361</v>
      </c>
      <c r="AQ72" s="121">
        <f>SUMIFS('14SepTo20Sep'!$L:$L, '14SepTo20Sep'!$J:$J, $A72)</f>
        <v>0</v>
      </c>
      <c r="AR72" s="121">
        <f>SUMIFS('14SepTo20Sep'!$K:$K, '14SepTo20Sep'!$J:$J, $A72)</f>
        <v>0</v>
      </c>
      <c r="AS72" s="121">
        <f>SUMIFS('14SepTo20Sep'!$O:$O, '14SepTo20Sep'!$J:$J, $A72)</f>
        <v>0</v>
      </c>
      <c r="AT72" s="121">
        <f>SUMIFS('14SepTo20Sep'!$P:$P, '14SepTo20Sep'!$J:$J, $A72)</f>
        <v>0</v>
      </c>
      <c r="AU72" s="123">
        <f t="shared" si="8"/>
        <v>0</v>
      </c>
      <c r="AV72" s="121">
        <f>SUMIFS('7SepTo13Sep'!$L:$L, '7SepTo13Sep'!$J:$J, $A72)</f>
        <v>0</v>
      </c>
      <c r="AW72" s="121">
        <f>SUMIFS('7SepTo13Sep'!$K:$K, '7SepTo13Sep'!$J:$J, $A72)</f>
        <v>0</v>
      </c>
      <c r="AX72" s="121">
        <f>SUMIFS('7SepTo13Sep'!$O:$O, '7SepTo13Sep'!$J:$J, $A72)</f>
        <v>0</v>
      </c>
      <c r="AY72" s="121">
        <f>SUMIFS('7SepTo13Sep'!$P:$P, '7SepTo13Sep'!$J:$J, $A72)</f>
        <v>0</v>
      </c>
      <c r="AZ72" s="123">
        <f t="shared" si="9"/>
        <v>0</v>
      </c>
      <c r="BA72" s="121">
        <f>SUMIFS('31AugTo6Sep'!$L:$L, '31AugTo6Sep'!$J:$J, $A72)</f>
        <v>0</v>
      </c>
      <c r="BB72" s="121">
        <f>SUMIFS('31AugTo6Sep'!$K:$K, '31AugTo6Sep'!$J:$J, $A72)</f>
        <v>0</v>
      </c>
      <c r="BC72" s="121">
        <f>SUMIFS('31AugTo6Sep'!$O:$O, '31AugTo6Sep'!$J:$J, $A72)</f>
        <v>0</v>
      </c>
      <c r="BD72" s="121">
        <f>SUMIFS('31AugTo6Sep'!$P:$P, '31AugTo6Sep'!$J:$J, $A72)</f>
        <v>0</v>
      </c>
      <c r="BE72" s="123">
        <f t="shared" si="10"/>
        <v>0</v>
      </c>
      <c r="BF72" s="121">
        <f>SUMIFS('24AugTo29Aug'!$L:$L, '24AugTo29Aug'!$J:$J, $A72)</f>
        <v>0</v>
      </c>
      <c r="BG72" s="121">
        <f>SUMIFS('24AugTo29Aug'!$K:$K, '24AugTo29Aug'!$J:$J, $A72)</f>
        <v>0</v>
      </c>
      <c r="BH72" s="121">
        <f>SUMIFS('24AugTo29Aug'!$O:$O, '24AugTo29Aug'!$J:$J, $A72)</f>
        <v>0</v>
      </c>
      <c r="BI72" s="121">
        <f>SUMIFS('24AugTo29Aug'!$P:$P, '24AugTo29Aug'!$J:$J, $A72)</f>
        <v>0</v>
      </c>
      <c r="BJ72" s="123">
        <f t="shared" si="11"/>
        <v>0</v>
      </c>
      <c r="BK72" s="121">
        <f>SUMIFS('17AugTo21Aug'!$L:$L, '17AugTo21Aug'!$J:$J, $A72)</f>
        <v>0</v>
      </c>
      <c r="BL72" s="121">
        <f>SUMIFS('17AugTo21Aug'!$K:$K, '17AugTo21Aug'!$J:$J, $A72)</f>
        <v>0</v>
      </c>
      <c r="BM72" s="121">
        <f>SUMIFS('17AugTo21Aug'!$O:$O, '17AugTo21Aug'!$J:$J, $A72)</f>
        <v>0</v>
      </c>
      <c r="BN72" s="121">
        <f>SUMIFS('17AugTo21Aug'!$P:$P, '17AugTo21Aug'!$J:$J, $A72)</f>
        <v>0</v>
      </c>
      <c r="BO72" s="123">
        <f t="shared" si="12"/>
        <v>0</v>
      </c>
      <c r="BP72" s="121">
        <f>SUMIFS('10AugTo16Aug'!$L:$L, '10AugTo16Aug'!$J:$J, $A72)</f>
        <v>0</v>
      </c>
      <c r="BQ72" s="121">
        <f>SUMIFS('10AugTo16Aug'!$K:$K, '10AugTo16Aug'!$J:$J, $A72)</f>
        <v>0</v>
      </c>
      <c r="BR72" s="121">
        <f>SUMIFS('10AugTo16Aug'!$O:$O, '10AugTo16Aug'!$J:$J, $A72)</f>
        <v>0</v>
      </c>
      <c r="BS72" s="121">
        <f>SUMIFS('10AugTo16Aug'!$P:$P, '10AugTo16Aug'!$J:$J, $A72)</f>
        <v>0</v>
      </c>
      <c r="BT72" s="123">
        <f t="shared" si="13"/>
        <v>0</v>
      </c>
      <c r="BU72" s="121">
        <f>SUMIFS('3AugTo9Aug'!$L:$L, '3AugTo9Aug'!$J:$J, $A72)</f>
        <v>0</v>
      </c>
      <c r="BV72" s="121">
        <f>SUMIFS('3AugTo9Aug'!$K:$K, '3AugTo9Aug'!$J:$J, $A72)</f>
        <v>0</v>
      </c>
      <c r="BW72" s="121">
        <f>SUMIFS('3AugTo9Aug'!$O:$O, '3AugTo9Aug'!$J:$J, $A72)</f>
        <v>0</v>
      </c>
      <c r="BX72" s="121">
        <f>SUMIFS('3AugTo9Aug'!$P:$P, '3AugTo9Aug'!$J:$J, $A72)</f>
        <v>0</v>
      </c>
      <c r="BY72" s="123">
        <f t="shared" si="14"/>
        <v>0</v>
      </c>
      <c r="BZ72" s="121">
        <f>SUMIFS('27JulyTo2Aug'!$L:$L, '27JulyTo2Aug'!$J:$J, $A72)</f>
        <v>0</v>
      </c>
      <c r="CA72" s="121">
        <f>SUMIFS('27JulyTo2Aug'!$K:$K, '27JulyTo2Aug'!$J:$J, $A72)</f>
        <v>0</v>
      </c>
      <c r="CB72" s="121">
        <f>SUMIFS('27JulyTo2Aug'!$O:$O, '27JulyTo2Aug'!$J:$J, $A72)</f>
        <v>0</v>
      </c>
      <c r="CC72" s="121">
        <f>SUMIFS('27JulyTo2Aug'!$P:$P, '27JulyTo2Aug'!$J:$J, $A72)</f>
        <v>0</v>
      </c>
      <c r="CD72" s="123">
        <f t="shared" si="15"/>
        <v>0</v>
      </c>
    </row>
    <row r="73" spans="1:82" ht="14.25" customHeight="1" x14ac:dyDescent="0.3">
      <c r="A73" s="119" t="s">
        <v>428</v>
      </c>
      <c r="B73" s="120" t="str">
        <f t="shared" si="17"/>
        <v>NO TRAFFIC</v>
      </c>
      <c r="C73" s="121">
        <f>SUMIFS('9NovTo15Nov'!$L:$L, '9NovTo15Nov'!$J:$J, $A73)</f>
        <v>0</v>
      </c>
      <c r="D73" s="121">
        <f>SUMIFS('9NovTo15Nov'!$K:$K, '9NovTo15Nov'!$J:$J, $A73)</f>
        <v>0</v>
      </c>
      <c r="E73" s="121">
        <f>SUMIFS('9NovTo15Nov'!$O:$O, '9NovTo15Nov'!$J:$J, $A73)</f>
        <v>0</v>
      </c>
      <c r="F73" s="121">
        <f>SUMIFS('9NovTo15Nov'!$P:$P, '9NovTo15Nov'!$J:$J, $A73)</f>
        <v>0</v>
      </c>
      <c r="G73" s="122">
        <f t="shared" si="0"/>
        <v>0</v>
      </c>
      <c r="H73" s="121">
        <f>SUMIFS('2NovTo8Nov'!$L:$L, '2NovTo8Nov'!$J:$J, $A73)</f>
        <v>0</v>
      </c>
      <c r="I73" s="121">
        <f>SUMIFS('2NovTo8Nov'!$K:$K, '2NovTo8Nov'!$J:$J, $A73)</f>
        <v>0</v>
      </c>
      <c r="J73" s="121">
        <f>SUMIFS('2NovTo8Nov'!$O:$O, '2NovTo8Nov'!$J:$J, $A73)</f>
        <v>0</v>
      </c>
      <c r="K73" s="121">
        <f>SUMIFS('2NovTo8Nov'!$P:$P, '2NovTo8Nov'!$J:$J, $A73)</f>
        <v>0</v>
      </c>
      <c r="L73" s="122">
        <f t="shared" si="1"/>
        <v>0</v>
      </c>
      <c r="M73" s="121">
        <f>SUMIFS('26OctTo1Nov'!$L:$L, '26OctTo1Nov'!$J:$J, $A73)</f>
        <v>0</v>
      </c>
      <c r="N73" s="121">
        <f>SUMIFS('26OctTo1Nov'!$K:$K, '26OctTo1Nov'!$J:$J, $A73)</f>
        <v>0</v>
      </c>
      <c r="O73" s="121">
        <f>SUMIFS('26OctTo1Nov'!$O:$O, '26OctTo1Nov'!$J:$J, $A73)</f>
        <v>0</v>
      </c>
      <c r="P73" s="121">
        <f>SUMIFS('26OctTo1Nov'!$P:$P, '26OctTo1Nov'!$J:$J, $A73)</f>
        <v>0</v>
      </c>
      <c r="Q73" s="122">
        <f t="shared" si="2"/>
        <v>0</v>
      </c>
      <c r="R73" s="121">
        <f>SUMIFS('19OctTo25Oct'!$L:$L, '19OctTo25Oct'!$J:$J, $A73)</f>
        <v>0</v>
      </c>
      <c r="S73" s="121">
        <f>SUMIFS('19OctTo25Oct'!$K:$K, '19OctTo25Oct'!$J:$J, $A73)</f>
        <v>0</v>
      </c>
      <c r="T73" s="121">
        <f>SUMIFS('19OctTo25Oct'!$O:$O, '19OctTo25Oct'!$J:$J, $A73)</f>
        <v>0</v>
      </c>
      <c r="U73" s="121">
        <f>SUMIFS('19OctTo25Oct'!$P:$P, '19OctTo25Oct'!$J:$J, $A73)</f>
        <v>0</v>
      </c>
      <c r="V73" s="122">
        <f t="shared" si="3"/>
        <v>0</v>
      </c>
      <c r="W73" s="121">
        <f>SUMIFS('12OctTo18Oct'!$L:$L, '12OctTo18Oct'!$J:$J, $A73)</f>
        <v>0</v>
      </c>
      <c r="X73" s="121">
        <f>SUMIFS('12OctTo18Oct'!$K:$K, '12OctTo18Oct'!$J:$J, $A73)</f>
        <v>0</v>
      </c>
      <c r="Y73" s="121">
        <f>SUMIFS('12OctTo18Oct'!$O:$O, '12OctTo18Oct'!$J:$J, $A73)</f>
        <v>0</v>
      </c>
      <c r="Z73" s="121">
        <f>SUMIFS('12OctTo18Oct'!$P:$P, '12OctTo18Oct'!$J:$J, $A73)</f>
        <v>0</v>
      </c>
      <c r="AA73" s="122">
        <f t="shared" si="4"/>
        <v>0</v>
      </c>
      <c r="AB73" s="121">
        <f>SUMIFS('5OctTo11Oct'!$L:$L, '5OctTo11Oct'!$J:$J, $A73)</f>
        <v>0</v>
      </c>
      <c r="AC73" s="121">
        <f>SUMIFS('5OctTo11Oct'!$K:$K, '5OctTo11Oct'!$J:$J, $A73)</f>
        <v>0</v>
      </c>
      <c r="AD73" s="121">
        <f>SUMIFS('5OctTo11Oct'!$O:$O, '5OctTo11Oct'!$J:$J, $A73)</f>
        <v>0</v>
      </c>
      <c r="AE73" s="121">
        <f>SUMIFS('5OctTo11Oct'!$P:$P, '5OctTo11Oct'!$J:$J, $A73)</f>
        <v>0</v>
      </c>
      <c r="AF73" s="123">
        <f t="shared" si="5"/>
        <v>0</v>
      </c>
      <c r="AG73" s="121">
        <f>SUMIFS('28SepTo4Oct'!$L:$L, '28SepTo4Oct'!$J:$J, $A73)</f>
        <v>0</v>
      </c>
      <c r="AH73" s="121">
        <f>SUMIFS('28SepTo4Oct'!$K:$K, '28SepTo4Oct'!$J:$J, $A73)</f>
        <v>0</v>
      </c>
      <c r="AI73" s="121">
        <f>SUMIFS('28SepTo4Oct'!$O:$O, '28SepTo4Oct'!$J:$J, $A73)</f>
        <v>0</v>
      </c>
      <c r="AJ73" s="121">
        <f>SUMIFS('28SepTo4Oct'!$P:$P, '28SepTo4Oct'!$J:$J, $A73)</f>
        <v>0</v>
      </c>
      <c r="AK73" s="123">
        <f t="shared" si="6"/>
        <v>0</v>
      </c>
      <c r="AL73" s="121">
        <f>SUMIFS('21SepTo27Sep'!$L:$L, '21SepTo27Sep'!$J:$J, $A73)</f>
        <v>2</v>
      </c>
      <c r="AM73" s="121">
        <f>SUMIFS('21SepTo27Sep'!$K:$K, '21SepTo27Sep'!$J:$J, $A73)</f>
        <v>5</v>
      </c>
      <c r="AN73" s="121">
        <f>SUMIFS('21SepTo27Sep'!$O:$O, '21SepTo27Sep'!$J:$J, $A73)</f>
        <v>5.16</v>
      </c>
      <c r="AO73" s="121">
        <f>SUMIFS('21SepTo27Sep'!$P:$P, '21SepTo27Sep'!$J:$J, $A73)</f>
        <v>24.94</v>
      </c>
      <c r="AP73" s="123">
        <f t="shared" si="7"/>
        <v>20.689655172413794</v>
      </c>
      <c r="AQ73" s="121">
        <f>SUMIFS('14SepTo20Sep'!$L:$L, '14SepTo20Sep'!$J:$J, $A73)</f>
        <v>0</v>
      </c>
      <c r="AR73" s="121">
        <f>SUMIFS('14SepTo20Sep'!$K:$K, '14SepTo20Sep'!$J:$J, $A73)</f>
        <v>0</v>
      </c>
      <c r="AS73" s="121">
        <f>SUMIFS('14SepTo20Sep'!$O:$O, '14SepTo20Sep'!$J:$J, $A73)</f>
        <v>0</v>
      </c>
      <c r="AT73" s="121">
        <f>SUMIFS('14SepTo20Sep'!$P:$P, '14SepTo20Sep'!$J:$J, $A73)</f>
        <v>0</v>
      </c>
      <c r="AU73" s="123">
        <f t="shared" si="8"/>
        <v>0</v>
      </c>
      <c r="AV73" s="121">
        <f>SUMIFS('7SepTo13Sep'!$L:$L, '7SepTo13Sep'!$J:$J, $A73)</f>
        <v>0</v>
      </c>
      <c r="AW73" s="121">
        <f>SUMIFS('7SepTo13Sep'!$K:$K, '7SepTo13Sep'!$J:$J, $A73)</f>
        <v>0</v>
      </c>
      <c r="AX73" s="121">
        <f>SUMIFS('7SepTo13Sep'!$O:$O, '7SepTo13Sep'!$J:$J, $A73)</f>
        <v>0</v>
      </c>
      <c r="AY73" s="121">
        <f>SUMIFS('7SepTo13Sep'!$P:$P, '7SepTo13Sep'!$J:$J, $A73)</f>
        <v>0</v>
      </c>
      <c r="AZ73" s="123">
        <f t="shared" si="9"/>
        <v>0</v>
      </c>
      <c r="BA73" s="121">
        <f>SUMIFS('31AugTo6Sep'!$L:$L, '31AugTo6Sep'!$J:$J, $A73)</f>
        <v>0</v>
      </c>
      <c r="BB73" s="121">
        <f>SUMIFS('31AugTo6Sep'!$K:$K, '31AugTo6Sep'!$J:$J, $A73)</f>
        <v>0</v>
      </c>
      <c r="BC73" s="121">
        <f>SUMIFS('31AugTo6Sep'!$O:$O, '31AugTo6Sep'!$J:$J, $A73)</f>
        <v>0</v>
      </c>
      <c r="BD73" s="121">
        <f>SUMIFS('31AugTo6Sep'!$P:$P, '31AugTo6Sep'!$J:$J, $A73)</f>
        <v>0</v>
      </c>
      <c r="BE73" s="123">
        <f t="shared" si="10"/>
        <v>0</v>
      </c>
      <c r="BF73" s="121">
        <f>SUMIFS('24AugTo29Aug'!$L:$L, '24AugTo29Aug'!$J:$J, $A73)</f>
        <v>0</v>
      </c>
      <c r="BG73" s="121">
        <f>SUMIFS('24AugTo29Aug'!$K:$K, '24AugTo29Aug'!$J:$J, $A73)</f>
        <v>0</v>
      </c>
      <c r="BH73" s="121">
        <f>SUMIFS('24AugTo29Aug'!$O:$O, '24AugTo29Aug'!$J:$J, $A73)</f>
        <v>0</v>
      </c>
      <c r="BI73" s="121">
        <f>SUMIFS('24AugTo29Aug'!$P:$P, '24AugTo29Aug'!$J:$J, $A73)</f>
        <v>0</v>
      </c>
      <c r="BJ73" s="123">
        <f t="shared" si="11"/>
        <v>0</v>
      </c>
      <c r="BK73" s="121">
        <f>SUMIFS('17AugTo21Aug'!$L:$L, '17AugTo21Aug'!$J:$J, $A73)</f>
        <v>0</v>
      </c>
      <c r="BL73" s="121">
        <f>SUMIFS('17AugTo21Aug'!$K:$K, '17AugTo21Aug'!$J:$J, $A73)</f>
        <v>0</v>
      </c>
      <c r="BM73" s="121">
        <f>SUMIFS('17AugTo21Aug'!$O:$O, '17AugTo21Aug'!$J:$J, $A73)</f>
        <v>0</v>
      </c>
      <c r="BN73" s="121">
        <f>SUMIFS('17AugTo21Aug'!$P:$P, '17AugTo21Aug'!$J:$J, $A73)</f>
        <v>0</v>
      </c>
      <c r="BO73" s="123">
        <f t="shared" si="12"/>
        <v>0</v>
      </c>
      <c r="BP73" s="121">
        <f>SUMIFS('10AugTo16Aug'!$L:$L, '10AugTo16Aug'!$J:$J, $A73)</f>
        <v>0</v>
      </c>
      <c r="BQ73" s="121">
        <f>SUMIFS('10AugTo16Aug'!$K:$K, '10AugTo16Aug'!$J:$J, $A73)</f>
        <v>0</v>
      </c>
      <c r="BR73" s="121">
        <f>SUMIFS('10AugTo16Aug'!$O:$O, '10AugTo16Aug'!$J:$J, $A73)</f>
        <v>0</v>
      </c>
      <c r="BS73" s="121">
        <f>SUMIFS('10AugTo16Aug'!$P:$P, '10AugTo16Aug'!$J:$J, $A73)</f>
        <v>0</v>
      </c>
      <c r="BT73" s="123">
        <f t="shared" si="13"/>
        <v>0</v>
      </c>
      <c r="BU73" s="121">
        <f>SUMIFS('3AugTo9Aug'!$L:$L, '3AugTo9Aug'!$J:$J, $A73)</f>
        <v>0</v>
      </c>
      <c r="BV73" s="121">
        <f>SUMIFS('3AugTo9Aug'!$K:$K, '3AugTo9Aug'!$J:$J, $A73)</f>
        <v>0</v>
      </c>
      <c r="BW73" s="121">
        <f>SUMIFS('3AugTo9Aug'!$O:$O, '3AugTo9Aug'!$J:$J, $A73)</f>
        <v>0</v>
      </c>
      <c r="BX73" s="121">
        <f>SUMIFS('3AugTo9Aug'!$P:$P, '3AugTo9Aug'!$J:$J, $A73)</f>
        <v>0</v>
      </c>
      <c r="BY73" s="123">
        <f t="shared" si="14"/>
        <v>0</v>
      </c>
      <c r="BZ73" s="121">
        <f>SUMIFS('27JulyTo2Aug'!$L:$L, '27JulyTo2Aug'!$J:$J, $A73)</f>
        <v>0</v>
      </c>
      <c r="CA73" s="121">
        <f>SUMIFS('27JulyTo2Aug'!$K:$K, '27JulyTo2Aug'!$J:$J, $A73)</f>
        <v>0</v>
      </c>
      <c r="CB73" s="121">
        <f>SUMIFS('27JulyTo2Aug'!$O:$O, '27JulyTo2Aug'!$J:$J, $A73)</f>
        <v>0</v>
      </c>
      <c r="CC73" s="121">
        <f>SUMIFS('27JulyTo2Aug'!$P:$P, '27JulyTo2Aug'!$J:$J, $A73)</f>
        <v>0</v>
      </c>
      <c r="CD73" s="123">
        <f t="shared" si="15"/>
        <v>0</v>
      </c>
    </row>
    <row r="74" spans="1:82" ht="14.25" customHeight="1" x14ac:dyDescent="0.3">
      <c r="A74" s="119" t="s">
        <v>434</v>
      </c>
      <c r="B74" s="120" t="str">
        <f t="shared" si="17"/>
        <v>NO TRAFFIC</v>
      </c>
      <c r="C74" s="121">
        <f>SUMIFS('9NovTo15Nov'!$L:$L, '9NovTo15Nov'!$J:$J, $A74)</f>
        <v>0</v>
      </c>
      <c r="D74" s="121">
        <f>SUMIFS('9NovTo15Nov'!$K:$K, '9NovTo15Nov'!$J:$J, $A74)</f>
        <v>0</v>
      </c>
      <c r="E74" s="121">
        <f>SUMIFS('9NovTo15Nov'!$O:$O, '9NovTo15Nov'!$J:$J, $A74)</f>
        <v>0</v>
      </c>
      <c r="F74" s="121">
        <f>SUMIFS('9NovTo15Nov'!$P:$P, '9NovTo15Nov'!$J:$J, $A74)</f>
        <v>0</v>
      </c>
      <c r="G74" s="122">
        <f t="shared" si="0"/>
        <v>0</v>
      </c>
      <c r="H74" s="121">
        <f>SUMIFS('2NovTo8Nov'!$L:$L, '2NovTo8Nov'!$J:$J, $A74)</f>
        <v>0</v>
      </c>
      <c r="I74" s="121">
        <f>SUMIFS('2NovTo8Nov'!$K:$K, '2NovTo8Nov'!$J:$J, $A74)</f>
        <v>0</v>
      </c>
      <c r="J74" s="121">
        <f>SUMIFS('2NovTo8Nov'!$O:$O, '2NovTo8Nov'!$J:$J, $A74)</f>
        <v>0</v>
      </c>
      <c r="K74" s="121">
        <f>SUMIFS('2NovTo8Nov'!$P:$P, '2NovTo8Nov'!$J:$J, $A74)</f>
        <v>0</v>
      </c>
      <c r="L74" s="122">
        <f t="shared" si="1"/>
        <v>0</v>
      </c>
      <c r="M74" s="121">
        <f>SUMIFS('26OctTo1Nov'!$L:$L, '26OctTo1Nov'!$J:$J, $A74)</f>
        <v>0</v>
      </c>
      <c r="N74" s="121">
        <f>SUMIFS('26OctTo1Nov'!$K:$K, '26OctTo1Nov'!$J:$J, $A74)</f>
        <v>0</v>
      </c>
      <c r="O74" s="121">
        <f>SUMIFS('26OctTo1Nov'!$O:$O, '26OctTo1Nov'!$J:$J, $A74)</f>
        <v>0</v>
      </c>
      <c r="P74" s="121">
        <f>SUMIFS('26OctTo1Nov'!$P:$P, '26OctTo1Nov'!$J:$J, $A74)</f>
        <v>0</v>
      </c>
      <c r="Q74" s="122">
        <f t="shared" si="2"/>
        <v>0</v>
      </c>
      <c r="R74" s="121">
        <f>SUMIFS('19OctTo25Oct'!$L:$L, '19OctTo25Oct'!$J:$J, $A74)</f>
        <v>0</v>
      </c>
      <c r="S74" s="121">
        <f>SUMIFS('19OctTo25Oct'!$K:$K, '19OctTo25Oct'!$J:$J, $A74)</f>
        <v>0</v>
      </c>
      <c r="T74" s="121">
        <f>SUMIFS('19OctTo25Oct'!$O:$O, '19OctTo25Oct'!$J:$J, $A74)</f>
        <v>0</v>
      </c>
      <c r="U74" s="121">
        <f>SUMIFS('19OctTo25Oct'!$P:$P, '19OctTo25Oct'!$J:$J, $A74)</f>
        <v>0</v>
      </c>
      <c r="V74" s="122">
        <f t="shared" si="3"/>
        <v>0</v>
      </c>
      <c r="W74" s="121">
        <f>SUMIFS('12OctTo18Oct'!$L:$L, '12OctTo18Oct'!$J:$J, $A74)</f>
        <v>0</v>
      </c>
      <c r="X74" s="121">
        <f>SUMIFS('12OctTo18Oct'!$K:$K, '12OctTo18Oct'!$J:$J, $A74)</f>
        <v>0</v>
      </c>
      <c r="Y74" s="121">
        <f>SUMIFS('12OctTo18Oct'!$O:$O, '12OctTo18Oct'!$J:$J, $A74)</f>
        <v>0</v>
      </c>
      <c r="Z74" s="121">
        <f>SUMIFS('12OctTo18Oct'!$P:$P, '12OctTo18Oct'!$J:$J, $A74)</f>
        <v>0</v>
      </c>
      <c r="AA74" s="122">
        <f t="shared" si="4"/>
        <v>0</v>
      </c>
      <c r="AB74" s="121">
        <f>SUMIFS('5OctTo11Oct'!$L:$L, '5OctTo11Oct'!$J:$J, $A74)</f>
        <v>0</v>
      </c>
      <c r="AC74" s="121">
        <f>SUMIFS('5OctTo11Oct'!$K:$K, '5OctTo11Oct'!$J:$J, $A74)</f>
        <v>0</v>
      </c>
      <c r="AD74" s="121">
        <f>SUMIFS('5OctTo11Oct'!$O:$O, '5OctTo11Oct'!$J:$J, $A74)</f>
        <v>0</v>
      </c>
      <c r="AE74" s="121">
        <f>SUMIFS('5OctTo11Oct'!$P:$P, '5OctTo11Oct'!$J:$J, $A74)</f>
        <v>0</v>
      </c>
      <c r="AF74" s="123">
        <f t="shared" si="5"/>
        <v>0</v>
      </c>
      <c r="AG74" s="121">
        <f>SUMIFS('28SepTo4Oct'!$L:$L, '28SepTo4Oct'!$J:$J, $A74)</f>
        <v>0</v>
      </c>
      <c r="AH74" s="121">
        <f>SUMIFS('28SepTo4Oct'!$K:$K, '28SepTo4Oct'!$J:$J, $A74)</f>
        <v>0</v>
      </c>
      <c r="AI74" s="121">
        <f>SUMIFS('28SepTo4Oct'!$O:$O, '28SepTo4Oct'!$J:$J, $A74)</f>
        <v>0</v>
      </c>
      <c r="AJ74" s="121">
        <f>SUMIFS('28SepTo4Oct'!$P:$P, '28SepTo4Oct'!$J:$J, $A74)</f>
        <v>0</v>
      </c>
      <c r="AK74" s="123">
        <f t="shared" si="6"/>
        <v>0</v>
      </c>
      <c r="AL74" s="121">
        <f>SUMIFS('21SepTo27Sep'!$L:$L, '21SepTo27Sep'!$J:$J, $A74)</f>
        <v>1</v>
      </c>
      <c r="AM74" s="121">
        <f>SUMIFS('21SepTo27Sep'!$K:$K, '21SepTo27Sep'!$J:$J, $A74)</f>
        <v>10</v>
      </c>
      <c r="AN74" s="121">
        <f>SUMIFS('21SepTo27Sep'!$O:$O, '21SepTo27Sep'!$J:$J, $A74)</f>
        <v>1.98</v>
      </c>
      <c r="AO74" s="121">
        <f>SUMIFS('21SepTo27Sep'!$P:$P, '21SepTo27Sep'!$J:$J, $A74)</f>
        <v>21.9</v>
      </c>
      <c r="AP74" s="123">
        <f t="shared" si="7"/>
        <v>9.0410958904109595</v>
      </c>
      <c r="AQ74" s="121">
        <f>SUMIFS('14SepTo20Sep'!$L:$L, '14SepTo20Sep'!$J:$J, $A74)</f>
        <v>0</v>
      </c>
      <c r="AR74" s="121">
        <f>SUMIFS('14SepTo20Sep'!$K:$K, '14SepTo20Sep'!$J:$J, $A74)</f>
        <v>0</v>
      </c>
      <c r="AS74" s="121">
        <f>SUMIFS('14SepTo20Sep'!$O:$O, '14SepTo20Sep'!$J:$J, $A74)</f>
        <v>0</v>
      </c>
      <c r="AT74" s="121">
        <f>SUMIFS('14SepTo20Sep'!$P:$P, '14SepTo20Sep'!$J:$J, $A74)</f>
        <v>0</v>
      </c>
      <c r="AU74" s="123">
        <f t="shared" si="8"/>
        <v>0</v>
      </c>
      <c r="AV74" s="121">
        <f>SUMIFS('7SepTo13Sep'!$L:$L, '7SepTo13Sep'!$J:$J, $A74)</f>
        <v>0</v>
      </c>
      <c r="AW74" s="121">
        <f>SUMIFS('7SepTo13Sep'!$K:$K, '7SepTo13Sep'!$J:$J, $A74)</f>
        <v>0</v>
      </c>
      <c r="AX74" s="121">
        <f>SUMIFS('7SepTo13Sep'!$O:$O, '7SepTo13Sep'!$J:$J, $A74)</f>
        <v>0</v>
      </c>
      <c r="AY74" s="121">
        <f>SUMIFS('7SepTo13Sep'!$P:$P, '7SepTo13Sep'!$J:$J, $A74)</f>
        <v>0</v>
      </c>
      <c r="AZ74" s="123">
        <f t="shared" si="9"/>
        <v>0</v>
      </c>
      <c r="BA74" s="121">
        <f>SUMIFS('31AugTo6Sep'!$L:$L, '31AugTo6Sep'!$J:$J, $A74)</f>
        <v>0</v>
      </c>
      <c r="BB74" s="121">
        <f>SUMIFS('31AugTo6Sep'!$K:$K, '31AugTo6Sep'!$J:$J, $A74)</f>
        <v>0</v>
      </c>
      <c r="BC74" s="121">
        <f>SUMIFS('31AugTo6Sep'!$O:$O, '31AugTo6Sep'!$J:$J, $A74)</f>
        <v>0</v>
      </c>
      <c r="BD74" s="121">
        <f>SUMIFS('31AugTo6Sep'!$P:$P, '31AugTo6Sep'!$J:$J, $A74)</f>
        <v>0</v>
      </c>
      <c r="BE74" s="123">
        <f t="shared" si="10"/>
        <v>0</v>
      </c>
      <c r="BF74" s="121">
        <f>SUMIFS('24AugTo29Aug'!$L:$L, '24AugTo29Aug'!$J:$J, $A74)</f>
        <v>0</v>
      </c>
      <c r="BG74" s="121">
        <f>SUMIFS('24AugTo29Aug'!$K:$K, '24AugTo29Aug'!$J:$J, $A74)</f>
        <v>0</v>
      </c>
      <c r="BH74" s="121">
        <f>SUMIFS('24AugTo29Aug'!$O:$O, '24AugTo29Aug'!$J:$J, $A74)</f>
        <v>0</v>
      </c>
      <c r="BI74" s="121">
        <f>SUMIFS('24AugTo29Aug'!$P:$P, '24AugTo29Aug'!$J:$J, $A74)</f>
        <v>0</v>
      </c>
      <c r="BJ74" s="123">
        <f t="shared" si="11"/>
        <v>0</v>
      </c>
      <c r="BK74" s="121">
        <f>SUMIFS('17AugTo21Aug'!$L:$L, '17AugTo21Aug'!$J:$J, $A74)</f>
        <v>0</v>
      </c>
      <c r="BL74" s="121">
        <f>SUMIFS('17AugTo21Aug'!$K:$K, '17AugTo21Aug'!$J:$J, $A74)</f>
        <v>0</v>
      </c>
      <c r="BM74" s="121">
        <f>SUMIFS('17AugTo21Aug'!$O:$O, '17AugTo21Aug'!$J:$J, $A74)</f>
        <v>0</v>
      </c>
      <c r="BN74" s="121">
        <f>SUMIFS('17AugTo21Aug'!$P:$P, '17AugTo21Aug'!$J:$J, $A74)</f>
        <v>0</v>
      </c>
      <c r="BO74" s="123">
        <f t="shared" si="12"/>
        <v>0</v>
      </c>
      <c r="BP74" s="121">
        <f>SUMIFS('10AugTo16Aug'!$L:$L, '10AugTo16Aug'!$J:$J, $A74)</f>
        <v>0</v>
      </c>
      <c r="BQ74" s="121">
        <f>SUMIFS('10AugTo16Aug'!$K:$K, '10AugTo16Aug'!$J:$J, $A74)</f>
        <v>0</v>
      </c>
      <c r="BR74" s="121">
        <f>SUMIFS('10AugTo16Aug'!$O:$O, '10AugTo16Aug'!$J:$J, $A74)</f>
        <v>0</v>
      </c>
      <c r="BS74" s="121">
        <f>SUMIFS('10AugTo16Aug'!$P:$P, '10AugTo16Aug'!$J:$J, $A74)</f>
        <v>0</v>
      </c>
      <c r="BT74" s="123">
        <f t="shared" si="13"/>
        <v>0</v>
      </c>
      <c r="BU74" s="121">
        <f>SUMIFS('3AugTo9Aug'!$L:$L, '3AugTo9Aug'!$J:$J, $A74)</f>
        <v>0</v>
      </c>
      <c r="BV74" s="121">
        <f>SUMIFS('3AugTo9Aug'!$K:$K, '3AugTo9Aug'!$J:$J, $A74)</f>
        <v>0</v>
      </c>
      <c r="BW74" s="121">
        <f>SUMIFS('3AugTo9Aug'!$O:$O, '3AugTo9Aug'!$J:$J, $A74)</f>
        <v>0</v>
      </c>
      <c r="BX74" s="121">
        <f>SUMIFS('3AugTo9Aug'!$P:$P, '3AugTo9Aug'!$J:$J, $A74)</f>
        <v>0</v>
      </c>
      <c r="BY74" s="123">
        <f t="shared" si="14"/>
        <v>0</v>
      </c>
      <c r="BZ74" s="121">
        <f>SUMIFS('27JulyTo2Aug'!$L:$L, '27JulyTo2Aug'!$J:$J, $A74)</f>
        <v>0</v>
      </c>
      <c r="CA74" s="121">
        <f>SUMIFS('27JulyTo2Aug'!$K:$K, '27JulyTo2Aug'!$J:$J, $A74)</f>
        <v>0</v>
      </c>
      <c r="CB74" s="121">
        <f>SUMIFS('27JulyTo2Aug'!$O:$O, '27JulyTo2Aug'!$J:$J, $A74)</f>
        <v>0</v>
      </c>
      <c r="CC74" s="121">
        <f>SUMIFS('27JulyTo2Aug'!$P:$P, '27JulyTo2Aug'!$J:$J, $A74)</f>
        <v>0</v>
      </c>
      <c r="CD74" s="123">
        <f t="shared" si="15"/>
        <v>0</v>
      </c>
    </row>
    <row r="75" spans="1:82" ht="14.25" customHeight="1" x14ac:dyDescent="0.3">
      <c r="A75" s="128" t="s">
        <v>437</v>
      </c>
      <c r="B75" s="120" t="str">
        <f t="shared" si="17"/>
        <v>NO TRAFFIC</v>
      </c>
      <c r="C75" s="121">
        <f>SUMIFS('9NovTo15Nov'!$L:$L, '9NovTo15Nov'!$J:$J, $A75)</f>
        <v>0</v>
      </c>
      <c r="D75" s="121">
        <f>SUMIFS('9NovTo15Nov'!$K:$K, '9NovTo15Nov'!$J:$J, $A75)</f>
        <v>0</v>
      </c>
      <c r="E75" s="121">
        <f>SUMIFS('9NovTo15Nov'!$O:$O, '9NovTo15Nov'!$J:$J, $A75)</f>
        <v>0</v>
      </c>
      <c r="F75" s="121">
        <f>SUMIFS('9NovTo15Nov'!$P:$P, '9NovTo15Nov'!$J:$J, $A75)</f>
        <v>0</v>
      </c>
      <c r="G75" s="122">
        <f t="shared" si="0"/>
        <v>0</v>
      </c>
      <c r="H75" s="121">
        <f>SUMIFS('2NovTo8Nov'!$L:$L, '2NovTo8Nov'!$J:$J, $A75)</f>
        <v>0</v>
      </c>
      <c r="I75" s="121">
        <f>SUMIFS('2NovTo8Nov'!$K:$K, '2NovTo8Nov'!$J:$J, $A75)</f>
        <v>0</v>
      </c>
      <c r="J75" s="121">
        <f>SUMIFS('2NovTo8Nov'!$O:$O, '2NovTo8Nov'!$J:$J, $A75)</f>
        <v>0</v>
      </c>
      <c r="K75" s="121">
        <f>SUMIFS('2NovTo8Nov'!$P:$P, '2NovTo8Nov'!$J:$J, $A75)</f>
        <v>0</v>
      </c>
      <c r="L75" s="122">
        <f t="shared" si="1"/>
        <v>0</v>
      </c>
      <c r="M75" s="121">
        <f>SUMIFS('26OctTo1Nov'!$L:$L, '26OctTo1Nov'!$J:$J, $A75)</f>
        <v>0</v>
      </c>
      <c r="N75" s="121">
        <f>SUMIFS('26OctTo1Nov'!$K:$K, '26OctTo1Nov'!$J:$J, $A75)</f>
        <v>0</v>
      </c>
      <c r="O75" s="121">
        <f>SUMIFS('26OctTo1Nov'!$O:$O, '26OctTo1Nov'!$J:$J, $A75)</f>
        <v>0</v>
      </c>
      <c r="P75" s="121">
        <f>SUMIFS('26OctTo1Nov'!$P:$P, '26OctTo1Nov'!$J:$J, $A75)</f>
        <v>0</v>
      </c>
      <c r="Q75" s="122">
        <f t="shared" si="2"/>
        <v>0</v>
      </c>
      <c r="R75" s="121">
        <f>SUMIFS('19OctTo25Oct'!$L:$L, '19OctTo25Oct'!$J:$J, $A75)</f>
        <v>0</v>
      </c>
      <c r="S75" s="121">
        <f>SUMIFS('19OctTo25Oct'!$K:$K, '19OctTo25Oct'!$J:$J, $A75)</f>
        <v>0</v>
      </c>
      <c r="T75" s="121">
        <f>SUMIFS('19OctTo25Oct'!$O:$O, '19OctTo25Oct'!$J:$J, $A75)</f>
        <v>0</v>
      </c>
      <c r="U75" s="121">
        <f>SUMIFS('19OctTo25Oct'!$P:$P, '19OctTo25Oct'!$J:$J, $A75)</f>
        <v>0</v>
      </c>
      <c r="V75" s="122">
        <f t="shared" si="3"/>
        <v>0</v>
      </c>
      <c r="W75" s="121">
        <f>SUMIFS('12OctTo18Oct'!$L:$L, '12OctTo18Oct'!$J:$J, $A75)</f>
        <v>0</v>
      </c>
      <c r="X75" s="121">
        <f>SUMIFS('12OctTo18Oct'!$K:$K, '12OctTo18Oct'!$J:$J, $A75)</f>
        <v>0</v>
      </c>
      <c r="Y75" s="121">
        <f>SUMIFS('12OctTo18Oct'!$O:$O, '12OctTo18Oct'!$J:$J, $A75)</f>
        <v>0</v>
      </c>
      <c r="Z75" s="121">
        <f>SUMIFS('12OctTo18Oct'!$P:$P, '12OctTo18Oct'!$J:$J, $A75)</f>
        <v>0</v>
      </c>
      <c r="AA75" s="122">
        <f t="shared" si="4"/>
        <v>0</v>
      </c>
      <c r="AB75" s="121">
        <f>SUMIFS('5OctTo11Oct'!$L:$L, '5OctTo11Oct'!$J:$J, $A75)</f>
        <v>0</v>
      </c>
      <c r="AC75" s="121">
        <f>SUMIFS('5OctTo11Oct'!$K:$K, '5OctTo11Oct'!$J:$J, $A75)</f>
        <v>0</v>
      </c>
      <c r="AD75" s="121">
        <f>SUMIFS('5OctTo11Oct'!$O:$O, '5OctTo11Oct'!$J:$J, $A75)</f>
        <v>0</v>
      </c>
      <c r="AE75" s="121">
        <f>SUMIFS('5OctTo11Oct'!$P:$P, '5OctTo11Oct'!$J:$J, $A75)</f>
        <v>0</v>
      </c>
      <c r="AF75" s="123">
        <f t="shared" si="5"/>
        <v>0</v>
      </c>
      <c r="AG75" s="129">
        <f>SUMIFS('28SepTo4Oct'!$L:$L, '28SepTo4Oct'!$J:$J, $A75)</f>
        <v>0</v>
      </c>
      <c r="AH75" s="129">
        <f>SUMIFS('28SepTo4Oct'!$K:$K, '28SepTo4Oct'!$J:$J, $A75)</f>
        <v>0</v>
      </c>
      <c r="AI75" s="129">
        <f>SUMIFS('28SepTo4Oct'!$O:$O, '28SepTo4Oct'!$J:$J, $A75)</f>
        <v>0</v>
      </c>
      <c r="AJ75" s="129">
        <f>SUMIFS('28SepTo4Oct'!$P:$P, '28SepTo4Oct'!$J:$J, $A75)</f>
        <v>0</v>
      </c>
      <c r="AK75" s="123">
        <f t="shared" si="6"/>
        <v>0</v>
      </c>
      <c r="AL75" s="129">
        <f>SUMIFS('21SepTo27Sep'!$L:$L, '21SepTo27Sep'!$J:$J, $A75)</f>
        <v>1</v>
      </c>
      <c r="AM75" s="129">
        <f>SUMIFS('21SepTo27Sep'!$K:$K, '21SepTo27Sep'!$J:$J, $A75)</f>
        <v>3</v>
      </c>
      <c r="AN75" s="121">
        <f>SUMIFS('21SepTo27Sep'!$O:$O, '21SepTo27Sep'!$J:$J, $A75)</f>
        <v>3.7</v>
      </c>
      <c r="AO75" s="129">
        <f>SUMIFS('21SepTo27Sep'!$P:$P, '21SepTo27Sep'!$J:$J, $A75)</f>
        <v>24.94</v>
      </c>
      <c r="AP75" s="123">
        <f t="shared" si="7"/>
        <v>14.83560545308741</v>
      </c>
      <c r="AQ75" s="129">
        <f>SUMIFS('14SepTo20Sep'!$L:$L, '14SepTo20Sep'!$J:$J, $A75)</f>
        <v>0</v>
      </c>
      <c r="AR75" s="129">
        <f>SUMIFS('14SepTo20Sep'!$K:$K, '14SepTo20Sep'!$J:$J, $A75)</f>
        <v>0</v>
      </c>
      <c r="AS75" s="121">
        <f>SUMIFS('14SepTo20Sep'!$O:$O, '14SepTo20Sep'!$J:$J, $A75)</f>
        <v>0</v>
      </c>
      <c r="AT75" s="129">
        <f>SUMIFS('14SepTo20Sep'!$P:$P, '14SepTo20Sep'!$J:$J, $A75)</f>
        <v>0</v>
      </c>
      <c r="AU75" s="123">
        <f t="shared" si="8"/>
        <v>0</v>
      </c>
      <c r="AV75" s="129">
        <f>SUMIFS('7SepTo13Sep'!$L:$L, '7SepTo13Sep'!$J:$J, $A75)</f>
        <v>0</v>
      </c>
      <c r="AW75" s="129">
        <f>SUMIFS('7SepTo13Sep'!$K:$K, '7SepTo13Sep'!$J:$J, $A75)</f>
        <v>0</v>
      </c>
      <c r="AX75" s="121">
        <f>SUMIFS('7SepTo13Sep'!$O:$O, '7SepTo13Sep'!$J:$J, $A75)</f>
        <v>0</v>
      </c>
      <c r="AY75" s="129">
        <f>SUMIFS('7SepTo13Sep'!$P:$P, '7SepTo13Sep'!$J:$J, $A75)</f>
        <v>0</v>
      </c>
      <c r="AZ75" s="123">
        <f t="shared" si="9"/>
        <v>0</v>
      </c>
      <c r="BA75" s="129">
        <f>SUMIFS('31AugTo6Sep'!$L:$L, '31AugTo6Sep'!$J:$J, $A75)</f>
        <v>0</v>
      </c>
      <c r="BB75" s="129">
        <f>SUMIFS('31AugTo6Sep'!$K:$K, '31AugTo6Sep'!$J:$J, $A75)</f>
        <v>0</v>
      </c>
      <c r="BC75" s="121">
        <f>SUMIFS('31AugTo6Sep'!$O:$O, '31AugTo6Sep'!$J:$J, $A75)</f>
        <v>0</v>
      </c>
      <c r="BD75" s="129">
        <f>SUMIFS('31AugTo6Sep'!$P:$P, '31AugTo6Sep'!$J:$J, $A75)</f>
        <v>0</v>
      </c>
      <c r="BE75" s="123">
        <f t="shared" si="10"/>
        <v>0</v>
      </c>
      <c r="BF75" s="129">
        <f>SUMIFS('24AugTo29Aug'!$L:$L, '24AugTo29Aug'!$J:$J, $A75)</f>
        <v>0</v>
      </c>
      <c r="BG75" s="129">
        <f>SUMIFS('24AugTo29Aug'!$K:$K, '24AugTo29Aug'!$J:$J, $A75)</f>
        <v>0</v>
      </c>
      <c r="BH75" s="121">
        <f>SUMIFS('24AugTo29Aug'!$O:$O, '24AugTo29Aug'!$J:$J, $A75)</f>
        <v>0</v>
      </c>
      <c r="BI75" s="129">
        <f>SUMIFS('24AugTo29Aug'!$P:$P, '24AugTo29Aug'!$J:$J, $A75)</f>
        <v>0</v>
      </c>
      <c r="BJ75" s="123">
        <f t="shared" si="11"/>
        <v>0</v>
      </c>
      <c r="BK75" s="129">
        <f>SUMIFS('17AugTo21Aug'!$L:$L, '17AugTo21Aug'!$J:$J, $A75)</f>
        <v>0</v>
      </c>
      <c r="BL75" s="129">
        <f>SUMIFS('17AugTo21Aug'!$K:$K, '17AugTo21Aug'!$J:$J, $A75)</f>
        <v>0</v>
      </c>
      <c r="BM75" s="121">
        <f>SUMIFS('17AugTo21Aug'!$O:$O, '17AugTo21Aug'!$J:$J, $A75)</f>
        <v>0</v>
      </c>
      <c r="BN75" s="129">
        <f>SUMIFS('17AugTo21Aug'!$P:$P, '17AugTo21Aug'!$J:$J, $A75)</f>
        <v>0</v>
      </c>
      <c r="BO75" s="123">
        <f t="shared" si="12"/>
        <v>0</v>
      </c>
      <c r="BP75" s="129">
        <f>SUMIFS('10AugTo16Aug'!$L:$L, '10AugTo16Aug'!$J:$J, $A75)</f>
        <v>0</v>
      </c>
      <c r="BQ75" s="129">
        <f>SUMIFS('10AugTo16Aug'!$K:$K, '10AugTo16Aug'!$J:$J, $A75)</f>
        <v>0</v>
      </c>
      <c r="BR75" s="121">
        <f>SUMIFS('10AugTo16Aug'!$O:$O, '10AugTo16Aug'!$J:$J, $A75)</f>
        <v>0</v>
      </c>
      <c r="BS75" s="129">
        <f>SUMIFS('10AugTo16Aug'!$P:$P, '10AugTo16Aug'!$J:$J, $A75)</f>
        <v>0</v>
      </c>
      <c r="BT75" s="123">
        <f t="shared" si="13"/>
        <v>0</v>
      </c>
      <c r="BU75" s="129">
        <f>SUMIFS('3AugTo9Aug'!$L:$L, '3AugTo9Aug'!$J:$J, $A75)</f>
        <v>0</v>
      </c>
      <c r="BV75" s="129">
        <f>SUMIFS('3AugTo9Aug'!$K:$K, '3AugTo9Aug'!$J:$J, $A75)</f>
        <v>0</v>
      </c>
      <c r="BW75" s="121">
        <f>SUMIFS('3AugTo9Aug'!$O:$O, '3AugTo9Aug'!$J:$J, $A75)</f>
        <v>0</v>
      </c>
      <c r="BX75" s="129">
        <f>SUMIFS('3AugTo9Aug'!$P:$P, '3AugTo9Aug'!$J:$J, $A75)</f>
        <v>0</v>
      </c>
      <c r="BY75" s="123">
        <f t="shared" si="14"/>
        <v>0</v>
      </c>
      <c r="BZ75" s="129">
        <f>SUMIFS('27JulyTo2Aug'!$L:$L, '27JulyTo2Aug'!$J:$J, $A75)</f>
        <v>0</v>
      </c>
      <c r="CA75" s="129">
        <f>SUMIFS('27JulyTo2Aug'!$K:$K, '27JulyTo2Aug'!$J:$J, $A75)</f>
        <v>0</v>
      </c>
      <c r="CB75" s="121">
        <f>SUMIFS('27JulyTo2Aug'!$O:$O, '27JulyTo2Aug'!$J:$J, $A75)</f>
        <v>0</v>
      </c>
      <c r="CC75" s="129">
        <f>SUMIFS('27JulyTo2Aug'!$P:$P, '27JulyTo2Aug'!$J:$J, $A75)</f>
        <v>0</v>
      </c>
      <c r="CD75" s="123">
        <f t="shared" si="15"/>
        <v>0</v>
      </c>
    </row>
    <row r="76" spans="1:82" ht="14.25" customHeight="1" x14ac:dyDescent="0.3">
      <c r="A76" s="119" t="s">
        <v>438</v>
      </c>
      <c r="B76" s="120" t="str">
        <f t="shared" si="17"/>
        <v>NO TRAFFIC</v>
      </c>
      <c r="C76" s="121">
        <f>SUMIFS('9NovTo15Nov'!$L:$L, '9NovTo15Nov'!$J:$J, $A76)</f>
        <v>0</v>
      </c>
      <c r="D76" s="121">
        <f>SUMIFS('9NovTo15Nov'!$K:$K, '9NovTo15Nov'!$J:$J, $A76)</f>
        <v>0</v>
      </c>
      <c r="E76" s="121">
        <f>SUMIFS('9NovTo15Nov'!$O:$O, '9NovTo15Nov'!$J:$J, $A76)</f>
        <v>0</v>
      </c>
      <c r="F76" s="121">
        <f>SUMIFS('9NovTo15Nov'!$P:$P, '9NovTo15Nov'!$J:$J, $A76)</f>
        <v>0</v>
      </c>
      <c r="G76" s="122">
        <f t="shared" si="0"/>
        <v>0</v>
      </c>
      <c r="H76" s="121">
        <f>SUMIFS('2NovTo8Nov'!$L:$L, '2NovTo8Nov'!$J:$J, $A76)</f>
        <v>0</v>
      </c>
      <c r="I76" s="121">
        <f>SUMIFS('2NovTo8Nov'!$K:$K, '2NovTo8Nov'!$J:$J, $A76)</f>
        <v>0</v>
      </c>
      <c r="J76" s="121">
        <f>SUMIFS('2NovTo8Nov'!$O:$O, '2NovTo8Nov'!$J:$J, $A76)</f>
        <v>0</v>
      </c>
      <c r="K76" s="121">
        <f>SUMIFS('2NovTo8Nov'!$P:$P, '2NovTo8Nov'!$J:$J, $A76)</f>
        <v>0</v>
      </c>
      <c r="L76" s="122">
        <f t="shared" si="1"/>
        <v>0</v>
      </c>
      <c r="M76" s="121">
        <f>SUMIFS('26OctTo1Nov'!$L:$L, '26OctTo1Nov'!$J:$J, $A76)</f>
        <v>0</v>
      </c>
      <c r="N76" s="121">
        <f>SUMIFS('26OctTo1Nov'!$K:$K, '26OctTo1Nov'!$J:$J, $A76)</f>
        <v>0</v>
      </c>
      <c r="O76" s="121">
        <f>SUMIFS('26OctTo1Nov'!$O:$O, '26OctTo1Nov'!$J:$J, $A76)</f>
        <v>0</v>
      </c>
      <c r="P76" s="121">
        <f>SUMIFS('26OctTo1Nov'!$P:$P, '26OctTo1Nov'!$J:$J, $A76)</f>
        <v>0</v>
      </c>
      <c r="Q76" s="122">
        <f t="shared" si="2"/>
        <v>0</v>
      </c>
      <c r="R76" s="121">
        <f>SUMIFS('19OctTo25Oct'!$L:$L, '19OctTo25Oct'!$J:$J, $A76)</f>
        <v>0</v>
      </c>
      <c r="S76" s="121">
        <f>SUMIFS('19OctTo25Oct'!$K:$K, '19OctTo25Oct'!$J:$J, $A76)</f>
        <v>0</v>
      </c>
      <c r="T76" s="121">
        <f>SUMIFS('19OctTo25Oct'!$O:$O, '19OctTo25Oct'!$J:$J, $A76)</f>
        <v>0</v>
      </c>
      <c r="U76" s="121">
        <f>SUMIFS('19OctTo25Oct'!$P:$P, '19OctTo25Oct'!$J:$J, $A76)</f>
        <v>0</v>
      </c>
      <c r="V76" s="122">
        <f t="shared" si="3"/>
        <v>0</v>
      </c>
      <c r="W76" s="121">
        <f>SUMIFS('12OctTo18Oct'!$L:$L, '12OctTo18Oct'!$J:$J, $A76)</f>
        <v>0</v>
      </c>
      <c r="X76" s="121">
        <f>SUMIFS('12OctTo18Oct'!$K:$K, '12OctTo18Oct'!$J:$J, $A76)</f>
        <v>0</v>
      </c>
      <c r="Y76" s="121">
        <f>SUMIFS('12OctTo18Oct'!$O:$O, '12OctTo18Oct'!$J:$J, $A76)</f>
        <v>0</v>
      </c>
      <c r="Z76" s="121">
        <f>SUMIFS('12OctTo18Oct'!$P:$P, '12OctTo18Oct'!$J:$J, $A76)</f>
        <v>0</v>
      </c>
      <c r="AA76" s="122">
        <f t="shared" si="4"/>
        <v>0</v>
      </c>
      <c r="AB76" s="121">
        <f>SUMIFS('5OctTo11Oct'!$L:$L, '5OctTo11Oct'!$J:$J, $A76)</f>
        <v>0</v>
      </c>
      <c r="AC76" s="121">
        <f>SUMIFS('5OctTo11Oct'!$K:$K, '5OctTo11Oct'!$J:$J, $A76)</f>
        <v>0</v>
      </c>
      <c r="AD76" s="121">
        <f>SUMIFS('5OctTo11Oct'!$O:$O, '5OctTo11Oct'!$J:$J, $A76)</f>
        <v>0</v>
      </c>
      <c r="AE76" s="121">
        <f>SUMIFS('5OctTo11Oct'!$P:$P, '5OctTo11Oct'!$J:$J, $A76)</f>
        <v>0</v>
      </c>
      <c r="AF76" s="123">
        <f t="shared" si="5"/>
        <v>0</v>
      </c>
      <c r="AG76" s="121">
        <f>SUMIFS('28SepTo4Oct'!$L:$L, '28SepTo4Oct'!$J:$J, $A76)</f>
        <v>0</v>
      </c>
      <c r="AH76" s="121">
        <f>SUMIFS('28SepTo4Oct'!$K:$K, '28SepTo4Oct'!$J:$J, $A76)</f>
        <v>0</v>
      </c>
      <c r="AI76" s="121">
        <f>SUMIFS('28SepTo4Oct'!$O:$O, '28SepTo4Oct'!$J:$J, $A76)</f>
        <v>0</v>
      </c>
      <c r="AJ76" s="121">
        <f>SUMIFS('28SepTo4Oct'!$P:$P, '28SepTo4Oct'!$J:$J, $A76)</f>
        <v>0</v>
      </c>
      <c r="AK76" s="123">
        <f t="shared" si="6"/>
        <v>0</v>
      </c>
      <c r="AL76" s="121">
        <f>SUMIFS('21SepTo27Sep'!$L:$L, '21SepTo27Sep'!$J:$J, $A76)</f>
        <v>1</v>
      </c>
      <c r="AM76" s="121">
        <f>SUMIFS('21SepTo27Sep'!$K:$K, '21SepTo27Sep'!$J:$J, $A76)</f>
        <v>1</v>
      </c>
      <c r="AN76" s="121">
        <f>SUMIFS('21SepTo27Sep'!$O:$O, '21SepTo27Sep'!$J:$J, $A76)</f>
        <v>3</v>
      </c>
      <c r="AO76" s="121">
        <f>SUMIFS('21SepTo27Sep'!$P:$P, '21SepTo27Sep'!$J:$J, $A76)</f>
        <v>21.9</v>
      </c>
      <c r="AP76" s="123">
        <f t="shared" si="7"/>
        <v>13.698630136986303</v>
      </c>
      <c r="AQ76" s="121">
        <f>SUMIFS('14SepTo20Sep'!$L:$L, '14SepTo20Sep'!$J:$J, $A76)</f>
        <v>0</v>
      </c>
      <c r="AR76" s="121">
        <f>SUMIFS('14SepTo20Sep'!$K:$K, '14SepTo20Sep'!$J:$J, $A76)</f>
        <v>0</v>
      </c>
      <c r="AS76" s="121">
        <f>SUMIFS('14SepTo20Sep'!$O:$O, '14SepTo20Sep'!$J:$J, $A76)</f>
        <v>0</v>
      </c>
      <c r="AT76" s="121">
        <f>SUMIFS('14SepTo20Sep'!$P:$P, '14SepTo20Sep'!$J:$J, $A76)</f>
        <v>0</v>
      </c>
      <c r="AU76" s="123">
        <f t="shared" si="8"/>
        <v>0</v>
      </c>
      <c r="AV76" s="121">
        <f>SUMIFS('7SepTo13Sep'!$L:$L, '7SepTo13Sep'!$J:$J, $A76)</f>
        <v>0</v>
      </c>
      <c r="AW76" s="121">
        <f>SUMIFS('7SepTo13Sep'!$K:$K, '7SepTo13Sep'!$J:$J, $A76)</f>
        <v>0</v>
      </c>
      <c r="AX76" s="121">
        <f>SUMIFS('7SepTo13Sep'!$O:$O, '7SepTo13Sep'!$J:$J, $A76)</f>
        <v>0</v>
      </c>
      <c r="AY76" s="121">
        <f>SUMIFS('7SepTo13Sep'!$P:$P, '7SepTo13Sep'!$J:$J, $A76)</f>
        <v>0</v>
      </c>
      <c r="AZ76" s="123">
        <f t="shared" si="9"/>
        <v>0</v>
      </c>
      <c r="BA76" s="121">
        <f>SUMIFS('31AugTo6Sep'!$L:$L, '31AugTo6Sep'!$J:$J, $A76)</f>
        <v>0</v>
      </c>
      <c r="BB76" s="121">
        <f>SUMIFS('31AugTo6Sep'!$K:$K, '31AugTo6Sep'!$J:$J, $A76)</f>
        <v>0</v>
      </c>
      <c r="BC76" s="121">
        <f>SUMIFS('31AugTo6Sep'!$O:$O, '31AugTo6Sep'!$J:$J, $A76)</f>
        <v>0</v>
      </c>
      <c r="BD76" s="121">
        <f>SUMIFS('31AugTo6Sep'!$P:$P, '31AugTo6Sep'!$J:$J, $A76)</f>
        <v>0</v>
      </c>
      <c r="BE76" s="123">
        <f t="shared" si="10"/>
        <v>0</v>
      </c>
      <c r="BF76" s="121">
        <f>SUMIFS('24AugTo29Aug'!$L:$L, '24AugTo29Aug'!$J:$J, $A76)</f>
        <v>0</v>
      </c>
      <c r="BG76" s="121">
        <f>SUMIFS('24AugTo29Aug'!$K:$K, '24AugTo29Aug'!$J:$J, $A76)</f>
        <v>0</v>
      </c>
      <c r="BH76" s="121">
        <f>SUMIFS('24AugTo29Aug'!$O:$O, '24AugTo29Aug'!$J:$J, $A76)</f>
        <v>0</v>
      </c>
      <c r="BI76" s="121">
        <f>SUMIFS('24AugTo29Aug'!$P:$P, '24AugTo29Aug'!$J:$J, $A76)</f>
        <v>0</v>
      </c>
      <c r="BJ76" s="123">
        <f t="shared" si="11"/>
        <v>0</v>
      </c>
      <c r="BK76" s="121">
        <f>SUMIFS('17AugTo21Aug'!$L:$L, '17AugTo21Aug'!$J:$J, $A76)</f>
        <v>0</v>
      </c>
      <c r="BL76" s="121">
        <f>SUMIFS('17AugTo21Aug'!$K:$K, '17AugTo21Aug'!$J:$J, $A76)</f>
        <v>0</v>
      </c>
      <c r="BM76" s="121">
        <f>SUMIFS('17AugTo21Aug'!$O:$O, '17AugTo21Aug'!$J:$J, $A76)</f>
        <v>0</v>
      </c>
      <c r="BN76" s="121">
        <f>SUMIFS('17AugTo21Aug'!$P:$P, '17AugTo21Aug'!$J:$J, $A76)</f>
        <v>0</v>
      </c>
      <c r="BO76" s="123">
        <f t="shared" si="12"/>
        <v>0</v>
      </c>
      <c r="BP76" s="121">
        <f>SUMIFS('10AugTo16Aug'!$L:$L, '10AugTo16Aug'!$J:$J, $A76)</f>
        <v>0</v>
      </c>
      <c r="BQ76" s="121">
        <f>SUMIFS('10AugTo16Aug'!$K:$K, '10AugTo16Aug'!$J:$J, $A76)</f>
        <v>0</v>
      </c>
      <c r="BR76" s="121">
        <f>SUMIFS('10AugTo16Aug'!$O:$O, '10AugTo16Aug'!$J:$J, $A76)</f>
        <v>0</v>
      </c>
      <c r="BS76" s="121">
        <f>SUMIFS('10AugTo16Aug'!$P:$P, '10AugTo16Aug'!$J:$J, $A76)</f>
        <v>0</v>
      </c>
      <c r="BT76" s="123">
        <f t="shared" si="13"/>
        <v>0</v>
      </c>
      <c r="BU76" s="121">
        <f>SUMIFS('3AugTo9Aug'!$L:$L, '3AugTo9Aug'!$J:$J, $A76)</f>
        <v>0</v>
      </c>
      <c r="BV76" s="121">
        <f>SUMIFS('3AugTo9Aug'!$K:$K, '3AugTo9Aug'!$J:$J, $A76)</f>
        <v>0</v>
      </c>
      <c r="BW76" s="121">
        <f>SUMIFS('3AugTo9Aug'!$O:$O, '3AugTo9Aug'!$J:$J, $A76)</f>
        <v>0</v>
      </c>
      <c r="BX76" s="121">
        <f>SUMIFS('3AugTo9Aug'!$P:$P, '3AugTo9Aug'!$J:$J, $A76)</f>
        <v>0</v>
      </c>
      <c r="BY76" s="123">
        <f t="shared" si="14"/>
        <v>0</v>
      </c>
      <c r="BZ76" s="121">
        <f>SUMIFS('27JulyTo2Aug'!$L:$L, '27JulyTo2Aug'!$J:$J, $A76)</f>
        <v>0</v>
      </c>
      <c r="CA76" s="121">
        <f>SUMIFS('27JulyTo2Aug'!$K:$K, '27JulyTo2Aug'!$J:$J, $A76)</f>
        <v>0</v>
      </c>
      <c r="CB76" s="121">
        <f>SUMIFS('27JulyTo2Aug'!$O:$O, '27JulyTo2Aug'!$J:$J, $A76)</f>
        <v>0</v>
      </c>
      <c r="CC76" s="121">
        <f>SUMIFS('27JulyTo2Aug'!$P:$P, '27JulyTo2Aug'!$J:$J, $A76)</f>
        <v>0</v>
      </c>
      <c r="CD76" s="123">
        <f t="shared" si="15"/>
        <v>0</v>
      </c>
    </row>
    <row r="77" spans="1:82" ht="14.25" customHeight="1" x14ac:dyDescent="0.3">
      <c r="A77" s="119" t="s">
        <v>460</v>
      </c>
      <c r="B77" s="120" t="str">
        <f t="shared" si="17"/>
        <v>NO TRAFFIC</v>
      </c>
      <c r="C77" s="121">
        <f>SUMIFS('9NovTo15Nov'!$L:$L, '9NovTo15Nov'!$J:$J, $A77)</f>
        <v>0</v>
      </c>
      <c r="D77" s="121">
        <f>SUMIFS('9NovTo15Nov'!$K:$K, '9NovTo15Nov'!$J:$J, $A77)</f>
        <v>0</v>
      </c>
      <c r="E77" s="121">
        <f>SUMIFS('9NovTo15Nov'!$O:$O, '9NovTo15Nov'!$J:$J, $A77)</f>
        <v>0</v>
      </c>
      <c r="F77" s="121">
        <f>SUMIFS('9NovTo15Nov'!$P:$P, '9NovTo15Nov'!$J:$J, $A77)</f>
        <v>0</v>
      </c>
      <c r="G77" s="122">
        <f t="shared" si="0"/>
        <v>0</v>
      </c>
      <c r="H77" s="121">
        <f>SUMIFS('2NovTo8Nov'!$L:$L, '2NovTo8Nov'!$J:$J, $A77)</f>
        <v>0</v>
      </c>
      <c r="I77" s="121">
        <f>SUMIFS('2NovTo8Nov'!$K:$K, '2NovTo8Nov'!$J:$J, $A77)</f>
        <v>0</v>
      </c>
      <c r="J77" s="121">
        <f>SUMIFS('2NovTo8Nov'!$O:$O, '2NovTo8Nov'!$J:$J, $A77)</f>
        <v>0</v>
      </c>
      <c r="K77" s="121">
        <f>SUMIFS('2NovTo8Nov'!$P:$P, '2NovTo8Nov'!$J:$J, $A77)</f>
        <v>0</v>
      </c>
      <c r="L77" s="122">
        <f t="shared" si="1"/>
        <v>0</v>
      </c>
      <c r="M77" s="121">
        <f>SUMIFS('26OctTo1Nov'!$L:$L, '26OctTo1Nov'!$J:$J, $A77)</f>
        <v>0</v>
      </c>
      <c r="N77" s="121">
        <f>SUMIFS('26OctTo1Nov'!$K:$K, '26OctTo1Nov'!$J:$J, $A77)</f>
        <v>0</v>
      </c>
      <c r="O77" s="121">
        <f>SUMIFS('26OctTo1Nov'!$O:$O, '26OctTo1Nov'!$J:$J, $A77)</f>
        <v>0</v>
      </c>
      <c r="P77" s="121">
        <f>SUMIFS('26OctTo1Nov'!$P:$P, '26OctTo1Nov'!$J:$J, $A77)</f>
        <v>0</v>
      </c>
      <c r="Q77" s="122">
        <f t="shared" si="2"/>
        <v>0</v>
      </c>
      <c r="R77" s="121">
        <f>SUMIFS('19OctTo25Oct'!$L:$L, '19OctTo25Oct'!$J:$J, $A77)</f>
        <v>0</v>
      </c>
      <c r="S77" s="121">
        <f>SUMIFS('19OctTo25Oct'!$K:$K, '19OctTo25Oct'!$J:$J, $A77)</f>
        <v>0</v>
      </c>
      <c r="T77" s="121">
        <f>SUMIFS('19OctTo25Oct'!$O:$O, '19OctTo25Oct'!$J:$J, $A77)</f>
        <v>0</v>
      </c>
      <c r="U77" s="121">
        <f>SUMIFS('19OctTo25Oct'!$P:$P, '19OctTo25Oct'!$J:$J, $A77)</f>
        <v>0</v>
      </c>
      <c r="V77" s="122">
        <f t="shared" si="3"/>
        <v>0</v>
      </c>
      <c r="W77" s="121">
        <f>SUMIFS('12OctTo18Oct'!$L:$L, '12OctTo18Oct'!$J:$J, $A77)</f>
        <v>0</v>
      </c>
      <c r="X77" s="121">
        <f>SUMIFS('12OctTo18Oct'!$K:$K, '12OctTo18Oct'!$J:$J, $A77)</f>
        <v>0</v>
      </c>
      <c r="Y77" s="121">
        <f>SUMIFS('12OctTo18Oct'!$O:$O, '12OctTo18Oct'!$J:$J, $A77)</f>
        <v>0</v>
      </c>
      <c r="Z77" s="121">
        <f>SUMIFS('12OctTo18Oct'!$P:$P, '12OctTo18Oct'!$J:$J, $A77)</f>
        <v>0</v>
      </c>
      <c r="AA77" s="122">
        <f t="shared" si="4"/>
        <v>0</v>
      </c>
      <c r="AB77" s="121">
        <f>SUMIFS('5OctTo11Oct'!$L:$L, '5OctTo11Oct'!$J:$J, $A77)</f>
        <v>0</v>
      </c>
      <c r="AC77" s="121">
        <f>SUMIFS('5OctTo11Oct'!$K:$K, '5OctTo11Oct'!$J:$J, $A77)</f>
        <v>0</v>
      </c>
      <c r="AD77" s="121">
        <f>SUMIFS('5OctTo11Oct'!$O:$O, '5OctTo11Oct'!$J:$J, $A77)</f>
        <v>0</v>
      </c>
      <c r="AE77" s="121">
        <f>SUMIFS('5OctTo11Oct'!$P:$P, '5OctTo11Oct'!$J:$J, $A77)</f>
        <v>0</v>
      </c>
      <c r="AF77" s="123">
        <f t="shared" si="5"/>
        <v>0</v>
      </c>
      <c r="AG77" s="121">
        <f>SUMIFS('28SepTo4Oct'!$L:$L, '28SepTo4Oct'!$J:$J, $A77)</f>
        <v>0</v>
      </c>
      <c r="AH77" s="121">
        <f>SUMIFS('28SepTo4Oct'!$K:$K, '28SepTo4Oct'!$J:$J, $A77)</f>
        <v>0</v>
      </c>
      <c r="AI77" s="121">
        <f>SUMIFS('28SepTo4Oct'!$O:$O, '28SepTo4Oct'!$J:$J, $A77)</f>
        <v>0</v>
      </c>
      <c r="AJ77" s="121">
        <f>SUMIFS('28SepTo4Oct'!$P:$P, '28SepTo4Oct'!$J:$J, $A77)</f>
        <v>0</v>
      </c>
      <c r="AK77" s="123">
        <f t="shared" si="6"/>
        <v>0</v>
      </c>
      <c r="AL77" s="121">
        <f>SUMIFS('21SepTo27Sep'!$L:$L, '21SepTo27Sep'!$J:$J, $A77)</f>
        <v>1</v>
      </c>
      <c r="AM77" s="121">
        <f>SUMIFS('21SepTo27Sep'!$K:$K, '21SepTo27Sep'!$J:$J, $A77)</f>
        <v>40</v>
      </c>
      <c r="AN77" s="121">
        <f>SUMIFS('21SepTo27Sep'!$O:$O, '21SepTo27Sep'!$J:$J, $A77)</f>
        <v>1.86</v>
      </c>
      <c r="AO77" s="121">
        <f>SUMIFS('21SepTo27Sep'!$P:$P, '21SepTo27Sep'!$J:$J, $A77)</f>
        <v>21.9</v>
      </c>
      <c r="AP77" s="123">
        <f t="shared" si="7"/>
        <v>8.4931506849315088</v>
      </c>
      <c r="AQ77" s="121">
        <f>SUMIFS('14SepTo20Sep'!$L:$L, '14SepTo20Sep'!$J:$J, $A77)</f>
        <v>0</v>
      </c>
      <c r="AR77" s="121">
        <f>SUMIFS('14SepTo20Sep'!$K:$K, '14SepTo20Sep'!$J:$J, $A77)</f>
        <v>0</v>
      </c>
      <c r="AS77" s="121">
        <f>SUMIFS('14SepTo20Sep'!$O:$O, '14SepTo20Sep'!$J:$J, $A77)</f>
        <v>0</v>
      </c>
      <c r="AT77" s="121">
        <f>SUMIFS('14SepTo20Sep'!$P:$P, '14SepTo20Sep'!$J:$J, $A77)</f>
        <v>0</v>
      </c>
      <c r="AU77" s="123">
        <f t="shared" si="8"/>
        <v>0</v>
      </c>
      <c r="AV77" s="121">
        <f>SUMIFS('7SepTo13Sep'!$L:$L, '7SepTo13Sep'!$J:$J, $A77)</f>
        <v>0</v>
      </c>
      <c r="AW77" s="121">
        <f>SUMIFS('7SepTo13Sep'!$K:$K, '7SepTo13Sep'!$J:$J, $A77)</f>
        <v>0</v>
      </c>
      <c r="AX77" s="121">
        <f>SUMIFS('7SepTo13Sep'!$O:$O, '7SepTo13Sep'!$J:$J, $A77)</f>
        <v>0</v>
      </c>
      <c r="AY77" s="121">
        <f>SUMIFS('7SepTo13Sep'!$P:$P, '7SepTo13Sep'!$J:$J, $A77)</f>
        <v>0</v>
      </c>
      <c r="AZ77" s="123">
        <f t="shared" si="9"/>
        <v>0</v>
      </c>
      <c r="BA77" s="121">
        <f>SUMIFS('31AugTo6Sep'!$L:$L, '31AugTo6Sep'!$J:$J, $A77)</f>
        <v>0</v>
      </c>
      <c r="BB77" s="121">
        <f>SUMIFS('31AugTo6Sep'!$K:$K, '31AugTo6Sep'!$J:$J, $A77)</f>
        <v>0</v>
      </c>
      <c r="BC77" s="121">
        <f>SUMIFS('31AugTo6Sep'!$O:$O, '31AugTo6Sep'!$J:$J, $A77)</f>
        <v>0</v>
      </c>
      <c r="BD77" s="121">
        <f>SUMIFS('31AugTo6Sep'!$P:$P, '31AugTo6Sep'!$J:$J, $A77)</f>
        <v>0</v>
      </c>
      <c r="BE77" s="123">
        <f t="shared" si="10"/>
        <v>0</v>
      </c>
      <c r="BF77" s="121">
        <f>SUMIFS('24AugTo29Aug'!$L:$L, '24AugTo29Aug'!$J:$J, $A77)</f>
        <v>0</v>
      </c>
      <c r="BG77" s="121">
        <f>SUMIFS('24AugTo29Aug'!$K:$K, '24AugTo29Aug'!$J:$J, $A77)</f>
        <v>0</v>
      </c>
      <c r="BH77" s="121">
        <f>SUMIFS('24AugTo29Aug'!$O:$O, '24AugTo29Aug'!$J:$J, $A77)</f>
        <v>0</v>
      </c>
      <c r="BI77" s="121">
        <f>SUMIFS('24AugTo29Aug'!$P:$P, '24AugTo29Aug'!$J:$J, $A77)</f>
        <v>0</v>
      </c>
      <c r="BJ77" s="123">
        <f t="shared" si="11"/>
        <v>0</v>
      </c>
      <c r="BK77" s="121">
        <f>SUMIFS('17AugTo21Aug'!$L:$L, '17AugTo21Aug'!$J:$J, $A77)</f>
        <v>0</v>
      </c>
      <c r="BL77" s="121">
        <f>SUMIFS('17AugTo21Aug'!$K:$K, '17AugTo21Aug'!$J:$J, $A77)</f>
        <v>0</v>
      </c>
      <c r="BM77" s="121">
        <f>SUMIFS('17AugTo21Aug'!$O:$O, '17AugTo21Aug'!$J:$J, $A77)</f>
        <v>0</v>
      </c>
      <c r="BN77" s="121">
        <f>SUMIFS('17AugTo21Aug'!$P:$P, '17AugTo21Aug'!$J:$J, $A77)</f>
        <v>0</v>
      </c>
      <c r="BO77" s="123">
        <f t="shared" si="12"/>
        <v>0</v>
      </c>
      <c r="BP77" s="121">
        <f>SUMIFS('10AugTo16Aug'!$L:$L, '10AugTo16Aug'!$J:$J, $A77)</f>
        <v>0</v>
      </c>
      <c r="BQ77" s="121">
        <f>SUMIFS('10AugTo16Aug'!$K:$K, '10AugTo16Aug'!$J:$J, $A77)</f>
        <v>0</v>
      </c>
      <c r="BR77" s="121">
        <f>SUMIFS('10AugTo16Aug'!$O:$O, '10AugTo16Aug'!$J:$J, $A77)</f>
        <v>0</v>
      </c>
      <c r="BS77" s="121">
        <f>SUMIFS('10AugTo16Aug'!$P:$P, '10AugTo16Aug'!$J:$J, $A77)</f>
        <v>0</v>
      </c>
      <c r="BT77" s="123">
        <f t="shared" si="13"/>
        <v>0</v>
      </c>
      <c r="BU77" s="121">
        <f>SUMIFS('3AugTo9Aug'!$L:$L, '3AugTo9Aug'!$J:$J, $A77)</f>
        <v>0</v>
      </c>
      <c r="BV77" s="121">
        <f>SUMIFS('3AugTo9Aug'!$K:$K, '3AugTo9Aug'!$J:$J, $A77)</f>
        <v>0</v>
      </c>
      <c r="BW77" s="121">
        <f>SUMIFS('3AugTo9Aug'!$O:$O, '3AugTo9Aug'!$J:$J, $A77)</f>
        <v>0</v>
      </c>
      <c r="BX77" s="121">
        <f>SUMIFS('3AugTo9Aug'!$P:$P, '3AugTo9Aug'!$J:$J, $A77)</f>
        <v>0</v>
      </c>
      <c r="BY77" s="123">
        <f t="shared" si="14"/>
        <v>0</v>
      </c>
      <c r="BZ77" s="121">
        <f>SUMIFS('27JulyTo2Aug'!$L:$L, '27JulyTo2Aug'!$J:$J, $A77)</f>
        <v>0</v>
      </c>
      <c r="CA77" s="121">
        <f>SUMIFS('27JulyTo2Aug'!$K:$K, '27JulyTo2Aug'!$J:$J, $A77)</f>
        <v>0</v>
      </c>
      <c r="CB77" s="121">
        <f>SUMIFS('27JulyTo2Aug'!$O:$O, '27JulyTo2Aug'!$J:$J, $A77)</f>
        <v>0</v>
      </c>
      <c r="CC77" s="121">
        <f>SUMIFS('27JulyTo2Aug'!$P:$P, '27JulyTo2Aug'!$J:$J, $A77)</f>
        <v>0</v>
      </c>
      <c r="CD77" s="123">
        <f t="shared" si="15"/>
        <v>0</v>
      </c>
    </row>
    <row r="78" spans="1:82" ht="14.25" customHeight="1" x14ac:dyDescent="0.3">
      <c r="A78" s="119" t="s">
        <v>470</v>
      </c>
      <c r="B78" s="120" t="str">
        <f t="shared" si="17"/>
        <v>NO TRAFFIC</v>
      </c>
      <c r="C78" s="121">
        <f>SUMIFS('9NovTo15Nov'!$L:$L, '9NovTo15Nov'!$J:$J, $A78)</f>
        <v>0</v>
      </c>
      <c r="D78" s="121">
        <f>SUMIFS('9NovTo15Nov'!$K:$K, '9NovTo15Nov'!$J:$J, $A78)</f>
        <v>0</v>
      </c>
      <c r="E78" s="121">
        <f>SUMIFS('9NovTo15Nov'!$O:$O, '9NovTo15Nov'!$J:$J, $A78)</f>
        <v>0</v>
      </c>
      <c r="F78" s="121">
        <f>SUMIFS('9NovTo15Nov'!$P:$P, '9NovTo15Nov'!$J:$J, $A78)</f>
        <v>0</v>
      </c>
      <c r="G78" s="122">
        <f t="shared" si="0"/>
        <v>0</v>
      </c>
      <c r="H78" s="121">
        <f>SUMIFS('2NovTo8Nov'!$L:$L, '2NovTo8Nov'!$J:$J, $A78)</f>
        <v>0</v>
      </c>
      <c r="I78" s="121">
        <f>SUMIFS('2NovTo8Nov'!$K:$K, '2NovTo8Nov'!$J:$J, $A78)</f>
        <v>0</v>
      </c>
      <c r="J78" s="121">
        <f>SUMIFS('2NovTo8Nov'!$O:$O, '2NovTo8Nov'!$J:$J, $A78)</f>
        <v>0</v>
      </c>
      <c r="K78" s="121">
        <f>SUMIFS('2NovTo8Nov'!$P:$P, '2NovTo8Nov'!$J:$J, $A78)</f>
        <v>0</v>
      </c>
      <c r="L78" s="122">
        <f t="shared" si="1"/>
        <v>0</v>
      </c>
      <c r="M78" s="121">
        <f>SUMIFS('26OctTo1Nov'!$L:$L, '26OctTo1Nov'!$J:$J, $A78)</f>
        <v>0</v>
      </c>
      <c r="N78" s="121">
        <f>SUMIFS('26OctTo1Nov'!$K:$K, '26OctTo1Nov'!$J:$J, $A78)</f>
        <v>0</v>
      </c>
      <c r="O78" s="121">
        <f>SUMIFS('26OctTo1Nov'!$O:$O, '26OctTo1Nov'!$J:$J, $A78)</f>
        <v>0</v>
      </c>
      <c r="P78" s="121">
        <f>SUMIFS('26OctTo1Nov'!$P:$P, '26OctTo1Nov'!$J:$J, $A78)</f>
        <v>0</v>
      </c>
      <c r="Q78" s="122">
        <f t="shared" si="2"/>
        <v>0</v>
      </c>
      <c r="R78" s="121">
        <f>SUMIFS('19OctTo25Oct'!$L:$L, '19OctTo25Oct'!$J:$J, $A78)</f>
        <v>0</v>
      </c>
      <c r="S78" s="121">
        <f>SUMIFS('19OctTo25Oct'!$K:$K, '19OctTo25Oct'!$J:$J, $A78)</f>
        <v>0</v>
      </c>
      <c r="T78" s="121">
        <f>SUMIFS('19OctTo25Oct'!$O:$O, '19OctTo25Oct'!$J:$J, $A78)</f>
        <v>0</v>
      </c>
      <c r="U78" s="121">
        <f>SUMIFS('19OctTo25Oct'!$P:$P, '19OctTo25Oct'!$J:$J, $A78)</f>
        <v>0</v>
      </c>
      <c r="V78" s="122">
        <f t="shared" si="3"/>
        <v>0</v>
      </c>
      <c r="W78" s="121">
        <f>SUMIFS('12OctTo18Oct'!$L:$L, '12OctTo18Oct'!$J:$J, $A78)</f>
        <v>0</v>
      </c>
      <c r="X78" s="121">
        <f>SUMIFS('12OctTo18Oct'!$K:$K, '12OctTo18Oct'!$J:$J, $A78)</f>
        <v>0</v>
      </c>
      <c r="Y78" s="121">
        <f>SUMIFS('12OctTo18Oct'!$O:$O, '12OctTo18Oct'!$J:$J, $A78)</f>
        <v>0</v>
      </c>
      <c r="Z78" s="121">
        <f>SUMIFS('12OctTo18Oct'!$P:$P, '12OctTo18Oct'!$J:$J, $A78)</f>
        <v>0</v>
      </c>
      <c r="AA78" s="122">
        <f t="shared" si="4"/>
        <v>0</v>
      </c>
      <c r="AB78" s="121">
        <f>SUMIFS('5OctTo11Oct'!$L:$L, '5OctTo11Oct'!$J:$J, $A78)</f>
        <v>0</v>
      </c>
      <c r="AC78" s="121">
        <f>SUMIFS('5OctTo11Oct'!$K:$K, '5OctTo11Oct'!$J:$J, $A78)</f>
        <v>0</v>
      </c>
      <c r="AD78" s="121">
        <f>SUMIFS('5OctTo11Oct'!$O:$O, '5OctTo11Oct'!$J:$J, $A78)</f>
        <v>0</v>
      </c>
      <c r="AE78" s="121">
        <f>SUMIFS('5OctTo11Oct'!$P:$P, '5OctTo11Oct'!$J:$J, $A78)</f>
        <v>0</v>
      </c>
      <c r="AF78" s="123">
        <f t="shared" si="5"/>
        <v>0</v>
      </c>
      <c r="AG78" s="121">
        <f>SUMIFS('28SepTo4Oct'!$L:$L, '28SepTo4Oct'!$J:$J, $A78)</f>
        <v>0</v>
      </c>
      <c r="AH78" s="121">
        <f>SUMIFS('28SepTo4Oct'!$K:$K, '28SepTo4Oct'!$J:$J, $A78)</f>
        <v>0</v>
      </c>
      <c r="AI78" s="121">
        <f>SUMIFS('28SepTo4Oct'!$O:$O, '28SepTo4Oct'!$J:$J, $A78)</f>
        <v>0</v>
      </c>
      <c r="AJ78" s="121">
        <f>SUMIFS('28SepTo4Oct'!$P:$P, '28SepTo4Oct'!$J:$J, $A78)</f>
        <v>0</v>
      </c>
      <c r="AK78" s="123">
        <f t="shared" si="6"/>
        <v>0</v>
      </c>
      <c r="AL78" s="121">
        <f>SUMIFS('21SepTo27Sep'!$L:$L, '21SepTo27Sep'!$J:$J, $A78)</f>
        <v>1</v>
      </c>
      <c r="AM78" s="121">
        <f>SUMIFS('21SepTo27Sep'!$K:$K, '21SepTo27Sep'!$J:$J, $A78)</f>
        <v>1</v>
      </c>
      <c r="AN78" s="121">
        <f>SUMIFS('21SepTo27Sep'!$O:$O, '21SepTo27Sep'!$J:$J, $A78)</f>
        <v>2</v>
      </c>
      <c r="AO78" s="121">
        <f>SUMIFS('21SepTo27Sep'!$P:$P, '21SepTo27Sep'!$J:$J, $A78)</f>
        <v>21.9</v>
      </c>
      <c r="AP78" s="123">
        <f t="shared" si="7"/>
        <v>9.1324200913242013</v>
      </c>
      <c r="AQ78" s="121">
        <f>SUMIFS('14SepTo20Sep'!$L:$L, '14SepTo20Sep'!$J:$J, $A78)</f>
        <v>0</v>
      </c>
      <c r="AR78" s="121">
        <f>SUMIFS('14SepTo20Sep'!$K:$K, '14SepTo20Sep'!$J:$J, $A78)</f>
        <v>0</v>
      </c>
      <c r="AS78" s="121">
        <f>SUMIFS('14SepTo20Sep'!$O:$O, '14SepTo20Sep'!$J:$J, $A78)</f>
        <v>0</v>
      </c>
      <c r="AT78" s="121">
        <f>SUMIFS('14SepTo20Sep'!$P:$P, '14SepTo20Sep'!$J:$J, $A78)</f>
        <v>0</v>
      </c>
      <c r="AU78" s="123">
        <f t="shared" si="8"/>
        <v>0</v>
      </c>
      <c r="AV78" s="121">
        <f>SUMIFS('7SepTo13Sep'!$L:$L, '7SepTo13Sep'!$J:$J, $A78)</f>
        <v>0</v>
      </c>
      <c r="AW78" s="121">
        <f>SUMIFS('7SepTo13Sep'!$K:$K, '7SepTo13Sep'!$J:$J, $A78)</f>
        <v>0</v>
      </c>
      <c r="AX78" s="121">
        <f>SUMIFS('7SepTo13Sep'!$O:$O, '7SepTo13Sep'!$J:$J, $A78)</f>
        <v>0</v>
      </c>
      <c r="AY78" s="121">
        <f>SUMIFS('7SepTo13Sep'!$P:$P, '7SepTo13Sep'!$J:$J, $A78)</f>
        <v>0</v>
      </c>
      <c r="AZ78" s="123">
        <f t="shared" si="9"/>
        <v>0</v>
      </c>
      <c r="BA78" s="121">
        <f>SUMIFS('31AugTo6Sep'!$L:$L, '31AugTo6Sep'!$J:$J, $A78)</f>
        <v>0</v>
      </c>
      <c r="BB78" s="121">
        <f>SUMIFS('31AugTo6Sep'!$K:$K, '31AugTo6Sep'!$J:$J, $A78)</f>
        <v>0</v>
      </c>
      <c r="BC78" s="121">
        <f>SUMIFS('31AugTo6Sep'!$O:$O, '31AugTo6Sep'!$J:$J, $A78)</f>
        <v>0</v>
      </c>
      <c r="BD78" s="121">
        <f>SUMIFS('31AugTo6Sep'!$P:$P, '31AugTo6Sep'!$J:$J, $A78)</f>
        <v>0</v>
      </c>
      <c r="BE78" s="123">
        <f t="shared" si="10"/>
        <v>0</v>
      </c>
      <c r="BF78" s="121">
        <f>SUMIFS('24AugTo29Aug'!$L:$L, '24AugTo29Aug'!$J:$J, $A78)</f>
        <v>0</v>
      </c>
      <c r="BG78" s="121">
        <f>SUMIFS('24AugTo29Aug'!$K:$K, '24AugTo29Aug'!$J:$J, $A78)</f>
        <v>0</v>
      </c>
      <c r="BH78" s="121">
        <f>SUMIFS('24AugTo29Aug'!$O:$O, '24AugTo29Aug'!$J:$J, $A78)</f>
        <v>0</v>
      </c>
      <c r="BI78" s="121">
        <f>SUMIFS('24AugTo29Aug'!$P:$P, '24AugTo29Aug'!$J:$J, $A78)</f>
        <v>0</v>
      </c>
      <c r="BJ78" s="123">
        <f t="shared" si="11"/>
        <v>0</v>
      </c>
      <c r="BK78" s="121">
        <f>SUMIFS('17AugTo21Aug'!$L:$L, '17AugTo21Aug'!$J:$J, $A78)</f>
        <v>0</v>
      </c>
      <c r="BL78" s="121">
        <f>SUMIFS('17AugTo21Aug'!$K:$K, '17AugTo21Aug'!$J:$J, $A78)</f>
        <v>0</v>
      </c>
      <c r="BM78" s="121">
        <f>SUMIFS('17AugTo21Aug'!$O:$O, '17AugTo21Aug'!$J:$J, $A78)</f>
        <v>0</v>
      </c>
      <c r="BN78" s="121">
        <f>SUMIFS('17AugTo21Aug'!$P:$P, '17AugTo21Aug'!$J:$J, $A78)</f>
        <v>0</v>
      </c>
      <c r="BO78" s="123">
        <f t="shared" si="12"/>
        <v>0</v>
      </c>
      <c r="BP78" s="121">
        <f>SUMIFS('10AugTo16Aug'!$L:$L, '10AugTo16Aug'!$J:$J, $A78)</f>
        <v>0</v>
      </c>
      <c r="BQ78" s="121">
        <f>SUMIFS('10AugTo16Aug'!$K:$K, '10AugTo16Aug'!$J:$J, $A78)</f>
        <v>0</v>
      </c>
      <c r="BR78" s="121">
        <f>SUMIFS('10AugTo16Aug'!$O:$O, '10AugTo16Aug'!$J:$J, $A78)</f>
        <v>0</v>
      </c>
      <c r="BS78" s="121">
        <f>SUMIFS('10AugTo16Aug'!$P:$P, '10AugTo16Aug'!$J:$J, $A78)</f>
        <v>0</v>
      </c>
      <c r="BT78" s="123">
        <f t="shared" si="13"/>
        <v>0</v>
      </c>
      <c r="BU78" s="121">
        <f>SUMIFS('3AugTo9Aug'!$L:$L, '3AugTo9Aug'!$J:$J, $A78)</f>
        <v>0</v>
      </c>
      <c r="BV78" s="121">
        <f>SUMIFS('3AugTo9Aug'!$K:$K, '3AugTo9Aug'!$J:$J, $A78)</f>
        <v>0</v>
      </c>
      <c r="BW78" s="121">
        <f>SUMIFS('3AugTo9Aug'!$O:$O, '3AugTo9Aug'!$J:$J, $A78)</f>
        <v>0</v>
      </c>
      <c r="BX78" s="121">
        <f>SUMIFS('3AugTo9Aug'!$P:$P, '3AugTo9Aug'!$J:$J, $A78)</f>
        <v>0</v>
      </c>
      <c r="BY78" s="123">
        <f t="shared" si="14"/>
        <v>0</v>
      </c>
      <c r="BZ78" s="121">
        <f>SUMIFS('27JulyTo2Aug'!$L:$L, '27JulyTo2Aug'!$J:$J, $A78)</f>
        <v>0</v>
      </c>
      <c r="CA78" s="121">
        <f>SUMIFS('27JulyTo2Aug'!$K:$K, '27JulyTo2Aug'!$J:$J, $A78)</f>
        <v>0</v>
      </c>
      <c r="CB78" s="121">
        <f>SUMIFS('27JulyTo2Aug'!$O:$O, '27JulyTo2Aug'!$J:$J, $A78)</f>
        <v>0</v>
      </c>
      <c r="CC78" s="121">
        <f>SUMIFS('27JulyTo2Aug'!$P:$P, '27JulyTo2Aug'!$J:$J, $A78)</f>
        <v>0</v>
      </c>
      <c r="CD78" s="123">
        <f t="shared" si="15"/>
        <v>0</v>
      </c>
    </row>
    <row r="79" spans="1:82" ht="14.25" customHeight="1" x14ac:dyDescent="0.3">
      <c r="A79" s="130" t="s">
        <v>476</v>
      </c>
      <c r="B79" s="120" t="str">
        <f t="shared" si="17"/>
        <v>NO TRAFFIC</v>
      </c>
      <c r="C79" s="121">
        <f>SUMIFS('9NovTo15Nov'!$L:$L, '9NovTo15Nov'!$J:$J, $A79)</f>
        <v>0</v>
      </c>
      <c r="D79" s="121">
        <f>SUMIFS('9NovTo15Nov'!$K:$K, '9NovTo15Nov'!$J:$J, $A79)</f>
        <v>0</v>
      </c>
      <c r="E79" s="121">
        <f>SUMIFS('9NovTo15Nov'!$O:$O, '9NovTo15Nov'!$J:$J, $A79)</f>
        <v>0</v>
      </c>
      <c r="F79" s="121">
        <f>SUMIFS('9NovTo15Nov'!$P:$P, '9NovTo15Nov'!$J:$J, $A79)</f>
        <v>0</v>
      </c>
      <c r="G79" s="122">
        <f t="shared" si="0"/>
        <v>0</v>
      </c>
      <c r="H79" s="121">
        <f>SUMIFS('2NovTo8Nov'!$L:$L, '2NovTo8Nov'!$J:$J, $A79)</f>
        <v>0</v>
      </c>
      <c r="I79" s="121">
        <f>SUMIFS('2NovTo8Nov'!$K:$K, '2NovTo8Nov'!$J:$J, $A79)</f>
        <v>0</v>
      </c>
      <c r="J79" s="121">
        <f>SUMIFS('2NovTo8Nov'!$O:$O, '2NovTo8Nov'!$J:$J, $A79)</f>
        <v>0</v>
      </c>
      <c r="K79" s="121">
        <f>SUMIFS('2NovTo8Nov'!$P:$P, '2NovTo8Nov'!$J:$J, $A79)</f>
        <v>0</v>
      </c>
      <c r="L79" s="122">
        <f t="shared" si="1"/>
        <v>0</v>
      </c>
      <c r="M79" s="121">
        <f>SUMIFS('26OctTo1Nov'!$L:$L, '26OctTo1Nov'!$J:$J, $A79)</f>
        <v>0</v>
      </c>
      <c r="N79" s="121">
        <f>SUMIFS('26OctTo1Nov'!$K:$K, '26OctTo1Nov'!$J:$J, $A79)</f>
        <v>0</v>
      </c>
      <c r="O79" s="121">
        <f>SUMIFS('26OctTo1Nov'!$O:$O, '26OctTo1Nov'!$J:$J, $A79)</f>
        <v>0</v>
      </c>
      <c r="P79" s="121">
        <f>SUMIFS('26OctTo1Nov'!$P:$P, '26OctTo1Nov'!$J:$J, $A79)</f>
        <v>0</v>
      </c>
      <c r="Q79" s="122">
        <f t="shared" si="2"/>
        <v>0</v>
      </c>
      <c r="R79" s="121">
        <f>SUMIFS('19OctTo25Oct'!$L:$L, '19OctTo25Oct'!$J:$J, $A79)</f>
        <v>0</v>
      </c>
      <c r="S79" s="121">
        <f>SUMIFS('19OctTo25Oct'!$K:$K, '19OctTo25Oct'!$J:$J, $A79)</f>
        <v>0</v>
      </c>
      <c r="T79" s="121">
        <f>SUMIFS('19OctTo25Oct'!$O:$O, '19OctTo25Oct'!$J:$J, $A79)</f>
        <v>0</v>
      </c>
      <c r="U79" s="121">
        <f>SUMIFS('19OctTo25Oct'!$P:$P, '19OctTo25Oct'!$J:$J, $A79)</f>
        <v>0</v>
      </c>
      <c r="V79" s="122">
        <f t="shared" si="3"/>
        <v>0</v>
      </c>
      <c r="W79" s="121">
        <f>SUMIFS('12OctTo18Oct'!$L:$L, '12OctTo18Oct'!$J:$J, $A79)</f>
        <v>0</v>
      </c>
      <c r="X79" s="121">
        <f>SUMIFS('12OctTo18Oct'!$K:$K, '12OctTo18Oct'!$J:$J, $A79)</f>
        <v>0</v>
      </c>
      <c r="Y79" s="121">
        <f>SUMIFS('12OctTo18Oct'!$O:$O, '12OctTo18Oct'!$J:$J, $A79)</f>
        <v>0</v>
      </c>
      <c r="Z79" s="121">
        <f>SUMIFS('12OctTo18Oct'!$P:$P, '12OctTo18Oct'!$J:$J, $A79)</f>
        <v>0</v>
      </c>
      <c r="AA79" s="122">
        <f t="shared" si="4"/>
        <v>0</v>
      </c>
      <c r="AB79" s="121">
        <f>SUMIFS('5OctTo11Oct'!$L:$L, '5OctTo11Oct'!$J:$J, $A79)</f>
        <v>0</v>
      </c>
      <c r="AC79" s="121">
        <f>SUMIFS('5OctTo11Oct'!$K:$K, '5OctTo11Oct'!$J:$J, $A79)</f>
        <v>0</v>
      </c>
      <c r="AD79" s="121">
        <f>SUMIFS('5OctTo11Oct'!$O:$O, '5OctTo11Oct'!$J:$J, $A79)</f>
        <v>0</v>
      </c>
      <c r="AE79" s="121">
        <f>SUMIFS('5OctTo11Oct'!$P:$P, '5OctTo11Oct'!$J:$J, $A79)</f>
        <v>0</v>
      </c>
      <c r="AF79" s="123">
        <f t="shared" si="5"/>
        <v>0</v>
      </c>
      <c r="AG79" s="129">
        <f>SUMIFS('28SepTo4Oct'!$L:$L, '28SepTo4Oct'!$J:$J, $A79)</f>
        <v>0</v>
      </c>
      <c r="AH79" s="129">
        <f>SUMIFS('28SepTo4Oct'!$K:$K, '28SepTo4Oct'!$J:$J, $A79)</f>
        <v>0</v>
      </c>
      <c r="AI79" s="129">
        <f>SUMIFS('28SepTo4Oct'!$O:$O, '28SepTo4Oct'!$J:$J, $A79)</f>
        <v>0</v>
      </c>
      <c r="AJ79" s="129">
        <f>SUMIFS('28SepTo4Oct'!$P:$P, '28SepTo4Oct'!$J:$J, $A79)</f>
        <v>0</v>
      </c>
      <c r="AK79" s="123">
        <f t="shared" si="6"/>
        <v>0</v>
      </c>
      <c r="AL79" s="129">
        <f>SUMIFS('21SepTo27Sep'!$L:$L, '21SepTo27Sep'!$J:$J, $A79)</f>
        <v>0</v>
      </c>
      <c r="AM79" s="129">
        <f>SUMIFS('21SepTo27Sep'!$K:$K, '21SepTo27Sep'!$J:$J, $A79)</f>
        <v>0</v>
      </c>
      <c r="AN79" s="121">
        <f>SUMIFS('21SepTo27Sep'!$O:$O, '21SepTo27Sep'!$J:$J, $A79)</f>
        <v>0</v>
      </c>
      <c r="AO79" s="129">
        <f>SUMIFS('21SepTo27Sep'!$P:$P, '21SepTo27Sep'!$J:$J, $A79)</f>
        <v>0</v>
      </c>
      <c r="AP79" s="123">
        <f t="shared" si="7"/>
        <v>0</v>
      </c>
      <c r="AQ79" s="129">
        <f>SUMIFS('14SepTo20Sep'!$L:$L, '14SepTo20Sep'!$J:$J, $A79)</f>
        <v>1</v>
      </c>
      <c r="AR79" s="129">
        <f>SUMIFS('14SepTo20Sep'!$K:$K, '14SepTo20Sep'!$J:$J, $A79)</f>
        <v>1</v>
      </c>
      <c r="AS79" s="121">
        <f>SUMIFS('14SepTo20Sep'!$O:$O, '14SepTo20Sep'!$J:$J, $A79)</f>
        <v>3.15</v>
      </c>
      <c r="AT79" s="129">
        <f>SUMIFS('14SepTo20Sep'!$P:$P, '14SepTo20Sep'!$J:$J, $A79)</f>
        <v>24.94</v>
      </c>
      <c r="AU79" s="123">
        <f t="shared" si="8"/>
        <v>12.630312750601441</v>
      </c>
      <c r="AV79" s="129">
        <f>SUMIFS('7SepTo13Sep'!$L:$L, '7SepTo13Sep'!$J:$J, $A79)</f>
        <v>0</v>
      </c>
      <c r="AW79" s="129">
        <f>SUMIFS('7SepTo13Sep'!$K:$K, '7SepTo13Sep'!$J:$J, $A79)</f>
        <v>0</v>
      </c>
      <c r="AX79" s="121">
        <f>SUMIFS('7SepTo13Sep'!$O:$O, '7SepTo13Sep'!$J:$J, $A79)</f>
        <v>0</v>
      </c>
      <c r="AY79" s="129">
        <f>SUMIFS('7SepTo13Sep'!$P:$P, '7SepTo13Sep'!$J:$J, $A79)</f>
        <v>0</v>
      </c>
      <c r="AZ79" s="123">
        <f t="shared" si="9"/>
        <v>0</v>
      </c>
      <c r="BA79" s="129">
        <f>SUMIFS('31AugTo6Sep'!$L:$L, '31AugTo6Sep'!$J:$J, $A79)</f>
        <v>0</v>
      </c>
      <c r="BB79" s="129">
        <f>SUMIFS('31AugTo6Sep'!$K:$K, '31AugTo6Sep'!$J:$J, $A79)</f>
        <v>0</v>
      </c>
      <c r="BC79" s="121">
        <f>SUMIFS('31AugTo6Sep'!$O:$O, '31AugTo6Sep'!$J:$J, $A79)</f>
        <v>0</v>
      </c>
      <c r="BD79" s="129">
        <f>SUMIFS('31AugTo6Sep'!$P:$P, '31AugTo6Sep'!$J:$J, $A79)</f>
        <v>0</v>
      </c>
      <c r="BE79" s="123">
        <f t="shared" si="10"/>
        <v>0</v>
      </c>
      <c r="BF79" s="129">
        <f>SUMIFS('24AugTo29Aug'!$L:$L, '24AugTo29Aug'!$J:$J, $A79)</f>
        <v>0</v>
      </c>
      <c r="BG79" s="129">
        <f>SUMIFS('24AugTo29Aug'!$K:$K, '24AugTo29Aug'!$J:$J, $A79)</f>
        <v>0</v>
      </c>
      <c r="BH79" s="121">
        <f>SUMIFS('24AugTo29Aug'!$O:$O, '24AugTo29Aug'!$J:$J, $A79)</f>
        <v>0</v>
      </c>
      <c r="BI79" s="129">
        <f>SUMIFS('24AugTo29Aug'!$P:$P, '24AugTo29Aug'!$J:$J, $A79)</f>
        <v>0</v>
      </c>
      <c r="BJ79" s="123">
        <f t="shared" si="11"/>
        <v>0</v>
      </c>
      <c r="BK79" s="129">
        <f>SUMIFS('17AugTo21Aug'!$L:$L, '17AugTo21Aug'!$J:$J, $A79)</f>
        <v>0</v>
      </c>
      <c r="BL79" s="129">
        <f>SUMIFS('17AugTo21Aug'!$K:$K, '17AugTo21Aug'!$J:$J, $A79)</f>
        <v>0</v>
      </c>
      <c r="BM79" s="121">
        <f>SUMIFS('17AugTo21Aug'!$O:$O, '17AugTo21Aug'!$J:$J, $A79)</f>
        <v>0</v>
      </c>
      <c r="BN79" s="129">
        <f>SUMIFS('17AugTo21Aug'!$P:$P, '17AugTo21Aug'!$J:$J, $A79)</f>
        <v>0</v>
      </c>
      <c r="BO79" s="123">
        <f t="shared" si="12"/>
        <v>0</v>
      </c>
      <c r="BP79" s="129">
        <f>SUMIFS('10AugTo16Aug'!$L:$L, '10AugTo16Aug'!$J:$J, $A79)</f>
        <v>0</v>
      </c>
      <c r="BQ79" s="129">
        <f>SUMIFS('10AugTo16Aug'!$K:$K, '10AugTo16Aug'!$J:$J, $A79)</f>
        <v>0</v>
      </c>
      <c r="BR79" s="121">
        <f>SUMIFS('10AugTo16Aug'!$O:$O, '10AugTo16Aug'!$J:$J, $A79)</f>
        <v>0</v>
      </c>
      <c r="BS79" s="129">
        <f>SUMIFS('10AugTo16Aug'!$P:$P, '10AugTo16Aug'!$J:$J, $A79)</f>
        <v>0</v>
      </c>
      <c r="BT79" s="123">
        <f t="shared" si="13"/>
        <v>0</v>
      </c>
      <c r="BU79" s="129">
        <f>SUMIFS('3AugTo9Aug'!$L:$L, '3AugTo9Aug'!$J:$J, $A79)</f>
        <v>0</v>
      </c>
      <c r="BV79" s="129">
        <f>SUMIFS('3AugTo9Aug'!$K:$K, '3AugTo9Aug'!$J:$J, $A79)</f>
        <v>0</v>
      </c>
      <c r="BW79" s="121">
        <f>SUMIFS('3AugTo9Aug'!$O:$O, '3AugTo9Aug'!$J:$J, $A79)</f>
        <v>0</v>
      </c>
      <c r="BX79" s="129">
        <f>SUMIFS('3AugTo9Aug'!$P:$P, '3AugTo9Aug'!$J:$J, $A79)</f>
        <v>0</v>
      </c>
      <c r="BY79" s="123">
        <f t="shared" si="14"/>
        <v>0</v>
      </c>
      <c r="BZ79" s="129">
        <f>SUMIFS('27JulyTo2Aug'!$L:$L, '27JulyTo2Aug'!$J:$J, $A79)</f>
        <v>0</v>
      </c>
      <c r="CA79" s="129">
        <f>SUMIFS('27JulyTo2Aug'!$K:$K, '27JulyTo2Aug'!$J:$J, $A79)</f>
        <v>0</v>
      </c>
      <c r="CB79" s="121">
        <f>SUMIFS('27JulyTo2Aug'!$O:$O, '27JulyTo2Aug'!$J:$J, $A79)</f>
        <v>0</v>
      </c>
      <c r="CC79" s="129">
        <f>SUMIFS('27JulyTo2Aug'!$P:$P, '27JulyTo2Aug'!$J:$J, $A79)</f>
        <v>0</v>
      </c>
      <c r="CD79" s="123">
        <f t="shared" si="15"/>
        <v>0</v>
      </c>
    </row>
    <row r="80" spans="1:82" ht="14.25" customHeight="1" x14ac:dyDescent="0.3">
      <c r="A80" s="124" t="s">
        <v>478</v>
      </c>
      <c r="B80" s="120" t="str">
        <f t="shared" si="17"/>
        <v>NO TRAFFIC</v>
      </c>
      <c r="C80" s="121">
        <f>SUMIFS('9NovTo15Nov'!$L:$L, '9NovTo15Nov'!$J:$J, $A80)</f>
        <v>0</v>
      </c>
      <c r="D80" s="121">
        <f>SUMIFS('9NovTo15Nov'!$K:$K, '9NovTo15Nov'!$J:$J, $A80)</f>
        <v>0</v>
      </c>
      <c r="E80" s="121">
        <f>SUMIFS('9NovTo15Nov'!$O:$O, '9NovTo15Nov'!$J:$J, $A80)</f>
        <v>0</v>
      </c>
      <c r="F80" s="121">
        <f>SUMIFS('9NovTo15Nov'!$P:$P, '9NovTo15Nov'!$J:$J, $A80)</f>
        <v>0</v>
      </c>
      <c r="G80" s="122">
        <f t="shared" si="0"/>
        <v>0</v>
      </c>
      <c r="H80" s="121">
        <f>SUMIFS('2NovTo8Nov'!$L:$L, '2NovTo8Nov'!$J:$J, $A80)</f>
        <v>0</v>
      </c>
      <c r="I80" s="121">
        <f>SUMIFS('2NovTo8Nov'!$K:$K, '2NovTo8Nov'!$J:$J, $A80)</f>
        <v>0</v>
      </c>
      <c r="J80" s="121">
        <f>SUMIFS('2NovTo8Nov'!$O:$O, '2NovTo8Nov'!$J:$J, $A80)</f>
        <v>0</v>
      </c>
      <c r="K80" s="121">
        <f>SUMIFS('2NovTo8Nov'!$P:$P, '2NovTo8Nov'!$J:$J, $A80)</f>
        <v>0</v>
      </c>
      <c r="L80" s="122">
        <f t="shared" si="1"/>
        <v>0</v>
      </c>
      <c r="M80" s="121">
        <f>SUMIFS('26OctTo1Nov'!$L:$L, '26OctTo1Nov'!$J:$J, $A80)</f>
        <v>0</v>
      </c>
      <c r="N80" s="121">
        <f>SUMIFS('26OctTo1Nov'!$K:$K, '26OctTo1Nov'!$J:$J, $A80)</f>
        <v>0</v>
      </c>
      <c r="O80" s="121">
        <f>SUMIFS('26OctTo1Nov'!$O:$O, '26OctTo1Nov'!$J:$J, $A80)</f>
        <v>0</v>
      </c>
      <c r="P80" s="121">
        <f>SUMIFS('26OctTo1Nov'!$P:$P, '26OctTo1Nov'!$J:$J, $A80)</f>
        <v>0</v>
      </c>
      <c r="Q80" s="122">
        <f t="shared" si="2"/>
        <v>0</v>
      </c>
      <c r="R80" s="121">
        <f>SUMIFS('19OctTo25Oct'!$L:$L, '19OctTo25Oct'!$J:$J, $A80)</f>
        <v>0</v>
      </c>
      <c r="S80" s="121">
        <f>SUMIFS('19OctTo25Oct'!$K:$K, '19OctTo25Oct'!$J:$J, $A80)</f>
        <v>0</v>
      </c>
      <c r="T80" s="121">
        <f>SUMIFS('19OctTo25Oct'!$O:$O, '19OctTo25Oct'!$J:$J, $A80)</f>
        <v>0</v>
      </c>
      <c r="U80" s="121">
        <f>SUMIFS('19OctTo25Oct'!$P:$P, '19OctTo25Oct'!$J:$J, $A80)</f>
        <v>0</v>
      </c>
      <c r="V80" s="122">
        <f t="shared" si="3"/>
        <v>0</v>
      </c>
      <c r="W80" s="121">
        <f>SUMIFS('12OctTo18Oct'!$L:$L, '12OctTo18Oct'!$J:$J, $A80)</f>
        <v>0</v>
      </c>
      <c r="X80" s="121">
        <f>SUMIFS('12OctTo18Oct'!$K:$K, '12OctTo18Oct'!$J:$J, $A80)</f>
        <v>0</v>
      </c>
      <c r="Y80" s="121">
        <f>SUMIFS('12OctTo18Oct'!$O:$O, '12OctTo18Oct'!$J:$J, $A80)</f>
        <v>0</v>
      </c>
      <c r="Z80" s="121">
        <f>SUMIFS('12OctTo18Oct'!$P:$P, '12OctTo18Oct'!$J:$J, $A80)</f>
        <v>0</v>
      </c>
      <c r="AA80" s="122">
        <f t="shared" si="4"/>
        <v>0</v>
      </c>
      <c r="AB80" s="121">
        <f>SUMIFS('5OctTo11Oct'!$L:$L, '5OctTo11Oct'!$J:$J, $A80)</f>
        <v>0</v>
      </c>
      <c r="AC80" s="121">
        <f>SUMIFS('5OctTo11Oct'!$K:$K, '5OctTo11Oct'!$J:$J, $A80)</f>
        <v>0</v>
      </c>
      <c r="AD80" s="121">
        <f>SUMIFS('5OctTo11Oct'!$O:$O, '5OctTo11Oct'!$J:$J, $A80)</f>
        <v>0</v>
      </c>
      <c r="AE80" s="121">
        <f>SUMIFS('5OctTo11Oct'!$P:$P, '5OctTo11Oct'!$J:$J, $A80)</f>
        <v>0</v>
      </c>
      <c r="AF80" s="123">
        <f t="shared" si="5"/>
        <v>0</v>
      </c>
      <c r="AG80" s="121">
        <f>SUMIFS('28SepTo4Oct'!$L:$L, '28SepTo4Oct'!$J:$J, $A80)</f>
        <v>0</v>
      </c>
      <c r="AH80" s="121">
        <f>SUMIFS('28SepTo4Oct'!$K:$K, '28SepTo4Oct'!$J:$J, $A80)</f>
        <v>0</v>
      </c>
      <c r="AI80" s="121">
        <f>SUMIFS('28SepTo4Oct'!$O:$O, '28SepTo4Oct'!$J:$J, $A80)</f>
        <v>0</v>
      </c>
      <c r="AJ80" s="121">
        <f>SUMIFS('28SepTo4Oct'!$P:$P, '28SepTo4Oct'!$J:$J, $A80)</f>
        <v>0</v>
      </c>
      <c r="AK80" s="123">
        <f t="shared" si="6"/>
        <v>0</v>
      </c>
      <c r="AL80" s="121">
        <f>SUMIFS('21SepTo27Sep'!$L:$L, '21SepTo27Sep'!$J:$J, $A80)</f>
        <v>0</v>
      </c>
      <c r="AM80" s="121">
        <f>SUMIFS('21SepTo27Sep'!$K:$K, '21SepTo27Sep'!$J:$J, $A80)</f>
        <v>0</v>
      </c>
      <c r="AN80" s="121">
        <f>SUMIFS('21SepTo27Sep'!$O:$O, '21SepTo27Sep'!$J:$J, $A80)</f>
        <v>0</v>
      </c>
      <c r="AO80" s="121">
        <f>SUMIFS('21SepTo27Sep'!$P:$P, '21SepTo27Sep'!$J:$J, $A80)</f>
        <v>0</v>
      </c>
      <c r="AP80" s="123">
        <f t="shared" si="7"/>
        <v>0</v>
      </c>
      <c r="AQ80" s="121">
        <f>SUMIFS('14SepTo20Sep'!$L:$L, '14SepTo20Sep'!$J:$J, $A80)</f>
        <v>1</v>
      </c>
      <c r="AR80" s="121">
        <f>SUMIFS('14SepTo20Sep'!$K:$K, '14SepTo20Sep'!$J:$J, $A80)</f>
        <v>1</v>
      </c>
      <c r="AS80" s="121">
        <f>SUMIFS('14SepTo20Sep'!$O:$O, '14SepTo20Sep'!$J:$J, $A80)</f>
        <v>2.93</v>
      </c>
      <c r="AT80" s="121">
        <f>SUMIFS('14SepTo20Sep'!$P:$P, '14SepTo20Sep'!$J:$J, $A80)</f>
        <v>21.9</v>
      </c>
      <c r="AU80" s="123">
        <f t="shared" si="8"/>
        <v>13.378995433789957</v>
      </c>
      <c r="AV80" s="121">
        <f>SUMIFS('7SepTo13Sep'!$L:$L, '7SepTo13Sep'!$J:$J, $A80)</f>
        <v>0</v>
      </c>
      <c r="AW80" s="121">
        <f>SUMIFS('7SepTo13Sep'!$K:$K, '7SepTo13Sep'!$J:$J, $A80)</f>
        <v>0</v>
      </c>
      <c r="AX80" s="121">
        <f>SUMIFS('7SepTo13Sep'!$O:$O, '7SepTo13Sep'!$J:$J, $A80)</f>
        <v>0</v>
      </c>
      <c r="AY80" s="121">
        <f>SUMIFS('7SepTo13Sep'!$P:$P, '7SepTo13Sep'!$J:$J, $A80)</f>
        <v>0</v>
      </c>
      <c r="AZ80" s="123">
        <f t="shared" si="9"/>
        <v>0</v>
      </c>
      <c r="BA80" s="121">
        <f>SUMIFS('31AugTo6Sep'!$L:$L, '31AugTo6Sep'!$J:$J, $A80)</f>
        <v>0</v>
      </c>
      <c r="BB80" s="121">
        <f>SUMIFS('31AugTo6Sep'!$K:$K, '31AugTo6Sep'!$J:$J, $A80)</f>
        <v>0</v>
      </c>
      <c r="BC80" s="121">
        <f>SUMIFS('31AugTo6Sep'!$O:$O, '31AugTo6Sep'!$J:$J, $A80)</f>
        <v>0</v>
      </c>
      <c r="BD80" s="121">
        <f>SUMIFS('31AugTo6Sep'!$P:$P, '31AugTo6Sep'!$J:$J, $A80)</f>
        <v>0</v>
      </c>
      <c r="BE80" s="123">
        <f t="shared" si="10"/>
        <v>0</v>
      </c>
      <c r="BF80" s="121">
        <f>SUMIFS('24AugTo29Aug'!$L:$L, '24AugTo29Aug'!$J:$J, $A80)</f>
        <v>0</v>
      </c>
      <c r="BG80" s="121">
        <f>SUMIFS('24AugTo29Aug'!$K:$K, '24AugTo29Aug'!$J:$J, $A80)</f>
        <v>0</v>
      </c>
      <c r="BH80" s="121">
        <f>SUMIFS('24AugTo29Aug'!$O:$O, '24AugTo29Aug'!$J:$J, $A80)</f>
        <v>0</v>
      </c>
      <c r="BI80" s="121">
        <f>SUMIFS('24AugTo29Aug'!$P:$P, '24AugTo29Aug'!$J:$J, $A80)</f>
        <v>0</v>
      </c>
      <c r="BJ80" s="123">
        <f t="shared" si="11"/>
        <v>0</v>
      </c>
      <c r="BK80" s="121">
        <f>SUMIFS('17AugTo21Aug'!$L:$L, '17AugTo21Aug'!$J:$J, $A80)</f>
        <v>0</v>
      </c>
      <c r="BL80" s="121">
        <f>SUMIFS('17AugTo21Aug'!$K:$K, '17AugTo21Aug'!$J:$J, $A80)</f>
        <v>0</v>
      </c>
      <c r="BM80" s="121">
        <f>SUMIFS('17AugTo21Aug'!$O:$O, '17AugTo21Aug'!$J:$J, $A80)</f>
        <v>0</v>
      </c>
      <c r="BN80" s="121">
        <f>SUMIFS('17AugTo21Aug'!$P:$P, '17AugTo21Aug'!$J:$J, $A80)</f>
        <v>0</v>
      </c>
      <c r="BO80" s="123">
        <f t="shared" si="12"/>
        <v>0</v>
      </c>
      <c r="BP80" s="121">
        <f>SUMIFS('10AugTo16Aug'!$L:$L, '10AugTo16Aug'!$J:$J, $A80)</f>
        <v>0</v>
      </c>
      <c r="BQ80" s="121">
        <f>SUMIFS('10AugTo16Aug'!$K:$K, '10AugTo16Aug'!$J:$J, $A80)</f>
        <v>0</v>
      </c>
      <c r="BR80" s="121">
        <f>SUMIFS('10AugTo16Aug'!$O:$O, '10AugTo16Aug'!$J:$J, $A80)</f>
        <v>0</v>
      </c>
      <c r="BS80" s="121">
        <f>SUMIFS('10AugTo16Aug'!$P:$P, '10AugTo16Aug'!$J:$J, $A80)</f>
        <v>0</v>
      </c>
      <c r="BT80" s="123">
        <f t="shared" si="13"/>
        <v>0</v>
      </c>
      <c r="BU80" s="121">
        <f>SUMIFS('3AugTo9Aug'!$L:$L, '3AugTo9Aug'!$J:$J, $A80)</f>
        <v>0</v>
      </c>
      <c r="BV80" s="121">
        <f>SUMIFS('3AugTo9Aug'!$K:$K, '3AugTo9Aug'!$J:$J, $A80)</f>
        <v>0</v>
      </c>
      <c r="BW80" s="121">
        <f>SUMIFS('3AugTo9Aug'!$O:$O, '3AugTo9Aug'!$J:$J, $A80)</f>
        <v>0</v>
      </c>
      <c r="BX80" s="121">
        <f>SUMIFS('3AugTo9Aug'!$P:$P, '3AugTo9Aug'!$J:$J, $A80)</f>
        <v>0</v>
      </c>
      <c r="BY80" s="123">
        <f t="shared" si="14"/>
        <v>0</v>
      </c>
      <c r="BZ80" s="121">
        <f>SUMIFS('27JulyTo2Aug'!$L:$L, '27JulyTo2Aug'!$J:$J, $A80)</f>
        <v>0</v>
      </c>
      <c r="CA80" s="121">
        <f>SUMIFS('27JulyTo2Aug'!$K:$K, '27JulyTo2Aug'!$J:$J, $A80)</f>
        <v>0</v>
      </c>
      <c r="CB80" s="121">
        <f>SUMIFS('27JulyTo2Aug'!$O:$O, '27JulyTo2Aug'!$J:$J, $A80)</f>
        <v>0</v>
      </c>
      <c r="CC80" s="121">
        <f>SUMIFS('27JulyTo2Aug'!$P:$P, '27JulyTo2Aug'!$J:$J, $A80)</f>
        <v>0</v>
      </c>
      <c r="CD80" s="123">
        <f t="shared" si="15"/>
        <v>0</v>
      </c>
    </row>
    <row r="81" spans="1:82" ht="14.25" customHeight="1" x14ac:dyDescent="0.3">
      <c r="A81" s="124" t="s">
        <v>480</v>
      </c>
      <c r="B81" s="120" t="str">
        <f t="shared" si="17"/>
        <v>NO TRAFFIC</v>
      </c>
      <c r="C81" s="121">
        <f>SUMIFS('9NovTo15Nov'!$L:$L, '9NovTo15Nov'!$J:$J, $A81)</f>
        <v>0</v>
      </c>
      <c r="D81" s="121">
        <f>SUMIFS('9NovTo15Nov'!$K:$K, '9NovTo15Nov'!$J:$J, $A81)</f>
        <v>0</v>
      </c>
      <c r="E81" s="121">
        <f>SUMIFS('9NovTo15Nov'!$O:$O, '9NovTo15Nov'!$J:$J, $A81)</f>
        <v>0</v>
      </c>
      <c r="F81" s="121">
        <f>SUMIFS('9NovTo15Nov'!$P:$P, '9NovTo15Nov'!$J:$J, $A81)</f>
        <v>0</v>
      </c>
      <c r="G81" s="122">
        <f t="shared" si="0"/>
        <v>0</v>
      </c>
      <c r="H81" s="121">
        <f>SUMIFS('2NovTo8Nov'!$L:$L, '2NovTo8Nov'!$J:$J, $A81)</f>
        <v>0</v>
      </c>
      <c r="I81" s="121">
        <f>SUMIFS('2NovTo8Nov'!$K:$K, '2NovTo8Nov'!$J:$J, $A81)</f>
        <v>0</v>
      </c>
      <c r="J81" s="121">
        <f>SUMIFS('2NovTo8Nov'!$O:$O, '2NovTo8Nov'!$J:$J, $A81)</f>
        <v>0</v>
      </c>
      <c r="K81" s="121">
        <f>SUMIFS('2NovTo8Nov'!$P:$P, '2NovTo8Nov'!$J:$J, $A81)</f>
        <v>0</v>
      </c>
      <c r="L81" s="122">
        <f t="shared" si="1"/>
        <v>0</v>
      </c>
      <c r="M81" s="121">
        <f>SUMIFS('26OctTo1Nov'!$L:$L, '26OctTo1Nov'!$J:$J, $A81)</f>
        <v>0</v>
      </c>
      <c r="N81" s="121">
        <f>SUMIFS('26OctTo1Nov'!$K:$K, '26OctTo1Nov'!$J:$J, $A81)</f>
        <v>0</v>
      </c>
      <c r="O81" s="121">
        <f>SUMIFS('26OctTo1Nov'!$O:$O, '26OctTo1Nov'!$J:$J, $A81)</f>
        <v>0</v>
      </c>
      <c r="P81" s="121">
        <f>SUMIFS('26OctTo1Nov'!$P:$P, '26OctTo1Nov'!$J:$J, $A81)</f>
        <v>0</v>
      </c>
      <c r="Q81" s="122">
        <f t="shared" si="2"/>
        <v>0</v>
      </c>
      <c r="R81" s="121">
        <f>SUMIFS('19OctTo25Oct'!$L:$L, '19OctTo25Oct'!$J:$J, $A81)</f>
        <v>0</v>
      </c>
      <c r="S81" s="121">
        <f>SUMIFS('19OctTo25Oct'!$K:$K, '19OctTo25Oct'!$J:$J, $A81)</f>
        <v>0</v>
      </c>
      <c r="T81" s="121">
        <f>SUMIFS('19OctTo25Oct'!$O:$O, '19OctTo25Oct'!$J:$J, $A81)</f>
        <v>0</v>
      </c>
      <c r="U81" s="121">
        <f>SUMIFS('19OctTo25Oct'!$P:$P, '19OctTo25Oct'!$J:$J, $A81)</f>
        <v>0</v>
      </c>
      <c r="V81" s="122">
        <f t="shared" si="3"/>
        <v>0</v>
      </c>
      <c r="W81" s="121">
        <f>SUMIFS('12OctTo18Oct'!$L:$L, '12OctTo18Oct'!$J:$J, $A81)</f>
        <v>0</v>
      </c>
      <c r="X81" s="121">
        <f>SUMIFS('12OctTo18Oct'!$K:$K, '12OctTo18Oct'!$J:$J, $A81)</f>
        <v>0</v>
      </c>
      <c r="Y81" s="121">
        <f>SUMIFS('12OctTo18Oct'!$O:$O, '12OctTo18Oct'!$J:$J, $A81)</f>
        <v>0</v>
      </c>
      <c r="Z81" s="121">
        <f>SUMIFS('12OctTo18Oct'!$P:$P, '12OctTo18Oct'!$J:$J, $A81)</f>
        <v>0</v>
      </c>
      <c r="AA81" s="122">
        <f t="shared" si="4"/>
        <v>0</v>
      </c>
      <c r="AB81" s="121">
        <f>SUMIFS('5OctTo11Oct'!$L:$L, '5OctTo11Oct'!$J:$J, $A81)</f>
        <v>0</v>
      </c>
      <c r="AC81" s="121">
        <f>SUMIFS('5OctTo11Oct'!$K:$K, '5OctTo11Oct'!$J:$J, $A81)</f>
        <v>0</v>
      </c>
      <c r="AD81" s="121">
        <f>SUMIFS('5OctTo11Oct'!$O:$O, '5OctTo11Oct'!$J:$J, $A81)</f>
        <v>0</v>
      </c>
      <c r="AE81" s="121">
        <f>SUMIFS('5OctTo11Oct'!$P:$P, '5OctTo11Oct'!$J:$J, $A81)</f>
        <v>0</v>
      </c>
      <c r="AF81" s="123">
        <f t="shared" si="5"/>
        <v>0</v>
      </c>
      <c r="AG81" s="121">
        <f>SUMIFS('28SepTo4Oct'!$L:$L, '28SepTo4Oct'!$J:$J, $A81)</f>
        <v>0</v>
      </c>
      <c r="AH81" s="121">
        <f>SUMIFS('28SepTo4Oct'!$K:$K, '28SepTo4Oct'!$J:$J, $A81)</f>
        <v>0</v>
      </c>
      <c r="AI81" s="121">
        <f>SUMIFS('28SepTo4Oct'!$O:$O, '28SepTo4Oct'!$J:$J, $A81)</f>
        <v>0</v>
      </c>
      <c r="AJ81" s="121">
        <f>SUMIFS('28SepTo4Oct'!$P:$P, '28SepTo4Oct'!$J:$J, $A81)</f>
        <v>0</v>
      </c>
      <c r="AK81" s="123">
        <f t="shared" si="6"/>
        <v>0</v>
      </c>
      <c r="AL81" s="121">
        <f>SUMIFS('21SepTo27Sep'!$L:$L, '21SepTo27Sep'!$J:$J, $A81)</f>
        <v>0</v>
      </c>
      <c r="AM81" s="121">
        <f>SUMIFS('21SepTo27Sep'!$K:$K, '21SepTo27Sep'!$J:$J, $A81)</f>
        <v>0</v>
      </c>
      <c r="AN81" s="121">
        <f>SUMIFS('21SepTo27Sep'!$O:$O, '21SepTo27Sep'!$J:$J, $A81)</f>
        <v>0</v>
      </c>
      <c r="AO81" s="121">
        <f>SUMIFS('21SepTo27Sep'!$P:$P, '21SepTo27Sep'!$J:$J, $A81)</f>
        <v>0</v>
      </c>
      <c r="AP81" s="123">
        <f t="shared" si="7"/>
        <v>0</v>
      </c>
      <c r="AQ81" s="121">
        <f>SUMIFS('14SepTo20Sep'!$L:$L, '14SepTo20Sep'!$J:$J, $A81)</f>
        <v>1</v>
      </c>
      <c r="AR81" s="121">
        <f>SUMIFS('14SepTo20Sep'!$K:$K, '14SepTo20Sep'!$J:$J, $A81)</f>
        <v>4</v>
      </c>
      <c r="AS81" s="121">
        <f>SUMIFS('14SepTo20Sep'!$O:$O, '14SepTo20Sep'!$J:$J, $A81)</f>
        <v>5.68</v>
      </c>
      <c r="AT81" s="121">
        <f>SUMIFS('14SepTo20Sep'!$P:$P, '14SepTo20Sep'!$J:$J, $A81)</f>
        <v>24.94</v>
      </c>
      <c r="AU81" s="123">
        <f t="shared" si="8"/>
        <v>22.774659182036885</v>
      </c>
      <c r="AV81" s="121">
        <f>SUMIFS('7SepTo13Sep'!$L:$L, '7SepTo13Sep'!$J:$J, $A81)</f>
        <v>0</v>
      </c>
      <c r="AW81" s="121">
        <f>SUMIFS('7SepTo13Sep'!$K:$K, '7SepTo13Sep'!$J:$J, $A81)</f>
        <v>0</v>
      </c>
      <c r="AX81" s="121">
        <f>SUMIFS('7SepTo13Sep'!$O:$O, '7SepTo13Sep'!$J:$J, $A81)</f>
        <v>0</v>
      </c>
      <c r="AY81" s="121">
        <f>SUMIFS('7SepTo13Sep'!$P:$P, '7SepTo13Sep'!$J:$J, $A81)</f>
        <v>0</v>
      </c>
      <c r="AZ81" s="123">
        <f t="shared" si="9"/>
        <v>0</v>
      </c>
      <c r="BA81" s="121">
        <f>SUMIFS('31AugTo6Sep'!$L:$L, '31AugTo6Sep'!$J:$J, $A81)</f>
        <v>0</v>
      </c>
      <c r="BB81" s="121">
        <f>SUMIFS('31AugTo6Sep'!$K:$K, '31AugTo6Sep'!$J:$J, $A81)</f>
        <v>0</v>
      </c>
      <c r="BC81" s="121">
        <f>SUMIFS('31AugTo6Sep'!$O:$O, '31AugTo6Sep'!$J:$J, $A81)</f>
        <v>0</v>
      </c>
      <c r="BD81" s="121">
        <f>SUMIFS('31AugTo6Sep'!$P:$P, '31AugTo6Sep'!$J:$J, $A81)</f>
        <v>0</v>
      </c>
      <c r="BE81" s="123">
        <f t="shared" si="10"/>
        <v>0</v>
      </c>
      <c r="BF81" s="121">
        <f>SUMIFS('24AugTo29Aug'!$L:$L, '24AugTo29Aug'!$J:$J, $A81)</f>
        <v>0</v>
      </c>
      <c r="BG81" s="121">
        <f>SUMIFS('24AugTo29Aug'!$K:$K, '24AugTo29Aug'!$J:$J, $A81)</f>
        <v>0</v>
      </c>
      <c r="BH81" s="121">
        <f>SUMIFS('24AugTo29Aug'!$O:$O, '24AugTo29Aug'!$J:$J, $A81)</f>
        <v>0</v>
      </c>
      <c r="BI81" s="121">
        <f>SUMIFS('24AugTo29Aug'!$P:$P, '24AugTo29Aug'!$J:$J, $A81)</f>
        <v>0</v>
      </c>
      <c r="BJ81" s="123">
        <f t="shared" si="11"/>
        <v>0</v>
      </c>
      <c r="BK81" s="121">
        <f>SUMIFS('17AugTo21Aug'!$L:$L, '17AugTo21Aug'!$J:$J, $A81)</f>
        <v>0</v>
      </c>
      <c r="BL81" s="121">
        <f>SUMIFS('17AugTo21Aug'!$K:$K, '17AugTo21Aug'!$J:$J, $A81)</f>
        <v>0</v>
      </c>
      <c r="BM81" s="121">
        <f>SUMIFS('17AugTo21Aug'!$O:$O, '17AugTo21Aug'!$J:$J, $A81)</f>
        <v>0</v>
      </c>
      <c r="BN81" s="121">
        <f>SUMIFS('17AugTo21Aug'!$P:$P, '17AugTo21Aug'!$J:$J, $A81)</f>
        <v>0</v>
      </c>
      <c r="BO81" s="123">
        <f t="shared" si="12"/>
        <v>0</v>
      </c>
      <c r="BP81" s="121">
        <f>SUMIFS('10AugTo16Aug'!$L:$L, '10AugTo16Aug'!$J:$J, $A81)</f>
        <v>0</v>
      </c>
      <c r="BQ81" s="121">
        <f>SUMIFS('10AugTo16Aug'!$K:$K, '10AugTo16Aug'!$J:$J, $A81)</f>
        <v>0</v>
      </c>
      <c r="BR81" s="121">
        <f>SUMIFS('10AugTo16Aug'!$O:$O, '10AugTo16Aug'!$J:$J, $A81)</f>
        <v>0</v>
      </c>
      <c r="BS81" s="121">
        <f>SUMIFS('10AugTo16Aug'!$P:$P, '10AugTo16Aug'!$J:$J, $A81)</f>
        <v>0</v>
      </c>
      <c r="BT81" s="123">
        <f t="shared" si="13"/>
        <v>0</v>
      </c>
      <c r="BU81" s="121">
        <f>SUMIFS('3AugTo9Aug'!$L:$L, '3AugTo9Aug'!$J:$J, $A81)</f>
        <v>0</v>
      </c>
      <c r="BV81" s="121">
        <f>SUMIFS('3AugTo9Aug'!$K:$K, '3AugTo9Aug'!$J:$J, $A81)</f>
        <v>0</v>
      </c>
      <c r="BW81" s="121">
        <f>SUMIFS('3AugTo9Aug'!$O:$O, '3AugTo9Aug'!$J:$J, $A81)</f>
        <v>0</v>
      </c>
      <c r="BX81" s="121">
        <f>SUMIFS('3AugTo9Aug'!$P:$P, '3AugTo9Aug'!$J:$J, $A81)</f>
        <v>0</v>
      </c>
      <c r="BY81" s="123">
        <f t="shared" si="14"/>
        <v>0</v>
      </c>
      <c r="BZ81" s="121">
        <f>SUMIFS('27JulyTo2Aug'!$L:$L, '27JulyTo2Aug'!$J:$J, $A81)</f>
        <v>0</v>
      </c>
      <c r="CA81" s="121">
        <f>SUMIFS('27JulyTo2Aug'!$K:$K, '27JulyTo2Aug'!$J:$J, $A81)</f>
        <v>0</v>
      </c>
      <c r="CB81" s="121">
        <f>SUMIFS('27JulyTo2Aug'!$O:$O, '27JulyTo2Aug'!$J:$J, $A81)</f>
        <v>0</v>
      </c>
      <c r="CC81" s="121">
        <f>SUMIFS('27JulyTo2Aug'!$P:$P, '27JulyTo2Aug'!$J:$J, $A81)</f>
        <v>0</v>
      </c>
      <c r="CD81" s="123">
        <f t="shared" si="15"/>
        <v>0</v>
      </c>
    </row>
    <row r="82" spans="1:82" ht="14.25" customHeight="1" x14ac:dyDescent="0.3">
      <c r="A82" s="124" t="s">
        <v>483</v>
      </c>
      <c r="B82" s="120" t="str">
        <f t="shared" si="17"/>
        <v>NO TRAFFIC</v>
      </c>
      <c r="C82" s="121">
        <f>SUMIFS('9NovTo15Nov'!$L:$L, '9NovTo15Nov'!$J:$J, $A82)</f>
        <v>0</v>
      </c>
      <c r="D82" s="121">
        <f>SUMIFS('9NovTo15Nov'!$K:$K, '9NovTo15Nov'!$J:$J, $A82)</f>
        <v>0</v>
      </c>
      <c r="E82" s="121">
        <f>SUMIFS('9NovTo15Nov'!$O:$O, '9NovTo15Nov'!$J:$J, $A82)</f>
        <v>0</v>
      </c>
      <c r="F82" s="121">
        <f>SUMIFS('9NovTo15Nov'!$P:$P, '9NovTo15Nov'!$J:$J, $A82)</f>
        <v>0</v>
      </c>
      <c r="G82" s="122">
        <f t="shared" si="0"/>
        <v>0</v>
      </c>
      <c r="H82" s="121">
        <f>SUMIFS('2NovTo8Nov'!$L:$L, '2NovTo8Nov'!$J:$J, $A82)</f>
        <v>0</v>
      </c>
      <c r="I82" s="121">
        <f>SUMIFS('2NovTo8Nov'!$K:$K, '2NovTo8Nov'!$J:$J, $A82)</f>
        <v>0</v>
      </c>
      <c r="J82" s="121">
        <f>SUMIFS('2NovTo8Nov'!$O:$O, '2NovTo8Nov'!$J:$J, $A82)</f>
        <v>0</v>
      </c>
      <c r="K82" s="121">
        <f>SUMIFS('2NovTo8Nov'!$P:$P, '2NovTo8Nov'!$J:$J, $A82)</f>
        <v>0</v>
      </c>
      <c r="L82" s="122">
        <f t="shared" si="1"/>
        <v>0</v>
      </c>
      <c r="M82" s="121">
        <f>SUMIFS('26OctTo1Nov'!$L:$L, '26OctTo1Nov'!$J:$J, $A82)</f>
        <v>0</v>
      </c>
      <c r="N82" s="121">
        <f>SUMIFS('26OctTo1Nov'!$K:$K, '26OctTo1Nov'!$J:$J, $A82)</f>
        <v>0</v>
      </c>
      <c r="O82" s="121">
        <f>SUMIFS('26OctTo1Nov'!$O:$O, '26OctTo1Nov'!$J:$J, $A82)</f>
        <v>0</v>
      </c>
      <c r="P82" s="121">
        <f>SUMIFS('26OctTo1Nov'!$P:$P, '26OctTo1Nov'!$J:$J, $A82)</f>
        <v>0</v>
      </c>
      <c r="Q82" s="122">
        <f t="shared" si="2"/>
        <v>0</v>
      </c>
      <c r="R82" s="121">
        <f>SUMIFS('19OctTo25Oct'!$L:$L, '19OctTo25Oct'!$J:$J, $A82)</f>
        <v>0</v>
      </c>
      <c r="S82" s="121">
        <f>SUMIFS('19OctTo25Oct'!$K:$K, '19OctTo25Oct'!$J:$J, $A82)</f>
        <v>0</v>
      </c>
      <c r="T82" s="121">
        <f>SUMIFS('19OctTo25Oct'!$O:$O, '19OctTo25Oct'!$J:$J, $A82)</f>
        <v>0</v>
      </c>
      <c r="U82" s="121">
        <f>SUMIFS('19OctTo25Oct'!$P:$P, '19OctTo25Oct'!$J:$J, $A82)</f>
        <v>0</v>
      </c>
      <c r="V82" s="122">
        <f t="shared" si="3"/>
        <v>0</v>
      </c>
      <c r="W82" s="121">
        <f>SUMIFS('12OctTo18Oct'!$L:$L, '12OctTo18Oct'!$J:$J, $A82)</f>
        <v>0</v>
      </c>
      <c r="X82" s="121">
        <f>SUMIFS('12OctTo18Oct'!$K:$K, '12OctTo18Oct'!$J:$J, $A82)</f>
        <v>0</v>
      </c>
      <c r="Y82" s="121">
        <f>SUMIFS('12OctTo18Oct'!$O:$O, '12OctTo18Oct'!$J:$J, $A82)</f>
        <v>0</v>
      </c>
      <c r="Z82" s="121">
        <f>SUMIFS('12OctTo18Oct'!$P:$P, '12OctTo18Oct'!$J:$J, $A82)</f>
        <v>0</v>
      </c>
      <c r="AA82" s="122">
        <f t="shared" si="4"/>
        <v>0</v>
      </c>
      <c r="AB82" s="121">
        <f>SUMIFS('5OctTo11Oct'!$L:$L, '5OctTo11Oct'!$J:$J, $A82)</f>
        <v>0</v>
      </c>
      <c r="AC82" s="121">
        <f>SUMIFS('5OctTo11Oct'!$K:$K, '5OctTo11Oct'!$J:$J, $A82)</f>
        <v>0</v>
      </c>
      <c r="AD82" s="121">
        <f>SUMIFS('5OctTo11Oct'!$O:$O, '5OctTo11Oct'!$J:$J, $A82)</f>
        <v>0</v>
      </c>
      <c r="AE82" s="121">
        <f>SUMIFS('5OctTo11Oct'!$P:$P, '5OctTo11Oct'!$J:$J, $A82)</f>
        <v>0</v>
      </c>
      <c r="AF82" s="123">
        <f t="shared" si="5"/>
        <v>0</v>
      </c>
      <c r="AG82" s="121">
        <f>SUMIFS('28SepTo4Oct'!$L:$L, '28SepTo4Oct'!$J:$J, $A82)</f>
        <v>0</v>
      </c>
      <c r="AH82" s="121">
        <f>SUMIFS('28SepTo4Oct'!$K:$K, '28SepTo4Oct'!$J:$J, $A82)</f>
        <v>0</v>
      </c>
      <c r="AI82" s="121">
        <f>SUMIFS('28SepTo4Oct'!$O:$O, '28SepTo4Oct'!$J:$J, $A82)</f>
        <v>0</v>
      </c>
      <c r="AJ82" s="121">
        <f>SUMIFS('28SepTo4Oct'!$P:$P, '28SepTo4Oct'!$J:$J, $A82)</f>
        <v>0</v>
      </c>
      <c r="AK82" s="123">
        <f t="shared" si="6"/>
        <v>0</v>
      </c>
      <c r="AL82" s="121">
        <f>SUMIFS('21SepTo27Sep'!$L:$L, '21SepTo27Sep'!$J:$J, $A82)</f>
        <v>0</v>
      </c>
      <c r="AM82" s="121">
        <f>SUMIFS('21SepTo27Sep'!$K:$K, '21SepTo27Sep'!$J:$J, $A82)</f>
        <v>0</v>
      </c>
      <c r="AN82" s="121">
        <f>SUMIFS('21SepTo27Sep'!$O:$O, '21SepTo27Sep'!$J:$J, $A82)</f>
        <v>0</v>
      </c>
      <c r="AO82" s="121">
        <f>SUMIFS('21SepTo27Sep'!$P:$P, '21SepTo27Sep'!$J:$J, $A82)</f>
        <v>0</v>
      </c>
      <c r="AP82" s="123">
        <f t="shared" si="7"/>
        <v>0</v>
      </c>
      <c r="AQ82" s="121">
        <f>SUMIFS('14SepTo20Sep'!$L:$L, '14SepTo20Sep'!$J:$J, $A82)</f>
        <v>1</v>
      </c>
      <c r="AR82" s="121">
        <f>SUMIFS('14SepTo20Sep'!$K:$K, '14SepTo20Sep'!$J:$J, $A82)</f>
        <v>1</v>
      </c>
      <c r="AS82" s="121">
        <f>SUMIFS('14SepTo20Sep'!$O:$O, '14SepTo20Sep'!$J:$J, $A82)</f>
        <v>2.4500000000000002</v>
      </c>
      <c r="AT82" s="121">
        <f>SUMIFS('14SepTo20Sep'!$P:$P, '14SepTo20Sep'!$J:$J, $A82)</f>
        <v>21.9</v>
      </c>
      <c r="AU82" s="123">
        <f t="shared" si="8"/>
        <v>11.187214611872148</v>
      </c>
      <c r="AV82" s="121">
        <f>SUMIFS('7SepTo13Sep'!$L:$L, '7SepTo13Sep'!$J:$J, $A82)</f>
        <v>0</v>
      </c>
      <c r="AW82" s="121">
        <f>SUMIFS('7SepTo13Sep'!$K:$K, '7SepTo13Sep'!$J:$J, $A82)</f>
        <v>0</v>
      </c>
      <c r="AX82" s="121">
        <f>SUMIFS('7SepTo13Sep'!$O:$O, '7SepTo13Sep'!$J:$J, $A82)</f>
        <v>0</v>
      </c>
      <c r="AY82" s="121">
        <f>SUMIFS('7SepTo13Sep'!$P:$P, '7SepTo13Sep'!$J:$J, $A82)</f>
        <v>0</v>
      </c>
      <c r="AZ82" s="123">
        <f t="shared" si="9"/>
        <v>0</v>
      </c>
      <c r="BA82" s="121">
        <f>SUMIFS('31AugTo6Sep'!$L:$L, '31AugTo6Sep'!$J:$J, $A82)</f>
        <v>0</v>
      </c>
      <c r="BB82" s="121">
        <f>SUMIFS('31AugTo6Sep'!$K:$K, '31AugTo6Sep'!$J:$J, $A82)</f>
        <v>0</v>
      </c>
      <c r="BC82" s="121">
        <f>SUMIFS('31AugTo6Sep'!$O:$O, '31AugTo6Sep'!$J:$J, $A82)</f>
        <v>0</v>
      </c>
      <c r="BD82" s="121">
        <f>SUMIFS('31AugTo6Sep'!$P:$P, '31AugTo6Sep'!$J:$J, $A82)</f>
        <v>0</v>
      </c>
      <c r="BE82" s="123">
        <f t="shared" si="10"/>
        <v>0</v>
      </c>
      <c r="BF82" s="121">
        <f>SUMIFS('24AugTo29Aug'!$L:$L, '24AugTo29Aug'!$J:$J, $A82)</f>
        <v>0</v>
      </c>
      <c r="BG82" s="121">
        <f>SUMIFS('24AugTo29Aug'!$K:$K, '24AugTo29Aug'!$J:$J, $A82)</f>
        <v>0</v>
      </c>
      <c r="BH82" s="121">
        <f>SUMIFS('24AugTo29Aug'!$O:$O, '24AugTo29Aug'!$J:$J, $A82)</f>
        <v>0</v>
      </c>
      <c r="BI82" s="121">
        <f>SUMIFS('24AugTo29Aug'!$P:$P, '24AugTo29Aug'!$J:$J, $A82)</f>
        <v>0</v>
      </c>
      <c r="BJ82" s="123">
        <f t="shared" si="11"/>
        <v>0</v>
      </c>
      <c r="BK82" s="121">
        <f>SUMIFS('17AugTo21Aug'!$L:$L, '17AugTo21Aug'!$J:$J, $A82)</f>
        <v>0</v>
      </c>
      <c r="BL82" s="121">
        <f>SUMIFS('17AugTo21Aug'!$K:$K, '17AugTo21Aug'!$J:$J, $A82)</f>
        <v>0</v>
      </c>
      <c r="BM82" s="121">
        <f>SUMIFS('17AugTo21Aug'!$O:$O, '17AugTo21Aug'!$J:$J, $A82)</f>
        <v>0</v>
      </c>
      <c r="BN82" s="121">
        <f>SUMIFS('17AugTo21Aug'!$P:$P, '17AugTo21Aug'!$J:$J, $A82)</f>
        <v>0</v>
      </c>
      <c r="BO82" s="123">
        <f t="shared" si="12"/>
        <v>0</v>
      </c>
      <c r="BP82" s="121">
        <f>SUMIFS('10AugTo16Aug'!$L:$L, '10AugTo16Aug'!$J:$J, $A82)</f>
        <v>0</v>
      </c>
      <c r="BQ82" s="121">
        <f>SUMIFS('10AugTo16Aug'!$K:$K, '10AugTo16Aug'!$J:$J, $A82)</f>
        <v>0</v>
      </c>
      <c r="BR82" s="121">
        <f>SUMIFS('10AugTo16Aug'!$O:$O, '10AugTo16Aug'!$J:$J, $A82)</f>
        <v>0</v>
      </c>
      <c r="BS82" s="121">
        <f>SUMIFS('10AugTo16Aug'!$P:$P, '10AugTo16Aug'!$J:$J, $A82)</f>
        <v>0</v>
      </c>
      <c r="BT82" s="123">
        <f t="shared" si="13"/>
        <v>0</v>
      </c>
      <c r="BU82" s="121">
        <f>SUMIFS('3AugTo9Aug'!$L:$L, '3AugTo9Aug'!$J:$J, $A82)</f>
        <v>0</v>
      </c>
      <c r="BV82" s="121">
        <f>SUMIFS('3AugTo9Aug'!$K:$K, '3AugTo9Aug'!$J:$J, $A82)</f>
        <v>0</v>
      </c>
      <c r="BW82" s="121">
        <f>SUMIFS('3AugTo9Aug'!$O:$O, '3AugTo9Aug'!$J:$J, $A82)</f>
        <v>0</v>
      </c>
      <c r="BX82" s="121">
        <f>SUMIFS('3AugTo9Aug'!$P:$P, '3AugTo9Aug'!$J:$J, $A82)</f>
        <v>0</v>
      </c>
      <c r="BY82" s="123">
        <f t="shared" si="14"/>
        <v>0</v>
      </c>
      <c r="BZ82" s="121">
        <f>SUMIFS('27JulyTo2Aug'!$L:$L, '27JulyTo2Aug'!$J:$J, $A82)</f>
        <v>0</v>
      </c>
      <c r="CA82" s="121">
        <f>SUMIFS('27JulyTo2Aug'!$K:$K, '27JulyTo2Aug'!$J:$J, $A82)</f>
        <v>0</v>
      </c>
      <c r="CB82" s="121">
        <f>SUMIFS('27JulyTo2Aug'!$O:$O, '27JulyTo2Aug'!$J:$J, $A82)</f>
        <v>0</v>
      </c>
      <c r="CC82" s="121">
        <f>SUMIFS('27JulyTo2Aug'!$P:$P, '27JulyTo2Aug'!$J:$J, $A82)</f>
        <v>0</v>
      </c>
      <c r="CD82" s="123">
        <f t="shared" si="15"/>
        <v>0</v>
      </c>
    </row>
    <row r="83" spans="1:82" ht="14.25" customHeight="1" x14ac:dyDescent="0.3">
      <c r="A83" s="130" t="s">
        <v>485</v>
      </c>
      <c r="B83" s="120" t="str">
        <f t="shared" si="17"/>
        <v>NO TRAFFIC</v>
      </c>
      <c r="C83" s="121">
        <f>SUMIFS('9NovTo15Nov'!$L:$L, '9NovTo15Nov'!$J:$J, $A83)</f>
        <v>0</v>
      </c>
      <c r="D83" s="121">
        <f>SUMIFS('9NovTo15Nov'!$K:$K, '9NovTo15Nov'!$J:$J, $A83)</f>
        <v>0</v>
      </c>
      <c r="E83" s="121">
        <f>SUMIFS('9NovTo15Nov'!$O:$O, '9NovTo15Nov'!$J:$J, $A83)</f>
        <v>0</v>
      </c>
      <c r="F83" s="121">
        <f>SUMIFS('9NovTo15Nov'!$P:$P, '9NovTo15Nov'!$J:$J, $A83)</f>
        <v>0</v>
      </c>
      <c r="G83" s="122">
        <f t="shared" si="0"/>
        <v>0</v>
      </c>
      <c r="H83" s="121">
        <f>SUMIFS('2NovTo8Nov'!$L:$L, '2NovTo8Nov'!$J:$J, $A83)</f>
        <v>0</v>
      </c>
      <c r="I83" s="121">
        <f>SUMIFS('2NovTo8Nov'!$K:$K, '2NovTo8Nov'!$J:$J, $A83)</f>
        <v>0</v>
      </c>
      <c r="J83" s="121">
        <f>SUMIFS('2NovTo8Nov'!$O:$O, '2NovTo8Nov'!$J:$J, $A83)</f>
        <v>0</v>
      </c>
      <c r="K83" s="121">
        <f>SUMIFS('2NovTo8Nov'!$P:$P, '2NovTo8Nov'!$J:$J, $A83)</f>
        <v>0</v>
      </c>
      <c r="L83" s="122">
        <f t="shared" si="1"/>
        <v>0</v>
      </c>
      <c r="M83" s="121">
        <f>SUMIFS('26OctTo1Nov'!$L:$L, '26OctTo1Nov'!$J:$J, $A83)</f>
        <v>0</v>
      </c>
      <c r="N83" s="121">
        <f>SUMIFS('26OctTo1Nov'!$K:$K, '26OctTo1Nov'!$J:$J, $A83)</f>
        <v>0</v>
      </c>
      <c r="O83" s="121">
        <f>SUMIFS('26OctTo1Nov'!$O:$O, '26OctTo1Nov'!$J:$J, $A83)</f>
        <v>0</v>
      </c>
      <c r="P83" s="121">
        <f>SUMIFS('26OctTo1Nov'!$P:$P, '26OctTo1Nov'!$J:$J, $A83)</f>
        <v>0</v>
      </c>
      <c r="Q83" s="122">
        <f t="shared" si="2"/>
        <v>0</v>
      </c>
      <c r="R83" s="121">
        <f>SUMIFS('19OctTo25Oct'!$L:$L, '19OctTo25Oct'!$J:$J, $A83)</f>
        <v>0</v>
      </c>
      <c r="S83" s="121">
        <f>SUMIFS('19OctTo25Oct'!$K:$K, '19OctTo25Oct'!$J:$J, $A83)</f>
        <v>0</v>
      </c>
      <c r="T83" s="121">
        <f>SUMIFS('19OctTo25Oct'!$O:$O, '19OctTo25Oct'!$J:$J, $A83)</f>
        <v>0</v>
      </c>
      <c r="U83" s="121">
        <f>SUMIFS('19OctTo25Oct'!$P:$P, '19OctTo25Oct'!$J:$J, $A83)</f>
        <v>0</v>
      </c>
      <c r="V83" s="122">
        <f t="shared" si="3"/>
        <v>0</v>
      </c>
      <c r="W83" s="121">
        <f>SUMIFS('12OctTo18Oct'!$L:$L, '12OctTo18Oct'!$J:$J, $A83)</f>
        <v>0</v>
      </c>
      <c r="X83" s="121">
        <f>SUMIFS('12OctTo18Oct'!$K:$K, '12OctTo18Oct'!$J:$J, $A83)</f>
        <v>0</v>
      </c>
      <c r="Y83" s="121">
        <f>SUMIFS('12OctTo18Oct'!$O:$O, '12OctTo18Oct'!$J:$J, $A83)</f>
        <v>0</v>
      </c>
      <c r="Z83" s="121">
        <f>SUMIFS('12OctTo18Oct'!$P:$P, '12OctTo18Oct'!$J:$J, $A83)</f>
        <v>0</v>
      </c>
      <c r="AA83" s="122">
        <f t="shared" si="4"/>
        <v>0</v>
      </c>
      <c r="AB83" s="121">
        <f>SUMIFS('5OctTo11Oct'!$L:$L, '5OctTo11Oct'!$J:$J, $A83)</f>
        <v>0</v>
      </c>
      <c r="AC83" s="121">
        <f>SUMIFS('5OctTo11Oct'!$K:$K, '5OctTo11Oct'!$J:$J, $A83)</f>
        <v>0</v>
      </c>
      <c r="AD83" s="121">
        <f>SUMIFS('5OctTo11Oct'!$O:$O, '5OctTo11Oct'!$J:$J, $A83)</f>
        <v>0</v>
      </c>
      <c r="AE83" s="121">
        <f>SUMIFS('5OctTo11Oct'!$P:$P, '5OctTo11Oct'!$J:$J, $A83)</f>
        <v>0</v>
      </c>
      <c r="AF83" s="123">
        <f t="shared" si="5"/>
        <v>0</v>
      </c>
      <c r="AG83" s="129">
        <f>SUMIFS('28SepTo4Oct'!$L:$L, '28SepTo4Oct'!$J:$J, $A83)</f>
        <v>0</v>
      </c>
      <c r="AH83" s="129">
        <f>SUMIFS('28SepTo4Oct'!$K:$K, '28SepTo4Oct'!$J:$J, $A83)</f>
        <v>0</v>
      </c>
      <c r="AI83" s="129">
        <f>SUMIFS('28SepTo4Oct'!$O:$O, '28SepTo4Oct'!$J:$J, $A83)</f>
        <v>0</v>
      </c>
      <c r="AJ83" s="129">
        <f>SUMIFS('28SepTo4Oct'!$P:$P, '28SepTo4Oct'!$J:$J, $A83)</f>
        <v>0</v>
      </c>
      <c r="AK83" s="123">
        <f t="shared" si="6"/>
        <v>0</v>
      </c>
      <c r="AL83" s="129">
        <f>SUMIFS('21SepTo27Sep'!$L:$L, '21SepTo27Sep'!$J:$J, $A83)</f>
        <v>0</v>
      </c>
      <c r="AM83" s="129">
        <f>SUMIFS('21SepTo27Sep'!$K:$K, '21SepTo27Sep'!$J:$J, $A83)</f>
        <v>0</v>
      </c>
      <c r="AN83" s="121">
        <f>SUMIFS('21SepTo27Sep'!$O:$O, '21SepTo27Sep'!$J:$J, $A83)</f>
        <v>0</v>
      </c>
      <c r="AO83" s="129">
        <f>SUMIFS('21SepTo27Sep'!$P:$P, '21SepTo27Sep'!$J:$J, $A83)</f>
        <v>0</v>
      </c>
      <c r="AP83" s="123">
        <f t="shared" si="7"/>
        <v>0</v>
      </c>
      <c r="AQ83" s="129">
        <f>SUMIFS('14SepTo20Sep'!$L:$L, '14SepTo20Sep'!$J:$J, $A83)</f>
        <v>1</v>
      </c>
      <c r="AR83" s="129">
        <f>SUMIFS('14SepTo20Sep'!$K:$K, '14SepTo20Sep'!$J:$J, $A83)</f>
        <v>1</v>
      </c>
      <c r="AS83" s="121">
        <f>SUMIFS('14SepTo20Sep'!$O:$O, '14SepTo20Sep'!$J:$J, $A83)</f>
        <v>3.7</v>
      </c>
      <c r="AT83" s="129">
        <f>SUMIFS('14SepTo20Sep'!$P:$P, '14SepTo20Sep'!$J:$J, $A83)</f>
        <v>24.94</v>
      </c>
      <c r="AU83" s="123">
        <f t="shared" si="8"/>
        <v>14.83560545308741</v>
      </c>
      <c r="AV83" s="129">
        <f>SUMIFS('7SepTo13Sep'!$L:$L, '7SepTo13Sep'!$J:$J, $A83)</f>
        <v>0</v>
      </c>
      <c r="AW83" s="129">
        <f>SUMIFS('7SepTo13Sep'!$K:$K, '7SepTo13Sep'!$J:$J, $A83)</f>
        <v>0</v>
      </c>
      <c r="AX83" s="121">
        <f>SUMIFS('7SepTo13Sep'!$O:$O, '7SepTo13Sep'!$J:$J, $A83)</f>
        <v>0</v>
      </c>
      <c r="AY83" s="129">
        <f>SUMIFS('7SepTo13Sep'!$P:$P, '7SepTo13Sep'!$J:$J, $A83)</f>
        <v>0</v>
      </c>
      <c r="AZ83" s="123">
        <f t="shared" si="9"/>
        <v>0</v>
      </c>
      <c r="BA83" s="129">
        <f>SUMIFS('31AugTo6Sep'!$L:$L, '31AugTo6Sep'!$J:$J, $A83)</f>
        <v>0</v>
      </c>
      <c r="BB83" s="129">
        <f>SUMIFS('31AugTo6Sep'!$K:$K, '31AugTo6Sep'!$J:$J, $A83)</f>
        <v>0</v>
      </c>
      <c r="BC83" s="121">
        <f>SUMIFS('31AugTo6Sep'!$O:$O, '31AugTo6Sep'!$J:$J, $A83)</f>
        <v>0</v>
      </c>
      <c r="BD83" s="129">
        <f>SUMIFS('31AugTo6Sep'!$P:$P, '31AugTo6Sep'!$J:$J, $A83)</f>
        <v>0</v>
      </c>
      <c r="BE83" s="123">
        <f t="shared" si="10"/>
        <v>0</v>
      </c>
      <c r="BF83" s="129">
        <f>SUMIFS('24AugTo29Aug'!$L:$L, '24AugTo29Aug'!$J:$J, $A83)</f>
        <v>0</v>
      </c>
      <c r="BG83" s="129">
        <f>SUMIFS('24AugTo29Aug'!$K:$K, '24AugTo29Aug'!$J:$J, $A83)</f>
        <v>0</v>
      </c>
      <c r="BH83" s="121">
        <f>SUMIFS('24AugTo29Aug'!$O:$O, '24AugTo29Aug'!$J:$J, $A83)</f>
        <v>0</v>
      </c>
      <c r="BI83" s="129">
        <f>SUMIFS('24AugTo29Aug'!$P:$P, '24AugTo29Aug'!$J:$J, $A83)</f>
        <v>0</v>
      </c>
      <c r="BJ83" s="123">
        <f t="shared" si="11"/>
        <v>0</v>
      </c>
      <c r="BK83" s="129">
        <f>SUMIFS('17AugTo21Aug'!$L:$L, '17AugTo21Aug'!$J:$J, $A83)</f>
        <v>0</v>
      </c>
      <c r="BL83" s="129">
        <f>SUMIFS('17AugTo21Aug'!$K:$K, '17AugTo21Aug'!$J:$J, $A83)</f>
        <v>0</v>
      </c>
      <c r="BM83" s="121">
        <f>SUMIFS('17AugTo21Aug'!$O:$O, '17AugTo21Aug'!$J:$J, $A83)</f>
        <v>0</v>
      </c>
      <c r="BN83" s="129">
        <f>SUMIFS('17AugTo21Aug'!$P:$P, '17AugTo21Aug'!$J:$J, $A83)</f>
        <v>0</v>
      </c>
      <c r="BO83" s="123">
        <f t="shared" si="12"/>
        <v>0</v>
      </c>
      <c r="BP83" s="129">
        <f>SUMIFS('10AugTo16Aug'!$L:$L, '10AugTo16Aug'!$J:$J, $A83)</f>
        <v>0</v>
      </c>
      <c r="BQ83" s="129">
        <f>SUMIFS('10AugTo16Aug'!$K:$K, '10AugTo16Aug'!$J:$J, $A83)</f>
        <v>0</v>
      </c>
      <c r="BR83" s="121">
        <f>SUMIFS('10AugTo16Aug'!$O:$O, '10AugTo16Aug'!$J:$J, $A83)</f>
        <v>0</v>
      </c>
      <c r="BS83" s="129">
        <f>SUMIFS('10AugTo16Aug'!$P:$P, '10AugTo16Aug'!$J:$J, $A83)</f>
        <v>0</v>
      </c>
      <c r="BT83" s="123">
        <f t="shared" si="13"/>
        <v>0</v>
      </c>
      <c r="BU83" s="129">
        <f>SUMIFS('3AugTo9Aug'!$L:$L, '3AugTo9Aug'!$J:$J, $A83)</f>
        <v>0</v>
      </c>
      <c r="BV83" s="129">
        <f>SUMIFS('3AugTo9Aug'!$K:$K, '3AugTo9Aug'!$J:$J, $A83)</f>
        <v>0</v>
      </c>
      <c r="BW83" s="121">
        <f>SUMIFS('3AugTo9Aug'!$O:$O, '3AugTo9Aug'!$J:$J, $A83)</f>
        <v>0</v>
      </c>
      <c r="BX83" s="129">
        <f>SUMIFS('3AugTo9Aug'!$P:$P, '3AugTo9Aug'!$J:$J, $A83)</f>
        <v>0</v>
      </c>
      <c r="BY83" s="123">
        <f t="shared" si="14"/>
        <v>0</v>
      </c>
      <c r="BZ83" s="129">
        <f>SUMIFS('27JulyTo2Aug'!$L:$L, '27JulyTo2Aug'!$J:$J, $A83)</f>
        <v>0</v>
      </c>
      <c r="CA83" s="129">
        <f>SUMIFS('27JulyTo2Aug'!$K:$K, '27JulyTo2Aug'!$J:$J, $A83)</f>
        <v>0</v>
      </c>
      <c r="CB83" s="121">
        <f>SUMIFS('27JulyTo2Aug'!$O:$O, '27JulyTo2Aug'!$J:$J, $A83)</f>
        <v>0</v>
      </c>
      <c r="CC83" s="129">
        <f>SUMIFS('27JulyTo2Aug'!$P:$P, '27JulyTo2Aug'!$J:$J, $A83)</f>
        <v>0</v>
      </c>
      <c r="CD83" s="123">
        <f t="shared" si="15"/>
        <v>0</v>
      </c>
    </row>
    <row r="84" spans="1:82" ht="14.25" customHeight="1" x14ac:dyDescent="0.3">
      <c r="A84" s="124" t="s">
        <v>486</v>
      </c>
      <c r="B84" s="120" t="str">
        <f t="shared" si="17"/>
        <v>NO TRAFFIC</v>
      </c>
      <c r="C84" s="121">
        <f>SUMIFS('9NovTo15Nov'!$L:$L, '9NovTo15Nov'!$J:$J, $A84)</f>
        <v>0</v>
      </c>
      <c r="D84" s="121">
        <f>SUMIFS('9NovTo15Nov'!$K:$K, '9NovTo15Nov'!$J:$J, $A84)</f>
        <v>0</v>
      </c>
      <c r="E84" s="121">
        <f>SUMIFS('9NovTo15Nov'!$O:$O, '9NovTo15Nov'!$J:$J, $A84)</f>
        <v>0</v>
      </c>
      <c r="F84" s="121">
        <f>SUMIFS('9NovTo15Nov'!$P:$P, '9NovTo15Nov'!$J:$J, $A84)</f>
        <v>0</v>
      </c>
      <c r="G84" s="122">
        <f t="shared" si="0"/>
        <v>0</v>
      </c>
      <c r="H84" s="121">
        <f>SUMIFS('2NovTo8Nov'!$L:$L, '2NovTo8Nov'!$J:$J, $A84)</f>
        <v>0</v>
      </c>
      <c r="I84" s="121">
        <f>SUMIFS('2NovTo8Nov'!$K:$K, '2NovTo8Nov'!$J:$J, $A84)</f>
        <v>0</v>
      </c>
      <c r="J84" s="121">
        <f>SUMIFS('2NovTo8Nov'!$O:$O, '2NovTo8Nov'!$J:$J, $A84)</f>
        <v>0</v>
      </c>
      <c r="K84" s="121">
        <f>SUMIFS('2NovTo8Nov'!$P:$P, '2NovTo8Nov'!$J:$J, $A84)</f>
        <v>0</v>
      </c>
      <c r="L84" s="122">
        <f t="shared" si="1"/>
        <v>0</v>
      </c>
      <c r="M84" s="121">
        <f>SUMIFS('26OctTo1Nov'!$L:$L, '26OctTo1Nov'!$J:$J, $A84)</f>
        <v>0</v>
      </c>
      <c r="N84" s="121">
        <f>SUMIFS('26OctTo1Nov'!$K:$K, '26OctTo1Nov'!$J:$J, $A84)</f>
        <v>0</v>
      </c>
      <c r="O84" s="121">
        <f>SUMIFS('26OctTo1Nov'!$O:$O, '26OctTo1Nov'!$J:$J, $A84)</f>
        <v>0</v>
      </c>
      <c r="P84" s="121">
        <f>SUMIFS('26OctTo1Nov'!$P:$P, '26OctTo1Nov'!$J:$J, $A84)</f>
        <v>0</v>
      </c>
      <c r="Q84" s="122">
        <f t="shared" si="2"/>
        <v>0</v>
      </c>
      <c r="R84" s="121">
        <f>SUMIFS('19OctTo25Oct'!$L:$L, '19OctTo25Oct'!$J:$J, $A84)</f>
        <v>0</v>
      </c>
      <c r="S84" s="121">
        <f>SUMIFS('19OctTo25Oct'!$K:$K, '19OctTo25Oct'!$J:$J, $A84)</f>
        <v>0</v>
      </c>
      <c r="T84" s="121">
        <f>SUMIFS('19OctTo25Oct'!$O:$O, '19OctTo25Oct'!$J:$J, $A84)</f>
        <v>0</v>
      </c>
      <c r="U84" s="121">
        <f>SUMIFS('19OctTo25Oct'!$P:$P, '19OctTo25Oct'!$J:$J, $A84)</f>
        <v>0</v>
      </c>
      <c r="V84" s="122">
        <f t="shared" si="3"/>
        <v>0</v>
      </c>
      <c r="W84" s="121">
        <f>SUMIFS('12OctTo18Oct'!$L:$L, '12OctTo18Oct'!$J:$J, $A84)</f>
        <v>0</v>
      </c>
      <c r="X84" s="121">
        <f>SUMIFS('12OctTo18Oct'!$K:$K, '12OctTo18Oct'!$J:$J, $A84)</f>
        <v>0</v>
      </c>
      <c r="Y84" s="121">
        <f>SUMIFS('12OctTo18Oct'!$O:$O, '12OctTo18Oct'!$J:$J, $A84)</f>
        <v>0</v>
      </c>
      <c r="Z84" s="121">
        <f>SUMIFS('12OctTo18Oct'!$P:$P, '12OctTo18Oct'!$J:$J, $A84)</f>
        <v>0</v>
      </c>
      <c r="AA84" s="122">
        <f t="shared" si="4"/>
        <v>0</v>
      </c>
      <c r="AB84" s="121">
        <f>SUMIFS('5OctTo11Oct'!$L:$L, '5OctTo11Oct'!$J:$J, $A84)</f>
        <v>0</v>
      </c>
      <c r="AC84" s="121">
        <f>SUMIFS('5OctTo11Oct'!$K:$K, '5OctTo11Oct'!$J:$J, $A84)</f>
        <v>0</v>
      </c>
      <c r="AD84" s="121">
        <f>SUMIFS('5OctTo11Oct'!$O:$O, '5OctTo11Oct'!$J:$J, $A84)</f>
        <v>0</v>
      </c>
      <c r="AE84" s="121">
        <f>SUMIFS('5OctTo11Oct'!$P:$P, '5OctTo11Oct'!$J:$J, $A84)</f>
        <v>0</v>
      </c>
      <c r="AF84" s="123">
        <f t="shared" si="5"/>
        <v>0</v>
      </c>
      <c r="AG84" s="121">
        <f>SUMIFS('28SepTo4Oct'!$L:$L, '28SepTo4Oct'!$J:$J, $A84)</f>
        <v>0</v>
      </c>
      <c r="AH84" s="121">
        <f>SUMIFS('28SepTo4Oct'!$K:$K, '28SepTo4Oct'!$J:$J, $A84)</f>
        <v>0</v>
      </c>
      <c r="AI84" s="121">
        <f>SUMIFS('28SepTo4Oct'!$O:$O, '28SepTo4Oct'!$J:$J, $A84)</f>
        <v>0</v>
      </c>
      <c r="AJ84" s="121">
        <f>SUMIFS('28SepTo4Oct'!$P:$P, '28SepTo4Oct'!$J:$J, $A84)</f>
        <v>0</v>
      </c>
      <c r="AK84" s="123">
        <f t="shared" si="6"/>
        <v>0</v>
      </c>
      <c r="AL84" s="121">
        <f>SUMIFS('21SepTo27Sep'!$L:$L, '21SepTo27Sep'!$J:$J, $A84)</f>
        <v>0</v>
      </c>
      <c r="AM84" s="121">
        <f>SUMIFS('21SepTo27Sep'!$K:$K, '21SepTo27Sep'!$J:$J, $A84)</f>
        <v>0</v>
      </c>
      <c r="AN84" s="121">
        <f>SUMIFS('21SepTo27Sep'!$O:$O, '21SepTo27Sep'!$J:$J, $A84)</f>
        <v>0</v>
      </c>
      <c r="AO84" s="121">
        <f>SUMIFS('21SepTo27Sep'!$P:$P, '21SepTo27Sep'!$J:$J, $A84)</f>
        <v>0</v>
      </c>
      <c r="AP84" s="123">
        <f t="shared" si="7"/>
        <v>0</v>
      </c>
      <c r="AQ84" s="121">
        <f>SUMIFS('14SepTo20Sep'!$L:$L, '14SepTo20Sep'!$J:$J, $A84)</f>
        <v>1</v>
      </c>
      <c r="AR84" s="121">
        <f>SUMIFS('14SepTo20Sep'!$K:$K, '14SepTo20Sep'!$J:$J, $A84)</f>
        <v>1</v>
      </c>
      <c r="AS84" s="121">
        <f>SUMIFS('14SepTo20Sep'!$O:$O, '14SepTo20Sep'!$J:$J, $A84)</f>
        <v>3</v>
      </c>
      <c r="AT84" s="121">
        <f>SUMIFS('14SepTo20Sep'!$P:$P, '14SepTo20Sep'!$J:$J, $A84)</f>
        <v>21.9</v>
      </c>
      <c r="AU84" s="123">
        <f t="shared" si="8"/>
        <v>13.698630136986303</v>
      </c>
      <c r="AV84" s="121">
        <f>SUMIFS('7SepTo13Sep'!$L:$L, '7SepTo13Sep'!$J:$J, $A84)</f>
        <v>0</v>
      </c>
      <c r="AW84" s="121">
        <f>SUMIFS('7SepTo13Sep'!$K:$K, '7SepTo13Sep'!$J:$J, $A84)</f>
        <v>0</v>
      </c>
      <c r="AX84" s="121">
        <f>SUMIFS('7SepTo13Sep'!$O:$O, '7SepTo13Sep'!$J:$J, $A84)</f>
        <v>0</v>
      </c>
      <c r="AY84" s="121">
        <f>SUMIFS('7SepTo13Sep'!$P:$P, '7SepTo13Sep'!$J:$J, $A84)</f>
        <v>0</v>
      </c>
      <c r="AZ84" s="123">
        <f t="shared" si="9"/>
        <v>0</v>
      </c>
      <c r="BA84" s="121">
        <f>SUMIFS('31AugTo6Sep'!$L:$L, '31AugTo6Sep'!$J:$J, $A84)</f>
        <v>0</v>
      </c>
      <c r="BB84" s="121">
        <f>SUMIFS('31AugTo6Sep'!$K:$K, '31AugTo6Sep'!$J:$J, $A84)</f>
        <v>0</v>
      </c>
      <c r="BC84" s="121">
        <f>SUMIFS('31AugTo6Sep'!$O:$O, '31AugTo6Sep'!$J:$J, $A84)</f>
        <v>0</v>
      </c>
      <c r="BD84" s="121">
        <f>SUMIFS('31AugTo6Sep'!$P:$P, '31AugTo6Sep'!$J:$J, $A84)</f>
        <v>0</v>
      </c>
      <c r="BE84" s="123">
        <f t="shared" si="10"/>
        <v>0</v>
      </c>
      <c r="BF84" s="121">
        <f>SUMIFS('24AugTo29Aug'!$L:$L, '24AugTo29Aug'!$J:$J, $A84)</f>
        <v>0</v>
      </c>
      <c r="BG84" s="121">
        <f>SUMIFS('24AugTo29Aug'!$K:$K, '24AugTo29Aug'!$J:$J, $A84)</f>
        <v>0</v>
      </c>
      <c r="BH84" s="121">
        <f>SUMIFS('24AugTo29Aug'!$O:$O, '24AugTo29Aug'!$J:$J, $A84)</f>
        <v>0</v>
      </c>
      <c r="BI84" s="121">
        <f>SUMIFS('24AugTo29Aug'!$P:$P, '24AugTo29Aug'!$J:$J, $A84)</f>
        <v>0</v>
      </c>
      <c r="BJ84" s="123">
        <f t="shared" si="11"/>
        <v>0</v>
      </c>
      <c r="BK84" s="121">
        <f>SUMIFS('17AugTo21Aug'!$L:$L, '17AugTo21Aug'!$J:$J, $A84)</f>
        <v>0</v>
      </c>
      <c r="BL84" s="121">
        <f>SUMIFS('17AugTo21Aug'!$K:$K, '17AugTo21Aug'!$J:$J, $A84)</f>
        <v>0</v>
      </c>
      <c r="BM84" s="121">
        <f>SUMIFS('17AugTo21Aug'!$O:$O, '17AugTo21Aug'!$J:$J, $A84)</f>
        <v>0</v>
      </c>
      <c r="BN84" s="121">
        <f>SUMIFS('17AugTo21Aug'!$P:$P, '17AugTo21Aug'!$J:$J, $A84)</f>
        <v>0</v>
      </c>
      <c r="BO84" s="123">
        <f t="shared" si="12"/>
        <v>0</v>
      </c>
      <c r="BP84" s="121">
        <f>SUMIFS('10AugTo16Aug'!$L:$L, '10AugTo16Aug'!$J:$J, $A84)</f>
        <v>0</v>
      </c>
      <c r="BQ84" s="121">
        <f>SUMIFS('10AugTo16Aug'!$K:$K, '10AugTo16Aug'!$J:$J, $A84)</f>
        <v>0</v>
      </c>
      <c r="BR84" s="121">
        <f>SUMIFS('10AugTo16Aug'!$O:$O, '10AugTo16Aug'!$J:$J, $A84)</f>
        <v>0</v>
      </c>
      <c r="BS84" s="121">
        <f>SUMIFS('10AugTo16Aug'!$P:$P, '10AugTo16Aug'!$J:$J, $A84)</f>
        <v>0</v>
      </c>
      <c r="BT84" s="123">
        <f t="shared" si="13"/>
        <v>0</v>
      </c>
      <c r="BU84" s="121">
        <f>SUMIFS('3AugTo9Aug'!$L:$L, '3AugTo9Aug'!$J:$J, $A84)</f>
        <v>0</v>
      </c>
      <c r="BV84" s="121">
        <f>SUMIFS('3AugTo9Aug'!$K:$K, '3AugTo9Aug'!$J:$J, $A84)</f>
        <v>0</v>
      </c>
      <c r="BW84" s="121">
        <f>SUMIFS('3AugTo9Aug'!$O:$O, '3AugTo9Aug'!$J:$J, $A84)</f>
        <v>0</v>
      </c>
      <c r="BX84" s="121">
        <f>SUMIFS('3AugTo9Aug'!$P:$P, '3AugTo9Aug'!$J:$J, $A84)</f>
        <v>0</v>
      </c>
      <c r="BY84" s="123">
        <f t="shared" si="14"/>
        <v>0</v>
      </c>
      <c r="BZ84" s="121">
        <f>SUMIFS('27JulyTo2Aug'!$L:$L, '27JulyTo2Aug'!$J:$J, $A84)</f>
        <v>0</v>
      </c>
      <c r="CA84" s="121">
        <f>SUMIFS('27JulyTo2Aug'!$K:$K, '27JulyTo2Aug'!$J:$J, $A84)</f>
        <v>0</v>
      </c>
      <c r="CB84" s="121">
        <f>SUMIFS('27JulyTo2Aug'!$O:$O, '27JulyTo2Aug'!$J:$J, $A84)</f>
        <v>0</v>
      </c>
      <c r="CC84" s="121">
        <f>SUMIFS('27JulyTo2Aug'!$P:$P, '27JulyTo2Aug'!$J:$J, $A84)</f>
        <v>0</v>
      </c>
      <c r="CD84" s="123">
        <f t="shared" si="15"/>
        <v>0</v>
      </c>
    </row>
    <row r="85" spans="1:82" ht="14.25" customHeight="1" x14ac:dyDescent="0.3">
      <c r="A85" s="124" t="s">
        <v>487</v>
      </c>
      <c r="B85" s="120" t="str">
        <f t="shared" si="17"/>
        <v>NO TRAFFIC</v>
      </c>
      <c r="C85" s="121">
        <f>SUMIFS('9NovTo15Nov'!$L:$L, '9NovTo15Nov'!$J:$J, $A85)</f>
        <v>0</v>
      </c>
      <c r="D85" s="121">
        <f>SUMIFS('9NovTo15Nov'!$K:$K, '9NovTo15Nov'!$J:$J, $A85)</f>
        <v>0</v>
      </c>
      <c r="E85" s="121">
        <f>SUMIFS('9NovTo15Nov'!$O:$O, '9NovTo15Nov'!$J:$J, $A85)</f>
        <v>0</v>
      </c>
      <c r="F85" s="121">
        <f>SUMIFS('9NovTo15Nov'!$P:$P, '9NovTo15Nov'!$J:$J, $A85)</f>
        <v>0</v>
      </c>
      <c r="G85" s="122">
        <f t="shared" si="0"/>
        <v>0</v>
      </c>
      <c r="H85" s="121">
        <f>SUMIFS('2NovTo8Nov'!$L:$L, '2NovTo8Nov'!$J:$J, $A85)</f>
        <v>0</v>
      </c>
      <c r="I85" s="121">
        <f>SUMIFS('2NovTo8Nov'!$K:$K, '2NovTo8Nov'!$J:$J, $A85)</f>
        <v>0</v>
      </c>
      <c r="J85" s="121">
        <f>SUMIFS('2NovTo8Nov'!$O:$O, '2NovTo8Nov'!$J:$J, $A85)</f>
        <v>0</v>
      </c>
      <c r="K85" s="121">
        <f>SUMIFS('2NovTo8Nov'!$P:$P, '2NovTo8Nov'!$J:$J, $A85)</f>
        <v>0</v>
      </c>
      <c r="L85" s="122">
        <f t="shared" si="1"/>
        <v>0</v>
      </c>
      <c r="M85" s="121">
        <f>SUMIFS('26OctTo1Nov'!$L:$L, '26OctTo1Nov'!$J:$J, $A85)</f>
        <v>0</v>
      </c>
      <c r="N85" s="121">
        <f>SUMIFS('26OctTo1Nov'!$K:$K, '26OctTo1Nov'!$J:$J, $A85)</f>
        <v>0</v>
      </c>
      <c r="O85" s="121">
        <f>SUMIFS('26OctTo1Nov'!$O:$O, '26OctTo1Nov'!$J:$J, $A85)</f>
        <v>0</v>
      </c>
      <c r="P85" s="121">
        <f>SUMIFS('26OctTo1Nov'!$P:$P, '26OctTo1Nov'!$J:$J, $A85)</f>
        <v>0</v>
      </c>
      <c r="Q85" s="122">
        <f t="shared" si="2"/>
        <v>0</v>
      </c>
      <c r="R85" s="121">
        <f>SUMIFS('19OctTo25Oct'!$L:$L, '19OctTo25Oct'!$J:$J, $A85)</f>
        <v>0</v>
      </c>
      <c r="S85" s="121">
        <f>SUMIFS('19OctTo25Oct'!$K:$K, '19OctTo25Oct'!$J:$J, $A85)</f>
        <v>0</v>
      </c>
      <c r="T85" s="121">
        <f>SUMIFS('19OctTo25Oct'!$O:$O, '19OctTo25Oct'!$J:$J, $A85)</f>
        <v>0</v>
      </c>
      <c r="U85" s="121">
        <f>SUMIFS('19OctTo25Oct'!$P:$P, '19OctTo25Oct'!$J:$J, $A85)</f>
        <v>0</v>
      </c>
      <c r="V85" s="122">
        <f t="shared" si="3"/>
        <v>0</v>
      </c>
      <c r="W85" s="121">
        <f>SUMIFS('12OctTo18Oct'!$L:$L, '12OctTo18Oct'!$J:$J, $A85)</f>
        <v>0</v>
      </c>
      <c r="X85" s="121">
        <f>SUMIFS('12OctTo18Oct'!$K:$K, '12OctTo18Oct'!$J:$J, $A85)</f>
        <v>0</v>
      </c>
      <c r="Y85" s="121">
        <f>SUMIFS('12OctTo18Oct'!$O:$O, '12OctTo18Oct'!$J:$J, $A85)</f>
        <v>0</v>
      </c>
      <c r="Z85" s="121">
        <f>SUMIFS('12OctTo18Oct'!$P:$P, '12OctTo18Oct'!$J:$J, $A85)</f>
        <v>0</v>
      </c>
      <c r="AA85" s="122">
        <f t="shared" si="4"/>
        <v>0</v>
      </c>
      <c r="AB85" s="121">
        <f>SUMIFS('5OctTo11Oct'!$L:$L, '5OctTo11Oct'!$J:$J, $A85)</f>
        <v>0</v>
      </c>
      <c r="AC85" s="121">
        <f>SUMIFS('5OctTo11Oct'!$K:$K, '5OctTo11Oct'!$J:$J, $A85)</f>
        <v>0</v>
      </c>
      <c r="AD85" s="121">
        <f>SUMIFS('5OctTo11Oct'!$O:$O, '5OctTo11Oct'!$J:$J, $A85)</f>
        <v>0</v>
      </c>
      <c r="AE85" s="121">
        <f>SUMIFS('5OctTo11Oct'!$P:$P, '5OctTo11Oct'!$J:$J, $A85)</f>
        <v>0</v>
      </c>
      <c r="AF85" s="123">
        <f t="shared" si="5"/>
        <v>0</v>
      </c>
      <c r="AG85" s="121">
        <f>SUMIFS('28SepTo4Oct'!$L:$L, '28SepTo4Oct'!$J:$J, $A85)</f>
        <v>0</v>
      </c>
      <c r="AH85" s="121">
        <f>SUMIFS('28SepTo4Oct'!$K:$K, '28SepTo4Oct'!$J:$J, $A85)</f>
        <v>0</v>
      </c>
      <c r="AI85" s="121">
        <f>SUMIFS('28SepTo4Oct'!$O:$O, '28SepTo4Oct'!$J:$J, $A85)</f>
        <v>0</v>
      </c>
      <c r="AJ85" s="121">
        <f>SUMIFS('28SepTo4Oct'!$P:$P, '28SepTo4Oct'!$J:$J, $A85)</f>
        <v>0</v>
      </c>
      <c r="AK85" s="123">
        <f t="shared" si="6"/>
        <v>0</v>
      </c>
      <c r="AL85" s="121">
        <f>SUMIFS('21SepTo27Sep'!$L:$L, '21SepTo27Sep'!$J:$J, $A85)</f>
        <v>0</v>
      </c>
      <c r="AM85" s="121">
        <f>SUMIFS('21SepTo27Sep'!$K:$K, '21SepTo27Sep'!$J:$J, $A85)</f>
        <v>0</v>
      </c>
      <c r="AN85" s="121">
        <f>SUMIFS('21SepTo27Sep'!$O:$O, '21SepTo27Sep'!$J:$J, $A85)</f>
        <v>0</v>
      </c>
      <c r="AO85" s="121">
        <f>SUMIFS('21SepTo27Sep'!$P:$P, '21SepTo27Sep'!$J:$J, $A85)</f>
        <v>0</v>
      </c>
      <c r="AP85" s="123">
        <f t="shared" si="7"/>
        <v>0</v>
      </c>
      <c r="AQ85" s="121">
        <f>SUMIFS('14SepTo20Sep'!$L:$L, '14SepTo20Sep'!$J:$J, $A85)</f>
        <v>1</v>
      </c>
      <c r="AR85" s="121">
        <f>SUMIFS('14SepTo20Sep'!$K:$K, '14SepTo20Sep'!$J:$J, $A85)</f>
        <v>3</v>
      </c>
      <c r="AS85" s="121">
        <f>SUMIFS('14SepTo20Sep'!$O:$O, '14SepTo20Sep'!$J:$J, $A85)</f>
        <v>3.7</v>
      </c>
      <c r="AT85" s="121">
        <f>SUMIFS('14SepTo20Sep'!$P:$P, '14SepTo20Sep'!$J:$J, $A85)</f>
        <v>24.94</v>
      </c>
      <c r="AU85" s="123">
        <f t="shared" si="8"/>
        <v>14.83560545308741</v>
      </c>
      <c r="AV85" s="121">
        <f>SUMIFS('7SepTo13Sep'!$L:$L, '7SepTo13Sep'!$J:$J, $A85)</f>
        <v>0</v>
      </c>
      <c r="AW85" s="121">
        <f>SUMIFS('7SepTo13Sep'!$K:$K, '7SepTo13Sep'!$J:$J, $A85)</f>
        <v>0</v>
      </c>
      <c r="AX85" s="121">
        <f>SUMIFS('7SepTo13Sep'!$O:$O, '7SepTo13Sep'!$J:$J, $A85)</f>
        <v>0</v>
      </c>
      <c r="AY85" s="121">
        <f>SUMIFS('7SepTo13Sep'!$P:$P, '7SepTo13Sep'!$J:$J, $A85)</f>
        <v>0</v>
      </c>
      <c r="AZ85" s="123">
        <f t="shared" si="9"/>
        <v>0</v>
      </c>
      <c r="BA85" s="121">
        <f>SUMIFS('31AugTo6Sep'!$L:$L, '31AugTo6Sep'!$J:$J, $A85)</f>
        <v>0</v>
      </c>
      <c r="BB85" s="121">
        <f>SUMIFS('31AugTo6Sep'!$K:$K, '31AugTo6Sep'!$J:$J, $A85)</f>
        <v>0</v>
      </c>
      <c r="BC85" s="121">
        <f>SUMIFS('31AugTo6Sep'!$O:$O, '31AugTo6Sep'!$J:$J, $A85)</f>
        <v>0</v>
      </c>
      <c r="BD85" s="121">
        <f>SUMIFS('31AugTo6Sep'!$P:$P, '31AugTo6Sep'!$J:$J, $A85)</f>
        <v>0</v>
      </c>
      <c r="BE85" s="123">
        <f t="shared" si="10"/>
        <v>0</v>
      </c>
      <c r="BF85" s="121">
        <f>SUMIFS('24AugTo29Aug'!$L:$L, '24AugTo29Aug'!$J:$J, $A85)</f>
        <v>0</v>
      </c>
      <c r="BG85" s="121">
        <f>SUMIFS('24AugTo29Aug'!$K:$K, '24AugTo29Aug'!$J:$J, $A85)</f>
        <v>0</v>
      </c>
      <c r="BH85" s="121">
        <f>SUMIFS('24AugTo29Aug'!$O:$O, '24AugTo29Aug'!$J:$J, $A85)</f>
        <v>0</v>
      </c>
      <c r="BI85" s="121">
        <f>SUMIFS('24AugTo29Aug'!$P:$P, '24AugTo29Aug'!$J:$J, $A85)</f>
        <v>0</v>
      </c>
      <c r="BJ85" s="123">
        <f t="shared" si="11"/>
        <v>0</v>
      </c>
      <c r="BK85" s="121">
        <f>SUMIFS('17AugTo21Aug'!$L:$L, '17AugTo21Aug'!$J:$J, $A85)</f>
        <v>0</v>
      </c>
      <c r="BL85" s="121">
        <f>SUMIFS('17AugTo21Aug'!$K:$K, '17AugTo21Aug'!$J:$J, $A85)</f>
        <v>0</v>
      </c>
      <c r="BM85" s="121">
        <f>SUMIFS('17AugTo21Aug'!$O:$O, '17AugTo21Aug'!$J:$J, $A85)</f>
        <v>0</v>
      </c>
      <c r="BN85" s="121">
        <f>SUMIFS('17AugTo21Aug'!$P:$P, '17AugTo21Aug'!$J:$J, $A85)</f>
        <v>0</v>
      </c>
      <c r="BO85" s="123">
        <f t="shared" si="12"/>
        <v>0</v>
      </c>
      <c r="BP85" s="121">
        <f>SUMIFS('10AugTo16Aug'!$L:$L, '10AugTo16Aug'!$J:$J, $A85)</f>
        <v>0</v>
      </c>
      <c r="BQ85" s="121">
        <f>SUMIFS('10AugTo16Aug'!$K:$K, '10AugTo16Aug'!$J:$J, $A85)</f>
        <v>0</v>
      </c>
      <c r="BR85" s="121">
        <f>SUMIFS('10AugTo16Aug'!$O:$O, '10AugTo16Aug'!$J:$J, $A85)</f>
        <v>0</v>
      </c>
      <c r="BS85" s="121">
        <f>SUMIFS('10AugTo16Aug'!$P:$P, '10AugTo16Aug'!$J:$J, $A85)</f>
        <v>0</v>
      </c>
      <c r="BT85" s="123">
        <f t="shared" si="13"/>
        <v>0</v>
      </c>
      <c r="BU85" s="121">
        <f>SUMIFS('3AugTo9Aug'!$L:$L, '3AugTo9Aug'!$J:$J, $A85)</f>
        <v>0</v>
      </c>
      <c r="BV85" s="121">
        <f>SUMIFS('3AugTo9Aug'!$K:$K, '3AugTo9Aug'!$J:$J, $A85)</f>
        <v>0</v>
      </c>
      <c r="BW85" s="121">
        <f>SUMIFS('3AugTo9Aug'!$O:$O, '3AugTo9Aug'!$J:$J, $A85)</f>
        <v>0</v>
      </c>
      <c r="BX85" s="121">
        <f>SUMIFS('3AugTo9Aug'!$P:$P, '3AugTo9Aug'!$J:$J, $A85)</f>
        <v>0</v>
      </c>
      <c r="BY85" s="123">
        <f t="shared" si="14"/>
        <v>0</v>
      </c>
      <c r="BZ85" s="121">
        <f>SUMIFS('27JulyTo2Aug'!$L:$L, '27JulyTo2Aug'!$J:$J, $A85)</f>
        <v>0</v>
      </c>
      <c r="CA85" s="121">
        <f>SUMIFS('27JulyTo2Aug'!$K:$K, '27JulyTo2Aug'!$J:$J, $A85)</f>
        <v>0</v>
      </c>
      <c r="CB85" s="121">
        <f>SUMIFS('27JulyTo2Aug'!$O:$O, '27JulyTo2Aug'!$J:$J, $A85)</f>
        <v>0</v>
      </c>
      <c r="CC85" s="121">
        <f>SUMIFS('27JulyTo2Aug'!$P:$P, '27JulyTo2Aug'!$J:$J, $A85)</f>
        <v>0</v>
      </c>
      <c r="CD85" s="123">
        <f t="shared" si="15"/>
        <v>0</v>
      </c>
    </row>
    <row r="86" spans="1:82" ht="14.25" customHeight="1" x14ac:dyDescent="0.3">
      <c r="A86" s="124" t="s">
        <v>490</v>
      </c>
      <c r="B86" s="120" t="str">
        <f t="shared" si="17"/>
        <v>NO TRAFFIC</v>
      </c>
      <c r="C86" s="121">
        <f>SUMIFS('9NovTo15Nov'!$L:$L, '9NovTo15Nov'!$J:$J, $A86)</f>
        <v>0</v>
      </c>
      <c r="D86" s="121">
        <f>SUMIFS('9NovTo15Nov'!$K:$K, '9NovTo15Nov'!$J:$J, $A86)</f>
        <v>0</v>
      </c>
      <c r="E86" s="121">
        <f>SUMIFS('9NovTo15Nov'!$O:$O, '9NovTo15Nov'!$J:$J, $A86)</f>
        <v>0</v>
      </c>
      <c r="F86" s="121">
        <f>SUMIFS('9NovTo15Nov'!$P:$P, '9NovTo15Nov'!$J:$J, $A86)</f>
        <v>0</v>
      </c>
      <c r="G86" s="122">
        <f t="shared" si="0"/>
        <v>0</v>
      </c>
      <c r="H86" s="121">
        <f>SUMIFS('2NovTo8Nov'!$L:$L, '2NovTo8Nov'!$J:$J, $A86)</f>
        <v>0</v>
      </c>
      <c r="I86" s="121">
        <f>SUMIFS('2NovTo8Nov'!$K:$K, '2NovTo8Nov'!$J:$J, $A86)</f>
        <v>0</v>
      </c>
      <c r="J86" s="121">
        <f>SUMIFS('2NovTo8Nov'!$O:$O, '2NovTo8Nov'!$J:$J, $A86)</f>
        <v>0</v>
      </c>
      <c r="K86" s="121">
        <f>SUMIFS('2NovTo8Nov'!$P:$P, '2NovTo8Nov'!$J:$J, $A86)</f>
        <v>0</v>
      </c>
      <c r="L86" s="122">
        <f t="shared" si="1"/>
        <v>0</v>
      </c>
      <c r="M86" s="121">
        <f>SUMIFS('26OctTo1Nov'!$L:$L, '26OctTo1Nov'!$J:$J, $A86)</f>
        <v>0</v>
      </c>
      <c r="N86" s="121">
        <f>SUMIFS('26OctTo1Nov'!$K:$K, '26OctTo1Nov'!$J:$J, $A86)</f>
        <v>0</v>
      </c>
      <c r="O86" s="121">
        <f>SUMIFS('26OctTo1Nov'!$O:$O, '26OctTo1Nov'!$J:$J, $A86)</f>
        <v>0</v>
      </c>
      <c r="P86" s="121">
        <f>SUMIFS('26OctTo1Nov'!$P:$P, '26OctTo1Nov'!$J:$J, $A86)</f>
        <v>0</v>
      </c>
      <c r="Q86" s="122">
        <f t="shared" si="2"/>
        <v>0</v>
      </c>
      <c r="R86" s="121">
        <f>SUMIFS('19OctTo25Oct'!$L:$L, '19OctTo25Oct'!$J:$J, $A86)</f>
        <v>0</v>
      </c>
      <c r="S86" s="121">
        <f>SUMIFS('19OctTo25Oct'!$K:$K, '19OctTo25Oct'!$J:$J, $A86)</f>
        <v>0</v>
      </c>
      <c r="T86" s="121">
        <f>SUMIFS('19OctTo25Oct'!$O:$O, '19OctTo25Oct'!$J:$J, $A86)</f>
        <v>0</v>
      </c>
      <c r="U86" s="121">
        <f>SUMIFS('19OctTo25Oct'!$P:$P, '19OctTo25Oct'!$J:$J, $A86)</f>
        <v>0</v>
      </c>
      <c r="V86" s="122">
        <f t="shared" si="3"/>
        <v>0</v>
      </c>
      <c r="W86" s="121">
        <f>SUMIFS('12OctTo18Oct'!$L:$L, '12OctTo18Oct'!$J:$J, $A86)</f>
        <v>0</v>
      </c>
      <c r="X86" s="121">
        <f>SUMIFS('12OctTo18Oct'!$K:$K, '12OctTo18Oct'!$J:$J, $A86)</f>
        <v>0</v>
      </c>
      <c r="Y86" s="121">
        <f>SUMIFS('12OctTo18Oct'!$O:$O, '12OctTo18Oct'!$J:$J, $A86)</f>
        <v>0</v>
      </c>
      <c r="Z86" s="121">
        <f>SUMIFS('12OctTo18Oct'!$P:$P, '12OctTo18Oct'!$J:$J, $A86)</f>
        <v>0</v>
      </c>
      <c r="AA86" s="122">
        <f t="shared" si="4"/>
        <v>0</v>
      </c>
      <c r="AB86" s="121">
        <f>SUMIFS('5OctTo11Oct'!$L:$L, '5OctTo11Oct'!$J:$J, $A86)</f>
        <v>0</v>
      </c>
      <c r="AC86" s="121">
        <f>SUMIFS('5OctTo11Oct'!$K:$K, '5OctTo11Oct'!$J:$J, $A86)</f>
        <v>0</v>
      </c>
      <c r="AD86" s="121">
        <f>SUMIFS('5OctTo11Oct'!$O:$O, '5OctTo11Oct'!$J:$J, $A86)</f>
        <v>0</v>
      </c>
      <c r="AE86" s="121">
        <f>SUMIFS('5OctTo11Oct'!$P:$P, '5OctTo11Oct'!$J:$J, $A86)</f>
        <v>0</v>
      </c>
      <c r="AF86" s="123">
        <f t="shared" si="5"/>
        <v>0</v>
      </c>
      <c r="AG86" s="121">
        <f>SUMIFS('28SepTo4Oct'!$L:$L, '28SepTo4Oct'!$J:$J, $A86)</f>
        <v>0</v>
      </c>
      <c r="AH86" s="121">
        <f>SUMIFS('28SepTo4Oct'!$K:$K, '28SepTo4Oct'!$J:$J, $A86)</f>
        <v>0</v>
      </c>
      <c r="AI86" s="121">
        <f>SUMIFS('28SepTo4Oct'!$O:$O, '28SepTo4Oct'!$J:$J, $A86)</f>
        <v>0</v>
      </c>
      <c r="AJ86" s="121">
        <f>SUMIFS('28SepTo4Oct'!$P:$P, '28SepTo4Oct'!$J:$J, $A86)</f>
        <v>0</v>
      </c>
      <c r="AK86" s="123">
        <f t="shared" si="6"/>
        <v>0</v>
      </c>
      <c r="AL86" s="121">
        <f>SUMIFS('21SepTo27Sep'!$L:$L, '21SepTo27Sep'!$J:$J, $A86)</f>
        <v>0</v>
      </c>
      <c r="AM86" s="121">
        <f>SUMIFS('21SepTo27Sep'!$K:$K, '21SepTo27Sep'!$J:$J, $A86)</f>
        <v>0</v>
      </c>
      <c r="AN86" s="121">
        <f>SUMIFS('21SepTo27Sep'!$O:$O, '21SepTo27Sep'!$J:$J, $A86)</f>
        <v>0</v>
      </c>
      <c r="AO86" s="121">
        <f>SUMIFS('21SepTo27Sep'!$P:$P, '21SepTo27Sep'!$J:$J, $A86)</f>
        <v>0</v>
      </c>
      <c r="AP86" s="123">
        <f t="shared" si="7"/>
        <v>0</v>
      </c>
      <c r="AQ86" s="121">
        <f>SUMIFS('14SepTo20Sep'!$L:$L, '14SepTo20Sep'!$J:$J, $A86)</f>
        <v>1</v>
      </c>
      <c r="AR86" s="121">
        <f>SUMIFS('14SepTo20Sep'!$K:$K, '14SepTo20Sep'!$J:$J, $A86)</f>
        <v>5</v>
      </c>
      <c r="AS86" s="121">
        <f>SUMIFS('14SepTo20Sep'!$O:$O, '14SepTo20Sep'!$J:$J, $A86)</f>
        <v>3.45</v>
      </c>
      <c r="AT86" s="121">
        <f>SUMIFS('14SepTo20Sep'!$P:$P, '14SepTo20Sep'!$J:$J, $A86)</f>
        <v>24.94</v>
      </c>
      <c r="AU86" s="123">
        <f t="shared" si="8"/>
        <v>13.833199679230152</v>
      </c>
      <c r="AV86" s="121">
        <f>SUMIFS('7SepTo13Sep'!$L:$L, '7SepTo13Sep'!$J:$J, $A86)</f>
        <v>0</v>
      </c>
      <c r="AW86" s="121">
        <f>SUMIFS('7SepTo13Sep'!$K:$K, '7SepTo13Sep'!$J:$J, $A86)</f>
        <v>0</v>
      </c>
      <c r="AX86" s="121">
        <f>SUMIFS('7SepTo13Sep'!$O:$O, '7SepTo13Sep'!$J:$J, $A86)</f>
        <v>0</v>
      </c>
      <c r="AY86" s="121">
        <f>SUMIFS('7SepTo13Sep'!$P:$P, '7SepTo13Sep'!$J:$J, $A86)</f>
        <v>0</v>
      </c>
      <c r="AZ86" s="123">
        <f t="shared" si="9"/>
        <v>0</v>
      </c>
      <c r="BA86" s="121">
        <f>SUMIFS('31AugTo6Sep'!$L:$L, '31AugTo6Sep'!$J:$J, $A86)</f>
        <v>0</v>
      </c>
      <c r="BB86" s="121">
        <f>SUMIFS('31AugTo6Sep'!$K:$K, '31AugTo6Sep'!$J:$J, $A86)</f>
        <v>0</v>
      </c>
      <c r="BC86" s="121">
        <f>SUMIFS('31AugTo6Sep'!$O:$O, '31AugTo6Sep'!$J:$J, $A86)</f>
        <v>0</v>
      </c>
      <c r="BD86" s="121">
        <f>SUMIFS('31AugTo6Sep'!$P:$P, '31AugTo6Sep'!$J:$J, $A86)</f>
        <v>0</v>
      </c>
      <c r="BE86" s="123">
        <f t="shared" si="10"/>
        <v>0</v>
      </c>
      <c r="BF86" s="121">
        <f>SUMIFS('24AugTo29Aug'!$L:$L, '24AugTo29Aug'!$J:$J, $A86)</f>
        <v>0</v>
      </c>
      <c r="BG86" s="121">
        <f>SUMIFS('24AugTo29Aug'!$K:$K, '24AugTo29Aug'!$J:$J, $A86)</f>
        <v>0</v>
      </c>
      <c r="BH86" s="121">
        <f>SUMIFS('24AugTo29Aug'!$O:$O, '24AugTo29Aug'!$J:$J, $A86)</f>
        <v>0</v>
      </c>
      <c r="BI86" s="121">
        <f>SUMIFS('24AugTo29Aug'!$P:$P, '24AugTo29Aug'!$J:$J, $A86)</f>
        <v>0</v>
      </c>
      <c r="BJ86" s="123">
        <f t="shared" si="11"/>
        <v>0</v>
      </c>
      <c r="BK86" s="121">
        <f>SUMIFS('17AugTo21Aug'!$L:$L, '17AugTo21Aug'!$J:$J, $A86)</f>
        <v>0</v>
      </c>
      <c r="BL86" s="121">
        <f>SUMIFS('17AugTo21Aug'!$K:$K, '17AugTo21Aug'!$J:$J, $A86)</f>
        <v>0</v>
      </c>
      <c r="BM86" s="121">
        <f>SUMIFS('17AugTo21Aug'!$O:$O, '17AugTo21Aug'!$J:$J, $A86)</f>
        <v>0</v>
      </c>
      <c r="BN86" s="121">
        <f>SUMIFS('17AugTo21Aug'!$P:$P, '17AugTo21Aug'!$J:$J, $A86)</f>
        <v>0</v>
      </c>
      <c r="BO86" s="123">
        <f t="shared" si="12"/>
        <v>0</v>
      </c>
      <c r="BP86" s="121">
        <f>SUMIFS('10AugTo16Aug'!$L:$L, '10AugTo16Aug'!$J:$J, $A86)</f>
        <v>0</v>
      </c>
      <c r="BQ86" s="121">
        <f>SUMIFS('10AugTo16Aug'!$K:$K, '10AugTo16Aug'!$J:$J, $A86)</f>
        <v>0</v>
      </c>
      <c r="BR86" s="121">
        <f>SUMIFS('10AugTo16Aug'!$O:$O, '10AugTo16Aug'!$J:$J, $A86)</f>
        <v>0</v>
      </c>
      <c r="BS86" s="121">
        <f>SUMIFS('10AugTo16Aug'!$P:$P, '10AugTo16Aug'!$J:$J, $A86)</f>
        <v>0</v>
      </c>
      <c r="BT86" s="123">
        <f t="shared" si="13"/>
        <v>0</v>
      </c>
      <c r="BU86" s="121">
        <f>SUMIFS('3AugTo9Aug'!$L:$L, '3AugTo9Aug'!$J:$J, $A86)</f>
        <v>0</v>
      </c>
      <c r="BV86" s="121">
        <f>SUMIFS('3AugTo9Aug'!$K:$K, '3AugTo9Aug'!$J:$J, $A86)</f>
        <v>0</v>
      </c>
      <c r="BW86" s="121">
        <f>SUMIFS('3AugTo9Aug'!$O:$O, '3AugTo9Aug'!$J:$J, $A86)</f>
        <v>0</v>
      </c>
      <c r="BX86" s="121">
        <f>SUMIFS('3AugTo9Aug'!$P:$P, '3AugTo9Aug'!$J:$J, $A86)</f>
        <v>0</v>
      </c>
      <c r="BY86" s="123">
        <f t="shared" si="14"/>
        <v>0</v>
      </c>
      <c r="BZ86" s="121">
        <f>SUMIFS('27JulyTo2Aug'!$L:$L, '27JulyTo2Aug'!$J:$J, $A86)</f>
        <v>0</v>
      </c>
      <c r="CA86" s="121">
        <f>SUMIFS('27JulyTo2Aug'!$K:$K, '27JulyTo2Aug'!$J:$J, $A86)</f>
        <v>0</v>
      </c>
      <c r="CB86" s="121">
        <f>SUMIFS('27JulyTo2Aug'!$O:$O, '27JulyTo2Aug'!$J:$J, $A86)</f>
        <v>0</v>
      </c>
      <c r="CC86" s="121">
        <f>SUMIFS('27JulyTo2Aug'!$P:$P, '27JulyTo2Aug'!$J:$J, $A86)</f>
        <v>0</v>
      </c>
      <c r="CD86" s="123">
        <f t="shared" si="15"/>
        <v>0</v>
      </c>
    </row>
    <row r="87" spans="1:82" ht="14.25" customHeight="1" x14ac:dyDescent="0.3">
      <c r="A87" s="124" t="s">
        <v>491</v>
      </c>
      <c r="B87" s="120" t="str">
        <f t="shared" si="17"/>
        <v>NO TRAFFIC</v>
      </c>
      <c r="C87" s="121">
        <f>SUMIFS('9NovTo15Nov'!$L:$L, '9NovTo15Nov'!$J:$J, $A87)</f>
        <v>0</v>
      </c>
      <c r="D87" s="121">
        <f>SUMIFS('9NovTo15Nov'!$K:$K, '9NovTo15Nov'!$J:$J, $A87)</f>
        <v>0</v>
      </c>
      <c r="E87" s="121">
        <f>SUMIFS('9NovTo15Nov'!$O:$O, '9NovTo15Nov'!$J:$J, $A87)</f>
        <v>0</v>
      </c>
      <c r="F87" s="121">
        <f>SUMIFS('9NovTo15Nov'!$P:$P, '9NovTo15Nov'!$J:$J, $A87)</f>
        <v>0</v>
      </c>
      <c r="G87" s="122">
        <f t="shared" si="0"/>
        <v>0</v>
      </c>
      <c r="H87" s="121">
        <f>SUMIFS('2NovTo8Nov'!$L:$L, '2NovTo8Nov'!$J:$J, $A87)</f>
        <v>0</v>
      </c>
      <c r="I87" s="121">
        <f>SUMIFS('2NovTo8Nov'!$K:$K, '2NovTo8Nov'!$J:$J, $A87)</f>
        <v>0</v>
      </c>
      <c r="J87" s="121">
        <f>SUMIFS('2NovTo8Nov'!$O:$O, '2NovTo8Nov'!$J:$J, $A87)</f>
        <v>0</v>
      </c>
      <c r="K87" s="121">
        <f>SUMIFS('2NovTo8Nov'!$P:$P, '2NovTo8Nov'!$J:$J, $A87)</f>
        <v>0</v>
      </c>
      <c r="L87" s="122">
        <f t="shared" si="1"/>
        <v>0</v>
      </c>
      <c r="M87" s="121">
        <f>SUMIFS('26OctTo1Nov'!$L:$L, '26OctTo1Nov'!$J:$J, $A87)</f>
        <v>0</v>
      </c>
      <c r="N87" s="121">
        <f>SUMIFS('26OctTo1Nov'!$K:$K, '26OctTo1Nov'!$J:$J, $A87)</f>
        <v>0</v>
      </c>
      <c r="O87" s="121">
        <f>SUMIFS('26OctTo1Nov'!$O:$O, '26OctTo1Nov'!$J:$J, $A87)</f>
        <v>0</v>
      </c>
      <c r="P87" s="121">
        <f>SUMIFS('26OctTo1Nov'!$P:$P, '26OctTo1Nov'!$J:$J, $A87)</f>
        <v>0</v>
      </c>
      <c r="Q87" s="122">
        <f t="shared" si="2"/>
        <v>0</v>
      </c>
      <c r="R87" s="121">
        <f>SUMIFS('19OctTo25Oct'!$L:$L, '19OctTo25Oct'!$J:$J, $A87)</f>
        <v>0</v>
      </c>
      <c r="S87" s="121">
        <f>SUMIFS('19OctTo25Oct'!$K:$K, '19OctTo25Oct'!$J:$J, $A87)</f>
        <v>0</v>
      </c>
      <c r="T87" s="121">
        <f>SUMIFS('19OctTo25Oct'!$O:$O, '19OctTo25Oct'!$J:$J, $A87)</f>
        <v>0</v>
      </c>
      <c r="U87" s="121">
        <f>SUMIFS('19OctTo25Oct'!$P:$P, '19OctTo25Oct'!$J:$J, $A87)</f>
        <v>0</v>
      </c>
      <c r="V87" s="122">
        <f t="shared" si="3"/>
        <v>0</v>
      </c>
      <c r="W87" s="121">
        <f>SUMIFS('12OctTo18Oct'!$L:$L, '12OctTo18Oct'!$J:$J, $A87)</f>
        <v>0</v>
      </c>
      <c r="X87" s="121">
        <f>SUMIFS('12OctTo18Oct'!$K:$K, '12OctTo18Oct'!$J:$J, $A87)</f>
        <v>0</v>
      </c>
      <c r="Y87" s="121">
        <f>SUMIFS('12OctTo18Oct'!$O:$O, '12OctTo18Oct'!$J:$J, $A87)</f>
        <v>0</v>
      </c>
      <c r="Z87" s="121">
        <f>SUMIFS('12OctTo18Oct'!$P:$P, '12OctTo18Oct'!$J:$J, $A87)</f>
        <v>0</v>
      </c>
      <c r="AA87" s="122">
        <f t="shared" si="4"/>
        <v>0</v>
      </c>
      <c r="AB87" s="121">
        <f>SUMIFS('5OctTo11Oct'!$L:$L, '5OctTo11Oct'!$J:$J, $A87)</f>
        <v>0</v>
      </c>
      <c r="AC87" s="121">
        <f>SUMIFS('5OctTo11Oct'!$K:$K, '5OctTo11Oct'!$J:$J, $A87)</f>
        <v>0</v>
      </c>
      <c r="AD87" s="121">
        <f>SUMIFS('5OctTo11Oct'!$O:$O, '5OctTo11Oct'!$J:$J, $A87)</f>
        <v>0</v>
      </c>
      <c r="AE87" s="121">
        <f>SUMIFS('5OctTo11Oct'!$P:$P, '5OctTo11Oct'!$J:$J, $A87)</f>
        <v>0</v>
      </c>
      <c r="AF87" s="123">
        <f t="shared" si="5"/>
        <v>0</v>
      </c>
      <c r="AG87" s="121">
        <f>SUMIFS('28SepTo4Oct'!$L:$L, '28SepTo4Oct'!$J:$J, $A87)</f>
        <v>0</v>
      </c>
      <c r="AH87" s="121">
        <f>SUMIFS('28SepTo4Oct'!$K:$K, '28SepTo4Oct'!$J:$J, $A87)</f>
        <v>0</v>
      </c>
      <c r="AI87" s="121">
        <f>SUMIFS('28SepTo4Oct'!$O:$O, '28SepTo4Oct'!$J:$J, $A87)</f>
        <v>0</v>
      </c>
      <c r="AJ87" s="121">
        <f>SUMIFS('28SepTo4Oct'!$P:$P, '28SepTo4Oct'!$J:$J, $A87)</f>
        <v>0</v>
      </c>
      <c r="AK87" s="123">
        <f t="shared" si="6"/>
        <v>0</v>
      </c>
      <c r="AL87" s="121">
        <f>SUMIFS('21SepTo27Sep'!$L:$L, '21SepTo27Sep'!$J:$J, $A87)</f>
        <v>0</v>
      </c>
      <c r="AM87" s="121">
        <f>SUMIFS('21SepTo27Sep'!$K:$K, '21SepTo27Sep'!$J:$J, $A87)</f>
        <v>0</v>
      </c>
      <c r="AN87" s="121">
        <f>SUMIFS('21SepTo27Sep'!$O:$O, '21SepTo27Sep'!$J:$J, $A87)</f>
        <v>0</v>
      </c>
      <c r="AO87" s="121">
        <f>SUMIFS('21SepTo27Sep'!$P:$P, '21SepTo27Sep'!$J:$J, $A87)</f>
        <v>0</v>
      </c>
      <c r="AP87" s="123">
        <f t="shared" si="7"/>
        <v>0</v>
      </c>
      <c r="AQ87" s="121">
        <f>SUMIFS('14SepTo20Sep'!$L:$L, '14SepTo20Sep'!$J:$J, $A87)</f>
        <v>1</v>
      </c>
      <c r="AR87" s="121">
        <f>SUMIFS('14SepTo20Sep'!$K:$K, '14SepTo20Sep'!$J:$J, $A87)</f>
        <v>2</v>
      </c>
      <c r="AS87" s="121">
        <f>SUMIFS('14SepTo20Sep'!$O:$O, '14SepTo20Sep'!$J:$J, $A87)</f>
        <v>4.42</v>
      </c>
      <c r="AT87" s="121">
        <f>SUMIFS('14SepTo20Sep'!$P:$P, '14SepTo20Sep'!$J:$J, $A87)</f>
        <v>24.94</v>
      </c>
      <c r="AU87" s="123">
        <f t="shared" si="8"/>
        <v>17.722534081796308</v>
      </c>
      <c r="AV87" s="121">
        <f>SUMIFS('7SepTo13Sep'!$L:$L, '7SepTo13Sep'!$J:$J, $A87)</f>
        <v>0</v>
      </c>
      <c r="AW87" s="121">
        <f>SUMIFS('7SepTo13Sep'!$K:$K, '7SepTo13Sep'!$J:$J, $A87)</f>
        <v>0</v>
      </c>
      <c r="AX87" s="121">
        <f>SUMIFS('7SepTo13Sep'!$O:$O, '7SepTo13Sep'!$J:$J, $A87)</f>
        <v>0</v>
      </c>
      <c r="AY87" s="121">
        <f>SUMIFS('7SepTo13Sep'!$P:$P, '7SepTo13Sep'!$J:$J, $A87)</f>
        <v>0</v>
      </c>
      <c r="AZ87" s="123">
        <f t="shared" si="9"/>
        <v>0</v>
      </c>
      <c r="BA87" s="121">
        <f>SUMIFS('31AugTo6Sep'!$L:$L, '31AugTo6Sep'!$J:$J, $A87)</f>
        <v>0</v>
      </c>
      <c r="BB87" s="121">
        <f>SUMIFS('31AugTo6Sep'!$K:$K, '31AugTo6Sep'!$J:$J, $A87)</f>
        <v>0</v>
      </c>
      <c r="BC87" s="121">
        <f>SUMIFS('31AugTo6Sep'!$O:$O, '31AugTo6Sep'!$J:$J, $A87)</f>
        <v>0</v>
      </c>
      <c r="BD87" s="121">
        <f>SUMIFS('31AugTo6Sep'!$P:$P, '31AugTo6Sep'!$J:$J, $A87)</f>
        <v>0</v>
      </c>
      <c r="BE87" s="123">
        <f t="shared" si="10"/>
        <v>0</v>
      </c>
      <c r="BF87" s="121">
        <f>SUMIFS('24AugTo29Aug'!$L:$L, '24AugTo29Aug'!$J:$J, $A87)</f>
        <v>0</v>
      </c>
      <c r="BG87" s="121">
        <f>SUMIFS('24AugTo29Aug'!$K:$K, '24AugTo29Aug'!$J:$J, $A87)</f>
        <v>0</v>
      </c>
      <c r="BH87" s="121">
        <f>SUMIFS('24AugTo29Aug'!$O:$O, '24AugTo29Aug'!$J:$J, $A87)</f>
        <v>0</v>
      </c>
      <c r="BI87" s="121">
        <f>SUMIFS('24AugTo29Aug'!$P:$P, '24AugTo29Aug'!$J:$J, $A87)</f>
        <v>0</v>
      </c>
      <c r="BJ87" s="123">
        <f t="shared" si="11"/>
        <v>0</v>
      </c>
      <c r="BK87" s="121">
        <f>SUMIFS('17AugTo21Aug'!$L:$L, '17AugTo21Aug'!$J:$J, $A87)</f>
        <v>0</v>
      </c>
      <c r="BL87" s="121">
        <f>SUMIFS('17AugTo21Aug'!$K:$K, '17AugTo21Aug'!$J:$J, $A87)</f>
        <v>0</v>
      </c>
      <c r="BM87" s="121">
        <f>SUMIFS('17AugTo21Aug'!$O:$O, '17AugTo21Aug'!$J:$J, $A87)</f>
        <v>0</v>
      </c>
      <c r="BN87" s="121">
        <f>SUMIFS('17AugTo21Aug'!$P:$P, '17AugTo21Aug'!$J:$J, $A87)</f>
        <v>0</v>
      </c>
      <c r="BO87" s="123">
        <f t="shared" si="12"/>
        <v>0</v>
      </c>
      <c r="BP87" s="121">
        <f>SUMIFS('10AugTo16Aug'!$L:$L, '10AugTo16Aug'!$J:$J, $A87)</f>
        <v>0</v>
      </c>
      <c r="BQ87" s="121">
        <f>SUMIFS('10AugTo16Aug'!$K:$K, '10AugTo16Aug'!$J:$J, $A87)</f>
        <v>0</v>
      </c>
      <c r="BR87" s="121">
        <f>SUMIFS('10AugTo16Aug'!$O:$O, '10AugTo16Aug'!$J:$J, $A87)</f>
        <v>0</v>
      </c>
      <c r="BS87" s="121">
        <f>SUMIFS('10AugTo16Aug'!$P:$P, '10AugTo16Aug'!$J:$J, $A87)</f>
        <v>0</v>
      </c>
      <c r="BT87" s="123">
        <f t="shared" si="13"/>
        <v>0</v>
      </c>
      <c r="BU87" s="121">
        <f>SUMIFS('3AugTo9Aug'!$L:$L, '3AugTo9Aug'!$J:$J, $A87)</f>
        <v>0</v>
      </c>
      <c r="BV87" s="121">
        <f>SUMIFS('3AugTo9Aug'!$K:$K, '3AugTo9Aug'!$J:$J, $A87)</f>
        <v>0</v>
      </c>
      <c r="BW87" s="121">
        <f>SUMIFS('3AugTo9Aug'!$O:$O, '3AugTo9Aug'!$J:$J, $A87)</f>
        <v>0</v>
      </c>
      <c r="BX87" s="121">
        <f>SUMIFS('3AugTo9Aug'!$P:$P, '3AugTo9Aug'!$J:$J, $A87)</f>
        <v>0</v>
      </c>
      <c r="BY87" s="123">
        <f t="shared" si="14"/>
        <v>0</v>
      </c>
      <c r="BZ87" s="121">
        <f>SUMIFS('27JulyTo2Aug'!$L:$L, '27JulyTo2Aug'!$J:$J, $A87)</f>
        <v>0</v>
      </c>
      <c r="CA87" s="121">
        <f>SUMIFS('27JulyTo2Aug'!$K:$K, '27JulyTo2Aug'!$J:$J, $A87)</f>
        <v>0</v>
      </c>
      <c r="CB87" s="121">
        <f>SUMIFS('27JulyTo2Aug'!$O:$O, '27JulyTo2Aug'!$J:$J, $A87)</f>
        <v>0</v>
      </c>
      <c r="CC87" s="121">
        <f>SUMIFS('27JulyTo2Aug'!$P:$P, '27JulyTo2Aug'!$J:$J, $A87)</f>
        <v>0</v>
      </c>
      <c r="CD87" s="123">
        <f t="shared" si="15"/>
        <v>0</v>
      </c>
    </row>
    <row r="88" spans="1:82" ht="14.25" customHeight="1" x14ac:dyDescent="0.3">
      <c r="A88" s="124" t="s">
        <v>497</v>
      </c>
      <c r="B88" s="120" t="str">
        <f t="shared" si="17"/>
        <v>NO TRAFFIC</v>
      </c>
      <c r="C88" s="121">
        <f>SUMIFS('9NovTo15Nov'!$L:$L, '9NovTo15Nov'!$J:$J, $A88)</f>
        <v>0</v>
      </c>
      <c r="D88" s="121">
        <f>SUMIFS('9NovTo15Nov'!$K:$K, '9NovTo15Nov'!$J:$J, $A88)</f>
        <v>0</v>
      </c>
      <c r="E88" s="121">
        <f>SUMIFS('9NovTo15Nov'!$O:$O, '9NovTo15Nov'!$J:$J, $A88)</f>
        <v>0</v>
      </c>
      <c r="F88" s="121">
        <f>SUMIFS('9NovTo15Nov'!$P:$P, '9NovTo15Nov'!$J:$J, $A88)</f>
        <v>0</v>
      </c>
      <c r="G88" s="122">
        <f t="shared" si="0"/>
        <v>0</v>
      </c>
      <c r="H88" s="121">
        <f>SUMIFS('2NovTo8Nov'!$L:$L, '2NovTo8Nov'!$J:$J, $A88)</f>
        <v>0</v>
      </c>
      <c r="I88" s="121">
        <f>SUMIFS('2NovTo8Nov'!$K:$K, '2NovTo8Nov'!$J:$J, $A88)</f>
        <v>0</v>
      </c>
      <c r="J88" s="121">
        <f>SUMIFS('2NovTo8Nov'!$O:$O, '2NovTo8Nov'!$J:$J, $A88)</f>
        <v>0</v>
      </c>
      <c r="K88" s="121">
        <f>SUMIFS('2NovTo8Nov'!$P:$P, '2NovTo8Nov'!$J:$J, $A88)</f>
        <v>0</v>
      </c>
      <c r="L88" s="122">
        <f t="shared" si="1"/>
        <v>0</v>
      </c>
      <c r="M88" s="121">
        <f>SUMIFS('26OctTo1Nov'!$L:$L, '26OctTo1Nov'!$J:$J, $A88)</f>
        <v>0</v>
      </c>
      <c r="N88" s="121">
        <f>SUMIFS('26OctTo1Nov'!$K:$K, '26OctTo1Nov'!$J:$J, $A88)</f>
        <v>0</v>
      </c>
      <c r="O88" s="121">
        <f>SUMIFS('26OctTo1Nov'!$O:$O, '26OctTo1Nov'!$J:$J, $A88)</f>
        <v>0</v>
      </c>
      <c r="P88" s="121">
        <f>SUMIFS('26OctTo1Nov'!$P:$P, '26OctTo1Nov'!$J:$J, $A88)</f>
        <v>0</v>
      </c>
      <c r="Q88" s="122">
        <f t="shared" si="2"/>
        <v>0</v>
      </c>
      <c r="R88" s="121">
        <f>SUMIFS('19OctTo25Oct'!$L:$L, '19OctTo25Oct'!$J:$J, $A88)</f>
        <v>0</v>
      </c>
      <c r="S88" s="121">
        <f>SUMIFS('19OctTo25Oct'!$K:$K, '19OctTo25Oct'!$J:$J, $A88)</f>
        <v>0</v>
      </c>
      <c r="T88" s="121">
        <f>SUMIFS('19OctTo25Oct'!$O:$O, '19OctTo25Oct'!$J:$J, $A88)</f>
        <v>0</v>
      </c>
      <c r="U88" s="121">
        <f>SUMIFS('19OctTo25Oct'!$P:$P, '19OctTo25Oct'!$J:$J, $A88)</f>
        <v>0</v>
      </c>
      <c r="V88" s="122">
        <f t="shared" si="3"/>
        <v>0</v>
      </c>
      <c r="W88" s="121">
        <f>SUMIFS('12OctTo18Oct'!$L:$L, '12OctTo18Oct'!$J:$J, $A88)</f>
        <v>0</v>
      </c>
      <c r="X88" s="121">
        <f>SUMIFS('12OctTo18Oct'!$K:$K, '12OctTo18Oct'!$J:$J, $A88)</f>
        <v>0</v>
      </c>
      <c r="Y88" s="121">
        <f>SUMIFS('12OctTo18Oct'!$O:$O, '12OctTo18Oct'!$J:$J, $A88)</f>
        <v>0</v>
      </c>
      <c r="Z88" s="121">
        <f>SUMIFS('12OctTo18Oct'!$P:$P, '12OctTo18Oct'!$J:$J, $A88)</f>
        <v>0</v>
      </c>
      <c r="AA88" s="122">
        <f t="shared" si="4"/>
        <v>0</v>
      </c>
      <c r="AB88" s="121">
        <f>SUMIFS('5OctTo11Oct'!$L:$L, '5OctTo11Oct'!$J:$J, $A88)</f>
        <v>0</v>
      </c>
      <c r="AC88" s="121">
        <f>SUMIFS('5OctTo11Oct'!$K:$K, '5OctTo11Oct'!$J:$J, $A88)</f>
        <v>0</v>
      </c>
      <c r="AD88" s="121">
        <f>SUMIFS('5OctTo11Oct'!$O:$O, '5OctTo11Oct'!$J:$J, $A88)</f>
        <v>0</v>
      </c>
      <c r="AE88" s="121">
        <f>SUMIFS('5OctTo11Oct'!$P:$P, '5OctTo11Oct'!$J:$J, $A88)</f>
        <v>0</v>
      </c>
      <c r="AF88" s="123">
        <f t="shared" si="5"/>
        <v>0</v>
      </c>
      <c r="AG88" s="121">
        <f>SUMIFS('28SepTo4Oct'!$L:$L, '28SepTo4Oct'!$J:$J, $A88)</f>
        <v>0</v>
      </c>
      <c r="AH88" s="121">
        <f>SUMIFS('28SepTo4Oct'!$K:$K, '28SepTo4Oct'!$J:$J, $A88)</f>
        <v>0</v>
      </c>
      <c r="AI88" s="121">
        <f>SUMIFS('28SepTo4Oct'!$O:$O, '28SepTo4Oct'!$J:$J, $A88)</f>
        <v>0</v>
      </c>
      <c r="AJ88" s="121">
        <f>SUMIFS('28SepTo4Oct'!$P:$P, '28SepTo4Oct'!$J:$J, $A88)</f>
        <v>0</v>
      </c>
      <c r="AK88" s="123">
        <f t="shared" si="6"/>
        <v>0</v>
      </c>
      <c r="AL88" s="121">
        <f>SUMIFS('21SepTo27Sep'!$L:$L, '21SepTo27Sep'!$J:$J, $A88)</f>
        <v>0</v>
      </c>
      <c r="AM88" s="121">
        <f>SUMIFS('21SepTo27Sep'!$K:$K, '21SepTo27Sep'!$J:$J, $A88)</f>
        <v>0</v>
      </c>
      <c r="AN88" s="121">
        <f>SUMIFS('21SepTo27Sep'!$O:$O, '21SepTo27Sep'!$J:$J, $A88)</f>
        <v>0</v>
      </c>
      <c r="AO88" s="121">
        <f>SUMIFS('21SepTo27Sep'!$P:$P, '21SepTo27Sep'!$J:$J, $A88)</f>
        <v>0</v>
      </c>
      <c r="AP88" s="123">
        <f t="shared" si="7"/>
        <v>0</v>
      </c>
      <c r="AQ88" s="121">
        <f>SUMIFS('14SepTo20Sep'!$L:$L, '14SepTo20Sep'!$J:$J, $A88)</f>
        <v>1</v>
      </c>
      <c r="AR88" s="121">
        <f>SUMIFS('14SepTo20Sep'!$K:$K, '14SepTo20Sep'!$J:$J, $A88)</f>
        <v>1</v>
      </c>
      <c r="AS88" s="121">
        <f>SUMIFS('14SepTo20Sep'!$O:$O, '14SepTo20Sep'!$J:$J, $A88)</f>
        <v>3.24</v>
      </c>
      <c r="AT88" s="121">
        <f>SUMIFS('14SepTo20Sep'!$P:$P, '14SepTo20Sep'!$J:$J, $A88)</f>
        <v>29.99</v>
      </c>
      <c r="AU88" s="123">
        <f t="shared" si="8"/>
        <v>10.803601200400134</v>
      </c>
      <c r="AV88" s="121">
        <f>SUMIFS('7SepTo13Sep'!$L:$L, '7SepTo13Sep'!$J:$J, $A88)</f>
        <v>0</v>
      </c>
      <c r="AW88" s="121">
        <f>SUMIFS('7SepTo13Sep'!$K:$K, '7SepTo13Sep'!$J:$J, $A88)</f>
        <v>0</v>
      </c>
      <c r="AX88" s="121">
        <f>SUMIFS('7SepTo13Sep'!$O:$O, '7SepTo13Sep'!$J:$J, $A88)</f>
        <v>0</v>
      </c>
      <c r="AY88" s="121">
        <f>SUMIFS('7SepTo13Sep'!$P:$P, '7SepTo13Sep'!$J:$J, $A88)</f>
        <v>0</v>
      </c>
      <c r="AZ88" s="123">
        <f t="shared" si="9"/>
        <v>0</v>
      </c>
      <c r="BA88" s="121">
        <f>SUMIFS('31AugTo6Sep'!$L:$L, '31AugTo6Sep'!$J:$J, $A88)</f>
        <v>0</v>
      </c>
      <c r="BB88" s="121">
        <f>SUMIFS('31AugTo6Sep'!$K:$K, '31AugTo6Sep'!$J:$J, $A88)</f>
        <v>0</v>
      </c>
      <c r="BC88" s="121">
        <f>SUMIFS('31AugTo6Sep'!$O:$O, '31AugTo6Sep'!$J:$J, $A88)</f>
        <v>0</v>
      </c>
      <c r="BD88" s="121">
        <f>SUMIFS('31AugTo6Sep'!$P:$P, '31AugTo6Sep'!$J:$J, $A88)</f>
        <v>0</v>
      </c>
      <c r="BE88" s="123">
        <f t="shared" si="10"/>
        <v>0</v>
      </c>
      <c r="BF88" s="121">
        <f>SUMIFS('24AugTo29Aug'!$L:$L, '24AugTo29Aug'!$J:$J, $A88)</f>
        <v>0</v>
      </c>
      <c r="BG88" s="121">
        <f>SUMIFS('24AugTo29Aug'!$K:$K, '24AugTo29Aug'!$J:$J, $A88)</f>
        <v>0</v>
      </c>
      <c r="BH88" s="121">
        <f>SUMIFS('24AugTo29Aug'!$O:$O, '24AugTo29Aug'!$J:$J, $A88)</f>
        <v>0</v>
      </c>
      <c r="BI88" s="121">
        <f>SUMIFS('24AugTo29Aug'!$P:$P, '24AugTo29Aug'!$J:$J, $A88)</f>
        <v>0</v>
      </c>
      <c r="BJ88" s="123">
        <f t="shared" si="11"/>
        <v>0</v>
      </c>
      <c r="BK88" s="121">
        <f>SUMIFS('17AugTo21Aug'!$L:$L, '17AugTo21Aug'!$J:$J, $A88)</f>
        <v>0</v>
      </c>
      <c r="BL88" s="121">
        <f>SUMIFS('17AugTo21Aug'!$K:$K, '17AugTo21Aug'!$J:$J, $A88)</f>
        <v>0</v>
      </c>
      <c r="BM88" s="121">
        <f>SUMIFS('17AugTo21Aug'!$O:$O, '17AugTo21Aug'!$J:$J, $A88)</f>
        <v>0</v>
      </c>
      <c r="BN88" s="121">
        <f>SUMIFS('17AugTo21Aug'!$P:$P, '17AugTo21Aug'!$J:$J, $A88)</f>
        <v>0</v>
      </c>
      <c r="BO88" s="123">
        <f t="shared" si="12"/>
        <v>0</v>
      </c>
      <c r="BP88" s="121">
        <f>SUMIFS('10AugTo16Aug'!$L:$L, '10AugTo16Aug'!$J:$J, $A88)</f>
        <v>0</v>
      </c>
      <c r="BQ88" s="121">
        <f>SUMIFS('10AugTo16Aug'!$K:$K, '10AugTo16Aug'!$J:$J, $A88)</f>
        <v>0</v>
      </c>
      <c r="BR88" s="121">
        <f>SUMIFS('10AugTo16Aug'!$O:$O, '10AugTo16Aug'!$J:$J, $A88)</f>
        <v>0</v>
      </c>
      <c r="BS88" s="121">
        <f>SUMIFS('10AugTo16Aug'!$P:$P, '10AugTo16Aug'!$J:$J, $A88)</f>
        <v>0</v>
      </c>
      <c r="BT88" s="123">
        <f t="shared" si="13"/>
        <v>0</v>
      </c>
      <c r="BU88" s="121">
        <f>SUMIFS('3AugTo9Aug'!$L:$L, '3AugTo9Aug'!$J:$J, $A88)</f>
        <v>0</v>
      </c>
      <c r="BV88" s="121">
        <f>SUMIFS('3AugTo9Aug'!$K:$K, '3AugTo9Aug'!$J:$J, $A88)</f>
        <v>0</v>
      </c>
      <c r="BW88" s="121">
        <f>SUMIFS('3AugTo9Aug'!$O:$O, '3AugTo9Aug'!$J:$J, $A88)</f>
        <v>0</v>
      </c>
      <c r="BX88" s="121">
        <f>SUMIFS('3AugTo9Aug'!$P:$P, '3AugTo9Aug'!$J:$J, $A88)</f>
        <v>0</v>
      </c>
      <c r="BY88" s="123">
        <f t="shared" si="14"/>
        <v>0</v>
      </c>
      <c r="BZ88" s="121">
        <f>SUMIFS('27JulyTo2Aug'!$L:$L, '27JulyTo2Aug'!$J:$J, $A88)</f>
        <v>0</v>
      </c>
      <c r="CA88" s="121">
        <f>SUMIFS('27JulyTo2Aug'!$K:$K, '27JulyTo2Aug'!$J:$J, $A88)</f>
        <v>0</v>
      </c>
      <c r="CB88" s="121">
        <f>SUMIFS('27JulyTo2Aug'!$O:$O, '27JulyTo2Aug'!$J:$J, $A88)</f>
        <v>0</v>
      </c>
      <c r="CC88" s="121">
        <f>SUMIFS('27JulyTo2Aug'!$P:$P, '27JulyTo2Aug'!$J:$J, $A88)</f>
        <v>0</v>
      </c>
      <c r="CD88" s="123">
        <f t="shared" si="15"/>
        <v>0</v>
      </c>
    </row>
    <row r="89" spans="1:82" ht="14.25" customHeight="1" x14ac:dyDescent="0.3">
      <c r="A89" s="124" t="s">
        <v>499</v>
      </c>
      <c r="B89" s="120" t="str">
        <f t="shared" si="17"/>
        <v>NO TRAFFIC</v>
      </c>
      <c r="C89" s="121">
        <f>SUMIFS('9NovTo15Nov'!$L:$L, '9NovTo15Nov'!$J:$J, $A89)</f>
        <v>0</v>
      </c>
      <c r="D89" s="121">
        <f>SUMIFS('9NovTo15Nov'!$K:$K, '9NovTo15Nov'!$J:$J, $A89)</f>
        <v>0</v>
      </c>
      <c r="E89" s="121">
        <f>SUMIFS('9NovTo15Nov'!$O:$O, '9NovTo15Nov'!$J:$J, $A89)</f>
        <v>0</v>
      </c>
      <c r="F89" s="121">
        <f>SUMIFS('9NovTo15Nov'!$P:$P, '9NovTo15Nov'!$J:$J, $A89)</f>
        <v>0</v>
      </c>
      <c r="G89" s="122">
        <f t="shared" si="0"/>
        <v>0</v>
      </c>
      <c r="H89" s="121">
        <f>SUMIFS('2NovTo8Nov'!$L:$L, '2NovTo8Nov'!$J:$J, $A89)</f>
        <v>0</v>
      </c>
      <c r="I89" s="121">
        <f>SUMIFS('2NovTo8Nov'!$K:$K, '2NovTo8Nov'!$J:$J, $A89)</f>
        <v>0</v>
      </c>
      <c r="J89" s="121">
        <f>SUMIFS('2NovTo8Nov'!$O:$O, '2NovTo8Nov'!$J:$J, $A89)</f>
        <v>0</v>
      </c>
      <c r="K89" s="121">
        <f>SUMIFS('2NovTo8Nov'!$P:$P, '2NovTo8Nov'!$J:$J, $A89)</f>
        <v>0</v>
      </c>
      <c r="L89" s="122">
        <f t="shared" si="1"/>
        <v>0</v>
      </c>
      <c r="M89" s="121">
        <f>SUMIFS('26OctTo1Nov'!$L:$L, '26OctTo1Nov'!$J:$J, $A89)</f>
        <v>0</v>
      </c>
      <c r="N89" s="121">
        <f>SUMIFS('26OctTo1Nov'!$K:$K, '26OctTo1Nov'!$J:$J, $A89)</f>
        <v>0</v>
      </c>
      <c r="O89" s="121">
        <f>SUMIFS('26OctTo1Nov'!$O:$O, '26OctTo1Nov'!$J:$J, $A89)</f>
        <v>0</v>
      </c>
      <c r="P89" s="121">
        <f>SUMIFS('26OctTo1Nov'!$P:$P, '26OctTo1Nov'!$J:$J, $A89)</f>
        <v>0</v>
      </c>
      <c r="Q89" s="122">
        <f t="shared" si="2"/>
        <v>0</v>
      </c>
      <c r="R89" s="121">
        <f>SUMIFS('19OctTo25Oct'!$L:$L, '19OctTo25Oct'!$J:$J, $A89)</f>
        <v>0</v>
      </c>
      <c r="S89" s="121">
        <f>SUMIFS('19OctTo25Oct'!$K:$K, '19OctTo25Oct'!$J:$J, $A89)</f>
        <v>0</v>
      </c>
      <c r="T89" s="121">
        <f>SUMIFS('19OctTo25Oct'!$O:$O, '19OctTo25Oct'!$J:$J, $A89)</f>
        <v>0</v>
      </c>
      <c r="U89" s="121">
        <f>SUMIFS('19OctTo25Oct'!$P:$P, '19OctTo25Oct'!$J:$J, $A89)</f>
        <v>0</v>
      </c>
      <c r="V89" s="122">
        <f t="shared" si="3"/>
        <v>0</v>
      </c>
      <c r="W89" s="121">
        <f>SUMIFS('12OctTo18Oct'!$L:$L, '12OctTo18Oct'!$J:$J, $A89)</f>
        <v>0</v>
      </c>
      <c r="X89" s="121">
        <f>SUMIFS('12OctTo18Oct'!$K:$K, '12OctTo18Oct'!$J:$J, $A89)</f>
        <v>0</v>
      </c>
      <c r="Y89" s="121">
        <f>SUMIFS('12OctTo18Oct'!$O:$O, '12OctTo18Oct'!$J:$J, $A89)</f>
        <v>0</v>
      </c>
      <c r="Z89" s="121">
        <f>SUMIFS('12OctTo18Oct'!$P:$P, '12OctTo18Oct'!$J:$J, $A89)</f>
        <v>0</v>
      </c>
      <c r="AA89" s="122">
        <f t="shared" si="4"/>
        <v>0</v>
      </c>
      <c r="AB89" s="121">
        <f>SUMIFS('5OctTo11Oct'!$L:$L, '5OctTo11Oct'!$J:$J, $A89)</f>
        <v>0</v>
      </c>
      <c r="AC89" s="121">
        <f>SUMIFS('5OctTo11Oct'!$K:$K, '5OctTo11Oct'!$J:$J, $A89)</f>
        <v>0</v>
      </c>
      <c r="AD89" s="121">
        <f>SUMIFS('5OctTo11Oct'!$O:$O, '5OctTo11Oct'!$J:$J, $A89)</f>
        <v>0</v>
      </c>
      <c r="AE89" s="121">
        <f>SUMIFS('5OctTo11Oct'!$P:$P, '5OctTo11Oct'!$J:$J, $A89)</f>
        <v>0</v>
      </c>
      <c r="AF89" s="123">
        <f t="shared" si="5"/>
        <v>0</v>
      </c>
      <c r="AG89" s="121">
        <f>SUMIFS('28SepTo4Oct'!$L:$L, '28SepTo4Oct'!$J:$J, $A89)</f>
        <v>0</v>
      </c>
      <c r="AH89" s="121">
        <f>SUMIFS('28SepTo4Oct'!$K:$K, '28SepTo4Oct'!$J:$J, $A89)</f>
        <v>0</v>
      </c>
      <c r="AI89" s="121">
        <f>SUMIFS('28SepTo4Oct'!$O:$O, '28SepTo4Oct'!$J:$J, $A89)</f>
        <v>0</v>
      </c>
      <c r="AJ89" s="121">
        <f>SUMIFS('28SepTo4Oct'!$P:$P, '28SepTo4Oct'!$J:$J, $A89)</f>
        <v>0</v>
      </c>
      <c r="AK89" s="123">
        <f t="shared" si="6"/>
        <v>0</v>
      </c>
      <c r="AL89" s="121">
        <f>SUMIFS('21SepTo27Sep'!$L:$L, '21SepTo27Sep'!$J:$J, $A89)</f>
        <v>0</v>
      </c>
      <c r="AM89" s="121">
        <f>SUMIFS('21SepTo27Sep'!$K:$K, '21SepTo27Sep'!$J:$J, $A89)</f>
        <v>0</v>
      </c>
      <c r="AN89" s="121">
        <f>SUMIFS('21SepTo27Sep'!$O:$O, '21SepTo27Sep'!$J:$J, $A89)</f>
        <v>0</v>
      </c>
      <c r="AO89" s="121">
        <f>SUMIFS('21SepTo27Sep'!$P:$P, '21SepTo27Sep'!$J:$J, $A89)</f>
        <v>0</v>
      </c>
      <c r="AP89" s="123">
        <f t="shared" si="7"/>
        <v>0</v>
      </c>
      <c r="AQ89" s="121">
        <f>SUMIFS('14SepTo20Sep'!$L:$L, '14SepTo20Sep'!$J:$J, $A89)</f>
        <v>1</v>
      </c>
      <c r="AR89" s="121">
        <f>SUMIFS('14SepTo20Sep'!$K:$K, '14SepTo20Sep'!$J:$J, $A89)</f>
        <v>2</v>
      </c>
      <c r="AS89" s="121">
        <f>SUMIFS('14SepTo20Sep'!$O:$O, '14SepTo20Sep'!$J:$J, $A89)</f>
        <v>3.65</v>
      </c>
      <c r="AT89" s="121">
        <f>SUMIFS('14SepTo20Sep'!$P:$P, '14SepTo20Sep'!$J:$J, $A89)</f>
        <v>24.94</v>
      </c>
      <c r="AU89" s="123">
        <f t="shared" si="8"/>
        <v>14.635124298315958</v>
      </c>
      <c r="AV89" s="121">
        <f>SUMIFS('7SepTo13Sep'!$L:$L, '7SepTo13Sep'!$J:$J, $A89)</f>
        <v>0</v>
      </c>
      <c r="AW89" s="121">
        <f>SUMIFS('7SepTo13Sep'!$K:$K, '7SepTo13Sep'!$J:$J, $A89)</f>
        <v>0</v>
      </c>
      <c r="AX89" s="121">
        <f>SUMIFS('7SepTo13Sep'!$O:$O, '7SepTo13Sep'!$J:$J, $A89)</f>
        <v>0</v>
      </c>
      <c r="AY89" s="121">
        <f>SUMIFS('7SepTo13Sep'!$P:$P, '7SepTo13Sep'!$J:$J, $A89)</f>
        <v>0</v>
      </c>
      <c r="AZ89" s="123">
        <f t="shared" si="9"/>
        <v>0</v>
      </c>
      <c r="BA89" s="121">
        <f>SUMIFS('31AugTo6Sep'!$L:$L, '31AugTo6Sep'!$J:$J, $A89)</f>
        <v>0</v>
      </c>
      <c r="BB89" s="121">
        <f>SUMIFS('31AugTo6Sep'!$K:$K, '31AugTo6Sep'!$J:$J, $A89)</f>
        <v>0</v>
      </c>
      <c r="BC89" s="121">
        <f>SUMIFS('31AugTo6Sep'!$O:$O, '31AugTo6Sep'!$J:$J, $A89)</f>
        <v>0</v>
      </c>
      <c r="BD89" s="121">
        <f>SUMIFS('31AugTo6Sep'!$P:$P, '31AugTo6Sep'!$J:$J, $A89)</f>
        <v>0</v>
      </c>
      <c r="BE89" s="123">
        <f t="shared" si="10"/>
        <v>0</v>
      </c>
      <c r="BF89" s="121">
        <f>SUMIFS('24AugTo29Aug'!$L:$L, '24AugTo29Aug'!$J:$J, $A89)</f>
        <v>0</v>
      </c>
      <c r="BG89" s="121">
        <f>SUMIFS('24AugTo29Aug'!$K:$K, '24AugTo29Aug'!$J:$J, $A89)</f>
        <v>0</v>
      </c>
      <c r="BH89" s="121">
        <f>SUMIFS('24AugTo29Aug'!$O:$O, '24AugTo29Aug'!$J:$J, $A89)</f>
        <v>0</v>
      </c>
      <c r="BI89" s="121">
        <f>SUMIFS('24AugTo29Aug'!$P:$P, '24AugTo29Aug'!$J:$J, $A89)</f>
        <v>0</v>
      </c>
      <c r="BJ89" s="123">
        <f t="shared" si="11"/>
        <v>0</v>
      </c>
      <c r="BK89" s="121">
        <f>SUMIFS('17AugTo21Aug'!$L:$L, '17AugTo21Aug'!$J:$J, $A89)</f>
        <v>0</v>
      </c>
      <c r="BL89" s="121">
        <f>SUMIFS('17AugTo21Aug'!$K:$K, '17AugTo21Aug'!$J:$J, $A89)</f>
        <v>0</v>
      </c>
      <c r="BM89" s="121">
        <f>SUMIFS('17AugTo21Aug'!$O:$O, '17AugTo21Aug'!$J:$J, $A89)</f>
        <v>0</v>
      </c>
      <c r="BN89" s="121">
        <f>SUMIFS('17AugTo21Aug'!$P:$P, '17AugTo21Aug'!$J:$J, $A89)</f>
        <v>0</v>
      </c>
      <c r="BO89" s="123">
        <f t="shared" si="12"/>
        <v>0</v>
      </c>
      <c r="BP89" s="121">
        <f>SUMIFS('10AugTo16Aug'!$L:$L, '10AugTo16Aug'!$J:$J, $A89)</f>
        <v>0</v>
      </c>
      <c r="BQ89" s="121">
        <f>SUMIFS('10AugTo16Aug'!$K:$K, '10AugTo16Aug'!$J:$J, $A89)</f>
        <v>0</v>
      </c>
      <c r="BR89" s="121">
        <f>SUMIFS('10AugTo16Aug'!$O:$O, '10AugTo16Aug'!$J:$J, $A89)</f>
        <v>0</v>
      </c>
      <c r="BS89" s="121">
        <f>SUMIFS('10AugTo16Aug'!$P:$P, '10AugTo16Aug'!$J:$J, $A89)</f>
        <v>0</v>
      </c>
      <c r="BT89" s="123">
        <f t="shared" si="13"/>
        <v>0</v>
      </c>
      <c r="BU89" s="121">
        <f>SUMIFS('3AugTo9Aug'!$L:$L, '3AugTo9Aug'!$J:$J, $A89)</f>
        <v>0</v>
      </c>
      <c r="BV89" s="121">
        <f>SUMIFS('3AugTo9Aug'!$K:$K, '3AugTo9Aug'!$J:$J, $A89)</f>
        <v>0</v>
      </c>
      <c r="BW89" s="121">
        <f>SUMIFS('3AugTo9Aug'!$O:$O, '3AugTo9Aug'!$J:$J, $A89)</f>
        <v>0</v>
      </c>
      <c r="BX89" s="121">
        <f>SUMIFS('3AugTo9Aug'!$P:$P, '3AugTo9Aug'!$J:$J, $A89)</f>
        <v>0</v>
      </c>
      <c r="BY89" s="123">
        <f t="shared" si="14"/>
        <v>0</v>
      </c>
      <c r="BZ89" s="121">
        <f>SUMIFS('27JulyTo2Aug'!$L:$L, '27JulyTo2Aug'!$J:$J, $A89)</f>
        <v>0</v>
      </c>
      <c r="CA89" s="121">
        <f>SUMIFS('27JulyTo2Aug'!$K:$K, '27JulyTo2Aug'!$J:$J, $A89)</f>
        <v>0</v>
      </c>
      <c r="CB89" s="121">
        <f>SUMIFS('27JulyTo2Aug'!$O:$O, '27JulyTo2Aug'!$J:$J, $A89)</f>
        <v>0</v>
      </c>
      <c r="CC89" s="121">
        <f>SUMIFS('27JulyTo2Aug'!$P:$P, '27JulyTo2Aug'!$J:$J, $A89)</f>
        <v>0</v>
      </c>
      <c r="CD89" s="123">
        <f t="shared" si="15"/>
        <v>0</v>
      </c>
    </row>
    <row r="90" spans="1:82" ht="14.25" customHeight="1" x14ac:dyDescent="0.3">
      <c r="A90" s="124" t="s">
        <v>500</v>
      </c>
      <c r="B90" s="120" t="str">
        <f t="shared" si="17"/>
        <v>NO TRAFFIC</v>
      </c>
      <c r="C90" s="121">
        <f>SUMIFS('9NovTo15Nov'!$L:$L, '9NovTo15Nov'!$J:$J, $A90)</f>
        <v>0</v>
      </c>
      <c r="D90" s="121">
        <f>SUMIFS('9NovTo15Nov'!$K:$K, '9NovTo15Nov'!$J:$J, $A90)</f>
        <v>0</v>
      </c>
      <c r="E90" s="121">
        <f>SUMIFS('9NovTo15Nov'!$O:$O, '9NovTo15Nov'!$J:$J, $A90)</f>
        <v>0</v>
      </c>
      <c r="F90" s="121">
        <f>SUMIFS('9NovTo15Nov'!$P:$P, '9NovTo15Nov'!$J:$J, $A90)</f>
        <v>0</v>
      </c>
      <c r="G90" s="122">
        <f t="shared" si="0"/>
        <v>0</v>
      </c>
      <c r="H90" s="121">
        <f>SUMIFS('2NovTo8Nov'!$L:$L, '2NovTo8Nov'!$J:$J, $A90)</f>
        <v>0</v>
      </c>
      <c r="I90" s="121">
        <f>SUMIFS('2NovTo8Nov'!$K:$K, '2NovTo8Nov'!$J:$J, $A90)</f>
        <v>0</v>
      </c>
      <c r="J90" s="121">
        <f>SUMIFS('2NovTo8Nov'!$O:$O, '2NovTo8Nov'!$J:$J, $A90)</f>
        <v>0</v>
      </c>
      <c r="K90" s="121">
        <f>SUMIFS('2NovTo8Nov'!$P:$P, '2NovTo8Nov'!$J:$J, $A90)</f>
        <v>0</v>
      </c>
      <c r="L90" s="122">
        <f t="shared" si="1"/>
        <v>0</v>
      </c>
      <c r="M90" s="121">
        <f>SUMIFS('26OctTo1Nov'!$L:$L, '26OctTo1Nov'!$J:$J, $A90)</f>
        <v>0</v>
      </c>
      <c r="N90" s="121">
        <f>SUMIFS('26OctTo1Nov'!$K:$K, '26OctTo1Nov'!$J:$J, $A90)</f>
        <v>0</v>
      </c>
      <c r="O90" s="121">
        <f>SUMIFS('26OctTo1Nov'!$O:$O, '26OctTo1Nov'!$J:$J, $A90)</f>
        <v>0</v>
      </c>
      <c r="P90" s="121">
        <f>SUMIFS('26OctTo1Nov'!$P:$P, '26OctTo1Nov'!$J:$J, $A90)</f>
        <v>0</v>
      </c>
      <c r="Q90" s="122">
        <f t="shared" si="2"/>
        <v>0</v>
      </c>
      <c r="R90" s="121">
        <f>SUMIFS('19OctTo25Oct'!$L:$L, '19OctTo25Oct'!$J:$J, $A90)</f>
        <v>0</v>
      </c>
      <c r="S90" s="121">
        <f>SUMIFS('19OctTo25Oct'!$K:$K, '19OctTo25Oct'!$J:$J, $A90)</f>
        <v>0</v>
      </c>
      <c r="T90" s="121">
        <f>SUMIFS('19OctTo25Oct'!$O:$O, '19OctTo25Oct'!$J:$J, $A90)</f>
        <v>0</v>
      </c>
      <c r="U90" s="121">
        <f>SUMIFS('19OctTo25Oct'!$P:$P, '19OctTo25Oct'!$J:$J, $A90)</f>
        <v>0</v>
      </c>
      <c r="V90" s="122">
        <f t="shared" si="3"/>
        <v>0</v>
      </c>
      <c r="W90" s="121">
        <f>SUMIFS('12OctTo18Oct'!$L:$L, '12OctTo18Oct'!$J:$J, $A90)</f>
        <v>0</v>
      </c>
      <c r="X90" s="121">
        <f>SUMIFS('12OctTo18Oct'!$K:$K, '12OctTo18Oct'!$J:$J, $A90)</f>
        <v>0</v>
      </c>
      <c r="Y90" s="121">
        <f>SUMIFS('12OctTo18Oct'!$O:$O, '12OctTo18Oct'!$J:$J, $A90)</f>
        <v>0</v>
      </c>
      <c r="Z90" s="121">
        <f>SUMIFS('12OctTo18Oct'!$P:$P, '12OctTo18Oct'!$J:$J, $A90)</f>
        <v>0</v>
      </c>
      <c r="AA90" s="122">
        <f t="shared" si="4"/>
        <v>0</v>
      </c>
      <c r="AB90" s="121">
        <f>SUMIFS('5OctTo11Oct'!$L:$L, '5OctTo11Oct'!$J:$J, $A90)</f>
        <v>0</v>
      </c>
      <c r="AC90" s="121">
        <f>SUMIFS('5OctTo11Oct'!$K:$K, '5OctTo11Oct'!$J:$J, $A90)</f>
        <v>0</v>
      </c>
      <c r="AD90" s="121">
        <f>SUMIFS('5OctTo11Oct'!$O:$O, '5OctTo11Oct'!$J:$J, $A90)</f>
        <v>0</v>
      </c>
      <c r="AE90" s="121">
        <f>SUMIFS('5OctTo11Oct'!$P:$P, '5OctTo11Oct'!$J:$J, $A90)</f>
        <v>0</v>
      </c>
      <c r="AF90" s="123">
        <f t="shared" si="5"/>
        <v>0</v>
      </c>
      <c r="AG90" s="121">
        <f>SUMIFS('28SepTo4Oct'!$L:$L, '28SepTo4Oct'!$J:$J, $A90)</f>
        <v>0</v>
      </c>
      <c r="AH90" s="121">
        <f>SUMIFS('28SepTo4Oct'!$K:$K, '28SepTo4Oct'!$J:$J, $A90)</f>
        <v>0</v>
      </c>
      <c r="AI90" s="121">
        <f>SUMIFS('28SepTo4Oct'!$O:$O, '28SepTo4Oct'!$J:$J, $A90)</f>
        <v>0</v>
      </c>
      <c r="AJ90" s="121">
        <f>SUMIFS('28SepTo4Oct'!$P:$P, '28SepTo4Oct'!$J:$J, $A90)</f>
        <v>0</v>
      </c>
      <c r="AK90" s="123">
        <f t="shared" si="6"/>
        <v>0</v>
      </c>
      <c r="AL90" s="121">
        <f>SUMIFS('21SepTo27Sep'!$L:$L, '21SepTo27Sep'!$J:$J, $A90)</f>
        <v>0</v>
      </c>
      <c r="AM90" s="121">
        <f>SUMIFS('21SepTo27Sep'!$K:$K, '21SepTo27Sep'!$J:$J, $A90)</f>
        <v>0</v>
      </c>
      <c r="AN90" s="121">
        <f>SUMIFS('21SepTo27Sep'!$O:$O, '21SepTo27Sep'!$J:$J, $A90)</f>
        <v>0</v>
      </c>
      <c r="AO90" s="121">
        <f>SUMIFS('21SepTo27Sep'!$P:$P, '21SepTo27Sep'!$J:$J, $A90)</f>
        <v>0</v>
      </c>
      <c r="AP90" s="123">
        <f t="shared" si="7"/>
        <v>0</v>
      </c>
      <c r="AQ90" s="121">
        <f>SUMIFS('14SepTo20Sep'!$L:$L, '14SepTo20Sep'!$J:$J, $A90)</f>
        <v>1</v>
      </c>
      <c r="AR90" s="121">
        <f>SUMIFS('14SepTo20Sep'!$K:$K, '14SepTo20Sep'!$J:$J, $A90)</f>
        <v>1</v>
      </c>
      <c r="AS90" s="121">
        <f>SUMIFS('14SepTo20Sep'!$O:$O, '14SepTo20Sep'!$J:$J, $A90)</f>
        <v>5.18</v>
      </c>
      <c r="AT90" s="121">
        <f>SUMIFS('14SepTo20Sep'!$P:$P, '14SepTo20Sep'!$J:$J, $A90)</f>
        <v>49.88</v>
      </c>
      <c r="AU90" s="123">
        <f t="shared" si="8"/>
        <v>10.384923817161186</v>
      </c>
      <c r="AV90" s="121">
        <f>SUMIFS('7SepTo13Sep'!$L:$L, '7SepTo13Sep'!$J:$J, $A90)</f>
        <v>0</v>
      </c>
      <c r="AW90" s="121">
        <f>SUMIFS('7SepTo13Sep'!$K:$K, '7SepTo13Sep'!$J:$J, $A90)</f>
        <v>0</v>
      </c>
      <c r="AX90" s="121">
        <f>SUMIFS('7SepTo13Sep'!$O:$O, '7SepTo13Sep'!$J:$J, $A90)</f>
        <v>0</v>
      </c>
      <c r="AY90" s="121">
        <f>SUMIFS('7SepTo13Sep'!$P:$P, '7SepTo13Sep'!$J:$J, $A90)</f>
        <v>0</v>
      </c>
      <c r="AZ90" s="123">
        <f t="shared" si="9"/>
        <v>0</v>
      </c>
      <c r="BA90" s="121">
        <f>SUMIFS('31AugTo6Sep'!$L:$L, '31AugTo6Sep'!$J:$J, $A90)</f>
        <v>0</v>
      </c>
      <c r="BB90" s="121">
        <f>SUMIFS('31AugTo6Sep'!$K:$K, '31AugTo6Sep'!$J:$J, $A90)</f>
        <v>0</v>
      </c>
      <c r="BC90" s="121">
        <f>SUMIFS('31AugTo6Sep'!$O:$O, '31AugTo6Sep'!$J:$J, $A90)</f>
        <v>0</v>
      </c>
      <c r="BD90" s="121">
        <f>SUMIFS('31AugTo6Sep'!$P:$P, '31AugTo6Sep'!$J:$J, $A90)</f>
        <v>0</v>
      </c>
      <c r="BE90" s="123">
        <f t="shared" si="10"/>
        <v>0</v>
      </c>
      <c r="BF90" s="121">
        <f>SUMIFS('24AugTo29Aug'!$L:$L, '24AugTo29Aug'!$J:$J, $A90)</f>
        <v>0</v>
      </c>
      <c r="BG90" s="121">
        <f>SUMIFS('24AugTo29Aug'!$K:$K, '24AugTo29Aug'!$J:$J, $A90)</f>
        <v>0</v>
      </c>
      <c r="BH90" s="121">
        <f>SUMIFS('24AugTo29Aug'!$O:$O, '24AugTo29Aug'!$J:$J, $A90)</f>
        <v>0</v>
      </c>
      <c r="BI90" s="121">
        <f>SUMIFS('24AugTo29Aug'!$P:$P, '24AugTo29Aug'!$J:$J, $A90)</f>
        <v>0</v>
      </c>
      <c r="BJ90" s="123">
        <f t="shared" si="11"/>
        <v>0</v>
      </c>
      <c r="BK90" s="121">
        <f>SUMIFS('17AugTo21Aug'!$L:$L, '17AugTo21Aug'!$J:$J, $A90)</f>
        <v>0</v>
      </c>
      <c r="BL90" s="121">
        <f>SUMIFS('17AugTo21Aug'!$K:$K, '17AugTo21Aug'!$J:$J, $A90)</f>
        <v>0</v>
      </c>
      <c r="BM90" s="121">
        <f>SUMIFS('17AugTo21Aug'!$O:$O, '17AugTo21Aug'!$J:$J, $A90)</f>
        <v>0</v>
      </c>
      <c r="BN90" s="121">
        <f>SUMIFS('17AugTo21Aug'!$P:$P, '17AugTo21Aug'!$J:$J, $A90)</f>
        <v>0</v>
      </c>
      <c r="BO90" s="123">
        <f t="shared" si="12"/>
        <v>0</v>
      </c>
      <c r="BP90" s="121">
        <f>SUMIFS('10AugTo16Aug'!$L:$L, '10AugTo16Aug'!$J:$J, $A90)</f>
        <v>0</v>
      </c>
      <c r="BQ90" s="121">
        <f>SUMIFS('10AugTo16Aug'!$K:$K, '10AugTo16Aug'!$J:$J, $A90)</f>
        <v>0</v>
      </c>
      <c r="BR90" s="121">
        <f>SUMIFS('10AugTo16Aug'!$O:$O, '10AugTo16Aug'!$J:$J, $A90)</f>
        <v>0</v>
      </c>
      <c r="BS90" s="121">
        <f>SUMIFS('10AugTo16Aug'!$P:$P, '10AugTo16Aug'!$J:$J, $A90)</f>
        <v>0</v>
      </c>
      <c r="BT90" s="123">
        <f t="shared" si="13"/>
        <v>0</v>
      </c>
      <c r="BU90" s="121">
        <f>SUMIFS('3AugTo9Aug'!$L:$L, '3AugTo9Aug'!$J:$J, $A90)</f>
        <v>0</v>
      </c>
      <c r="BV90" s="121">
        <f>SUMIFS('3AugTo9Aug'!$K:$K, '3AugTo9Aug'!$J:$J, $A90)</f>
        <v>0</v>
      </c>
      <c r="BW90" s="121">
        <f>SUMIFS('3AugTo9Aug'!$O:$O, '3AugTo9Aug'!$J:$J, $A90)</f>
        <v>0</v>
      </c>
      <c r="BX90" s="121">
        <f>SUMIFS('3AugTo9Aug'!$P:$P, '3AugTo9Aug'!$J:$J, $A90)</f>
        <v>0</v>
      </c>
      <c r="BY90" s="123">
        <f t="shared" si="14"/>
        <v>0</v>
      </c>
      <c r="BZ90" s="121">
        <f>SUMIFS('27JulyTo2Aug'!$L:$L, '27JulyTo2Aug'!$J:$J, $A90)</f>
        <v>0</v>
      </c>
      <c r="CA90" s="121">
        <f>SUMIFS('27JulyTo2Aug'!$K:$K, '27JulyTo2Aug'!$J:$J, $A90)</f>
        <v>0</v>
      </c>
      <c r="CB90" s="121">
        <f>SUMIFS('27JulyTo2Aug'!$O:$O, '27JulyTo2Aug'!$J:$J, $A90)</f>
        <v>0</v>
      </c>
      <c r="CC90" s="121">
        <f>SUMIFS('27JulyTo2Aug'!$P:$P, '27JulyTo2Aug'!$J:$J, $A90)</f>
        <v>0</v>
      </c>
      <c r="CD90" s="123">
        <f t="shared" si="15"/>
        <v>0</v>
      </c>
    </row>
    <row r="91" spans="1:82" ht="14.25" customHeight="1" x14ac:dyDescent="0.3">
      <c r="A91" s="124" t="s">
        <v>501</v>
      </c>
      <c r="B91" s="120" t="str">
        <f t="shared" si="17"/>
        <v>NO TRAFFIC</v>
      </c>
      <c r="C91" s="121">
        <f>SUMIFS('9NovTo15Nov'!$L:$L, '9NovTo15Nov'!$J:$J, $A91)</f>
        <v>0</v>
      </c>
      <c r="D91" s="121">
        <f>SUMIFS('9NovTo15Nov'!$K:$K, '9NovTo15Nov'!$J:$J, $A91)</f>
        <v>0</v>
      </c>
      <c r="E91" s="121">
        <f>SUMIFS('9NovTo15Nov'!$O:$O, '9NovTo15Nov'!$J:$J, $A91)</f>
        <v>0</v>
      </c>
      <c r="F91" s="121">
        <f>SUMIFS('9NovTo15Nov'!$P:$P, '9NovTo15Nov'!$J:$J, $A91)</f>
        <v>0</v>
      </c>
      <c r="G91" s="122">
        <f t="shared" si="0"/>
        <v>0</v>
      </c>
      <c r="H91" s="121">
        <f>SUMIFS('2NovTo8Nov'!$L:$L, '2NovTo8Nov'!$J:$J, $A91)</f>
        <v>0</v>
      </c>
      <c r="I91" s="121">
        <f>SUMIFS('2NovTo8Nov'!$K:$K, '2NovTo8Nov'!$J:$J, $A91)</f>
        <v>0</v>
      </c>
      <c r="J91" s="121">
        <f>SUMIFS('2NovTo8Nov'!$O:$O, '2NovTo8Nov'!$J:$J, $A91)</f>
        <v>0</v>
      </c>
      <c r="K91" s="121">
        <f>SUMIFS('2NovTo8Nov'!$P:$P, '2NovTo8Nov'!$J:$J, $A91)</f>
        <v>0</v>
      </c>
      <c r="L91" s="122">
        <f t="shared" si="1"/>
        <v>0</v>
      </c>
      <c r="M91" s="121">
        <f>SUMIFS('26OctTo1Nov'!$L:$L, '26OctTo1Nov'!$J:$J, $A91)</f>
        <v>0</v>
      </c>
      <c r="N91" s="121">
        <f>SUMIFS('26OctTo1Nov'!$K:$K, '26OctTo1Nov'!$J:$J, $A91)</f>
        <v>0</v>
      </c>
      <c r="O91" s="121">
        <f>SUMIFS('26OctTo1Nov'!$O:$O, '26OctTo1Nov'!$J:$J, $A91)</f>
        <v>0</v>
      </c>
      <c r="P91" s="121">
        <f>SUMIFS('26OctTo1Nov'!$P:$P, '26OctTo1Nov'!$J:$J, $A91)</f>
        <v>0</v>
      </c>
      <c r="Q91" s="122">
        <f t="shared" si="2"/>
        <v>0</v>
      </c>
      <c r="R91" s="121">
        <f>SUMIFS('19OctTo25Oct'!$L:$L, '19OctTo25Oct'!$J:$J, $A91)</f>
        <v>0</v>
      </c>
      <c r="S91" s="121">
        <f>SUMIFS('19OctTo25Oct'!$K:$K, '19OctTo25Oct'!$J:$J, $A91)</f>
        <v>0</v>
      </c>
      <c r="T91" s="121">
        <f>SUMIFS('19OctTo25Oct'!$O:$O, '19OctTo25Oct'!$J:$J, $A91)</f>
        <v>0</v>
      </c>
      <c r="U91" s="121">
        <f>SUMIFS('19OctTo25Oct'!$P:$P, '19OctTo25Oct'!$J:$J, $A91)</f>
        <v>0</v>
      </c>
      <c r="V91" s="122">
        <f t="shared" si="3"/>
        <v>0</v>
      </c>
      <c r="W91" s="121">
        <f>SUMIFS('12OctTo18Oct'!$L:$L, '12OctTo18Oct'!$J:$J, $A91)</f>
        <v>0</v>
      </c>
      <c r="X91" s="121">
        <f>SUMIFS('12OctTo18Oct'!$K:$K, '12OctTo18Oct'!$J:$J, $A91)</f>
        <v>0</v>
      </c>
      <c r="Y91" s="121">
        <f>SUMIFS('12OctTo18Oct'!$O:$O, '12OctTo18Oct'!$J:$J, $A91)</f>
        <v>0</v>
      </c>
      <c r="Z91" s="121">
        <f>SUMIFS('12OctTo18Oct'!$P:$P, '12OctTo18Oct'!$J:$J, $A91)</f>
        <v>0</v>
      </c>
      <c r="AA91" s="122">
        <f t="shared" si="4"/>
        <v>0</v>
      </c>
      <c r="AB91" s="121">
        <f>SUMIFS('5OctTo11Oct'!$L:$L, '5OctTo11Oct'!$J:$J, $A91)</f>
        <v>0</v>
      </c>
      <c r="AC91" s="121">
        <f>SUMIFS('5OctTo11Oct'!$K:$K, '5OctTo11Oct'!$J:$J, $A91)</f>
        <v>0</v>
      </c>
      <c r="AD91" s="121">
        <f>SUMIFS('5OctTo11Oct'!$O:$O, '5OctTo11Oct'!$J:$J, $A91)</f>
        <v>0</v>
      </c>
      <c r="AE91" s="121">
        <f>SUMIFS('5OctTo11Oct'!$P:$P, '5OctTo11Oct'!$J:$J, $A91)</f>
        <v>0</v>
      </c>
      <c r="AF91" s="123">
        <f t="shared" si="5"/>
        <v>0</v>
      </c>
      <c r="AG91" s="121">
        <f>SUMIFS('28SepTo4Oct'!$L:$L, '28SepTo4Oct'!$J:$J, $A91)</f>
        <v>0</v>
      </c>
      <c r="AH91" s="121">
        <f>SUMIFS('28SepTo4Oct'!$K:$K, '28SepTo4Oct'!$J:$J, $A91)</f>
        <v>0</v>
      </c>
      <c r="AI91" s="121">
        <f>SUMIFS('28SepTo4Oct'!$O:$O, '28SepTo4Oct'!$J:$J, $A91)</f>
        <v>0</v>
      </c>
      <c r="AJ91" s="121">
        <f>SUMIFS('28SepTo4Oct'!$P:$P, '28SepTo4Oct'!$J:$J, $A91)</f>
        <v>0</v>
      </c>
      <c r="AK91" s="123">
        <f t="shared" si="6"/>
        <v>0</v>
      </c>
      <c r="AL91" s="121">
        <f>SUMIFS('21SepTo27Sep'!$L:$L, '21SepTo27Sep'!$J:$J, $A91)</f>
        <v>0</v>
      </c>
      <c r="AM91" s="121">
        <f>SUMIFS('21SepTo27Sep'!$K:$K, '21SepTo27Sep'!$J:$J, $A91)</f>
        <v>0</v>
      </c>
      <c r="AN91" s="121">
        <f>SUMIFS('21SepTo27Sep'!$O:$O, '21SepTo27Sep'!$J:$J, $A91)</f>
        <v>0</v>
      </c>
      <c r="AO91" s="121">
        <f>SUMIFS('21SepTo27Sep'!$P:$P, '21SepTo27Sep'!$J:$J, $A91)</f>
        <v>0</v>
      </c>
      <c r="AP91" s="123">
        <f t="shared" si="7"/>
        <v>0</v>
      </c>
      <c r="AQ91" s="121">
        <f>SUMIFS('14SepTo20Sep'!$L:$L, '14SepTo20Sep'!$J:$J, $A91)</f>
        <v>1</v>
      </c>
      <c r="AR91" s="121">
        <f>SUMIFS('14SepTo20Sep'!$K:$K, '14SepTo20Sep'!$J:$J, $A91)</f>
        <v>2</v>
      </c>
      <c r="AS91" s="121">
        <f>SUMIFS('14SepTo20Sep'!$O:$O, '14SepTo20Sep'!$J:$J, $A91)</f>
        <v>3.16</v>
      </c>
      <c r="AT91" s="121">
        <f>SUMIFS('14SepTo20Sep'!$P:$P, '14SepTo20Sep'!$J:$J, $A91)</f>
        <v>24.94</v>
      </c>
      <c r="AU91" s="123">
        <f t="shared" si="8"/>
        <v>12.670408981555733</v>
      </c>
      <c r="AV91" s="121">
        <f>SUMIFS('7SepTo13Sep'!$L:$L, '7SepTo13Sep'!$J:$J, $A91)</f>
        <v>0</v>
      </c>
      <c r="AW91" s="121">
        <f>SUMIFS('7SepTo13Sep'!$K:$K, '7SepTo13Sep'!$J:$J, $A91)</f>
        <v>0</v>
      </c>
      <c r="AX91" s="121">
        <f>SUMIFS('7SepTo13Sep'!$O:$O, '7SepTo13Sep'!$J:$J, $A91)</f>
        <v>0</v>
      </c>
      <c r="AY91" s="121">
        <f>SUMIFS('7SepTo13Sep'!$P:$P, '7SepTo13Sep'!$J:$J, $A91)</f>
        <v>0</v>
      </c>
      <c r="AZ91" s="123">
        <f t="shared" si="9"/>
        <v>0</v>
      </c>
      <c r="BA91" s="121">
        <f>SUMIFS('31AugTo6Sep'!$L:$L, '31AugTo6Sep'!$J:$J, $A91)</f>
        <v>0</v>
      </c>
      <c r="BB91" s="121">
        <f>SUMIFS('31AugTo6Sep'!$K:$K, '31AugTo6Sep'!$J:$J, $A91)</f>
        <v>0</v>
      </c>
      <c r="BC91" s="121">
        <f>SUMIFS('31AugTo6Sep'!$O:$O, '31AugTo6Sep'!$J:$J, $A91)</f>
        <v>0</v>
      </c>
      <c r="BD91" s="121">
        <f>SUMIFS('31AugTo6Sep'!$P:$P, '31AugTo6Sep'!$J:$J, $A91)</f>
        <v>0</v>
      </c>
      <c r="BE91" s="123">
        <f t="shared" si="10"/>
        <v>0</v>
      </c>
      <c r="BF91" s="121">
        <f>SUMIFS('24AugTo29Aug'!$L:$L, '24AugTo29Aug'!$J:$J, $A91)</f>
        <v>0</v>
      </c>
      <c r="BG91" s="121">
        <f>SUMIFS('24AugTo29Aug'!$K:$K, '24AugTo29Aug'!$J:$J, $A91)</f>
        <v>0</v>
      </c>
      <c r="BH91" s="121">
        <f>SUMIFS('24AugTo29Aug'!$O:$O, '24AugTo29Aug'!$J:$J, $A91)</f>
        <v>0</v>
      </c>
      <c r="BI91" s="121">
        <f>SUMIFS('24AugTo29Aug'!$P:$P, '24AugTo29Aug'!$J:$J, $A91)</f>
        <v>0</v>
      </c>
      <c r="BJ91" s="123">
        <f t="shared" si="11"/>
        <v>0</v>
      </c>
      <c r="BK91" s="121">
        <f>SUMIFS('17AugTo21Aug'!$L:$L, '17AugTo21Aug'!$J:$J, $A91)</f>
        <v>0</v>
      </c>
      <c r="BL91" s="121">
        <f>SUMIFS('17AugTo21Aug'!$K:$K, '17AugTo21Aug'!$J:$J, $A91)</f>
        <v>0</v>
      </c>
      <c r="BM91" s="121">
        <f>SUMIFS('17AugTo21Aug'!$O:$O, '17AugTo21Aug'!$J:$J, $A91)</f>
        <v>0</v>
      </c>
      <c r="BN91" s="121">
        <f>SUMIFS('17AugTo21Aug'!$P:$P, '17AugTo21Aug'!$J:$J, $A91)</f>
        <v>0</v>
      </c>
      <c r="BO91" s="123">
        <f t="shared" si="12"/>
        <v>0</v>
      </c>
      <c r="BP91" s="121">
        <f>SUMIFS('10AugTo16Aug'!$L:$L, '10AugTo16Aug'!$J:$J, $A91)</f>
        <v>0</v>
      </c>
      <c r="BQ91" s="121">
        <f>SUMIFS('10AugTo16Aug'!$K:$K, '10AugTo16Aug'!$J:$J, $A91)</f>
        <v>0</v>
      </c>
      <c r="BR91" s="121">
        <f>SUMIFS('10AugTo16Aug'!$O:$O, '10AugTo16Aug'!$J:$J, $A91)</f>
        <v>0</v>
      </c>
      <c r="BS91" s="121">
        <f>SUMIFS('10AugTo16Aug'!$P:$P, '10AugTo16Aug'!$J:$J, $A91)</f>
        <v>0</v>
      </c>
      <c r="BT91" s="123">
        <f t="shared" si="13"/>
        <v>0</v>
      </c>
      <c r="BU91" s="121">
        <f>SUMIFS('3AugTo9Aug'!$L:$L, '3AugTo9Aug'!$J:$J, $A91)</f>
        <v>0</v>
      </c>
      <c r="BV91" s="121">
        <f>SUMIFS('3AugTo9Aug'!$K:$K, '3AugTo9Aug'!$J:$J, $A91)</f>
        <v>0</v>
      </c>
      <c r="BW91" s="121">
        <f>SUMIFS('3AugTo9Aug'!$O:$O, '3AugTo9Aug'!$J:$J, $A91)</f>
        <v>0</v>
      </c>
      <c r="BX91" s="121">
        <f>SUMIFS('3AugTo9Aug'!$P:$P, '3AugTo9Aug'!$J:$J, $A91)</f>
        <v>0</v>
      </c>
      <c r="BY91" s="123">
        <f t="shared" si="14"/>
        <v>0</v>
      </c>
      <c r="BZ91" s="121">
        <f>SUMIFS('27JulyTo2Aug'!$L:$L, '27JulyTo2Aug'!$J:$J, $A91)</f>
        <v>0</v>
      </c>
      <c r="CA91" s="121">
        <f>SUMIFS('27JulyTo2Aug'!$K:$K, '27JulyTo2Aug'!$J:$J, $A91)</f>
        <v>0</v>
      </c>
      <c r="CB91" s="121">
        <f>SUMIFS('27JulyTo2Aug'!$O:$O, '27JulyTo2Aug'!$J:$J, $A91)</f>
        <v>0</v>
      </c>
      <c r="CC91" s="121">
        <f>SUMIFS('27JulyTo2Aug'!$P:$P, '27JulyTo2Aug'!$J:$J, $A91)</f>
        <v>0</v>
      </c>
      <c r="CD91" s="123">
        <f t="shared" si="15"/>
        <v>0</v>
      </c>
    </row>
    <row r="92" spans="1:82" ht="14.25" customHeight="1" x14ac:dyDescent="0.3">
      <c r="A92" s="130" t="s">
        <v>502</v>
      </c>
      <c r="B92" s="120" t="str">
        <f t="shared" si="17"/>
        <v>NO TRAFFIC</v>
      </c>
      <c r="C92" s="129">
        <f>SUMIFS('9NovTo15Nov'!$L:$L, '9NovTo15Nov'!$J:$J, $A92)</f>
        <v>0</v>
      </c>
      <c r="D92" s="129">
        <f>SUMIFS('9NovTo15Nov'!$K:$K, '9NovTo15Nov'!$J:$J, $A92)</f>
        <v>0</v>
      </c>
      <c r="E92" s="129">
        <f>SUMIFS('9NovTo15Nov'!$O:$O, '9NovTo15Nov'!$J:$J, $A92)</f>
        <v>0</v>
      </c>
      <c r="F92" s="129">
        <f>SUMIFS('9NovTo15Nov'!$P:$P, '9NovTo15Nov'!$J:$J, $A92)</f>
        <v>0</v>
      </c>
      <c r="G92" s="131">
        <f t="shared" si="0"/>
        <v>0</v>
      </c>
      <c r="H92" s="129">
        <f>SUMIFS('2NovTo8Nov'!$L:$L, '2NovTo8Nov'!$J:$J, $A92)</f>
        <v>0</v>
      </c>
      <c r="I92" s="129">
        <f>SUMIFS('2NovTo8Nov'!$K:$K, '2NovTo8Nov'!$J:$J, $A92)</f>
        <v>0</v>
      </c>
      <c r="J92" s="129">
        <f>SUMIFS('2NovTo8Nov'!$O:$O, '2NovTo8Nov'!$J:$J, $A92)</f>
        <v>0</v>
      </c>
      <c r="K92" s="129">
        <f>SUMIFS('2NovTo8Nov'!$P:$P, '2NovTo8Nov'!$J:$J, $A92)</f>
        <v>0</v>
      </c>
      <c r="L92" s="131">
        <f t="shared" si="1"/>
        <v>0</v>
      </c>
      <c r="M92" s="129">
        <f>SUMIFS('26OctTo1Nov'!$L:$L, '26OctTo1Nov'!$J:$J, $A92)</f>
        <v>0</v>
      </c>
      <c r="N92" s="129">
        <f>SUMIFS('26OctTo1Nov'!$K:$K, '26OctTo1Nov'!$J:$J, $A92)</f>
        <v>0</v>
      </c>
      <c r="O92" s="129">
        <f>SUMIFS('26OctTo1Nov'!$O:$O, '26OctTo1Nov'!$J:$J, $A92)</f>
        <v>0</v>
      </c>
      <c r="P92" s="129">
        <f>SUMIFS('26OctTo1Nov'!$P:$P, '26OctTo1Nov'!$J:$J, $A92)</f>
        <v>0</v>
      </c>
      <c r="Q92" s="131">
        <f t="shared" si="2"/>
        <v>0</v>
      </c>
      <c r="R92" s="129">
        <f>SUMIFS('19OctTo25Oct'!$L:$L, '19OctTo25Oct'!$J:$J, $A92)</f>
        <v>0</v>
      </c>
      <c r="S92" s="129">
        <f>SUMIFS('19OctTo25Oct'!$K:$K, '19OctTo25Oct'!$J:$J, $A92)</f>
        <v>0</v>
      </c>
      <c r="T92" s="129">
        <f>SUMIFS('19OctTo25Oct'!$O:$O, '19OctTo25Oct'!$J:$J, $A92)</f>
        <v>0</v>
      </c>
      <c r="U92" s="129">
        <f>SUMIFS('19OctTo25Oct'!$P:$P, '19OctTo25Oct'!$J:$J, $A92)</f>
        <v>0</v>
      </c>
      <c r="V92" s="131">
        <f t="shared" si="3"/>
        <v>0</v>
      </c>
      <c r="W92" s="129">
        <f>SUMIFS('12OctTo18Oct'!$L:$L, '12OctTo18Oct'!$J:$J, $A92)</f>
        <v>0</v>
      </c>
      <c r="X92" s="129">
        <f>SUMIFS('12OctTo18Oct'!$K:$K, '12OctTo18Oct'!$J:$J, $A92)</f>
        <v>0</v>
      </c>
      <c r="Y92" s="129">
        <f>SUMIFS('12OctTo18Oct'!$O:$O, '12OctTo18Oct'!$J:$J, $A92)</f>
        <v>0</v>
      </c>
      <c r="Z92" s="129">
        <f>SUMIFS('12OctTo18Oct'!$P:$P, '12OctTo18Oct'!$J:$J, $A92)</f>
        <v>0</v>
      </c>
      <c r="AA92" s="131">
        <f t="shared" si="4"/>
        <v>0</v>
      </c>
      <c r="AB92" s="129">
        <f>SUMIFS('5OctTo11Oct'!$L:$L, '5OctTo11Oct'!$J:$J, $A92)</f>
        <v>0</v>
      </c>
      <c r="AC92" s="129">
        <f>SUMIFS('5OctTo11Oct'!$K:$K, '5OctTo11Oct'!$J:$J, $A92)</f>
        <v>0</v>
      </c>
      <c r="AD92" s="129">
        <f>SUMIFS('5OctTo11Oct'!$O:$O, '5OctTo11Oct'!$J:$J, $A92)</f>
        <v>0</v>
      </c>
      <c r="AE92" s="129">
        <f>SUMIFS('5OctTo11Oct'!$P:$P, '5OctTo11Oct'!$J:$J, $A92)</f>
        <v>0</v>
      </c>
      <c r="AF92" s="132">
        <f t="shared" si="5"/>
        <v>0</v>
      </c>
      <c r="AG92" s="129">
        <f>SUMIFS('28SepTo4Oct'!$L:$L, '28SepTo4Oct'!$J:$J, $A92)</f>
        <v>0</v>
      </c>
      <c r="AH92" s="129">
        <f>SUMIFS('28SepTo4Oct'!$K:$K, '28SepTo4Oct'!$J:$J, $A92)</f>
        <v>0</v>
      </c>
      <c r="AI92" s="129">
        <f>SUMIFS('28SepTo4Oct'!$O:$O, '28SepTo4Oct'!$J:$J, $A92)</f>
        <v>0</v>
      </c>
      <c r="AJ92" s="129">
        <f>SUMIFS('28SepTo4Oct'!$P:$P, '28SepTo4Oct'!$J:$J, $A92)</f>
        <v>0</v>
      </c>
      <c r="AK92" s="132">
        <f t="shared" si="6"/>
        <v>0</v>
      </c>
      <c r="AL92" s="129">
        <f>SUMIFS('21SepTo27Sep'!$L:$L, '21SepTo27Sep'!$J:$J, $A92)</f>
        <v>0</v>
      </c>
      <c r="AM92" s="129">
        <f>SUMIFS('21SepTo27Sep'!$K:$K, '21SepTo27Sep'!$J:$J, $A92)</f>
        <v>0</v>
      </c>
      <c r="AN92" s="129">
        <f>SUMIFS('21SepTo27Sep'!$O:$O, '21SepTo27Sep'!$J:$J, $A92)</f>
        <v>0</v>
      </c>
      <c r="AO92" s="129">
        <f>SUMIFS('21SepTo27Sep'!$P:$P, '21SepTo27Sep'!$J:$J, $A92)</f>
        <v>0</v>
      </c>
      <c r="AP92" s="132">
        <f t="shared" si="7"/>
        <v>0</v>
      </c>
      <c r="AQ92" s="129">
        <f>SUMIFS('14SepTo20Sep'!$L:$L, '14SepTo20Sep'!$J:$J, $A92)</f>
        <v>1</v>
      </c>
      <c r="AR92" s="129">
        <f>SUMIFS('14SepTo20Sep'!$K:$K, '14SepTo20Sep'!$J:$J, $A92)</f>
        <v>1</v>
      </c>
      <c r="AS92" s="129">
        <f>SUMIFS('14SepTo20Sep'!$O:$O, '14SepTo20Sep'!$J:$J, $A92)</f>
        <v>2.84</v>
      </c>
      <c r="AT92" s="129">
        <f>SUMIFS('14SepTo20Sep'!$P:$P, '14SepTo20Sep'!$J:$J, $A92)</f>
        <v>21.9</v>
      </c>
      <c r="AU92" s="132">
        <f t="shared" si="8"/>
        <v>12.968036529680365</v>
      </c>
      <c r="AV92" s="129">
        <f>SUMIFS('7SepTo13Sep'!$L:$L, '7SepTo13Sep'!$J:$J, $A92)</f>
        <v>0</v>
      </c>
      <c r="AW92" s="129">
        <f>SUMIFS('7SepTo13Sep'!$K:$K, '7SepTo13Sep'!$J:$J, $A92)</f>
        <v>0</v>
      </c>
      <c r="AX92" s="129">
        <f>SUMIFS('7SepTo13Sep'!$O:$O, '7SepTo13Sep'!$J:$J, $A92)</f>
        <v>0</v>
      </c>
      <c r="AY92" s="129">
        <f>SUMIFS('7SepTo13Sep'!$P:$P, '7SepTo13Sep'!$J:$J, $A92)</f>
        <v>0</v>
      </c>
      <c r="AZ92" s="132">
        <f t="shared" si="9"/>
        <v>0</v>
      </c>
      <c r="BA92" s="129">
        <f>SUMIFS('31AugTo6Sep'!$L:$L, '31AugTo6Sep'!$J:$J, $A92)</f>
        <v>0</v>
      </c>
      <c r="BB92" s="129">
        <f>SUMIFS('31AugTo6Sep'!$K:$K, '31AugTo6Sep'!$J:$J, $A92)</f>
        <v>0</v>
      </c>
      <c r="BC92" s="129">
        <f>SUMIFS('31AugTo6Sep'!$O:$O, '31AugTo6Sep'!$J:$J, $A92)</f>
        <v>0</v>
      </c>
      <c r="BD92" s="129">
        <f>SUMIFS('31AugTo6Sep'!$P:$P, '31AugTo6Sep'!$J:$J, $A92)</f>
        <v>0</v>
      </c>
      <c r="BE92" s="132">
        <f t="shared" si="10"/>
        <v>0</v>
      </c>
      <c r="BF92" s="129">
        <f>SUMIFS('24AugTo29Aug'!$L:$L, '24AugTo29Aug'!$J:$J, $A92)</f>
        <v>0</v>
      </c>
      <c r="BG92" s="129">
        <f>SUMIFS('24AugTo29Aug'!$K:$K, '24AugTo29Aug'!$J:$J, $A92)</f>
        <v>0</v>
      </c>
      <c r="BH92" s="129">
        <f>SUMIFS('24AugTo29Aug'!$O:$O, '24AugTo29Aug'!$J:$J, $A92)</f>
        <v>0</v>
      </c>
      <c r="BI92" s="129">
        <f>SUMIFS('24AugTo29Aug'!$P:$P, '24AugTo29Aug'!$J:$J, $A92)</f>
        <v>0</v>
      </c>
      <c r="BJ92" s="132">
        <f t="shared" si="11"/>
        <v>0</v>
      </c>
      <c r="BK92" s="129">
        <f>SUMIFS('17AugTo21Aug'!$L:$L, '17AugTo21Aug'!$J:$J, $A92)</f>
        <v>0</v>
      </c>
      <c r="BL92" s="129">
        <f>SUMIFS('17AugTo21Aug'!$K:$K, '17AugTo21Aug'!$J:$J, $A92)</f>
        <v>0</v>
      </c>
      <c r="BM92" s="129">
        <f>SUMIFS('17AugTo21Aug'!$O:$O, '17AugTo21Aug'!$J:$J, $A92)</f>
        <v>0</v>
      </c>
      <c r="BN92" s="129">
        <f>SUMIFS('17AugTo21Aug'!$P:$P, '17AugTo21Aug'!$J:$J, $A92)</f>
        <v>0</v>
      </c>
      <c r="BO92" s="132">
        <f t="shared" si="12"/>
        <v>0</v>
      </c>
      <c r="BP92" s="129">
        <f>SUMIFS('10AugTo16Aug'!$L:$L, '10AugTo16Aug'!$J:$J, $A92)</f>
        <v>0</v>
      </c>
      <c r="BQ92" s="129">
        <f>SUMIFS('10AugTo16Aug'!$K:$K, '10AugTo16Aug'!$J:$J, $A92)</f>
        <v>0</v>
      </c>
      <c r="BR92" s="129">
        <f>SUMIFS('10AugTo16Aug'!$O:$O, '10AugTo16Aug'!$J:$J, $A92)</f>
        <v>0</v>
      </c>
      <c r="BS92" s="129">
        <f>SUMIFS('10AugTo16Aug'!$P:$P, '10AugTo16Aug'!$J:$J, $A92)</f>
        <v>0</v>
      </c>
      <c r="BT92" s="132">
        <f t="shared" si="13"/>
        <v>0</v>
      </c>
      <c r="BU92" s="129">
        <f>SUMIFS('3AugTo9Aug'!$L:$L, '3AugTo9Aug'!$J:$J, $A92)</f>
        <v>0</v>
      </c>
      <c r="BV92" s="129">
        <f>SUMIFS('3AugTo9Aug'!$K:$K, '3AugTo9Aug'!$J:$J, $A92)</f>
        <v>0</v>
      </c>
      <c r="BW92" s="129">
        <f>SUMIFS('3AugTo9Aug'!$O:$O, '3AugTo9Aug'!$J:$J, $A92)</f>
        <v>0</v>
      </c>
      <c r="BX92" s="129">
        <f>SUMIFS('3AugTo9Aug'!$P:$P, '3AugTo9Aug'!$J:$J, $A92)</f>
        <v>0</v>
      </c>
      <c r="BY92" s="132">
        <f t="shared" si="14"/>
        <v>0</v>
      </c>
      <c r="BZ92" s="129">
        <f>SUMIFS('27JulyTo2Aug'!$L:$L, '27JulyTo2Aug'!$J:$J, $A92)</f>
        <v>0</v>
      </c>
      <c r="CA92" s="129">
        <f>SUMIFS('27JulyTo2Aug'!$K:$K, '27JulyTo2Aug'!$J:$J, $A92)</f>
        <v>0</v>
      </c>
      <c r="CB92" s="129">
        <f>SUMIFS('27JulyTo2Aug'!$O:$O, '27JulyTo2Aug'!$J:$J, $A92)</f>
        <v>0</v>
      </c>
      <c r="CC92" s="129">
        <f>SUMIFS('27JulyTo2Aug'!$P:$P, '27JulyTo2Aug'!$J:$J, $A92)</f>
        <v>0</v>
      </c>
      <c r="CD92" s="132">
        <f t="shared" si="15"/>
        <v>0</v>
      </c>
    </row>
    <row r="93" spans="1:82" ht="14.25" customHeight="1" x14ac:dyDescent="0.3">
      <c r="A93" s="130" t="s">
        <v>505</v>
      </c>
      <c r="B93" s="120" t="str">
        <f t="shared" si="17"/>
        <v>NO TRAFFIC</v>
      </c>
      <c r="C93" s="129">
        <f>SUMIFS('9NovTo15Nov'!$L:$L, '9NovTo15Nov'!$J:$J, $A93)</f>
        <v>0</v>
      </c>
      <c r="D93" s="129">
        <f>SUMIFS('9NovTo15Nov'!$K:$K, '9NovTo15Nov'!$J:$J, $A93)</f>
        <v>0</v>
      </c>
      <c r="E93" s="129">
        <f>SUMIFS('9NovTo15Nov'!$O:$O, '9NovTo15Nov'!$J:$J, $A93)</f>
        <v>0</v>
      </c>
      <c r="F93" s="129">
        <f>SUMIFS('9NovTo15Nov'!$P:$P, '9NovTo15Nov'!$J:$J, $A93)</f>
        <v>0</v>
      </c>
      <c r="G93" s="131">
        <f t="shared" si="0"/>
        <v>0</v>
      </c>
      <c r="H93" s="129">
        <f>SUMIFS('2NovTo8Nov'!$L:$L, '2NovTo8Nov'!$J:$J, $A93)</f>
        <v>0</v>
      </c>
      <c r="I93" s="129">
        <f>SUMIFS('2NovTo8Nov'!$K:$K, '2NovTo8Nov'!$J:$J, $A93)</f>
        <v>0</v>
      </c>
      <c r="J93" s="129">
        <f>SUMIFS('2NovTo8Nov'!$O:$O, '2NovTo8Nov'!$J:$J, $A93)</f>
        <v>0</v>
      </c>
      <c r="K93" s="129">
        <f>SUMIFS('2NovTo8Nov'!$P:$P, '2NovTo8Nov'!$J:$J, $A93)</f>
        <v>0</v>
      </c>
      <c r="L93" s="131">
        <f t="shared" si="1"/>
        <v>0</v>
      </c>
      <c r="M93" s="129">
        <f>SUMIFS('26OctTo1Nov'!$L:$L, '26OctTo1Nov'!$J:$J, $A93)</f>
        <v>0</v>
      </c>
      <c r="N93" s="129">
        <f>SUMIFS('26OctTo1Nov'!$K:$K, '26OctTo1Nov'!$J:$J, $A93)</f>
        <v>0</v>
      </c>
      <c r="O93" s="129">
        <f>SUMIFS('26OctTo1Nov'!$O:$O, '26OctTo1Nov'!$J:$J, $A93)</f>
        <v>0</v>
      </c>
      <c r="P93" s="129">
        <f>SUMIFS('26OctTo1Nov'!$P:$P, '26OctTo1Nov'!$J:$J, $A93)</f>
        <v>0</v>
      </c>
      <c r="Q93" s="131">
        <f t="shared" si="2"/>
        <v>0</v>
      </c>
      <c r="R93" s="129">
        <f>SUMIFS('19OctTo25Oct'!$L:$L, '19OctTo25Oct'!$J:$J, $A93)</f>
        <v>0</v>
      </c>
      <c r="S93" s="129">
        <f>SUMIFS('19OctTo25Oct'!$K:$K, '19OctTo25Oct'!$J:$J, $A93)</f>
        <v>0</v>
      </c>
      <c r="T93" s="129">
        <f>SUMIFS('19OctTo25Oct'!$O:$O, '19OctTo25Oct'!$J:$J, $A93)</f>
        <v>0</v>
      </c>
      <c r="U93" s="129">
        <f>SUMIFS('19OctTo25Oct'!$P:$P, '19OctTo25Oct'!$J:$J, $A93)</f>
        <v>0</v>
      </c>
      <c r="V93" s="131">
        <f t="shared" si="3"/>
        <v>0</v>
      </c>
      <c r="W93" s="129">
        <f>SUMIFS('12OctTo18Oct'!$L:$L, '12OctTo18Oct'!$J:$J, $A93)</f>
        <v>0</v>
      </c>
      <c r="X93" s="129">
        <f>SUMIFS('12OctTo18Oct'!$K:$K, '12OctTo18Oct'!$J:$J, $A93)</f>
        <v>0</v>
      </c>
      <c r="Y93" s="129">
        <f>SUMIFS('12OctTo18Oct'!$O:$O, '12OctTo18Oct'!$J:$J, $A93)</f>
        <v>0</v>
      </c>
      <c r="Z93" s="129">
        <f>SUMIFS('12OctTo18Oct'!$P:$P, '12OctTo18Oct'!$J:$J, $A93)</f>
        <v>0</v>
      </c>
      <c r="AA93" s="131">
        <f t="shared" si="4"/>
        <v>0</v>
      </c>
      <c r="AB93" s="129">
        <f>SUMIFS('5OctTo11Oct'!$L:$L, '5OctTo11Oct'!$J:$J, $A93)</f>
        <v>0</v>
      </c>
      <c r="AC93" s="129">
        <f>SUMIFS('5OctTo11Oct'!$K:$K, '5OctTo11Oct'!$J:$J, $A93)</f>
        <v>0</v>
      </c>
      <c r="AD93" s="129">
        <f>SUMIFS('5OctTo11Oct'!$O:$O, '5OctTo11Oct'!$J:$J, $A93)</f>
        <v>0</v>
      </c>
      <c r="AE93" s="129">
        <f>SUMIFS('5OctTo11Oct'!$P:$P, '5OctTo11Oct'!$J:$J, $A93)</f>
        <v>0</v>
      </c>
      <c r="AF93" s="132">
        <f t="shared" si="5"/>
        <v>0</v>
      </c>
      <c r="AG93" s="129">
        <f>SUMIFS('28SepTo4Oct'!$L:$L, '28SepTo4Oct'!$J:$J, $A93)</f>
        <v>0</v>
      </c>
      <c r="AH93" s="129">
        <f>SUMIFS('28SepTo4Oct'!$K:$K, '28SepTo4Oct'!$J:$J, $A93)</f>
        <v>0</v>
      </c>
      <c r="AI93" s="129">
        <f>SUMIFS('28SepTo4Oct'!$O:$O, '28SepTo4Oct'!$J:$J, $A93)</f>
        <v>0</v>
      </c>
      <c r="AJ93" s="129">
        <f>SUMIFS('28SepTo4Oct'!$P:$P, '28SepTo4Oct'!$J:$J, $A93)</f>
        <v>0</v>
      </c>
      <c r="AK93" s="132">
        <f t="shared" si="6"/>
        <v>0</v>
      </c>
      <c r="AL93" s="129">
        <f>SUMIFS('21SepTo27Sep'!$L:$L, '21SepTo27Sep'!$J:$J, $A93)</f>
        <v>0</v>
      </c>
      <c r="AM93" s="129">
        <f>SUMIFS('21SepTo27Sep'!$K:$K, '21SepTo27Sep'!$J:$J, $A93)</f>
        <v>0</v>
      </c>
      <c r="AN93" s="129">
        <f>SUMIFS('21SepTo27Sep'!$O:$O, '21SepTo27Sep'!$J:$J, $A93)</f>
        <v>0</v>
      </c>
      <c r="AO93" s="129">
        <f>SUMIFS('21SepTo27Sep'!$P:$P, '21SepTo27Sep'!$J:$J, $A93)</f>
        <v>0</v>
      </c>
      <c r="AP93" s="132">
        <f t="shared" si="7"/>
        <v>0</v>
      </c>
      <c r="AQ93" s="129">
        <f>SUMIFS('14SepTo20Sep'!$L:$L, '14SepTo20Sep'!$J:$J, $A93)</f>
        <v>1</v>
      </c>
      <c r="AR93" s="129">
        <f>SUMIFS('14SepTo20Sep'!$K:$K, '14SepTo20Sep'!$J:$J, $A93)</f>
        <v>1</v>
      </c>
      <c r="AS93" s="129">
        <f>SUMIFS('14SepTo20Sep'!$O:$O, '14SepTo20Sep'!$J:$J, $A93)</f>
        <v>3.12</v>
      </c>
      <c r="AT93" s="129">
        <f>SUMIFS('14SepTo20Sep'!$P:$P, '14SepTo20Sep'!$J:$J, $A93)</f>
        <v>21.9</v>
      </c>
      <c r="AU93" s="132">
        <f t="shared" si="8"/>
        <v>14.246575342465755</v>
      </c>
      <c r="AV93" s="129">
        <f>SUMIFS('7SepTo13Sep'!$L:$L, '7SepTo13Sep'!$J:$J, $A93)</f>
        <v>0</v>
      </c>
      <c r="AW93" s="129">
        <f>SUMIFS('7SepTo13Sep'!$K:$K, '7SepTo13Sep'!$J:$J, $A93)</f>
        <v>0</v>
      </c>
      <c r="AX93" s="129">
        <f>SUMIFS('7SepTo13Sep'!$O:$O, '7SepTo13Sep'!$J:$J, $A93)</f>
        <v>0</v>
      </c>
      <c r="AY93" s="129">
        <f>SUMIFS('7SepTo13Sep'!$P:$P, '7SepTo13Sep'!$J:$J, $A93)</f>
        <v>0</v>
      </c>
      <c r="AZ93" s="132">
        <f t="shared" si="9"/>
        <v>0</v>
      </c>
      <c r="BA93" s="129">
        <f>SUMIFS('31AugTo6Sep'!$L:$L, '31AugTo6Sep'!$J:$J, $A93)</f>
        <v>0</v>
      </c>
      <c r="BB93" s="129">
        <f>SUMIFS('31AugTo6Sep'!$K:$K, '31AugTo6Sep'!$J:$J, $A93)</f>
        <v>0</v>
      </c>
      <c r="BC93" s="129">
        <f>SUMIFS('31AugTo6Sep'!$O:$O, '31AugTo6Sep'!$J:$J, $A93)</f>
        <v>0</v>
      </c>
      <c r="BD93" s="129">
        <f>SUMIFS('31AugTo6Sep'!$P:$P, '31AugTo6Sep'!$J:$J, $A93)</f>
        <v>0</v>
      </c>
      <c r="BE93" s="132">
        <f t="shared" si="10"/>
        <v>0</v>
      </c>
      <c r="BF93" s="129">
        <f>SUMIFS('24AugTo29Aug'!$L:$L, '24AugTo29Aug'!$J:$J, $A93)</f>
        <v>0</v>
      </c>
      <c r="BG93" s="129">
        <f>SUMIFS('24AugTo29Aug'!$K:$K, '24AugTo29Aug'!$J:$J, $A93)</f>
        <v>0</v>
      </c>
      <c r="BH93" s="129">
        <f>SUMIFS('24AugTo29Aug'!$O:$O, '24AugTo29Aug'!$J:$J, $A93)</f>
        <v>0</v>
      </c>
      <c r="BI93" s="129">
        <f>SUMIFS('24AugTo29Aug'!$P:$P, '24AugTo29Aug'!$J:$J, $A93)</f>
        <v>0</v>
      </c>
      <c r="BJ93" s="132">
        <f t="shared" si="11"/>
        <v>0</v>
      </c>
      <c r="BK93" s="129">
        <f>SUMIFS('17AugTo21Aug'!$L:$L, '17AugTo21Aug'!$J:$J, $A93)</f>
        <v>0</v>
      </c>
      <c r="BL93" s="129">
        <f>SUMIFS('17AugTo21Aug'!$K:$K, '17AugTo21Aug'!$J:$J, $A93)</f>
        <v>0</v>
      </c>
      <c r="BM93" s="129">
        <f>SUMIFS('17AugTo21Aug'!$O:$O, '17AugTo21Aug'!$J:$J, $A93)</f>
        <v>0</v>
      </c>
      <c r="BN93" s="129">
        <f>SUMIFS('17AugTo21Aug'!$P:$P, '17AugTo21Aug'!$J:$J, $A93)</f>
        <v>0</v>
      </c>
      <c r="BO93" s="132">
        <f t="shared" si="12"/>
        <v>0</v>
      </c>
      <c r="BP93" s="129">
        <f>SUMIFS('10AugTo16Aug'!$L:$L, '10AugTo16Aug'!$J:$J, $A93)</f>
        <v>0</v>
      </c>
      <c r="BQ93" s="129">
        <f>SUMIFS('10AugTo16Aug'!$K:$K, '10AugTo16Aug'!$J:$J, $A93)</f>
        <v>0</v>
      </c>
      <c r="BR93" s="129">
        <f>SUMIFS('10AugTo16Aug'!$O:$O, '10AugTo16Aug'!$J:$J, $A93)</f>
        <v>0</v>
      </c>
      <c r="BS93" s="129">
        <f>SUMIFS('10AugTo16Aug'!$P:$P, '10AugTo16Aug'!$J:$J, $A93)</f>
        <v>0</v>
      </c>
      <c r="BT93" s="132">
        <f t="shared" si="13"/>
        <v>0</v>
      </c>
      <c r="BU93" s="129">
        <f>SUMIFS('3AugTo9Aug'!$L:$L, '3AugTo9Aug'!$J:$J, $A93)</f>
        <v>0</v>
      </c>
      <c r="BV93" s="129">
        <f>SUMIFS('3AugTo9Aug'!$K:$K, '3AugTo9Aug'!$J:$J, $A93)</f>
        <v>0</v>
      </c>
      <c r="BW93" s="129">
        <f>SUMIFS('3AugTo9Aug'!$O:$O, '3AugTo9Aug'!$J:$J, $A93)</f>
        <v>0</v>
      </c>
      <c r="BX93" s="129">
        <f>SUMIFS('3AugTo9Aug'!$P:$P, '3AugTo9Aug'!$J:$J, $A93)</f>
        <v>0</v>
      </c>
      <c r="BY93" s="132">
        <f t="shared" si="14"/>
        <v>0</v>
      </c>
      <c r="BZ93" s="129">
        <f>SUMIFS('27JulyTo2Aug'!$L:$L, '27JulyTo2Aug'!$J:$J, $A93)</f>
        <v>0</v>
      </c>
      <c r="CA93" s="129">
        <f>SUMIFS('27JulyTo2Aug'!$K:$K, '27JulyTo2Aug'!$J:$J, $A93)</f>
        <v>0</v>
      </c>
      <c r="CB93" s="129">
        <f>SUMIFS('27JulyTo2Aug'!$O:$O, '27JulyTo2Aug'!$J:$J, $A93)</f>
        <v>0</v>
      </c>
      <c r="CC93" s="129">
        <f>SUMIFS('27JulyTo2Aug'!$P:$P, '27JulyTo2Aug'!$J:$J, $A93)</f>
        <v>0</v>
      </c>
      <c r="CD93" s="132">
        <f t="shared" si="15"/>
        <v>0</v>
      </c>
    </row>
    <row r="94" spans="1:82" ht="14.25" customHeight="1" x14ac:dyDescent="0.3">
      <c r="A94" s="124" t="s">
        <v>508</v>
      </c>
      <c r="B94" s="120" t="str">
        <f t="shared" si="17"/>
        <v>NO TRAFFIC</v>
      </c>
      <c r="C94" s="121">
        <f>SUMIFS('9NovTo15Nov'!$L:$L, '9NovTo15Nov'!$J:$J, $A94)</f>
        <v>0</v>
      </c>
      <c r="D94" s="121">
        <f>SUMIFS('9NovTo15Nov'!$K:$K, '9NovTo15Nov'!$J:$J, $A94)</f>
        <v>0</v>
      </c>
      <c r="E94" s="121">
        <f>SUMIFS('9NovTo15Nov'!$O:$O, '9NovTo15Nov'!$J:$J, $A94)</f>
        <v>0</v>
      </c>
      <c r="F94" s="121">
        <f>SUMIFS('9NovTo15Nov'!$P:$P, '9NovTo15Nov'!$J:$J, $A94)</f>
        <v>0</v>
      </c>
      <c r="G94" s="122">
        <f t="shared" si="0"/>
        <v>0</v>
      </c>
      <c r="H94" s="121">
        <f>SUMIFS('2NovTo8Nov'!$L:$L, '2NovTo8Nov'!$J:$J, $A94)</f>
        <v>0</v>
      </c>
      <c r="I94" s="121">
        <f>SUMIFS('2NovTo8Nov'!$K:$K, '2NovTo8Nov'!$J:$J, $A94)</f>
        <v>0</v>
      </c>
      <c r="J94" s="121">
        <f>SUMIFS('2NovTo8Nov'!$O:$O, '2NovTo8Nov'!$J:$J, $A94)</f>
        <v>0</v>
      </c>
      <c r="K94" s="121">
        <f>SUMIFS('2NovTo8Nov'!$P:$P, '2NovTo8Nov'!$J:$J, $A94)</f>
        <v>0</v>
      </c>
      <c r="L94" s="122">
        <f t="shared" si="1"/>
        <v>0</v>
      </c>
      <c r="M94" s="121">
        <f>SUMIFS('26OctTo1Nov'!$L:$L, '26OctTo1Nov'!$J:$J, $A94)</f>
        <v>0</v>
      </c>
      <c r="N94" s="121">
        <f>SUMIFS('26OctTo1Nov'!$K:$K, '26OctTo1Nov'!$J:$J, $A94)</f>
        <v>0</v>
      </c>
      <c r="O94" s="121">
        <f>SUMIFS('26OctTo1Nov'!$O:$O, '26OctTo1Nov'!$J:$J, $A94)</f>
        <v>0</v>
      </c>
      <c r="P94" s="121">
        <f>SUMIFS('26OctTo1Nov'!$P:$P, '26OctTo1Nov'!$J:$J, $A94)</f>
        <v>0</v>
      </c>
      <c r="Q94" s="122">
        <f t="shared" si="2"/>
        <v>0</v>
      </c>
      <c r="R94" s="121">
        <f>SUMIFS('19OctTo25Oct'!$L:$L, '19OctTo25Oct'!$J:$J, $A94)</f>
        <v>0</v>
      </c>
      <c r="S94" s="121">
        <f>SUMIFS('19OctTo25Oct'!$K:$K, '19OctTo25Oct'!$J:$J, $A94)</f>
        <v>0</v>
      </c>
      <c r="T94" s="121">
        <f>SUMIFS('19OctTo25Oct'!$O:$O, '19OctTo25Oct'!$J:$J, $A94)</f>
        <v>0</v>
      </c>
      <c r="U94" s="121">
        <f>SUMIFS('19OctTo25Oct'!$P:$P, '19OctTo25Oct'!$J:$J, $A94)</f>
        <v>0</v>
      </c>
      <c r="V94" s="122">
        <f t="shared" si="3"/>
        <v>0</v>
      </c>
      <c r="W94" s="121">
        <f>SUMIFS('12OctTo18Oct'!$L:$L, '12OctTo18Oct'!$J:$J, $A94)</f>
        <v>0</v>
      </c>
      <c r="X94" s="121">
        <f>SUMIFS('12OctTo18Oct'!$K:$K, '12OctTo18Oct'!$J:$J, $A94)</f>
        <v>0</v>
      </c>
      <c r="Y94" s="121">
        <f>SUMIFS('12OctTo18Oct'!$O:$O, '12OctTo18Oct'!$J:$J, $A94)</f>
        <v>0</v>
      </c>
      <c r="Z94" s="121">
        <f>SUMIFS('12OctTo18Oct'!$P:$P, '12OctTo18Oct'!$J:$J, $A94)</f>
        <v>0</v>
      </c>
      <c r="AA94" s="122">
        <f t="shared" si="4"/>
        <v>0</v>
      </c>
      <c r="AB94" s="121">
        <f>SUMIFS('5OctTo11Oct'!$L:$L, '5OctTo11Oct'!$J:$J, $A94)</f>
        <v>0</v>
      </c>
      <c r="AC94" s="121">
        <f>SUMIFS('5OctTo11Oct'!$K:$K, '5OctTo11Oct'!$J:$J, $A94)</f>
        <v>0</v>
      </c>
      <c r="AD94" s="121">
        <f>SUMIFS('5OctTo11Oct'!$O:$O, '5OctTo11Oct'!$J:$J, $A94)</f>
        <v>0</v>
      </c>
      <c r="AE94" s="121">
        <f>SUMIFS('5OctTo11Oct'!$P:$P, '5OctTo11Oct'!$J:$J, $A94)</f>
        <v>0</v>
      </c>
      <c r="AF94" s="123">
        <f t="shared" si="5"/>
        <v>0</v>
      </c>
      <c r="AG94" s="121">
        <f>SUMIFS('28SepTo4Oct'!$L:$L, '28SepTo4Oct'!$J:$J, $A94)</f>
        <v>0</v>
      </c>
      <c r="AH94" s="121">
        <f>SUMIFS('28SepTo4Oct'!$K:$K, '28SepTo4Oct'!$J:$J, $A94)</f>
        <v>0</v>
      </c>
      <c r="AI94" s="121">
        <f>SUMIFS('28SepTo4Oct'!$O:$O, '28SepTo4Oct'!$J:$J, $A94)</f>
        <v>0</v>
      </c>
      <c r="AJ94" s="121">
        <f>SUMIFS('28SepTo4Oct'!$P:$P, '28SepTo4Oct'!$J:$J, $A94)</f>
        <v>0</v>
      </c>
      <c r="AK94" s="123">
        <f t="shared" si="6"/>
        <v>0</v>
      </c>
      <c r="AL94" s="121">
        <f>SUMIFS('21SepTo27Sep'!$L:$L, '21SepTo27Sep'!$J:$J, $A94)</f>
        <v>0</v>
      </c>
      <c r="AM94" s="121">
        <f>SUMIFS('21SepTo27Sep'!$K:$K, '21SepTo27Sep'!$J:$J, $A94)</f>
        <v>0</v>
      </c>
      <c r="AN94" s="121">
        <f>SUMIFS('21SepTo27Sep'!$O:$O, '21SepTo27Sep'!$J:$J, $A94)</f>
        <v>0</v>
      </c>
      <c r="AO94" s="121">
        <f>SUMIFS('21SepTo27Sep'!$P:$P, '21SepTo27Sep'!$J:$J, $A94)</f>
        <v>0</v>
      </c>
      <c r="AP94" s="123">
        <f t="shared" si="7"/>
        <v>0</v>
      </c>
      <c r="AQ94" s="121">
        <f>SUMIFS('14SepTo20Sep'!$L:$L, '14SepTo20Sep'!$J:$J, $A94)</f>
        <v>1</v>
      </c>
      <c r="AR94" s="121">
        <f>SUMIFS('14SepTo20Sep'!$K:$K, '14SepTo20Sep'!$J:$J, $A94)</f>
        <v>2</v>
      </c>
      <c r="AS94" s="121">
        <f>SUMIFS('14SepTo20Sep'!$O:$O, '14SepTo20Sep'!$J:$J, $A94)</f>
        <v>2.52</v>
      </c>
      <c r="AT94" s="121">
        <f>SUMIFS('14SepTo20Sep'!$P:$P, '14SepTo20Sep'!$J:$J, $A94)</f>
        <v>21.9</v>
      </c>
      <c r="AU94" s="123">
        <f t="shared" si="8"/>
        <v>11.506849315068495</v>
      </c>
      <c r="AV94" s="121">
        <f>SUMIFS('7SepTo13Sep'!$L:$L, '7SepTo13Sep'!$J:$J, $A94)</f>
        <v>0</v>
      </c>
      <c r="AW94" s="121">
        <f>SUMIFS('7SepTo13Sep'!$K:$K, '7SepTo13Sep'!$J:$J, $A94)</f>
        <v>0</v>
      </c>
      <c r="AX94" s="121">
        <f>SUMIFS('7SepTo13Sep'!$O:$O, '7SepTo13Sep'!$J:$J, $A94)</f>
        <v>0</v>
      </c>
      <c r="AY94" s="121">
        <f>SUMIFS('7SepTo13Sep'!$P:$P, '7SepTo13Sep'!$J:$J, $A94)</f>
        <v>0</v>
      </c>
      <c r="AZ94" s="123">
        <f t="shared" si="9"/>
        <v>0</v>
      </c>
      <c r="BA94" s="121">
        <f>SUMIFS('31AugTo6Sep'!$L:$L, '31AugTo6Sep'!$J:$J, $A94)</f>
        <v>0</v>
      </c>
      <c r="BB94" s="121">
        <f>SUMIFS('31AugTo6Sep'!$K:$K, '31AugTo6Sep'!$J:$J, $A94)</f>
        <v>0</v>
      </c>
      <c r="BC94" s="121">
        <f>SUMIFS('31AugTo6Sep'!$O:$O, '31AugTo6Sep'!$J:$J, $A94)</f>
        <v>0</v>
      </c>
      <c r="BD94" s="121">
        <f>SUMIFS('31AugTo6Sep'!$P:$P, '31AugTo6Sep'!$J:$J, $A94)</f>
        <v>0</v>
      </c>
      <c r="BE94" s="123">
        <f t="shared" si="10"/>
        <v>0</v>
      </c>
      <c r="BF94" s="121">
        <f>SUMIFS('24AugTo29Aug'!$L:$L, '24AugTo29Aug'!$J:$J, $A94)</f>
        <v>0</v>
      </c>
      <c r="BG94" s="121">
        <f>SUMIFS('24AugTo29Aug'!$K:$K, '24AugTo29Aug'!$J:$J, $A94)</f>
        <v>0</v>
      </c>
      <c r="BH94" s="121">
        <f>SUMIFS('24AugTo29Aug'!$O:$O, '24AugTo29Aug'!$J:$J, $A94)</f>
        <v>0</v>
      </c>
      <c r="BI94" s="121">
        <f>SUMIFS('24AugTo29Aug'!$P:$P, '24AugTo29Aug'!$J:$J, $A94)</f>
        <v>0</v>
      </c>
      <c r="BJ94" s="123">
        <f t="shared" si="11"/>
        <v>0</v>
      </c>
      <c r="BK94" s="121">
        <f>SUMIFS('17AugTo21Aug'!$L:$L, '17AugTo21Aug'!$J:$J, $A94)</f>
        <v>0</v>
      </c>
      <c r="BL94" s="121">
        <f>SUMIFS('17AugTo21Aug'!$K:$K, '17AugTo21Aug'!$J:$J, $A94)</f>
        <v>0</v>
      </c>
      <c r="BM94" s="121">
        <f>SUMIFS('17AugTo21Aug'!$O:$O, '17AugTo21Aug'!$J:$J, $A94)</f>
        <v>0</v>
      </c>
      <c r="BN94" s="121">
        <f>SUMIFS('17AugTo21Aug'!$P:$P, '17AugTo21Aug'!$J:$J, $A94)</f>
        <v>0</v>
      </c>
      <c r="BO94" s="123">
        <f t="shared" si="12"/>
        <v>0</v>
      </c>
      <c r="BP94" s="121">
        <f>SUMIFS('10AugTo16Aug'!$L:$L, '10AugTo16Aug'!$J:$J, $A94)</f>
        <v>0</v>
      </c>
      <c r="BQ94" s="121">
        <f>SUMIFS('10AugTo16Aug'!$K:$K, '10AugTo16Aug'!$J:$J, $A94)</f>
        <v>0</v>
      </c>
      <c r="BR94" s="121">
        <f>SUMIFS('10AugTo16Aug'!$O:$O, '10AugTo16Aug'!$J:$J, $A94)</f>
        <v>0</v>
      </c>
      <c r="BS94" s="121">
        <f>SUMIFS('10AugTo16Aug'!$P:$P, '10AugTo16Aug'!$J:$J, $A94)</f>
        <v>0</v>
      </c>
      <c r="BT94" s="123">
        <f t="shared" si="13"/>
        <v>0</v>
      </c>
      <c r="BU94" s="121">
        <f>SUMIFS('3AugTo9Aug'!$L:$L, '3AugTo9Aug'!$J:$J, $A94)</f>
        <v>0</v>
      </c>
      <c r="BV94" s="121">
        <f>SUMIFS('3AugTo9Aug'!$K:$K, '3AugTo9Aug'!$J:$J, $A94)</f>
        <v>0</v>
      </c>
      <c r="BW94" s="121">
        <f>SUMIFS('3AugTo9Aug'!$O:$O, '3AugTo9Aug'!$J:$J, $A94)</f>
        <v>0</v>
      </c>
      <c r="BX94" s="121">
        <f>SUMIFS('3AugTo9Aug'!$P:$P, '3AugTo9Aug'!$J:$J, $A94)</f>
        <v>0</v>
      </c>
      <c r="BY94" s="123">
        <f t="shared" si="14"/>
        <v>0</v>
      </c>
      <c r="BZ94" s="121">
        <f>SUMIFS('27JulyTo2Aug'!$L:$L, '27JulyTo2Aug'!$J:$J, $A94)</f>
        <v>0</v>
      </c>
      <c r="CA94" s="121">
        <f>SUMIFS('27JulyTo2Aug'!$K:$K, '27JulyTo2Aug'!$J:$J, $A94)</f>
        <v>0</v>
      </c>
      <c r="CB94" s="121">
        <f>SUMIFS('27JulyTo2Aug'!$O:$O, '27JulyTo2Aug'!$J:$J, $A94)</f>
        <v>0</v>
      </c>
      <c r="CC94" s="121">
        <f>SUMIFS('27JulyTo2Aug'!$P:$P, '27JulyTo2Aug'!$J:$J, $A94)</f>
        <v>0</v>
      </c>
      <c r="CD94" s="123">
        <f t="shared" si="15"/>
        <v>0</v>
      </c>
    </row>
    <row r="95" spans="1:82" ht="14.25" customHeight="1" x14ac:dyDescent="0.3">
      <c r="A95" s="124" t="s">
        <v>511</v>
      </c>
      <c r="B95" s="120" t="str">
        <f t="shared" si="17"/>
        <v>NO TRAFFIC</v>
      </c>
      <c r="C95" s="121">
        <f>SUMIFS('9NovTo15Nov'!$L:$L, '9NovTo15Nov'!$J:$J, $A95)</f>
        <v>0</v>
      </c>
      <c r="D95" s="121">
        <f>SUMIFS('9NovTo15Nov'!$K:$K, '9NovTo15Nov'!$J:$J, $A95)</f>
        <v>0</v>
      </c>
      <c r="E95" s="121">
        <f>SUMIFS('9NovTo15Nov'!$O:$O, '9NovTo15Nov'!$J:$J, $A95)</f>
        <v>0</v>
      </c>
      <c r="F95" s="121">
        <f>SUMIFS('9NovTo15Nov'!$P:$P, '9NovTo15Nov'!$J:$J, $A95)</f>
        <v>0</v>
      </c>
      <c r="G95" s="122">
        <f t="shared" si="0"/>
        <v>0</v>
      </c>
      <c r="H95" s="121">
        <f>SUMIFS('2NovTo8Nov'!$L:$L, '2NovTo8Nov'!$J:$J, $A95)</f>
        <v>0</v>
      </c>
      <c r="I95" s="121">
        <f>SUMIFS('2NovTo8Nov'!$K:$K, '2NovTo8Nov'!$J:$J, $A95)</f>
        <v>0</v>
      </c>
      <c r="J95" s="121">
        <f>SUMIFS('2NovTo8Nov'!$O:$O, '2NovTo8Nov'!$J:$J, $A95)</f>
        <v>0</v>
      </c>
      <c r="K95" s="121">
        <f>SUMIFS('2NovTo8Nov'!$P:$P, '2NovTo8Nov'!$J:$J, $A95)</f>
        <v>0</v>
      </c>
      <c r="L95" s="122">
        <f t="shared" si="1"/>
        <v>0</v>
      </c>
      <c r="M95" s="121">
        <f>SUMIFS('26OctTo1Nov'!$L:$L, '26OctTo1Nov'!$J:$J, $A95)</f>
        <v>0</v>
      </c>
      <c r="N95" s="121">
        <f>SUMIFS('26OctTo1Nov'!$K:$K, '26OctTo1Nov'!$J:$J, $A95)</f>
        <v>0</v>
      </c>
      <c r="O95" s="121">
        <f>SUMIFS('26OctTo1Nov'!$O:$O, '26OctTo1Nov'!$J:$J, $A95)</f>
        <v>0</v>
      </c>
      <c r="P95" s="121">
        <f>SUMIFS('26OctTo1Nov'!$P:$P, '26OctTo1Nov'!$J:$J, $A95)</f>
        <v>0</v>
      </c>
      <c r="Q95" s="122">
        <f t="shared" si="2"/>
        <v>0</v>
      </c>
      <c r="R95" s="121">
        <f>SUMIFS('19OctTo25Oct'!$L:$L, '19OctTo25Oct'!$J:$J, $A95)</f>
        <v>0</v>
      </c>
      <c r="S95" s="121">
        <f>SUMIFS('19OctTo25Oct'!$K:$K, '19OctTo25Oct'!$J:$J, $A95)</f>
        <v>0</v>
      </c>
      <c r="T95" s="121">
        <f>SUMIFS('19OctTo25Oct'!$O:$O, '19OctTo25Oct'!$J:$J, $A95)</f>
        <v>0</v>
      </c>
      <c r="U95" s="121">
        <f>SUMIFS('19OctTo25Oct'!$P:$P, '19OctTo25Oct'!$J:$J, $A95)</f>
        <v>0</v>
      </c>
      <c r="V95" s="122">
        <f t="shared" si="3"/>
        <v>0</v>
      </c>
      <c r="W95" s="121">
        <f>SUMIFS('12OctTo18Oct'!$L:$L, '12OctTo18Oct'!$J:$J, $A95)</f>
        <v>0</v>
      </c>
      <c r="X95" s="121">
        <f>SUMIFS('12OctTo18Oct'!$K:$K, '12OctTo18Oct'!$J:$J, $A95)</f>
        <v>0</v>
      </c>
      <c r="Y95" s="121">
        <f>SUMIFS('12OctTo18Oct'!$O:$O, '12OctTo18Oct'!$J:$J, $A95)</f>
        <v>0</v>
      </c>
      <c r="Z95" s="121">
        <f>SUMIFS('12OctTo18Oct'!$P:$P, '12OctTo18Oct'!$J:$J, $A95)</f>
        <v>0</v>
      </c>
      <c r="AA95" s="122">
        <f t="shared" si="4"/>
        <v>0</v>
      </c>
      <c r="AB95" s="121">
        <f>SUMIFS('5OctTo11Oct'!$L:$L, '5OctTo11Oct'!$J:$J, $A95)</f>
        <v>0</v>
      </c>
      <c r="AC95" s="121">
        <f>SUMIFS('5OctTo11Oct'!$K:$K, '5OctTo11Oct'!$J:$J, $A95)</f>
        <v>0</v>
      </c>
      <c r="AD95" s="121">
        <f>SUMIFS('5OctTo11Oct'!$O:$O, '5OctTo11Oct'!$J:$J, $A95)</f>
        <v>0</v>
      </c>
      <c r="AE95" s="121">
        <f>SUMIFS('5OctTo11Oct'!$P:$P, '5OctTo11Oct'!$J:$J, $A95)</f>
        <v>0</v>
      </c>
      <c r="AF95" s="123">
        <f t="shared" si="5"/>
        <v>0</v>
      </c>
      <c r="AG95" s="121">
        <f>SUMIFS('28SepTo4Oct'!$L:$L, '28SepTo4Oct'!$J:$J, $A95)</f>
        <v>0</v>
      </c>
      <c r="AH95" s="121">
        <f>SUMIFS('28SepTo4Oct'!$K:$K, '28SepTo4Oct'!$J:$J, $A95)</f>
        <v>0</v>
      </c>
      <c r="AI95" s="121">
        <f>SUMIFS('28SepTo4Oct'!$O:$O, '28SepTo4Oct'!$J:$J, $A95)</f>
        <v>0</v>
      </c>
      <c r="AJ95" s="121">
        <f>SUMIFS('28SepTo4Oct'!$P:$P, '28SepTo4Oct'!$J:$J, $A95)</f>
        <v>0</v>
      </c>
      <c r="AK95" s="123">
        <f t="shared" si="6"/>
        <v>0</v>
      </c>
      <c r="AL95" s="121">
        <f>SUMIFS('21SepTo27Sep'!$L:$L, '21SepTo27Sep'!$J:$J, $A95)</f>
        <v>0</v>
      </c>
      <c r="AM95" s="121">
        <f>SUMIFS('21SepTo27Sep'!$K:$K, '21SepTo27Sep'!$J:$J, $A95)</f>
        <v>0</v>
      </c>
      <c r="AN95" s="121">
        <f>SUMIFS('21SepTo27Sep'!$O:$O, '21SepTo27Sep'!$J:$J, $A95)</f>
        <v>0</v>
      </c>
      <c r="AO95" s="121">
        <f>SUMIFS('21SepTo27Sep'!$P:$P, '21SepTo27Sep'!$J:$J, $A95)</f>
        <v>0</v>
      </c>
      <c r="AP95" s="123">
        <f t="shared" si="7"/>
        <v>0</v>
      </c>
      <c r="AQ95" s="121">
        <f>SUMIFS('14SepTo20Sep'!$L:$L, '14SepTo20Sep'!$J:$J, $A95)</f>
        <v>1</v>
      </c>
      <c r="AR95" s="121">
        <f>SUMIFS('14SepTo20Sep'!$K:$K, '14SepTo20Sep'!$J:$J, $A95)</f>
        <v>2</v>
      </c>
      <c r="AS95" s="121">
        <f>SUMIFS('14SepTo20Sep'!$O:$O, '14SepTo20Sep'!$J:$J, $A95)</f>
        <v>2.84</v>
      </c>
      <c r="AT95" s="121">
        <f>SUMIFS('14SepTo20Sep'!$P:$P, '14SepTo20Sep'!$J:$J, $A95)</f>
        <v>24.94</v>
      </c>
      <c r="AU95" s="123">
        <f t="shared" si="8"/>
        <v>11.387329591018442</v>
      </c>
      <c r="AV95" s="121">
        <f>SUMIFS('7SepTo13Sep'!$L:$L, '7SepTo13Sep'!$J:$J, $A95)</f>
        <v>0</v>
      </c>
      <c r="AW95" s="121">
        <f>SUMIFS('7SepTo13Sep'!$K:$K, '7SepTo13Sep'!$J:$J, $A95)</f>
        <v>0</v>
      </c>
      <c r="AX95" s="121">
        <f>SUMIFS('7SepTo13Sep'!$O:$O, '7SepTo13Sep'!$J:$J, $A95)</f>
        <v>0</v>
      </c>
      <c r="AY95" s="121">
        <f>SUMIFS('7SepTo13Sep'!$P:$P, '7SepTo13Sep'!$J:$J, $A95)</f>
        <v>0</v>
      </c>
      <c r="AZ95" s="123">
        <f t="shared" si="9"/>
        <v>0</v>
      </c>
      <c r="BA95" s="121">
        <f>SUMIFS('31AugTo6Sep'!$L:$L, '31AugTo6Sep'!$J:$J, $A95)</f>
        <v>0</v>
      </c>
      <c r="BB95" s="121">
        <f>SUMIFS('31AugTo6Sep'!$K:$K, '31AugTo6Sep'!$J:$J, $A95)</f>
        <v>0</v>
      </c>
      <c r="BC95" s="121">
        <f>SUMIFS('31AugTo6Sep'!$O:$O, '31AugTo6Sep'!$J:$J, $A95)</f>
        <v>0</v>
      </c>
      <c r="BD95" s="121">
        <f>SUMIFS('31AugTo6Sep'!$P:$P, '31AugTo6Sep'!$J:$J, $A95)</f>
        <v>0</v>
      </c>
      <c r="BE95" s="123">
        <f t="shared" si="10"/>
        <v>0</v>
      </c>
      <c r="BF95" s="121">
        <f>SUMIFS('24AugTo29Aug'!$L:$L, '24AugTo29Aug'!$J:$J, $A95)</f>
        <v>0</v>
      </c>
      <c r="BG95" s="121">
        <f>SUMIFS('24AugTo29Aug'!$K:$K, '24AugTo29Aug'!$J:$J, $A95)</f>
        <v>0</v>
      </c>
      <c r="BH95" s="121">
        <f>SUMIFS('24AugTo29Aug'!$O:$O, '24AugTo29Aug'!$J:$J, $A95)</f>
        <v>0</v>
      </c>
      <c r="BI95" s="121">
        <f>SUMIFS('24AugTo29Aug'!$P:$P, '24AugTo29Aug'!$J:$J, $A95)</f>
        <v>0</v>
      </c>
      <c r="BJ95" s="123">
        <f t="shared" si="11"/>
        <v>0</v>
      </c>
      <c r="BK95" s="121">
        <f>SUMIFS('17AugTo21Aug'!$L:$L, '17AugTo21Aug'!$J:$J, $A95)</f>
        <v>0</v>
      </c>
      <c r="BL95" s="121">
        <f>SUMIFS('17AugTo21Aug'!$K:$K, '17AugTo21Aug'!$J:$J, $A95)</f>
        <v>0</v>
      </c>
      <c r="BM95" s="121">
        <f>SUMIFS('17AugTo21Aug'!$O:$O, '17AugTo21Aug'!$J:$J, $A95)</f>
        <v>0</v>
      </c>
      <c r="BN95" s="121">
        <f>SUMIFS('17AugTo21Aug'!$P:$P, '17AugTo21Aug'!$J:$J, $A95)</f>
        <v>0</v>
      </c>
      <c r="BO95" s="123">
        <f t="shared" si="12"/>
        <v>0</v>
      </c>
      <c r="BP95" s="121">
        <f>SUMIFS('10AugTo16Aug'!$L:$L, '10AugTo16Aug'!$J:$J, $A95)</f>
        <v>0</v>
      </c>
      <c r="BQ95" s="121">
        <f>SUMIFS('10AugTo16Aug'!$K:$K, '10AugTo16Aug'!$J:$J, $A95)</f>
        <v>0</v>
      </c>
      <c r="BR95" s="121">
        <f>SUMIFS('10AugTo16Aug'!$O:$O, '10AugTo16Aug'!$J:$J, $A95)</f>
        <v>0</v>
      </c>
      <c r="BS95" s="121">
        <f>SUMIFS('10AugTo16Aug'!$P:$P, '10AugTo16Aug'!$J:$J, $A95)</f>
        <v>0</v>
      </c>
      <c r="BT95" s="123">
        <f t="shared" si="13"/>
        <v>0</v>
      </c>
      <c r="BU95" s="121">
        <f>SUMIFS('3AugTo9Aug'!$L:$L, '3AugTo9Aug'!$J:$J, $A95)</f>
        <v>0</v>
      </c>
      <c r="BV95" s="121">
        <f>SUMIFS('3AugTo9Aug'!$K:$K, '3AugTo9Aug'!$J:$J, $A95)</f>
        <v>0</v>
      </c>
      <c r="BW95" s="121">
        <f>SUMIFS('3AugTo9Aug'!$O:$O, '3AugTo9Aug'!$J:$J, $A95)</f>
        <v>0</v>
      </c>
      <c r="BX95" s="121">
        <f>SUMIFS('3AugTo9Aug'!$P:$P, '3AugTo9Aug'!$J:$J, $A95)</f>
        <v>0</v>
      </c>
      <c r="BY95" s="123">
        <f t="shared" si="14"/>
        <v>0</v>
      </c>
      <c r="BZ95" s="121">
        <f>SUMIFS('27JulyTo2Aug'!$L:$L, '27JulyTo2Aug'!$J:$J, $A95)</f>
        <v>0</v>
      </c>
      <c r="CA95" s="121">
        <f>SUMIFS('27JulyTo2Aug'!$K:$K, '27JulyTo2Aug'!$J:$J, $A95)</f>
        <v>0</v>
      </c>
      <c r="CB95" s="121">
        <f>SUMIFS('27JulyTo2Aug'!$O:$O, '27JulyTo2Aug'!$J:$J, $A95)</f>
        <v>0</v>
      </c>
      <c r="CC95" s="121">
        <f>SUMIFS('27JulyTo2Aug'!$P:$P, '27JulyTo2Aug'!$J:$J, $A95)</f>
        <v>0</v>
      </c>
      <c r="CD95" s="123">
        <f t="shared" si="15"/>
        <v>0</v>
      </c>
    </row>
    <row r="96" spans="1:82" ht="14.25" customHeight="1" x14ac:dyDescent="0.3">
      <c r="A96" s="124" t="s">
        <v>512</v>
      </c>
      <c r="B96" s="120" t="str">
        <f t="shared" si="17"/>
        <v>NO TRAFFIC</v>
      </c>
      <c r="C96" s="121">
        <f>SUMIFS('9NovTo15Nov'!$L:$L, '9NovTo15Nov'!$J:$J, $A96)</f>
        <v>0</v>
      </c>
      <c r="D96" s="121">
        <f>SUMIFS('9NovTo15Nov'!$K:$K, '9NovTo15Nov'!$J:$J, $A96)</f>
        <v>0</v>
      </c>
      <c r="E96" s="121">
        <f>SUMIFS('9NovTo15Nov'!$O:$O, '9NovTo15Nov'!$J:$J, $A96)</f>
        <v>0</v>
      </c>
      <c r="F96" s="121">
        <f>SUMIFS('9NovTo15Nov'!$P:$P, '9NovTo15Nov'!$J:$J, $A96)</f>
        <v>0</v>
      </c>
      <c r="G96" s="122">
        <f t="shared" si="0"/>
        <v>0</v>
      </c>
      <c r="H96" s="121">
        <f>SUMIFS('2NovTo8Nov'!$L:$L, '2NovTo8Nov'!$J:$J, $A96)</f>
        <v>0</v>
      </c>
      <c r="I96" s="121">
        <f>SUMIFS('2NovTo8Nov'!$K:$K, '2NovTo8Nov'!$J:$J, $A96)</f>
        <v>0</v>
      </c>
      <c r="J96" s="121">
        <f>SUMIFS('2NovTo8Nov'!$O:$O, '2NovTo8Nov'!$J:$J, $A96)</f>
        <v>0</v>
      </c>
      <c r="K96" s="121">
        <f>SUMIFS('2NovTo8Nov'!$P:$P, '2NovTo8Nov'!$J:$J, $A96)</f>
        <v>0</v>
      </c>
      <c r="L96" s="122">
        <f t="shared" si="1"/>
        <v>0</v>
      </c>
      <c r="M96" s="121">
        <f>SUMIFS('26OctTo1Nov'!$L:$L, '26OctTo1Nov'!$J:$J, $A96)</f>
        <v>0</v>
      </c>
      <c r="N96" s="121">
        <f>SUMIFS('26OctTo1Nov'!$K:$K, '26OctTo1Nov'!$J:$J, $A96)</f>
        <v>0</v>
      </c>
      <c r="O96" s="121">
        <f>SUMIFS('26OctTo1Nov'!$O:$O, '26OctTo1Nov'!$J:$J, $A96)</f>
        <v>0</v>
      </c>
      <c r="P96" s="121">
        <f>SUMIFS('26OctTo1Nov'!$P:$P, '26OctTo1Nov'!$J:$J, $A96)</f>
        <v>0</v>
      </c>
      <c r="Q96" s="122">
        <f t="shared" si="2"/>
        <v>0</v>
      </c>
      <c r="R96" s="121">
        <f>SUMIFS('19OctTo25Oct'!$L:$L, '19OctTo25Oct'!$J:$J, $A96)</f>
        <v>0</v>
      </c>
      <c r="S96" s="121">
        <f>SUMIFS('19OctTo25Oct'!$K:$K, '19OctTo25Oct'!$J:$J, $A96)</f>
        <v>0</v>
      </c>
      <c r="T96" s="121">
        <f>SUMIFS('19OctTo25Oct'!$O:$O, '19OctTo25Oct'!$J:$J, $A96)</f>
        <v>0</v>
      </c>
      <c r="U96" s="121">
        <f>SUMIFS('19OctTo25Oct'!$P:$P, '19OctTo25Oct'!$J:$J, $A96)</f>
        <v>0</v>
      </c>
      <c r="V96" s="122">
        <f t="shared" si="3"/>
        <v>0</v>
      </c>
      <c r="W96" s="121">
        <f>SUMIFS('12OctTo18Oct'!$L:$L, '12OctTo18Oct'!$J:$J, $A96)</f>
        <v>0</v>
      </c>
      <c r="X96" s="121">
        <f>SUMIFS('12OctTo18Oct'!$K:$K, '12OctTo18Oct'!$J:$J, $A96)</f>
        <v>0</v>
      </c>
      <c r="Y96" s="121">
        <f>SUMIFS('12OctTo18Oct'!$O:$O, '12OctTo18Oct'!$J:$J, $A96)</f>
        <v>0</v>
      </c>
      <c r="Z96" s="121">
        <f>SUMIFS('12OctTo18Oct'!$P:$P, '12OctTo18Oct'!$J:$J, $A96)</f>
        <v>0</v>
      </c>
      <c r="AA96" s="122">
        <f t="shared" si="4"/>
        <v>0</v>
      </c>
      <c r="AB96" s="121">
        <f>SUMIFS('5OctTo11Oct'!$L:$L, '5OctTo11Oct'!$J:$J, $A96)</f>
        <v>0</v>
      </c>
      <c r="AC96" s="121">
        <f>SUMIFS('5OctTo11Oct'!$K:$K, '5OctTo11Oct'!$J:$J, $A96)</f>
        <v>0</v>
      </c>
      <c r="AD96" s="121">
        <f>SUMIFS('5OctTo11Oct'!$O:$O, '5OctTo11Oct'!$J:$J, $A96)</f>
        <v>0</v>
      </c>
      <c r="AE96" s="121">
        <f>SUMIFS('5OctTo11Oct'!$P:$P, '5OctTo11Oct'!$J:$J, $A96)</f>
        <v>0</v>
      </c>
      <c r="AF96" s="123">
        <f t="shared" si="5"/>
        <v>0</v>
      </c>
      <c r="AG96" s="121">
        <f>SUMIFS('28SepTo4Oct'!$L:$L, '28SepTo4Oct'!$J:$J, $A96)</f>
        <v>0</v>
      </c>
      <c r="AH96" s="121">
        <f>SUMIFS('28SepTo4Oct'!$K:$K, '28SepTo4Oct'!$J:$J, $A96)</f>
        <v>0</v>
      </c>
      <c r="AI96" s="121">
        <f>SUMIFS('28SepTo4Oct'!$O:$O, '28SepTo4Oct'!$J:$J, $A96)</f>
        <v>0</v>
      </c>
      <c r="AJ96" s="121">
        <f>SUMIFS('28SepTo4Oct'!$P:$P, '28SepTo4Oct'!$J:$J, $A96)</f>
        <v>0</v>
      </c>
      <c r="AK96" s="123">
        <f t="shared" si="6"/>
        <v>0</v>
      </c>
      <c r="AL96" s="121">
        <f>SUMIFS('21SepTo27Sep'!$L:$L, '21SepTo27Sep'!$J:$J, $A96)</f>
        <v>0</v>
      </c>
      <c r="AM96" s="121">
        <f>SUMIFS('21SepTo27Sep'!$K:$K, '21SepTo27Sep'!$J:$J, $A96)</f>
        <v>0</v>
      </c>
      <c r="AN96" s="121">
        <f>SUMIFS('21SepTo27Sep'!$O:$O, '21SepTo27Sep'!$J:$J, $A96)</f>
        <v>0</v>
      </c>
      <c r="AO96" s="121">
        <f>SUMIFS('21SepTo27Sep'!$P:$P, '21SepTo27Sep'!$J:$J, $A96)</f>
        <v>0</v>
      </c>
      <c r="AP96" s="123">
        <f t="shared" si="7"/>
        <v>0</v>
      </c>
      <c r="AQ96" s="121">
        <f>SUMIFS('14SepTo20Sep'!$L:$L, '14SepTo20Sep'!$J:$J, $A96)</f>
        <v>2</v>
      </c>
      <c r="AR96" s="121">
        <f>SUMIFS('14SepTo20Sep'!$K:$K, '14SepTo20Sep'!$J:$J, $A96)</f>
        <v>30</v>
      </c>
      <c r="AS96" s="121">
        <f>SUMIFS('14SepTo20Sep'!$O:$O, '14SepTo20Sep'!$J:$J, $A96)</f>
        <v>10.199999999999999</v>
      </c>
      <c r="AT96" s="121">
        <f>SUMIFS('14SepTo20Sep'!$P:$P, '14SepTo20Sep'!$J:$J, $A96)</f>
        <v>29.99</v>
      </c>
      <c r="AU96" s="123">
        <f t="shared" si="8"/>
        <v>34.011337112370789</v>
      </c>
      <c r="AV96" s="121">
        <f>SUMIFS('7SepTo13Sep'!$L:$L, '7SepTo13Sep'!$J:$J, $A96)</f>
        <v>0</v>
      </c>
      <c r="AW96" s="121">
        <f>SUMIFS('7SepTo13Sep'!$K:$K, '7SepTo13Sep'!$J:$J, $A96)</f>
        <v>0</v>
      </c>
      <c r="AX96" s="121">
        <f>SUMIFS('7SepTo13Sep'!$O:$O, '7SepTo13Sep'!$J:$J, $A96)</f>
        <v>0</v>
      </c>
      <c r="AY96" s="121">
        <f>SUMIFS('7SepTo13Sep'!$P:$P, '7SepTo13Sep'!$J:$J, $A96)</f>
        <v>0</v>
      </c>
      <c r="AZ96" s="123">
        <f t="shared" si="9"/>
        <v>0</v>
      </c>
      <c r="BA96" s="121">
        <f>SUMIFS('31AugTo6Sep'!$L:$L, '31AugTo6Sep'!$J:$J, $A96)</f>
        <v>0</v>
      </c>
      <c r="BB96" s="121">
        <f>SUMIFS('31AugTo6Sep'!$K:$K, '31AugTo6Sep'!$J:$J, $A96)</f>
        <v>0</v>
      </c>
      <c r="BC96" s="121">
        <f>SUMIFS('31AugTo6Sep'!$O:$O, '31AugTo6Sep'!$J:$J, $A96)</f>
        <v>0</v>
      </c>
      <c r="BD96" s="121">
        <f>SUMIFS('31AugTo6Sep'!$P:$P, '31AugTo6Sep'!$J:$J, $A96)</f>
        <v>0</v>
      </c>
      <c r="BE96" s="123">
        <f t="shared" si="10"/>
        <v>0</v>
      </c>
      <c r="BF96" s="121">
        <f>SUMIFS('24AugTo29Aug'!$L:$L, '24AugTo29Aug'!$J:$J, $A96)</f>
        <v>0</v>
      </c>
      <c r="BG96" s="121">
        <f>SUMIFS('24AugTo29Aug'!$K:$K, '24AugTo29Aug'!$J:$J, $A96)</f>
        <v>0</v>
      </c>
      <c r="BH96" s="121">
        <f>SUMIFS('24AugTo29Aug'!$O:$O, '24AugTo29Aug'!$J:$J, $A96)</f>
        <v>0</v>
      </c>
      <c r="BI96" s="121">
        <f>SUMIFS('24AugTo29Aug'!$P:$P, '24AugTo29Aug'!$J:$J, $A96)</f>
        <v>0</v>
      </c>
      <c r="BJ96" s="123">
        <f t="shared" si="11"/>
        <v>0</v>
      </c>
      <c r="BK96" s="121">
        <f>SUMIFS('17AugTo21Aug'!$L:$L, '17AugTo21Aug'!$J:$J, $A96)</f>
        <v>0</v>
      </c>
      <c r="BL96" s="121">
        <f>SUMIFS('17AugTo21Aug'!$K:$K, '17AugTo21Aug'!$J:$J, $A96)</f>
        <v>0</v>
      </c>
      <c r="BM96" s="121">
        <f>SUMIFS('17AugTo21Aug'!$O:$O, '17AugTo21Aug'!$J:$J, $A96)</f>
        <v>0</v>
      </c>
      <c r="BN96" s="121">
        <f>SUMIFS('17AugTo21Aug'!$P:$P, '17AugTo21Aug'!$J:$J, $A96)</f>
        <v>0</v>
      </c>
      <c r="BO96" s="123">
        <f t="shared" si="12"/>
        <v>0</v>
      </c>
      <c r="BP96" s="121">
        <f>SUMIFS('10AugTo16Aug'!$L:$L, '10AugTo16Aug'!$J:$J, $A96)</f>
        <v>0</v>
      </c>
      <c r="BQ96" s="121">
        <f>SUMIFS('10AugTo16Aug'!$K:$K, '10AugTo16Aug'!$J:$J, $A96)</f>
        <v>0</v>
      </c>
      <c r="BR96" s="121">
        <f>SUMIFS('10AugTo16Aug'!$O:$O, '10AugTo16Aug'!$J:$J, $A96)</f>
        <v>0</v>
      </c>
      <c r="BS96" s="121">
        <f>SUMIFS('10AugTo16Aug'!$P:$P, '10AugTo16Aug'!$J:$J, $A96)</f>
        <v>0</v>
      </c>
      <c r="BT96" s="123">
        <f t="shared" si="13"/>
        <v>0</v>
      </c>
      <c r="BU96" s="121">
        <f>SUMIFS('3AugTo9Aug'!$L:$L, '3AugTo9Aug'!$J:$J, $A96)</f>
        <v>0</v>
      </c>
      <c r="BV96" s="121">
        <f>SUMIFS('3AugTo9Aug'!$K:$K, '3AugTo9Aug'!$J:$J, $A96)</f>
        <v>0</v>
      </c>
      <c r="BW96" s="121">
        <f>SUMIFS('3AugTo9Aug'!$O:$O, '3AugTo9Aug'!$J:$J, $A96)</f>
        <v>0</v>
      </c>
      <c r="BX96" s="121">
        <f>SUMIFS('3AugTo9Aug'!$P:$P, '3AugTo9Aug'!$J:$J, $A96)</f>
        <v>0</v>
      </c>
      <c r="BY96" s="123">
        <f t="shared" si="14"/>
        <v>0</v>
      </c>
      <c r="BZ96" s="121">
        <f>SUMIFS('27JulyTo2Aug'!$L:$L, '27JulyTo2Aug'!$J:$J, $A96)</f>
        <v>0</v>
      </c>
      <c r="CA96" s="121">
        <f>SUMIFS('27JulyTo2Aug'!$K:$K, '27JulyTo2Aug'!$J:$J, $A96)</f>
        <v>0</v>
      </c>
      <c r="CB96" s="121">
        <f>SUMIFS('27JulyTo2Aug'!$O:$O, '27JulyTo2Aug'!$J:$J, $A96)</f>
        <v>0</v>
      </c>
      <c r="CC96" s="121">
        <f>SUMIFS('27JulyTo2Aug'!$P:$P, '27JulyTo2Aug'!$J:$J, $A96)</f>
        <v>0</v>
      </c>
      <c r="CD96" s="123">
        <f t="shared" si="15"/>
        <v>0</v>
      </c>
    </row>
    <row r="97" spans="1:82" ht="14.25" customHeight="1" x14ac:dyDescent="0.3">
      <c r="A97" s="124" t="s">
        <v>523</v>
      </c>
      <c r="B97" s="120" t="str">
        <f t="shared" si="17"/>
        <v>NO TRAFFIC</v>
      </c>
      <c r="C97" s="121">
        <f>SUMIFS('9NovTo15Nov'!$L:$L, '9NovTo15Nov'!$J:$J, $A97)</f>
        <v>0</v>
      </c>
      <c r="D97" s="121">
        <f>SUMIFS('9NovTo15Nov'!$K:$K, '9NovTo15Nov'!$J:$J, $A97)</f>
        <v>0</v>
      </c>
      <c r="E97" s="121">
        <f>SUMIFS('9NovTo15Nov'!$O:$O, '9NovTo15Nov'!$J:$J, $A97)</f>
        <v>0</v>
      </c>
      <c r="F97" s="121">
        <f>SUMIFS('9NovTo15Nov'!$P:$P, '9NovTo15Nov'!$J:$J, $A97)</f>
        <v>0</v>
      </c>
      <c r="G97" s="122">
        <f t="shared" si="0"/>
        <v>0</v>
      </c>
      <c r="H97" s="121">
        <f>SUMIFS('2NovTo8Nov'!$L:$L, '2NovTo8Nov'!$J:$J, $A97)</f>
        <v>0</v>
      </c>
      <c r="I97" s="121">
        <f>SUMIFS('2NovTo8Nov'!$K:$K, '2NovTo8Nov'!$J:$J, $A97)</f>
        <v>0</v>
      </c>
      <c r="J97" s="121">
        <f>SUMIFS('2NovTo8Nov'!$O:$O, '2NovTo8Nov'!$J:$J, $A97)</f>
        <v>0</v>
      </c>
      <c r="K97" s="121">
        <f>SUMIFS('2NovTo8Nov'!$P:$P, '2NovTo8Nov'!$J:$J, $A97)</f>
        <v>0</v>
      </c>
      <c r="L97" s="122">
        <f t="shared" si="1"/>
        <v>0</v>
      </c>
      <c r="M97" s="121">
        <f>SUMIFS('26OctTo1Nov'!$L:$L, '26OctTo1Nov'!$J:$J, $A97)</f>
        <v>0</v>
      </c>
      <c r="N97" s="121">
        <f>SUMIFS('26OctTo1Nov'!$K:$K, '26OctTo1Nov'!$J:$J, $A97)</f>
        <v>0</v>
      </c>
      <c r="O97" s="121">
        <f>SUMIFS('26OctTo1Nov'!$O:$O, '26OctTo1Nov'!$J:$J, $A97)</f>
        <v>0</v>
      </c>
      <c r="P97" s="121">
        <f>SUMIFS('26OctTo1Nov'!$P:$P, '26OctTo1Nov'!$J:$J, $A97)</f>
        <v>0</v>
      </c>
      <c r="Q97" s="122">
        <f t="shared" si="2"/>
        <v>0</v>
      </c>
      <c r="R97" s="121">
        <f>SUMIFS('19OctTo25Oct'!$L:$L, '19OctTo25Oct'!$J:$J, $A97)</f>
        <v>0</v>
      </c>
      <c r="S97" s="121">
        <f>SUMIFS('19OctTo25Oct'!$K:$K, '19OctTo25Oct'!$J:$J, $A97)</f>
        <v>0</v>
      </c>
      <c r="T97" s="121">
        <f>SUMIFS('19OctTo25Oct'!$O:$O, '19OctTo25Oct'!$J:$J, $A97)</f>
        <v>0</v>
      </c>
      <c r="U97" s="121">
        <f>SUMIFS('19OctTo25Oct'!$P:$P, '19OctTo25Oct'!$J:$J, $A97)</f>
        <v>0</v>
      </c>
      <c r="V97" s="122">
        <f t="shared" si="3"/>
        <v>0</v>
      </c>
      <c r="W97" s="121">
        <f>SUMIFS('12OctTo18Oct'!$L:$L, '12OctTo18Oct'!$J:$J, $A97)</f>
        <v>0</v>
      </c>
      <c r="X97" s="121">
        <f>SUMIFS('12OctTo18Oct'!$K:$K, '12OctTo18Oct'!$J:$J, $A97)</f>
        <v>0</v>
      </c>
      <c r="Y97" s="121">
        <f>SUMIFS('12OctTo18Oct'!$O:$O, '12OctTo18Oct'!$J:$J, $A97)</f>
        <v>0</v>
      </c>
      <c r="Z97" s="121">
        <f>SUMIFS('12OctTo18Oct'!$P:$P, '12OctTo18Oct'!$J:$J, $A97)</f>
        <v>0</v>
      </c>
      <c r="AA97" s="122">
        <f t="shared" si="4"/>
        <v>0</v>
      </c>
      <c r="AB97" s="121">
        <f>SUMIFS('5OctTo11Oct'!$L:$L, '5OctTo11Oct'!$J:$J, $A97)</f>
        <v>0</v>
      </c>
      <c r="AC97" s="121">
        <f>SUMIFS('5OctTo11Oct'!$K:$K, '5OctTo11Oct'!$J:$J, $A97)</f>
        <v>0</v>
      </c>
      <c r="AD97" s="121">
        <f>SUMIFS('5OctTo11Oct'!$O:$O, '5OctTo11Oct'!$J:$J, $A97)</f>
        <v>0</v>
      </c>
      <c r="AE97" s="121">
        <f>SUMIFS('5OctTo11Oct'!$P:$P, '5OctTo11Oct'!$J:$J, $A97)</f>
        <v>0</v>
      </c>
      <c r="AF97" s="123">
        <f t="shared" si="5"/>
        <v>0</v>
      </c>
      <c r="AG97" s="121">
        <f>SUMIFS('28SepTo4Oct'!$L:$L, '28SepTo4Oct'!$J:$J, $A97)</f>
        <v>0</v>
      </c>
      <c r="AH97" s="121">
        <f>SUMIFS('28SepTo4Oct'!$K:$K, '28SepTo4Oct'!$J:$J, $A97)</f>
        <v>0</v>
      </c>
      <c r="AI97" s="121">
        <f>SUMIFS('28SepTo4Oct'!$O:$O, '28SepTo4Oct'!$J:$J, $A97)</f>
        <v>0</v>
      </c>
      <c r="AJ97" s="121">
        <f>SUMIFS('28SepTo4Oct'!$P:$P, '28SepTo4Oct'!$J:$J, $A97)</f>
        <v>0</v>
      </c>
      <c r="AK97" s="123">
        <f t="shared" si="6"/>
        <v>0</v>
      </c>
      <c r="AL97" s="121">
        <f>SUMIFS('21SepTo27Sep'!$L:$L, '21SepTo27Sep'!$J:$J, $A97)</f>
        <v>0</v>
      </c>
      <c r="AM97" s="121">
        <f>SUMIFS('21SepTo27Sep'!$K:$K, '21SepTo27Sep'!$J:$J, $A97)</f>
        <v>0</v>
      </c>
      <c r="AN97" s="121">
        <f>SUMIFS('21SepTo27Sep'!$O:$O, '21SepTo27Sep'!$J:$J, $A97)</f>
        <v>0</v>
      </c>
      <c r="AO97" s="121">
        <f>SUMIFS('21SepTo27Sep'!$P:$P, '21SepTo27Sep'!$J:$J, $A97)</f>
        <v>0</v>
      </c>
      <c r="AP97" s="123">
        <f t="shared" si="7"/>
        <v>0</v>
      </c>
      <c r="AQ97" s="121">
        <f>SUMIFS('14SepTo20Sep'!$L:$L, '14SepTo20Sep'!$J:$J, $A97)</f>
        <v>1</v>
      </c>
      <c r="AR97" s="121">
        <f>SUMIFS('14SepTo20Sep'!$K:$K, '14SepTo20Sep'!$J:$J, $A97)</f>
        <v>1</v>
      </c>
      <c r="AS97" s="121">
        <f>SUMIFS('14SepTo20Sep'!$O:$O, '14SepTo20Sep'!$J:$J, $A97)</f>
        <v>2</v>
      </c>
      <c r="AT97" s="121">
        <f>SUMIFS('14SepTo20Sep'!$P:$P, '14SepTo20Sep'!$J:$J, $A97)</f>
        <v>21.9</v>
      </c>
      <c r="AU97" s="123">
        <f t="shared" si="8"/>
        <v>9.1324200913242013</v>
      </c>
      <c r="AV97" s="121">
        <f>SUMIFS('7SepTo13Sep'!$L:$L, '7SepTo13Sep'!$J:$J, $A97)</f>
        <v>0</v>
      </c>
      <c r="AW97" s="121">
        <f>SUMIFS('7SepTo13Sep'!$K:$K, '7SepTo13Sep'!$J:$J, $A97)</f>
        <v>0</v>
      </c>
      <c r="AX97" s="121">
        <f>SUMIFS('7SepTo13Sep'!$O:$O, '7SepTo13Sep'!$J:$J, $A97)</f>
        <v>0</v>
      </c>
      <c r="AY97" s="121">
        <f>SUMIFS('7SepTo13Sep'!$P:$P, '7SepTo13Sep'!$J:$J, $A97)</f>
        <v>0</v>
      </c>
      <c r="AZ97" s="123">
        <f t="shared" si="9"/>
        <v>0</v>
      </c>
      <c r="BA97" s="121">
        <f>SUMIFS('31AugTo6Sep'!$L:$L, '31AugTo6Sep'!$J:$J, $A97)</f>
        <v>0</v>
      </c>
      <c r="BB97" s="121">
        <f>SUMIFS('31AugTo6Sep'!$K:$K, '31AugTo6Sep'!$J:$J, $A97)</f>
        <v>0</v>
      </c>
      <c r="BC97" s="121">
        <f>SUMIFS('31AugTo6Sep'!$O:$O, '31AugTo6Sep'!$J:$J, $A97)</f>
        <v>0</v>
      </c>
      <c r="BD97" s="121">
        <f>SUMIFS('31AugTo6Sep'!$P:$P, '31AugTo6Sep'!$J:$J, $A97)</f>
        <v>0</v>
      </c>
      <c r="BE97" s="123">
        <f t="shared" si="10"/>
        <v>0</v>
      </c>
      <c r="BF97" s="121">
        <f>SUMIFS('24AugTo29Aug'!$L:$L, '24AugTo29Aug'!$J:$J, $A97)</f>
        <v>0</v>
      </c>
      <c r="BG97" s="121">
        <f>SUMIFS('24AugTo29Aug'!$K:$K, '24AugTo29Aug'!$J:$J, $A97)</f>
        <v>0</v>
      </c>
      <c r="BH97" s="121">
        <f>SUMIFS('24AugTo29Aug'!$O:$O, '24AugTo29Aug'!$J:$J, $A97)</f>
        <v>0</v>
      </c>
      <c r="BI97" s="121">
        <f>SUMIFS('24AugTo29Aug'!$P:$P, '24AugTo29Aug'!$J:$J, $A97)</f>
        <v>0</v>
      </c>
      <c r="BJ97" s="123">
        <f t="shared" si="11"/>
        <v>0</v>
      </c>
      <c r="BK97" s="121">
        <f>SUMIFS('17AugTo21Aug'!$L:$L, '17AugTo21Aug'!$J:$J, $A97)</f>
        <v>0</v>
      </c>
      <c r="BL97" s="121">
        <f>SUMIFS('17AugTo21Aug'!$K:$K, '17AugTo21Aug'!$J:$J, $A97)</f>
        <v>0</v>
      </c>
      <c r="BM97" s="121">
        <f>SUMIFS('17AugTo21Aug'!$O:$O, '17AugTo21Aug'!$J:$J, $A97)</f>
        <v>0</v>
      </c>
      <c r="BN97" s="121">
        <f>SUMIFS('17AugTo21Aug'!$P:$P, '17AugTo21Aug'!$J:$J, $A97)</f>
        <v>0</v>
      </c>
      <c r="BO97" s="123">
        <f t="shared" si="12"/>
        <v>0</v>
      </c>
      <c r="BP97" s="121">
        <f>SUMIFS('10AugTo16Aug'!$L:$L, '10AugTo16Aug'!$J:$J, $A97)</f>
        <v>0</v>
      </c>
      <c r="BQ97" s="121">
        <f>SUMIFS('10AugTo16Aug'!$K:$K, '10AugTo16Aug'!$J:$J, $A97)</f>
        <v>0</v>
      </c>
      <c r="BR97" s="121">
        <f>SUMIFS('10AugTo16Aug'!$O:$O, '10AugTo16Aug'!$J:$J, $A97)</f>
        <v>0</v>
      </c>
      <c r="BS97" s="121">
        <f>SUMIFS('10AugTo16Aug'!$P:$P, '10AugTo16Aug'!$J:$J, $A97)</f>
        <v>0</v>
      </c>
      <c r="BT97" s="123">
        <f t="shared" si="13"/>
        <v>0</v>
      </c>
      <c r="BU97" s="121">
        <f>SUMIFS('3AugTo9Aug'!$L:$L, '3AugTo9Aug'!$J:$J, $A97)</f>
        <v>0</v>
      </c>
      <c r="BV97" s="121">
        <f>SUMIFS('3AugTo9Aug'!$K:$K, '3AugTo9Aug'!$J:$J, $A97)</f>
        <v>0</v>
      </c>
      <c r="BW97" s="121">
        <f>SUMIFS('3AugTo9Aug'!$O:$O, '3AugTo9Aug'!$J:$J, $A97)</f>
        <v>0</v>
      </c>
      <c r="BX97" s="121">
        <f>SUMIFS('3AugTo9Aug'!$P:$P, '3AugTo9Aug'!$J:$J, $A97)</f>
        <v>0</v>
      </c>
      <c r="BY97" s="123">
        <f t="shared" si="14"/>
        <v>0</v>
      </c>
      <c r="BZ97" s="121">
        <f>SUMIFS('27JulyTo2Aug'!$L:$L, '27JulyTo2Aug'!$J:$J, $A97)</f>
        <v>0</v>
      </c>
      <c r="CA97" s="121">
        <f>SUMIFS('27JulyTo2Aug'!$K:$K, '27JulyTo2Aug'!$J:$J, $A97)</f>
        <v>0</v>
      </c>
      <c r="CB97" s="121">
        <f>SUMIFS('27JulyTo2Aug'!$O:$O, '27JulyTo2Aug'!$J:$J, $A97)</f>
        <v>0</v>
      </c>
      <c r="CC97" s="121">
        <f>SUMIFS('27JulyTo2Aug'!$P:$P, '27JulyTo2Aug'!$J:$J, $A97)</f>
        <v>0</v>
      </c>
      <c r="CD97" s="123">
        <f t="shared" si="15"/>
        <v>0</v>
      </c>
    </row>
    <row r="98" spans="1:82" ht="14.25" customHeight="1" x14ac:dyDescent="0.3">
      <c r="A98" s="124" t="s">
        <v>527</v>
      </c>
      <c r="B98" s="120" t="str">
        <f t="shared" si="17"/>
        <v>NO TRAFFIC</v>
      </c>
      <c r="C98" s="121">
        <f>SUMIFS('9NovTo15Nov'!$L:$L, '9NovTo15Nov'!$J:$J, $A98)</f>
        <v>0</v>
      </c>
      <c r="D98" s="121">
        <f>SUMIFS('9NovTo15Nov'!$K:$K, '9NovTo15Nov'!$J:$J, $A98)</f>
        <v>0</v>
      </c>
      <c r="E98" s="121">
        <f>SUMIFS('9NovTo15Nov'!$O:$O, '9NovTo15Nov'!$J:$J, $A98)</f>
        <v>0</v>
      </c>
      <c r="F98" s="121">
        <f>SUMIFS('9NovTo15Nov'!$P:$P, '9NovTo15Nov'!$J:$J, $A98)</f>
        <v>0</v>
      </c>
      <c r="G98" s="122">
        <f t="shared" si="0"/>
        <v>0</v>
      </c>
      <c r="H98" s="121">
        <f>SUMIFS('2NovTo8Nov'!$L:$L, '2NovTo8Nov'!$J:$J, $A98)</f>
        <v>0</v>
      </c>
      <c r="I98" s="121">
        <f>SUMIFS('2NovTo8Nov'!$K:$K, '2NovTo8Nov'!$J:$J, $A98)</f>
        <v>0</v>
      </c>
      <c r="J98" s="121">
        <f>SUMIFS('2NovTo8Nov'!$O:$O, '2NovTo8Nov'!$J:$J, $A98)</f>
        <v>0</v>
      </c>
      <c r="K98" s="121">
        <f>SUMIFS('2NovTo8Nov'!$P:$P, '2NovTo8Nov'!$J:$J, $A98)</f>
        <v>0</v>
      </c>
      <c r="L98" s="122">
        <f t="shared" si="1"/>
        <v>0</v>
      </c>
      <c r="M98" s="121">
        <f>SUMIFS('26OctTo1Nov'!$L:$L, '26OctTo1Nov'!$J:$J, $A98)</f>
        <v>0</v>
      </c>
      <c r="N98" s="121">
        <f>SUMIFS('26OctTo1Nov'!$K:$K, '26OctTo1Nov'!$J:$J, $A98)</f>
        <v>0</v>
      </c>
      <c r="O98" s="121">
        <f>SUMIFS('26OctTo1Nov'!$O:$O, '26OctTo1Nov'!$J:$J, $A98)</f>
        <v>0</v>
      </c>
      <c r="P98" s="121">
        <f>SUMIFS('26OctTo1Nov'!$P:$P, '26OctTo1Nov'!$J:$J, $A98)</f>
        <v>0</v>
      </c>
      <c r="Q98" s="122">
        <f t="shared" si="2"/>
        <v>0</v>
      </c>
      <c r="R98" s="121">
        <f>SUMIFS('19OctTo25Oct'!$L:$L, '19OctTo25Oct'!$J:$J, $A98)</f>
        <v>0</v>
      </c>
      <c r="S98" s="121">
        <f>SUMIFS('19OctTo25Oct'!$K:$K, '19OctTo25Oct'!$J:$J, $A98)</f>
        <v>0</v>
      </c>
      <c r="T98" s="121">
        <f>SUMIFS('19OctTo25Oct'!$O:$O, '19OctTo25Oct'!$J:$J, $A98)</f>
        <v>0</v>
      </c>
      <c r="U98" s="121">
        <f>SUMIFS('19OctTo25Oct'!$P:$P, '19OctTo25Oct'!$J:$J, $A98)</f>
        <v>0</v>
      </c>
      <c r="V98" s="122">
        <f t="shared" si="3"/>
        <v>0</v>
      </c>
      <c r="W98" s="121">
        <f>SUMIFS('12OctTo18Oct'!$L:$L, '12OctTo18Oct'!$J:$J, $A98)</f>
        <v>0</v>
      </c>
      <c r="X98" s="121">
        <f>SUMIFS('12OctTo18Oct'!$K:$K, '12OctTo18Oct'!$J:$J, $A98)</f>
        <v>0</v>
      </c>
      <c r="Y98" s="121">
        <f>SUMIFS('12OctTo18Oct'!$O:$O, '12OctTo18Oct'!$J:$J, $A98)</f>
        <v>0</v>
      </c>
      <c r="Z98" s="121">
        <f>SUMIFS('12OctTo18Oct'!$P:$P, '12OctTo18Oct'!$J:$J, $A98)</f>
        <v>0</v>
      </c>
      <c r="AA98" s="122">
        <f t="shared" si="4"/>
        <v>0</v>
      </c>
      <c r="AB98" s="121">
        <f>SUMIFS('5OctTo11Oct'!$L:$L, '5OctTo11Oct'!$J:$J, $A98)</f>
        <v>0</v>
      </c>
      <c r="AC98" s="121">
        <f>SUMIFS('5OctTo11Oct'!$K:$K, '5OctTo11Oct'!$J:$J, $A98)</f>
        <v>0</v>
      </c>
      <c r="AD98" s="121">
        <f>SUMIFS('5OctTo11Oct'!$O:$O, '5OctTo11Oct'!$J:$J, $A98)</f>
        <v>0</v>
      </c>
      <c r="AE98" s="121">
        <f>SUMIFS('5OctTo11Oct'!$P:$P, '5OctTo11Oct'!$J:$J, $A98)</f>
        <v>0</v>
      </c>
      <c r="AF98" s="123">
        <f t="shared" si="5"/>
        <v>0</v>
      </c>
      <c r="AG98" s="121">
        <f>SUMIFS('28SepTo4Oct'!$L:$L, '28SepTo4Oct'!$J:$J, $A98)</f>
        <v>0</v>
      </c>
      <c r="AH98" s="121">
        <f>SUMIFS('28SepTo4Oct'!$K:$K, '28SepTo4Oct'!$J:$J, $A98)</f>
        <v>0</v>
      </c>
      <c r="AI98" s="121">
        <f>SUMIFS('28SepTo4Oct'!$O:$O, '28SepTo4Oct'!$J:$J, $A98)</f>
        <v>0</v>
      </c>
      <c r="AJ98" s="121">
        <f>SUMIFS('28SepTo4Oct'!$P:$P, '28SepTo4Oct'!$J:$J, $A98)</f>
        <v>0</v>
      </c>
      <c r="AK98" s="123">
        <f t="shared" si="6"/>
        <v>0</v>
      </c>
      <c r="AL98" s="121">
        <f>SUMIFS('21SepTo27Sep'!$L:$L, '21SepTo27Sep'!$J:$J, $A98)</f>
        <v>0</v>
      </c>
      <c r="AM98" s="121">
        <f>SUMIFS('21SepTo27Sep'!$K:$K, '21SepTo27Sep'!$J:$J, $A98)</f>
        <v>0</v>
      </c>
      <c r="AN98" s="121">
        <f>SUMIFS('21SepTo27Sep'!$O:$O, '21SepTo27Sep'!$J:$J, $A98)</f>
        <v>0</v>
      </c>
      <c r="AO98" s="121">
        <f>SUMIFS('21SepTo27Sep'!$P:$P, '21SepTo27Sep'!$J:$J, $A98)</f>
        <v>0</v>
      </c>
      <c r="AP98" s="123">
        <f t="shared" si="7"/>
        <v>0</v>
      </c>
      <c r="AQ98" s="121">
        <f>SUMIFS('14SepTo20Sep'!$L:$L, '14SepTo20Sep'!$J:$J, $A98)</f>
        <v>1</v>
      </c>
      <c r="AR98" s="121">
        <f>SUMIFS('14SepTo20Sep'!$K:$K, '14SepTo20Sep'!$J:$J, $A98)</f>
        <v>1</v>
      </c>
      <c r="AS98" s="121">
        <f>SUMIFS('14SepTo20Sep'!$O:$O, '14SepTo20Sep'!$J:$J, $A98)</f>
        <v>5.68</v>
      </c>
      <c r="AT98" s="121">
        <f>SUMIFS('14SepTo20Sep'!$P:$P, '14SepTo20Sep'!$J:$J, $A98)</f>
        <v>24.94</v>
      </c>
      <c r="AU98" s="123">
        <f t="shared" si="8"/>
        <v>22.774659182036885</v>
      </c>
      <c r="AV98" s="121">
        <f>SUMIFS('7SepTo13Sep'!$L:$L, '7SepTo13Sep'!$J:$J, $A98)</f>
        <v>0</v>
      </c>
      <c r="AW98" s="121">
        <f>SUMIFS('7SepTo13Sep'!$K:$K, '7SepTo13Sep'!$J:$J, $A98)</f>
        <v>0</v>
      </c>
      <c r="AX98" s="121">
        <f>SUMIFS('7SepTo13Sep'!$O:$O, '7SepTo13Sep'!$J:$J, $A98)</f>
        <v>0</v>
      </c>
      <c r="AY98" s="121">
        <f>SUMIFS('7SepTo13Sep'!$P:$P, '7SepTo13Sep'!$J:$J, $A98)</f>
        <v>0</v>
      </c>
      <c r="AZ98" s="123">
        <f t="shared" si="9"/>
        <v>0</v>
      </c>
      <c r="BA98" s="121">
        <f>SUMIFS('31AugTo6Sep'!$L:$L, '31AugTo6Sep'!$J:$J, $A98)</f>
        <v>0</v>
      </c>
      <c r="BB98" s="121">
        <f>SUMIFS('31AugTo6Sep'!$K:$K, '31AugTo6Sep'!$J:$J, $A98)</f>
        <v>0</v>
      </c>
      <c r="BC98" s="121">
        <f>SUMIFS('31AugTo6Sep'!$O:$O, '31AugTo6Sep'!$J:$J, $A98)</f>
        <v>0</v>
      </c>
      <c r="BD98" s="121">
        <f>SUMIFS('31AugTo6Sep'!$P:$P, '31AugTo6Sep'!$J:$J, $A98)</f>
        <v>0</v>
      </c>
      <c r="BE98" s="123">
        <f t="shared" si="10"/>
        <v>0</v>
      </c>
      <c r="BF98" s="121">
        <f>SUMIFS('24AugTo29Aug'!$L:$L, '24AugTo29Aug'!$J:$J, $A98)</f>
        <v>0</v>
      </c>
      <c r="BG98" s="121">
        <f>SUMIFS('24AugTo29Aug'!$K:$K, '24AugTo29Aug'!$J:$J, $A98)</f>
        <v>0</v>
      </c>
      <c r="BH98" s="121">
        <f>SUMIFS('24AugTo29Aug'!$O:$O, '24AugTo29Aug'!$J:$J, $A98)</f>
        <v>0</v>
      </c>
      <c r="BI98" s="121">
        <f>SUMIFS('24AugTo29Aug'!$P:$P, '24AugTo29Aug'!$J:$J, $A98)</f>
        <v>0</v>
      </c>
      <c r="BJ98" s="123">
        <f t="shared" si="11"/>
        <v>0</v>
      </c>
      <c r="BK98" s="121">
        <f>SUMIFS('17AugTo21Aug'!$L:$L, '17AugTo21Aug'!$J:$J, $A98)</f>
        <v>0</v>
      </c>
      <c r="BL98" s="121">
        <f>SUMIFS('17AugTo21Aug'!$K:$K, '17AugTo21Aug'!$J:$J, $A98)</f>
        <v>0</v>
      </c>
      <c r="BM98" s="121">
        <f>SUMIFS('17AugTo21Aug'!$O:$O, '17AugTo21Aug'!$J:$J, $A98)</f>
        <v>0</v>
      </c>
      <c r="BN98" s="121">
        <f>SUMIFS('17AugTo21Aug'!$P:$P, '17AugTo21Aug'!$J:$J, $A98)</f>
        <v>0</v>
      </c>
      <c r="BO98" s="123">
        <f t="shared" si="12"/>
        <v>0</v>
      </c>
      <c r="BP98" s="121">
        <f>SUMIFS('10AugTo16Aug'!$L:$L, '10AugTo16Aug'!$J:$J, $A98)</f>
        <v>0</v>
      </c>
      <c r="BQ98" s="121">
        <f>SUMIFS('10AugTo16Aug'!$K:$K, '10AugTo16Aug'!$J:$J, $A98)</f>
        <v>0</v>
      </c>
      <c r="BR98" s="121">
        <f>SUMIFS('10AugTo16Aug'!$O:$O, '10AugTo16Aug'!$J:$J, $A98)</f>
        <v>0</v>
      </c>
      <c r="BS98" s="121">
        <f>SUMIFS('10AugTo16Aug'!$P:$P, '10AugTo16Aug'!$J:$J, $A98)</f>
        <v>0</v>
      </c>
      <c r="BT98" s="123">
        <f t="shared" si="13"/>
        <v>0</v>
      </c>
      <c r="BU98" s="121">
        <f>SUMIFS('3AugTo9Aug'!$L:$L, '3AugTo9Aug'!$J:$J, $A98)</f>
        <v>0</v>
      </c>
      <c r="BV98" s="121">
        <f>SUMIFS('3AugTo9Aug'!$K:$K, '3AugTo9Aug'!$J:$J, $A98)</f>
        <v>0</v>
      </c>
      <c r="BW98" s="121">
        <f>SUMIFS('3AugTo9Aug'!$O:$O, '3AugTo9Aug'!$J:$J, $A98)</f>
        <v>0</v>
      </c>
      <c r="BX98" s="121">
        <f>SUMIFS('3AugTo9Aug'!$P:$P, '3AugTo9Aug'!$J:$J, $A98)</f>
        <v>0</v>
      </c>
      <c r="BY98" s="123">
        <f t="shared" si="14"/>
        <v>0</v>
      </c>
      <c r="BZ98" s="121">
        <f>SUMIFS('27JulyTo2Aug'!$L:$L, '27JulyTo2Aug'!$J:$J, $A98)</f>
        <v>0</v>
      </c>
      <c r="CA98" s="121">
        <f>SUMIFS('27JulyTo2Aug'!$K:$K, '27JulyTo2Aug'!$J:$J, $A98)</f>
        <v>0</v>
      </c>
      <c r="CB98" s="121">
        <f>SUMIFS('27JulyTo2Aug'!$O:$O, '27JulyTo2Aug'!$J:$J, $A98)</f>
        <v>0</v>
      </c>
      <c r="CC98" s="121">
        <f>SUMIFS('27JulyTo2Aug'!$P:$P, '27JulyTo2Aug'!$J:$J, $A98)</f>
        <v>0</v>
      </c>
      <c r="CD98" s="123">
        <f t="shared" si="15"/>
        <v>0</v>
      </c>
    </row>
    <row r="99" spans="1:82" ht="14.25" customHeight="1" x14ac:dyDescent="0.3">
      <c r="A99" s="124" t="s">
        <v>528</v>
      </c>
      <c r="B99" s="120" t="str">
        <f t="shared" si="17"/>
        <v>NO TRAFFIC</v>
      </c>
      <c r="C99" s="121">
        <f>SUMIFS('9NovTo15Nov'!$L:$L, '9NovTo15Nov'!$J:$J, $A99)</f>
        <v>0</v>
      </c>
      <c r="D99" s="121">
        <f>SUMIFS('9NovTo15Nov'!$K:$K, '9NovTo15Nov'!$J:$J, $A99)</f>
        <v>0</v>
      </c>
      <c r="E99" s="121">
        <f>SUMIFS('9NovTo15Nov'!$O:$O, '9NovTo15Nov'!$J:$J, $A99)</f>
        <v>0</v>
      </c>
      <c r="F99" s="121">
        <f>SUMIFS('9NovTo15Nov'!$P:$P, '9NovTo15Nov'!$J:$J, $A99)</f>
        <v>0</v>
      </c>
      <c r="G99" s="122">
        <f t="shared" si="0"/>
        <v>0</v>
      </c>
      <c r="H99" s="121">
        <f>SUMIFS('2NovTo8Nov'!$L:$L, '2NovTo8Nov'!$J:$J, $A99)</f>
        <v>0</v>
      </c>
      <c r="I99" s="121">
        <f>SUMIFS('2NovTo8Nov'!$K:$K, '2NovTo8Nov'!$J:$J, $A99)</f>
        <v>0</v>
      </c>
      <c r="J99" s="121">
        <f>SUMIFS('2NovTo8Nov'!$O:$O, '2NovTo8Nov'!$J:$J, $A99)</f>
        <v>0</v>
      </c>
      <c r="K99" s="121">
        <f>SUMIFS('2NovTo8Nov'!$P:$P, '2NovTo8Nov'!$J:$J, $A99)</f>
        <v>0</v>
      </c>
      <c r="L99" s="122">
        <f t="shared" si="1"/>
        <v>0</v>
      </c>
      <c r="M99" s="121">
        <f>SUMIFS('26OctTo1Nov'!$L:$L, '26OctTo1Nov'!$J:$J, $A99)</f>
        <v>0</v>
      </c>
      <c r="N99" s="121">
        <f>SUMIFS('26OctTo1Nov'!$K:$K, '26OctTo1Nov'!$J:$J, $A99)</f>
        <v>0</v>
      </c>
      <c r="O99" s="121">
        <f>SUMIFS('26OctTo1Nov'!$O:$O, '26OctTo1Nov'!$J:$J, $A99)</f>
        <v>0</v>
      </c>
      <c r="P99" s="121">
        <f>SUMIFS('26OctTo1Nov'!$P:$P, '26OctTo1Nov'!$J:$J, $A99)</f>
        <v>0</v>
      </c>
      <c r="Q99" s="122">
        <f t="shared" si="2"/>
        <v>0</v>
      </c>
      <c r="R99" s="121">
        <f>SUMIFS('19OctTo25Oct'!$L:$L, '19OctTo25Oct'!$J:$J, $A99)</f>
        <v>0</v>
      </c>
      <c r="S99" s="121">
        <f>SUMIFS('19OctTo25Oct'!$K:$K, '19OctTo25Oct'!$J:$J, $A99)</f>
        <v>0</v>
      </c>
      <c r="T99" s="121">
        <f>SUMIFS('19OctTo25Oct'!$O:$O, '19OctTo25Oct'!$J:$J, $A99)</f>
        <v>0</v>
      </c>
      <c r="U99" s="121">
        <f>SUMIFS('19OctTo25Oct'!$P:$P, '19OctTo25Oct'!$J:$J, $A99)</f>
        <v>0</v>
      </c>
      <c r="V99" s="122">
        <f t="shared" si="3"/>
        <v>0</v>
      </c>
      <c r="W99" s="121">
        <f>SUMIFS('12OctTo18Oct'!$L:$L, '12OctTo18Oct'!$J:$J, $A99)</f>
        <v>0</v>
      </c>
      <c r="X99" s="121">
        <f>SUMIFS('12OctTo18Oct'!$K:$K, '12OctTo18Oct'!$J:$J, $A99)</f>
        <v>0</v>
      </c>
      <c r="Y99" s="121">
        <f>SUMIFS('12OctTo18Oct'!$O:$O, '12OctTo18Oct'!$J:$J, $A99)</f>
        <v>0</v>
      </c>
      <c r="Z99" s="121">
        <f>SUMIFS('12OctTo18Oct'!$P:$P, '12OctTo18Oct'!$J:$J, $A99)</f>
        <v>0</v>
      </c>
      <c r="AA99" s="122">
        <f t="shared" si="4"/>
        <v>0</v>
      </c>
      <c r="AB99" s="121">
        <f>SUMIFS('5OctTo11Oct'!$L:$L, '5OctTo11Oct'!$J:$J, $A99)</f>
        <v>0</v>
      </c>
      <c r="AC99" s="121">
        <f>SUMIFS('5OctTo11Oct'!$K:$K, '5OctTo11Oct'!$J:$J, $A99)</f>
        <v>0</v>
      </c>
      <c r="AD99" s="121">
        <f>SUMIFS('5OctTo11Oct'!$O:$O, '5OctTo11Oct'!$J:$J, $A99)</f>
        <v>0</v>
      </c>
      <c r="AE99" s="121">
        <f>SUMIFS('5OctTo11Oct'!$P:$P, '5OctTo11Oct'!$J:$J, $A99)</f>
        <v>0</v>
      </c>
      <c r="AF99" s="123">
        <f t="shared" si="5"/>
        <v>0</v>
      </c>
      <c r="AG99" s="121">
        <f>SUMIFS('28SepTo4Oct'!$L:$L, '28SepTo4Oct'!$J:$J, $A99)</f>
        <v>0</v>
      </c>
      <c r="AH99" s="121">
        <f>SUMIFS('28SepTo4Oct'!$K:$K, '28SepTo4Oct'!$J:$J, $A99)</f>
        <v>0</v>
      </c>
      <c r="AI99" s="121">
        <f>SUMIFS('28SepTo4Oct'!$O:$O, '28SepTo4Oct'!$J:$J, $A99)</f>
        <v>0</v>
      </c>
      <c r="AJ99" s="121">
        <f>SUMIFS('28SepTo4Oct'!$P:$P, '28SepTo4Oct'!$J:$J, $A99)</f>
        <v>0</v>
      </c>
      <c r="AK99" s="123">
        <f t="shared" si="6"/>
        <v>0</v>
      </c>
      <c r="AL99" s="121">
        <f>SUMIFS('21SepTo27Sep'!$L:$L, '21SepTo27Sep'!$J:$J, $A99)</f>
        <v>0</v>
      </c>
      <c r="AM99" s="121">
        <f>SUMIFS('21SepTo27Sep'!$K:$K, '21SepTo27Sep'!$J:$J, $A99)</f>
        <v>0</v>
      </c>
      <c r="AN99" s="121">
        <f>SUMIFS('21SepTo27Sep'!$O:$O, '21SepTo27Sep'!$J:$J, $A99)</f>
        <v>0</v>
      </c>
      <c r="AO99" s="121">
        <f>SUMIFS('21SepTo27Sep'!$P:$P, '21SepTo27Sep'!$J:$J, $A99)</f>
        <v>0</v>
      </c>
      <c r="AP99" s="123">
        <f t="shared" si="7"/>
        <v>0</v>
      </c>
      <c r="AQ99" s="121">
        <f>SUMIFS('14SepTo20Sep'!$L:$L, '14SepTo20Sep'!$J:$J, $A99)</f>
        <v>1</v>
      </c>
      <c r="AR99" s="121">
        <f>SUMIFS('14SepTo20Sep'!$K:$K, '14SepTo20Sep'!$J:$J, $A99)</f>
        <v>2</v>
      </c>
      <c r="AS99" s="121">
        <f>SUMIFS('14SepTo20Sep'!$O:$O, '14SepTo20Sep'!$J:$J, $A99)</f>
        <v>2.98</v>
      </c>
      <c r="AT99" s="121">
        <f>SUMIFS('14SepTo20Sep'!$P:$P, '14SepTo20Sep'!$J:$J, $A99)</f>
        <v>24.94</v>
      </c>
      <c r="AU99" s="123">
        <f t="shared" si="8"/>
        <v>11.948676824378508</v>
      </c>
      <c r="AV99" s="121">
        <f>SUMIFS('7SepTo13Sep'!$L:$L, '7SepTo13Sep'!$J:$J, $A99)</f>
        <v>0</v>
      </c>
      <c r="AW99" s="121">
        <f>SUMIFS('7SepTo13Sep'!$K:$K, '7SepTo13Sep'!$J:$J, $A99)</f>
        <v>0</v>
      </c>
      <c r="AX99" s="121">
        <f>SUMIFS('7SepTo13Sep'!$O:$O, '7SepTo13Sep'!$J:$J, $A99)</f>
        <v>0</v>
      </c>
      <c r="AY99" s="121">
        <f>SUMIFS('7SepTo13Sep'!$P:$P, '7SepTo13Sep'!$J:$J, $A99)</f>
        <v>0</v>
      </c>
      <c r="AZ99" s="123">
        <f t="shared" si="9"/>
        <v>0</v>
      </c>
      <c r="BA99" s="121">
        <f>SUMIFS('31AugTo6Sep'!$L:$L, '31AugTo6Sep'!$J:$J, $A99)</f>
        <v>0</v>
      </c>
      <c r="BB99" s="121">
        <f>SUMIFS('31AugTo6Sep'!$K:$K, '31AugTo6Sep'!$J:$J, $A99)</f>
        <v>0</v>
      </c>
      <c r="BC99" s="121">
        <f>SUMIFS('31AugTo6Sep'!$O:$O, '31AugTo6Sep'!$J:$J, $A99)</f>
        <v>0</v>
      </c>
      <c r="BD99" s="121">
        <f>SUMIFS('31AugTo6Sep'!$P:$P, '31AugTo6Sep'!$J:$J, $A99)</f>
        <v>0</v>
      </c>
      <c r="BE99" s="123">
        <f t="shared" si="10"/>
        <v>0</v>
      </c>
      <c r="BF99" s="121">
        <f>SUMIFS('24AugTo29Aug'!$L:$L, '24AugTo29Aug'!$J:$J, $A99)</f>
        <v>0</v>
      </c>
      <c r="BG99" s="121">
        <f>SUMIFS('24AugTo29Aug'!$K:$K, '24AugTo29Aug'!$J:$J, $A99)</f>
        <v>0</v>
      </c>
      <c r="BH99" s="121">
        <f>SUMIFS('24AugTo29Aug'!$O:$O, '24AugTo29Aug'!$J:$J, $A99)</f>
        <v>0</v>
      </c>
      <c r="BI99" s="121">
        <f>SUMIFS('24AugTo29Aug'!$P:$P, '24AugTo29Aug'!$J:$J, $A99)</f>
        <v>0</v>
      </c>
      <c r="BJ99" s="123">
        <f t="shared" si="11"/>
        <v>0</v>
      </c>
      <c r="BK99" s="121">
        <f>SUMIFS('17AugTo21Aug'!$L:$L, '17AugTo21Aug'!$J:$J, $A99)</f>
        <v>0</v>
      </c>
      <c r="BL99" s="121">
        <f>SUMIFS('17AugTo21Aug'!$K:$K, '17AugTo21Aug'!$J:$J, $A99)</f>
        <v>0</v>
      </c>
      <c r="BM99" s="121">
        <f>SUMIFS('17AugTo21Aug'!$O:$O, '17AugTo21Aug'!$J:$J, $A99)</f>
        <v>0</v>
      </c>
      <c r="BN99" s="121">
        <f>SUMIFS('17AugTo21Aug'!$P:$P, '17AugTo21Aug'!$J:$J, $A99)</f>
        <v>0</v>
      </c>
      <c r="BO99" s="123">
        <f t="shared" si="12"/>
        <v>0</v>
      </c>
      <c r="BP99" s="121">
        <f>SUMIFS('10AugTo16Aug'!$L:$L, '10AugTo16Aug'!$J:$J, $A99)</f>
        <v>0</v>
      </c>
      <c r="BQ99" s="121">
        <f>SUMIFS('10AugTo16Aug'!$K:$K, '10AugTo16Aug'!$J:$J, $A99)</f>
        <v>0</v>
      </c>
      <c r="BR99" s="121">
        <f>SUMIFS('10AugTo16Aug'!$O:$O, '10AugTo16Aug'!$J:$J, $A99)</f>
        <v>0</v>
      </c>
      <c r="BS99" s="121">
        <f>SUMIFS('10AugTo16Aug'!$P:$P, '10AugTo16Aug'!$J:$J, $A99)</f>
        <v>0</v>
      </c>
      <c r="BT99" s="123">
        <f t="shared" si="13"/>
        <v>0</v>
      </c>
      <c r="BU99" s="121">
        <f>SUMIFS('3AugTo9Aug'!$L:$L, '3AugTo9Aug'!$J:$J, $A99)</f>
        <v>0</v>
      </c>
      <c r="BV99" s="121">
        <f>SUMIFS('3AugTo9Aug'!$K:$K, '3AugTo9Aug'!$J:$J, $A99)</f>
        <v>0</v>
      </c>
      <c r="BW99" s="121">
        <f>SUMIFS('3AugTo9Aug'!$O:$O, '3AugTo9Aug'!$J:$J, $A99)</f>
        <v>0</v>
      </c>
      <c r="BX99" s="121">
        <f>SUMIFS('3AugTo9Aug'!$P:$P, '3AugTo9Aug'!$J:$J, $A99)</f>
        <v>0</v>
      </c>
      <c r="BY99" s="123">
        <f t="shared" si="14"/>
        <v>0</v>
      </c>
      <c r="BZ99" s="121">
        <f>SUMIFS('27JulyTo2Aug'!$L:$L, '27JulyTo2Aug'!$J:$J, $A99)</f>
        <v>0</v>
      </c>
      <c r="CA99" s="121">
        <f>SUMIFS('27JulyTo2Aug'!$K:$K, '27JulyTo2Aug'!$J:$J, $A99)</f>
        <v>0</v>
      </c>
      <c r="CB99" s="121">
        <f>SUMIFS('27JulyTo2Aug'!$O:$O, '27JulyTo2Aug'!$J:$J, $A99)</f>
        <v>0</v>
      </c>
      <c r="CC99" s="121">
        <f>SUMIFS('27JulyTo2Aug'!$P:$P, '27JulyTo2Aug'!$J:$J, $A99)</f>
        <v>0</v>
      </c>
      <c r="CD99" s="123">
        <f t="shared" si="15"/>
        <v>0</v>
      </c>
    </row>
    <row r="100" spans="1:82" ht="14.25" customHeight="1" x14ac:dyDescent="0.3">
      <c r="A100" s="124" t="s">
        <v>532</v>
      </c>
      <c r="B100" s="120" t="str">
        <f t="shared" si="17"/>
        <v>NO TRAFFIC</v>
      </c>
      <c r="C100" s="121">
        <f>SUMIFS('9NovTo15Nov'!$L:$L, '9NovTo15Nov'!$J:$J, $A100)</f>
        <v>0</v>
      </c>
      <c r="D100" s="121">
        <f>SUMIFS('9NovTo15Nov'!$K:$K, '9NovTo15Nov'!$J:$J, $A100)</f>
        <v>0</v>
      </c>
      <c r="E100" s="121">
        <f>SUMIFS('9NovTo15Nov'!$O:$O, '9NovTo15Nov'!$J:$J, $A100)</f>
        <v>0</v>
      </c>
      <c r="F100" s="121">
        <f>SUMIFS('9NovTo15Nov'!$P:$P, '9NovTo15Nov'!$J:$J, $A100)</f>
        <v>0</v>
      </c>
      <c r="G100" s="122">
        <f t="shared" si="0"/>
        <v>0</v>
      </c>
      <c r="H100" s="121">
        <f>SUMIFS('2NovTo8Nov'!$L:$L, '2NovTo8Nov'!$J:$J, $A100)</f>
        <v>0</v>
      </c>
      <c r="I100" s="121">
        <f>SUMIFS('2NovTo8Nov'!$K:$K, '2NovTo8Nov'!$J:$J, $A100)</f>
        <v>0</v>
      </c>
      <c r="J100" s="121">
        <f>SUMIFS('2NovTo8Nov'!$O:$O, '2NovTo8Nov'!$J:$J, $A100)</f>
        <v>0</v>
      </c>
      <c r="K100" s="121">
        <f>SUMIFS('2NovTo8Nov'!$P:$P, '2NovTo8Nov'!$J:$J, $A100)</f>
        <v>0</v>
      </c>
      <c r="L100" s="122">
        <f t="shared" si="1"/>
        <v>0</v>
      </c>
      <c r="M100" s="121">
        <f>SUMIFS('26OctTo1Nov'!$L:$L, '26OctTo1Nov'!$J:$J, $A100)</f>
        <v>0</v>
      </c>
      <c r="N100" s="121">
        <f>SUMIFS('26OctTo1Nov'!$K:$K, '26OctTo1Nov'!$J:$J, $A100)</f>
        <v>0</v>
      </c>
      <c r="O100" s="121">
        <f>SUMIFS('26OctTo1Nov'!$O:$O, '26OctTo1Nov'!$J:$J, $A100)</f>
        <v>0</v>
      </c>
      <c r="P100" s="121">
        <f>SUMIFS('26OctTo1Nov'!$P:$P, '26OctTo1Nov'!$J:$J, $A100)</f>
        <v>0</v>
      </c>
      <c r="Q100" s="122">
        <f t="shared" si="2"/>
        <v>0</v>
      </c>
      <c r="R100" s="121">
        <f>SUMIFS('19OctTo25Oct'!$L:$L, '19OctTo25Oct'!$J:$J, $A100)</f>
        <v>0</v>
      </c>
      <c r="S100" s="121">
        <f>SUMIFS('19OctTo25Oct'!$K:$K, '19OctTo25Oct'!$J:$J, $A100)</f>
        <v>0</v>
      </c>
      <c r="T100" s="121">
        <f>SUMIFS('19OctTo25Oct'!$O:$O, '19OctTo25Oct'!$J:$J, $A100)</f>
        <v>0</v>
      </c>
      <c r="U100" s="121">
        <f>SUMIFS('19OctTo25Oct'!$P:$P, '19OctTo25Oct'!$J:$J, $A100)</f>
        <v>0</v>
      </c>
      <c r="V100" s="122">
        <f t="shared" si="3"/>
        <v>0</v>
      </c>
      <c r="W100" s="121">
        <f>SUMIFS('12OctTo18Oct'!$L:$L, '12OctTo18Oct'!$J:$J, $A100)</f>
        <v>0</v>
      </c>
      <c r="X100" s="121">
        <f>SUMIFS('12OctTo18Oct'!$K:$K, '12OctTo18Oct'!$J:$J, $A100)</f>
        <v>0</v>
      </c>
      <c r="Y100" s="121">
        <f>SUMIFS('12OctTo18Oct'!$O:$O, '12OctTo18Oct'!$J:$J, $A100)</f>
        <v>0</v>
      </c>
      <c r="Z100" s="121">
        <f>SUMIFS('12OctTo18Oct'!$P:$P, '12OctTo18Oct'!$J:$J, $A100)</f>
        <v>0</v>
      </c>
      <c r="AA100" s="122">
        <f t="shared" si="4"/>
        <v>0</v>
      </c>
      <c r="AB100" s="121">
        <f>SUMIFS('5OctTo11Oct'!$L:$L, '5OctTo11Oct'!$J:$J, $A100)</f>
        <v>0</v>
      </c>
      <c r="AC100" s="121">
        <f>SUMIFS('5OctTo11Oct'!$K:$K, '5OctTo11Oct'!$J:$J, $A100)</f>
        <v>0</v>
      </c>
      <c r="AD100" s="121">
        <f>SUMIFS('5OctTo11Oct'!$O:$O, '5OctTo11Oct'!$J:$J, $A100)</f>
        <v>0</v>
      </c>
      <c r="AE100" s="121">
        <f>SUMIFS('5OctTo11Oct'!$P:$P, '5OctTo11Oct'!$J:$J, $A100)</f>
        <v>0</v>
      </c>
      <c r="AF100" s="123">
        <f t="shared" si="5"/>
        <v>0</v>
      </c>
      <c r="AG100" s="121">
        <f>SUMIFS('28SepTo4Oct'!$L:$L, '28SepTo4Oct'!$J:$J, $A100)</f>
        <v>0</v>
      </c>
      <c r="AH100" s="121">
        <f>SUMIFS('28SepTo4Oct'!$K:$K, '28SepTo4Oct'!$J:$J, $A100)</f>
        <v>0</v>
      </c>
      <c r="AI100" s="121">
        <f>SUMIFS('28SepTo4Oct'!$O:$O, '28SepTo4Oct'!$J:$J, $A100)</f>
        <v>0</v>
      </c>
      <c r="AJ100" s="121">
        <f>SUMIFS('28SepTo4Oct'!$P:$P, '28SepTo4Oct'!$J:$J, $A100)</f>
        <v>0</v>
      </c>
      <c r="AK100" s="123">
        <f t="shared" si="6"/>
        <v>0</v>
      </c>
      <c r="AL100" s="121">
        <f>SUMIFS('21SepTo27Sep'!$L:$L, '21SepTo27Sep'!$J:$J, $A100)</f>
        <v>0</v>
      </c>
      <c r="AM100" s="121">
        <f>SUMIFS('21SepTo27Sep'!$K:$K, '21SepTo27Sep'!$J:$J, $A100)</f>
        <v>0</v>
      </c>
      <c r="AN100" s="121">
        <f>SUMIFS('21SepTo27Sep'!$O:$O, '21SepTo27Sep'!$J:$J, $A100)</f>
        <v>0</v>
      </c>
      <c r="AO100" s="121">
        <f>SUMIFS('21SepTo27Sep'!$P:$P, '21SepTo27Sep'!$J:$J, $A100)</f>
        <v>0</v>
      </c>
      <c r="AP100" s="123">
        <f t="shared" si="7"/>
        <v>0</v>
      </c>
      <c r="AQ100" s="121">
        <f>SUMIFS('14SepTo20Sep'!$L:$L, '14SepTo20Sep'!$J:$J, $A100)</f>
        <v>1</v>
      </c>
      <c r="AR100" s="121">
        <f>SUMIFS('14SepTo20Sep'!$K:$K, '14SepTo20Sep'!$J:$J, $A100)</f>
        <v>1</v>
      </c>
      <c r="AS100" s="121">
        <f>SUMIFS('14SepTo20Sep'!$O:$O, '14SepTo20Sep'!$J:$J, $A100)</f>
        <v>3.16</v>
      </c>
      <c r="AT100" s="121">
        <f>SUMIFS('14SepTo20Sep'!$P:$P, '14SepTo20Sep'!$J:$J, $A100)</f>
        <v>24.94</v>
      </c>
      <c r="AU100" s="123">
        <f t="shared" si="8"/>
        <v>12.670408981555733</v>
      </c>
      <c r="AV100" s="121">
        <f>SUMIFS('7SepTo13Sep'!$L:$L, '7SepTo13Sep'!$J:$J, $A100)</f>
        <v>0</v>
      </c>
      <c r="AW100" s="121">
        <f>SUMIFS('7SepTo13Sep'!$K:$K, '7SepTo13Sep'!$J:$J, $A100)</f>
        <v>0</v>
      </c>
      <c r="AX100" s="121">
        <f>SUMIFS('7SepTo13Sep'!$O:$O, '7SepTo13Sep'!$J:$J, $A100)</f>
        <v>0</v>
      </c>
      <c r="AY100" s="121">
        <f>SUMIFS('7SepTo13Sep'!$P:$P, '7SepTo13Sep'!$J:$J, $A100)</f>
        <v>0</v>
      </c>
      <c r="AZ100" s="123">
        <f t="shared" si="9"/>
        <v>0</v>
      </c>
      <c r="BA100" s="121">
        <f>SUMIFS('31AugTo6Sep'!$L:$L, '31AugTo6Sep'!$J:$J, $A100)</f>
        <v>0</v>
      </c>
      <c r="BB100" s="121">
        <f>SUMIFS('31AugTo6Sep'!$K:$K, '31AugTo6Sep'!$J:$J, $A100)</f>
        <v>0</v>
      </c>
      <c r="BC100" s="121">
        <f>SUMIFS('31AugTo6Sep'!$O:$O, '31AugTo6Sep'!$J:$J, $A100)</f>
        <v>0</v>
      </c>
      <c r="BD100" s="121">
        <f>SUMIFS('31AugTo6Sep'!$P:$P, '31AugTo6Sep'!$J:$J, $A100)</f>
        <v>0</v>
      </c>
      <c r="BE100" s="123">
        <f t="shared" si="10"/>
        <v>0</v>
      </c>
      <c r="BF100" s="121">
        <f>SUMIFS('24AugTo29Aug'!$L:$L, '24AugTo29Aug'!$J:$J, $A100)</f>
        <v>0</v>
      </c>
      <c r="BG100" s="121">
        <f>SUMIFS('24AugTo29Aug'!$K:$K, '24AugTo29Aug'!$J:$J, $A100)</f>
        <v>0</v>
      </c>
      <c r="BH100" s="121">
        <f>SUMIFS('24AugTo29Aug'!$O:$O, '24AugTo29Aug'!$J:$J, $A100)</f>
        <v>0</v>
      </c>
      <c r="BI100" s="121">
        <f>SUMIFS('24AugTo29Aug'!$P:$P, '24AugTo29Aug'!$J:$J, $A100)</f>
        <v>0</v>
      </c>
      <c r="BJ100" s="123">
        <f t="shared" si="11"/>
        <v>0</v>
      </c>
      <c r="BK100" s="121">
        <f>SUMIFS('17AugTo21Aug'!$L:$L, '17AugTo21Aug'!$J:$J, $A100)</f>
        <v>0</v>
      </c>
      <c r="BL100" s="121">
        <f>SUMIFS('17AugTo21Aug'!$K:$K, '17AugTo21Aug'!$J:$J, $A100)</f>
        <v>0</v>
      </c>
      <c r="BM100" s="121">
        <f>SUMIFS('17AugTo21Aug'!$O:$O, '17AugTo21Aug'!$J:$J, $A100)</f>
        <v>0</v>
      </c>
      <c r="BN100" s="121">
        <f>SUMIFS('17AugTo21Aug'!$P:$P, '17AugTo21Aug'!$J:$J, $A100)</f>
        <v>0</v>
      </c>
      <c r="BO100" s="123">
        <f t="shared" si="12"/>
        <v>0</v>
      </c>
      <c r="BP100" s="121">
        <f>SUMIFS('10AugTo16Aug'!$L:$L, '10AugTo16Aug'!$J:$J, $A100)</f>
        <v>0</v>
      </c>
      <c r="BQ100" s="121">
        <f>SUMIFS('10AugTo16Aug'!$K:$K, '10AugTo16Aug'!$J:$J, $A100)</f>
        <v>0</v>
      </c>
      <c r="BR100" s="121">
        <f>SUMIFS('10AugTo16Aug'!$O:$O, '10AugTo16Aug'!$J:$J, $A100)</f>
        <v>0</v>
      </c>
      <c r="BS100" s="121">
        <f>SUMIFS('10AugTo16Aug'!$P:$P, '10AugTo16Aug'!$J:$J, $A100)</f>
        <v>0</v>
      </c>
      <c r="BT100" s="123">
        <f t="shared" si="13"/>
        <v>0</v>
      </c>
      <c r="BU100" s="121">
        <f>SUMIFS('3AugTo9Aug'!$L:$L, '3AugTo9Aug'!$J:$J, $A100)</f>
        <v>0</v>
      </c>
      <c r="BV100" s="121">
        <f>SUMIFS('3AugTo9Aug'!$K:$K, '3AugTo9Aug'!$J:$J, $A100)</f>
        <v>0</v>
      </c>
      <c r="BW100" s="121">
        <f>SUMIFS('3AugTo9Aug'!$O:$O, '3AugTo9Aug'!$J:$J, $A100)</f>
        <v>0</v>
      </c>
      <c r="BX100" s="121">
        <f>SUMIFS('3AugTo9Aug'!$P:$P, '3AugTo9Aug'!$J:$J, $A100)</f>
        <v>0</v>
      </c>
      <c r="BY100" s="123">
        <f t="shared" si="14"/>
        <v>0</v>
      </c>
      <c r="BZ100" s="121">
        <f>SUMIFS('27JulyTo2Aug'!$L:$L, '27JulyTo2Aug'!$J:$J, $A100)</f>
        <v>0</v>
      </c>
      <c r="CA100" s="121">
        <f>SUMIFS('27JulyTo2Aug'!$K:$K, '27JulyTo2Aug'!$J:$J, $A100)</f>
        <v>0</v>
      </c>
      <c r="CB100" s="121">
        <f>SUMIFS('27JulyTo2Aug'!$O:$O, '27JulyTo2Aug'!$J:$J, $A100)</f>
        <v>0</v>
      </c>
      <c r="CC100" s="121">
        <f>SUMIFS('27JulyTo2Aug'!$P:$P, '27JulyTo2Aug'!$J:$J, $A100)</f>
        <v>0</v>
      </c>
      <c r="CD100" s="123">
        <f t="shared" si="15"/>
        <v>0</v>
      </c>
    </row>
    <row r="101" spans="1:82" ht="14.25" customHeight="1" x14ac:dyDescent="0.3">
      <c r="A101" s="130" t="s">
        <v>533</v>
      </c>
      <c r="B101" s="120" t="str">
        <f t="shared" si="17"/>
        <v>NO TRAFFIC</v>
      </c>
      <c r="C101" s="121">
        <f>SUMIFS('9NovTo15Nov'!$L:$L, '9NovTo15Nov'!$J:$J, $A101)</f>
        <v>0</v>
      </c>
      <c r="D101" s="121">
        <f>SUMIFS('9NovTo15Nov'!$K:$K, '9NovTo15Nov'!$J:$J, $A101)</f>
        <v>0</v>
      </c>
      <c r="E101" s="121">
        <f>SUMIFS('9NovTo15Nov'!$O:$O, '9NovTo15Nov'!$J:$J, $A101)</f>
        <v>0</v>
      </c>
      <c r="F101" s="121">
        <f>SUMIFS('9NovTo15Nov'!$P:$P, '9NovTo15Nov'!$J:$J, $A101)</f>
        <v>0</v>
      </c>
      <c r="G101" s="122">
        <f t="shared" si="0"/>
        <v>0</v>
      </c>
      <c r="H101" s="121">
        <f>SUMIFS('2NovTo8Nov'!$L:$L, '2NovTo8Nov'!$J:$J, $A101)</f>
        <v>0</v>
      </c>
      <c r="I101" s="121">
        <f>SUMIFS('2NovTo8Nov'!$K:$K, '2NovTo8Nov'!$J:$J, $A101)</f>
        <v>0</v>
      </c>
      <c r="J101" s="121">
        <f>SUMIFS('2NovTo8Nov'!$O:$O, '2NovTo8Nov'!$J:$J, $A101)</f>
        <v>0</v>
      </c>
      <c r="K101" s="121">
        <f>SUMIFS('2NovTo8Nov'!$P:$P, '2NovTo8Nov'!$J:$J, $A101)</f>
        <v>0</v>
      </c>
      <c r="L101" s="122">
        <f t="shared" si="1"/>
        <v>0</v>
      </c>
      <c r="M101" s="121">
        <f>SUMIFS('26OctTo1Nov'!$L:$L, '26OctTo1Nov'!$J:$J, $A101)</f>
        <v>0</v>
      </c>
      <c r="N101" s="121">
        <f>SUMIFS('26OctTo1Nov'!$K:$K, '26OctTo1Nov'!$J:$J, $A101)</f>
        <v>0</v>
      </c>
      <c r="O101" s="121">
        <f>SUMIFS('26OctTo1Nov'!$O:$O, '26OctTo1Nov'!$J:$J, $A101)</f>
        <v>0</v>
      </c>
      <c r="P101" s="121">
        <f>SUMIFS('26OctTo1Nov'!$P:$P, '26OctTo1Nov'!$J:$J, $A101)</f>
        <v>0</v>
      </c>
      <c r="Q101" s="122">
        <f t="shared" si="2"/>
        <v>0</v>
      </c>
      <c r="R101" s="121">
        <f>SUMIFS('19OctTo25Oct'!$L:$L, '19OctTo25Oct'!$J:$J, $A101)</f>
        <v>0</v>
      </c>
      <c r="S101" s="121">
        <f>SUMIFS('19OctTo25Oct'!$K:$K, '19OctTo25Oct'!$J:$J, $A101)</f>
        <v>0</v>
      </c>
      <c r="T101" s="121">
        <f>SUMIFS('19OctTo25Oct'!$O:$O, '19OctTo25Oct'!$J:$J, $A101)</f>
        <v>0</v>
      </c>
      <c r="U101" s="121">
        <f>SUMIFS('19OctTo25Oct'!$P:$P, '19OctTo25Oct'!$J:$J, $A101)</f>
        <v>0</v>
      </c>
      <c r="V101" s="122">
        <f t="shared" si="3"/>
        <v>0</v>
      </c>
      <c r="W101" s="121">
        <f>SUMIFS('12OctTo18Oct'!$L:$L, '12OctTo18Oct'!$J:$J, $A101)</f>
        <v>0</v>
      </c>
      <c r="X101" s="121">
        <f>SUMIFS('12OctTo18Oct'!$K:$K, '12OctTo18Oct'!$J:$J, $A101)</f>
        <v>0</v>
      </c>
      <c r="Y101" s="121">
        <f>SUMIFS('12OctTo18Oct'!$O:$O, '12OctTo18Oct'!$J:$J, $A101)</f>
        <v>0</v>
      </c>
      <c r="Z101" s="121">
        <f>SUMIFS('12OctTo18Oct'!$P:$P, '12OctTo18Oct'!$J:$J, $A101)</f>
        <v>0</v>
      </c>
      <c r="AA101" s="122">
        <f t="shared" si="4"/>
        <v>0</v>
      </c>
      <c r="AB101" s="121">
        <f>SUMIFS('5OctTo11Oct'!$L:$L, '5OctTo11Oct'!$J:$J, $A101)</f>
        <v>0</v>
      </c>
      <c r="AC101" s="121">
        <f>SUMIFS('5OctTo11Oct'!$K:$K, '5OctTo11Oct'!$J:$J, $A101)</f>
        <v>0</v>
      </c>
      <c r="AD101" s="121">
        <f>SUMIFS('5OctTo11Oct'!$O:$O, '5OctTo11Oct'!$J:$J, $A101)</f>
        <v>0</v>
      </c>
      <c r="AE101" s="121">
        <f>SUMIFS('5OctTo11Oct'!$P:$P, '5OctTo11Oct'!$J:$J, $A101)</f>
        <v>0</v>
      </c>
      <c r="AF101" s="123">
        <f t="shared" si="5"/>
        <v>0</v>
      </c>
      <c r="AG101" s="129">
        <f>SUMIFS('28SepTo4Oct'!$L:$L, '28SepTo4Oct'!$J:$J, $A101)</f>
        <v>0</v>
      </c>
      <c r="AH101" s="129">
        <f>SUMIFS('28SepTo4Oct'!$K:$K, '28SepTo4Oct'!$J:$J, $A101)</f>
        <v>0</v>
      </c>
      <c r="AI101" s="129">
        <f>SUMIFS('28SepTo4Oct'!$O:$O, '28SepTo4Oct'!$J:$J, $A101)</f>
        <v>0</v>
      </c>
      <c r="AJ101" s="129">
        <f>SUMIFS('28SepTo4Oct'!$P:$P, '28SepTo4Oct'!$J:$J, $A101)</f>
        <v>0</v>
      </c>
      <c r="AK101" s="123">
        <f t="shared" si="6"/>
        <v>0</v>
      </c>
      <c r="AL101" s="129">
        <f>SUMIFS('21SepTo27Sep'!$L:$L, '21SepTo27Sep'!$J:$J, $A101)</f>
        <v>0</v>
      </c>
      <c r="AM101" s="129">
        <f>SUMIFS('21SepTo27Sep'!$K:$K, '21SepTo27Sep'!$J:$J, $A101)</f>
        <v>0</v>
      </c>
      <c r="AN101" s="121">
        <f>SUMIFS('21SepTo27Sep'!$O:$O, '21SepTo27Sep'!$J:$J, $A101)</f>
        <v>0</v>
      </c>
      <c r="AO101" s="129">
        <f>SUMIFS('21SepTo27Sep'!$P:$P, '21SepTo27Sep'!$J:$J, $A101)</f>
        <v>0</v>
      </c>
      <c r="AP101" s="123">
        <f t="shared" si="7"/>
        <v>0</v>
      </c>
      <c r="AQ101" s="129">
        <f>SUMIFS('14SepTo20Sep'!$L:$L, '14SepTo20Sep'!$J:$J, $A101)</f>
        <v>1</v>
      </c>
      <c r="AR101" s="129">
        <f>SUMIFS('14SepTo20Sep'!$K:$K, '14SepTo20Sep'!$J:$J, $A101)</f>
        <v>2</v>
      </c>
      <c r="AS101" s="121">
        <f>SUMIFS('14SepTo20Sep'!$O:$O, '14SepTo20Sep'!$J:$J, $A101)</f>
        <v>3.27</v>
      </c>
      <c r="AT101" s="129">
        <f>SUMIFS('14SepTo20Sep'!$P:$P, '14SepTo20Sep'!$J:$J, $A101)</f>
        <v>24.94</v>
      </c>
      <c r="AU101" s="123">
        <f t="shared" si="8"/>
        <v>13.111467522052928</v>
      </c>
      <c r="AV101" s="129">
        <f>SUMIFS('7SepTo13Sep'!$L:$L, '7SepTo13Sep'!$J:$J, $A101)</f>
        <v>0</v>
      </c>
      <c r="AW101" s="129">
        <f>SUMIFS('7SepTo13Sep'!$K:$K, '7SepTo13Sep'!$J:$J, $A101)</f>
        <v>0</v>
      </c>
      <c r="AX101" s="121">
        <f>SUMIFS('7SepTo13Sep'!$O:$O, '7SepTo13Sep'!$J:$J, $A101)</f>
        <v>0</v>
      </c>
      <c r="AY101" s="129">
        <f>SUMIFS('7SepTo13Sep'!$P:$P, '7SepTo13Sep'!$J:$J, $A101)</f>
        <v>0</v>
      </c>
      <c r="AZ101" s="123">
        <f t="shared" si="9"/>
        <v>0</v>
      </c>
      <c r="BA101" s="129">
        <f>SUMIFS('31AugTo6Sep'!$L:$L, '31AugTo6Sep'!$J:$J, $A101)</f>
        <v>0</v>
      </c>
      <c r="BB101" s="129">
        <f>SUMIFS('31AugTo6Sep'!$K:$K, '31AugTo6Sep'!$J:$J, $A101)</f>
        <v>0</v>
      </c>
      <c r="BC101" s="121">
        <f>SUMIFS('31AugTo6Sep'!$O:$O, '31AugTo6Sep'!$J:$J, $A101)</f>
        <v>0</v>
      </c>
      <c r="BD101" s="129">
        <f>SUMIFS('31AugTo6Sep'!$P:$P, '31AugTo6Sep'!$J:$J, $A101)</f>
        <v>0</v>
      </c>
      <c r="BE101" s="123">
        <f t="shared" si="10"/>
        <v>0</v>
      </c>
      <c r="BF101" s="129">
        <f>SUMIFS('24AugTo29Aug'!$L:$L, '24AugTo29Aug'!$J:$J, $A101)</f>
        <v>0</v>
      </c>
      <c r="BG101" s="129">
        <f>SUMIFS('24AugTo29Aug'!$K:$K, '24AugTo29Aug'!$J:$J, $A101)</f>
        <v>0</v>
      </c>
      <c r="BH101" s="121">
        <f>SUMIFS('24AugTo29Aug'!$O:$O, '24AugTo29Aug'!$J:$J, $A101)</f>
        <v>0</v>
      </c>
      <c r="BI101" s="129">
        <f>SUMIFS('24AugTo29Aug'!$P:$P, '24AugTo29Aug'!$J:$J, $A101)</f>
        <v>0</v>
      </c>
      <c r="BJ101" s="123">
        <f t="shared" si="11"/>
        <v>0</v>
      </c>
      <c r="BK101" s="129">
        <f>SUMIFS('17AugTo21Aug'!$L:$L, '17AugTo21Aug'!$J:$J, $A101)</f>
        <v>0</v>
      </c>
      <c r="BL101" s="129">
        <f>SUMIFS('17AugTo21Aug'!$K:$K, '17AugTo21Aug'!$J:$J, $A101)</f>
        <v>0</v>
      </c>
      <c r="BM101" s="121">
        <f>SUMIFS('17AugTo21Aug'!$O:$O, '17AugTo21Aug'!$J:$J, $A101)</f>
        <v>0</v>
      </c>
      <c r="BN101" s="129">
        <f>SUMIFS('17AugTo21Aug'!$P:$P, '17AugTo21Aug'!$J:$J, $A101)</f>
        <v>0</v>
      </c>
      <c r="BO101" s="123">
        <f t="shared" si="12"/>
        <v>0</v>
      </c>
      <c r="BP101" s="129">
        <f>SUMIFS('10AugTo16Aug'!$L:$L, '10AugTo16Aug'!$J:$J, $A101)</f>
        <v>0</v>
      </c>
      <c r="BQ101" s="129">
        <f>SUMIFS('10AugTo16Aug'!$K:$K, '10AugTo16Aug'!$J:$J, $A101)</f>
        <v>0</v>
      </c>
      <c r="BR101" s="121">
        <f>SUMIFS('10AugTo16Aug'!$O:$O, '10AugTo16Aug'!$J:$J, $A101)</f>
        <v>0</v>
      </c>
      <c r="BS101" s="129">
        <f>SUMIFS('10AugTo16Aug'!$P:$P, '10AugTo16Aug'!$J:$J, $A101)</f>
        <v>0</v>
      </c>
      <c r="BT101" s="123">
        <f t="shared" si="13"/>
        <v>0</v>
      </c>
      <c r="BU101" s="129">
        <f>SUMIFS('3AugTo9Aug'!$L:$L, '3AugTo9Aug'!$J:$J, $A101)</f>
        <v>0</v>
      </c>
      <c r="BV101" s="129">
        <f>SUMIFS('3AugTo9Aug'!$K:$K, '3AugTo9Aug'!$J:$J, $A101)</f>
        <v>0</v>
      </c>
      <c r="BW101" s="121">
        <f>SUMIFS('3AugTo9Aug'!$O:$O, '3AugTo9Aug'!$J:$J, $A101)</f>
        <v>0</v>
      </c>
      <c r="BX101" s="129">
        <f>SUMIFS('3AugTo9Aug'!$P:$P, '3AugTo9Aug'!$J:$J, $A101)</f>
        <v>0</v>
      </c>
      <c r="BY101" s="123">
        <f t="shared" si="14"/>
        <v>0</v>
      </c>
      <c r="BZ101" s="129">
        <f>SUMIFS('27JulyTo2Aug'!$L:$L, '27JulyTo2Aug'!$J:$J, $A101)</f>
        <v>0</v>
      </c>
      <c r="CA101" s="129">
        <f>SUMIFS('27JulyTo2Aug'!$K:$K, '27JulyTo2Aug'!$J:$J, $A101)</f>
        <v>0</v>
      </c>
      <c r="CB101" s="121">
        <f>SUMIFS('27JulyTo2Aug'!$O:$O, '27JulyTo2Aug'!$J:$J, $A101)</f>
        <v>0</v>
      </c>
      <c r="CC101" s="129">
        <f>SUMIFS('27JulyTo2Aug'!$P:$P, '27JulyTo2Aug'!$J:$J, $A101)</f>
        <v>0</v>
      </c>
      <c r="CD101" s="123">
        <f t="shared" si="15"/>
        <v>0</v>
      </c>
    </row>
    <row r="102" spans="1:82" ht="14.25" customHeight="1" x14ac:dyDescent="0.3">
      <c r="A102" s="124" t="s">
        <v>552</v>
      </c>
      <c r="B102" s="120" t="str">
        <f t="shared" si="17"/>
        <v>NO TRAFFIC</v>
      </c>
      <c r="C102" s="121">
        <f>SUMIFS('9NovTo15Nov'!$L:$L, '9NovTo15Nov'!$J:$J, $A102)</f>
        <v>0</v>
      </c>
      <c r="D102" s="121">
        <f>SUMIFS('9NovTo15Nov'!$K:$K, '9NovTo15Nov'!$J:$J, $A102)</f>
        <v>0</v>
      </c>
      <c r="E102" s="121">
        <f>SUMIFS('9NovTo15Nov'!$O:$O, '9NovTo15Nov'!$J:$J, $A102)</f>
        <v>0</v>
      </c>
      <c r="F102" s="121">
        <f>SUMIFS('9NovTo15Nov'!$P:$P, '9NovTo15Nov'!$J:$J, $A102)</f>
        <v>0</v>
      </c>
      <c r="G102" s="122">
        <f t="shared" si="0"/>
        <v>0</v>
      </c>
      <c r="H102" s="121">
        <f>SUMIFS('2NovTo8Nov'!$L:$L, '2NovTo8Nov'!$J:$J, $A102)</f>
        <v>0</v>
      </c>
      <c r="I102" s="121">
        <f>SUMIFS('2NovTo8Nov'!$K:$K, '2NovTo8Nov'!$J:$J, $A102)</f>
        <v>0</v>
      </c>
      <c r="J102" s="121">
        <f>SUMIFS('2NovTo8Nov'!$O:$O, '2NovTo8Nov'!$J:$J, $A102)</f>
        <v>0</v>
      </c>
      <c r="K102" s="121">
        <f>SUMIFS('2NovTo8Nov'!$P:$P, '2NovTo8Nov'!$J:$J, $A102)</f>
        <v>0</v>
      </c>
      <c r="L102" s="122">
        <f t="shared" si="1"/>
        <v>0</v>
      </c>
      <c r="M102" s="121">
        <f>SUMIFS('26OctTo1Nov'!$L:$L, '26OctTo1Nov'!$J:$J, $A102)</f>
        <v>0</v>
      </c>
      <c r="N102" s="121">
        <f>SUMIFS('26OctTo1Nov'!$K:$K, '26OctTo1Nov'!$J:$J, $A102)</f>
        <v>0</v>
      </c>
      <c r="O102" s="121">
        <f>SUMIFS('26OctTo1Nov'!$O:$O, '26OctTo1Nov'!$J:$J, $A102)</f>
        <v>0</v>
      </c>
      <c r="P102" s="121">
        <f>SUMIFS('26OctTo1Nov'!$P:$P, '26OctTo1Nov'!$J:$J, $A102)</f>
        <v>0</v>
      </c>
      <c r="Q102" s="122">
        <f t="shared" si="2"/>
        <v>0</v>
      </c>
      <c r="R102" s="121">
        <f>SUMIFS('19OctTo25Oct'!$L:$L, '19OctTo25Oct'!$J:$J, $A102)</f>
        <v>0</v>
      </c>
      <c r="S102" s="121">
        <f>SUMIFS('19OctTo25Oct'!$K:$K, '19OctTo25Oct'!$J:$J, $A102)</f>
        <v>0</v>
      </c>
      <c r="T102" s="121">
        <f>SUMIFS('19OctTo25Oct'!$O:$O, '19OctTo25Oct'!$J:$J, $A102)</f>
        <v>0</v>
      </c>
      <c r="U102" s="121">
        <f>SUMIFS('19OctTo25Oct'!$P:$P, '19OctTo25Oct'!$J:$J, $A102)</f>
        <v>0</v>
      </c>
      <c r="V102" s="122">
        <f t="shared" si="3"/>
        <v>0</v>
      </c>
      <c r="W102" s="121">
        <f>SUMIFS('12OctTo18Oct'!$L:$L, '12OctTo18Oct'!$J:$J, $A102)</f>
        <v>0</v>
      </c>
      <c r="X102" s="121">
        <f>SUMIFS('12OctTo18Oct'!$K:$K, '12OctTo18Oct'!$J:$J, $A102)</f>
        <v>0</v>
      </c>
      <c r="Y102" s="121">
        <f>SUMIFS('12OctTo18Oct'!$O:$O, '12OctTo18Oct'!$J:$J, $A102)</f>
        <v>0</v>
      </c>
      <c r="Z102" s="121">
        <f>SUMIFS('12OctTo18Oct'!$P:$P, '12OctTo18Oct'!$J:$J, $A102)</f>
        <v>0</v>
      </c>
      <c r="AA102" s="122">
        <f t="shared" si="4"/>
        <v>0</v>
      </c>
      <c r="AB102" s="121">
        <f>SUMIFS('5OctTo11Oct'!$L:$L, '5OctTo11Oct'!$J:$J, $A102)</f>
        <v>0</v>
      </c>
      <c r="AC102" s="121">
        <f>SUMIFS('5OctTo11Oct'!$K:$K, '5OctTo11Oct'!$J:$J, $A102)</f>
        <v>0</v>
      </c>
      <c r="AD102" s="121">
        <f>SUMIFS('5OctTo11Oct'!$O:$O, '5OctTo11Oct'!$J:$J, $A102)</f>
        <v>0</v>
      </c>
      <c r="AE102" s="121">
        <f>SUMIFS('5OctTo11Oct'!$P:$P, '5OctTo11Oct'!$J:$J, $A102)</f>
        <v>0</v>
      </c>
      <c r="AF102" s="123">
        <f t="shared" si="5"/>
        <v>0</v>
      </c>
      <c r="AG102" s="121">
        <f>SUMIFS('28SepTo4Oct'!$L:$L, '28SepTo4Oct'!$J:$J, $A102)</f>
        <v>0</v>
      </c>
      <c r="AH102" s="121">
        <f>SUMIFS('28SepTo4Oct'!$K:$K, '28SepTo4Oct'!$J:$J, $A102)</f>
        <v>0</v>
      </c>
      <c r="AI102" s="121">
        <f>SUMIFS('28SepTo4Oct'!$O:$O, '28SepTo4Oct'!$J:$J, $A102)</f>
        <v>0</v>
      </c>
      <c r="AJ102" s="121">
        <f>SUMIFS('28SepTo4Oct'!$P:$P, '28SepTo4Oct'!$J:$J, $A102)</f>
        <v>0</v>
      </c>
      <c r="AK102" s="123">
        <f t="shared" si="6"/>
        <v>0</v>
      </c>
      <c r="AL102" s="121">
        <f>SUMIFS('21SepTo27Sep'!$L:$L, '21SepTo27Sep'!$J:$J, $A102)</f>
        <v>0</v>
      </c>
      <c r="AM102" s="121">
        <f>SUMIFS('21SepTo27Sep'!$K:$K, '21SepTo27Sep'!$J:$J, $A102)</f>
        <v>0</v>
      </c>
      <c r="AN102" s="121">
        <f>SUMIFS('21SepTo27Sep'!$O:$O, '21SepTo27Sep'!$J:$J, $A102)</f>
        <v>0</v>
      </c>
      <c r="AO102" s="121">
        <f>SUMIFS('21SepTo27Sep'!$P:$P, '21SepTo27Sep'!$J:$J, $A102)</f>
        <v>0</v>
      </c>
      <c r="AP102" s="123">
        <f t="shared" si="7"/>
        <v>0</v>
      </c>
      <c r="AQ102" s="121">
        <f>SUMIFS('14SepTo20Sep'!$L:$L, '14SepTo20Sep'!$J:$J, $A102)</f>
        <v>0</v>
      </c>
      <c r="AR102" s="121">
        <f>SUMIFS('14SepTo20Sep'!$K:$K, '14SepTo20Sep'!$J:$J, $A102)</f>
        <v>0</v>
      </c>
      <c r="AS102" s="121">
        <f>SUMIFS('14SepTo20Sep'!$O:$O, '14SepTo20Sep'!$J:$J, $A102)</f>
        <v>0</v>
      </c>
      <c r="AT102" s="121">
        <f>SUMIFS('14SepTo20Sep'!$P:$P, '14SepTo20Sep'!$J:$J, $A102)</f>
        <v>0</v>
      </c>
      <c r="AU102" s="123">
        <f t="shared" si="8"/>
        <v>0</v>
      </c>
      <c r="AV102" s="121">
        <f>SUMIFS('7SepTo13Sep'!$L:$L, '7SepTo13Sep'!$J:$J, $A102)</f>
        <v>0</v>
      </c>
      <c r="AW102" s="121">
        <f>SUMIFS('7SepTo13Sep'!$K:$K, '7SepTo13Sep'!$J:$J, $A102)</f>
        <v>0</v>
      </c>
      <c r="AX102" s="121">
        <f>SUMIFS('7SepTo13Sep'!$O:$O, '7SepTo13Sep'!$J:$J, $A102)</f>
        <v>0</v>
      </c>
      <c r="AY102" s="121">
        <f>SUMIFS('7SepTo13Sep'!$P:$P, '7SepTo13Sep'!$J:$J, $A102)</f>
        <v>0</v>
      </c>
      <c r="AZ102" s="123">
        <f t="shared" si="9"/>
        <v>0</v>
      </c>
      <c r="BA102" s="121">
        <f>SUMIFS('31AugTo6Sep'!$L:$L, '31AugTo6Sep'!$J:$J, $A102)</f>
        <v>1</v>
      </c>
      <c r="BB102" s="121">
        <f>SUMIFS('31AugTo6Sep'!$K:$K, '31AugTo6Sep'!$J:$J, $A102)</f>
        <v>3</v>
      </c>
      <c r="BC102" s="121">
        <f>SUMIFS('31AugTo6Sep'!$O:$O, '31AugTo6Sep'!$J:$J, $A102)</f>
        <v>4.41</v>
      </c>
      <c r="BD102" s="121">
        <f>SUMIFS('31AugTo6Sep'!$P:$P, '31AugTo6Sep'!$J:$J, $A102)</f>
        <v>24.94</v>
      </c>
      <c r="BE102" s="123">
        <f t="shared" si="10"/>
        <v>17.682437850842021</v>
      </c>
      <c r="BF102" s="121">
        <f>SUMIFS('24AugTo29Aug'!$L:$L, '24AugTo29Aug'!$J:$J, $A102)</f>
        <v>0</v>
      </c>
      <c r="BG102" s="121">
        <f>SUMIFS('24AugTo29Aug'!$K:$K, '24AugTo29Aug'!$J:$J, $A102)</f>
        <v>0</v>
      </c>
      <c r="BH102" s="121">
        <f>SUMIFS('24AugTo29Aug'!$O:$O, '24AugTo29Aug'!$J:$J, $A102)</f>
        <v>0</v>
      </c>
      <c r="BI102" s="121">
        <f>SUMIFS('24AugTo29Aug'!$P:$P, '24AugTo29Aug'!$J:$J, $A102)</f>
        <v>0</v>
      </c>
      <c r="BJ102" s="123">
        <f t="shared" si="11"/>
        <v>0</v>
      </c>
      <c r="BK102" s="121">
        <f>SUMIFS('17AugTo21Aug'!$L:$L, '17AugTo21Aug'!$J:$J, $A102)</f>
        <v>0</v>
      </c>
      <c r="BL102" s="121">
        <f>SUMIFS('17AugTo21Aug'!$K:$K, '17AugTo21Aug'!$J:$J, $A102)</f>
        <v>0</v>
      </c>
      <c r="BM102" s="121">
        <f>SUMIFS('17AugTo21Aug'!$O:$O, '17AugTo21Aug'!$J:$J, $A102)</f>
        <v>0</v>
      </c>
      <c r="BN102" s="121">
        <f>SUMIFS('17AugTo21Aug'!$P:$P, '17AugTo21Aug'!$J:$J, $A102)</f>
        <v>0</v>
      </c>
      <c r="BO102" s="123">
        <f t="shared" si="12"/>
        <v>0</v>
      </c>
      <c r="BP102" s="121">
        <f>SUMIFS('10AugTo16Aug'!$L:$L, '10AugTo16Aug'!$J:$J, $A102)</f>
        <v>0</v>
      </c>
      <c r="BQ102" s="121">
        <f>SUMIFS('10AugTo16Aug'!$K:$K, '10AugTo16Aug'!$J:$J, $A102)</f>
        <v>0</v>
      </c>
      <c r="BR102" s="121">
        <f>SUMIFS('10AugTo16Aug'!$O:$O, '10AugTo16Aug'!$J:$J, $A102)</f>
        <v>0</v>
      </c>
      <c r="BS102" s="121">
        <f>SUMIFS('10AugTo16Aug'!$P:$P, '10AugTo16Aug'!$J:$J, $A102)</f>
        <v>0</v>
      </c>
      <c r="BT102" s="123">
        <f t="shared" si="13"/>
        <v>0</v>
      </c>
      <c r="BU102" s="121">
        <f>SUMIFS('3AugTo9Aug'!$L:$L, '3AugTo9Aug'!$J:$J, $A102)</f>
        <v>0</v>
      </c>
      <c r="BV102" s="121">
        <f>SUMIFS('3AugTo9Aug'!$K:$K, '3AugTo9Aug'!$J:$J, $A102)</f>
        <v>0</v>
      </c>
      <c r="BW102" s="121">
        <f>SUMIFS('3AugTo9Aug'!$O:$O, '3AugTo9Aug'!$J:$J, $A102)</f>
        <v>0</v>
      </c>
      <c r="BX102" s="121">
        <f>SUMIFS('3AugTo9Aug'!$P:$P, '3AugTo9Aug'!$J:$J, $A102)</f>
        <v>0</v>
      </c>
      <c r="BY102" s="123">
        <f t="shared" si="14"/>
        <v>0</v>
      </c>
      <c r="BZ102" s="121">
        <f>SUMIFS('27JulyTo2Aug'!$L:$L, '27JulyTo2Aug'!$J:$J, $A102)</f>
        <v>0</v>
      </c>
      <c r="CA102" s="121">
        <f>SUMIFS('27JulyTo2Aug'!$K:$K, '27JulyTo2Aug'!$J:$J, $A102)</f>
        <v>0</v>
      </c>
      <c r="CB102" s="121">
        <f>SUMIFS('27JulyTo2Aug'!$O:$O, '27JulyTo2Aug'!$J:$J, $A102)</f>
        <v>0</v>
      </c>
      <c r="CC102" s="121">
        <f>SUMIFS('27JulyTo2Aug'!$P:$P, '27JulyTo2Aug'!$J:$J, $A102)</f>
        <v>0</v>
      </c>
      <c r="CD102" s="123">
        <f t="shared" si="15"/>
        <v>0</v>
      </c>
    </row>
    <row r="103" spans="1:82" ht="14.25" customHeight="1" x14ac:dyDescent="0.3">
      <c r="A103" s="124" t="s">
        <v>555</v>
      </c>
      <c r="B103" s="120" t="str">
        <f t="shared" si="17"/>
        <v>NO TRAFFIC</v>
      </c>
      <c r="C103" s="121">
        <f>SUMIFS('9NovTo15Nov'!$L:$L, '9NovTo15Nov'!$J:$J, $A103)</f>
        <v>0</v>
      </c>
      <c r="D103" s="121">
        <f>SUMIFS('9NovTo15Nov'!$K:$K, '9NovTo15Nov'!$J:$J, $A103)</f>
        <v>0</v>
      </c>
      <c r="E103" s="121">
        <f>SUMIFS('9NovTo15Nov'!$O:$O, '9NovTo15Nov'!$J:$J, $A103)</f>
        <v>0</v>
      </c>
      <c r="F103" s="121">
        <f>SUMIFS('9NovTo15Nov'!$P:$P, '9NovTo15Nov'!$J:$J, $A103)</f>
        <v>0</v>
      </c>
      <c r="G103" s="122">
        <f t="shared" si="0"/>
        <v>0</v>
      </c>
      <c r="H103" s="121">
        <f>SUMIFS('2NovTo8Nov'!$L:$L, '2NovTo8Nov'!$J:$J, $A103)</f>
        <v>0</v>
      </c>
      <c r="I103" s="121">
        <f>SUMIFS('2NovTo8Nov'!$K:$K, '2NovTo8Nov'!$J:$J, $A103)</f>
        <v>0</v>
      </c>
      <c r="J103" s="121">
        <f>SUMIFS('2NovTo8Nov'!$O:$O, '2NovTo8Nov'!$J:$J, $A103)</f>
        <v>0</v>
      </c>
      <c r="K103" s="121">
        <f>SUMIFS('2NovTo8Nov'!$P:$P, '2NovTo8Nov'!$J:$J, $A103)</f>
        <v>0</v>
      </c>
      <c r="L103" s="122">
        <f t="shared" si="1"/>
        <v>0</v>
      </c>
      <c r="M103" s="121">
        <f>SUMIFS('26OctTo1Nov'!$L:$L, '26OctTo1Nov'!$J:$J, $A103)</f>
        <v>0</v>
      </c>
      <c r="N103" s="121">
        <f>SUMIFS('26OctTo1Nov'!$K:$K, '26OctTo1Nov'!$J:$J, $A103)</f>
        <v>0</v>
      </c>
      <c r="O103" s="121">
        <f>SUMIFS('26OctTo1Nov'!$O:$O, '26OctTo1Nov'!$J:$J, $A103)</f>
        <v>0</v>
      </c>
      <c r="P103" s="121">
        <f>SUMIFS('26OctTo1Nov'!$P:$P, '26OctTo1Nov'!$J:$J, $A103)</f>
        <v>0</v>
      </c>
      <c r="Q103" s="122">
        <f t="shared" si="2"/>
        <v>0</v>
      </c>
      <c r="R103" s="121">
        <f>SUMIFS('19OctTo25Oct'!$L:$L, '19OctTo25Oct'!$J:$J, $A103)</f>
        <v>0</v>
      </c>
      <c r="S103" s="121">
        <f>SUMIFS('19OctTo25Oct'!$K:$K, '19OctTo25Oct'!$J:$J, $A103)</f>
        <v>0</v>
      </c>
      <c r="T103" s="121">
        <f>SUMIFS('19OctTo25Oct'!$O:$O, '19OctTo25Oct'!$J:$J, $A103)</f>
        <v>0</v>
      </c>
      <c r="U103" s="121">
        <f>SUMIFS('19OctTo25Oct'!$P:$P, '19OctTo25Oct'!$J:$J, $A103)</f>
        <v>0</v>
      </c>
      <c r="V103" s="122">
        <f t="shared" si="3"/>
        <v>0</v>
      </c>
      <c r="W103" s="121">
        <f>SUMIFS('12OctTo18Oct'!$L:$L, '12OctTo18Oct'!$J:$J, $A103)</f>
        <v>0</v>
      </c>
      <c r="X103" s="121">
        <f>SUMIFS('12OctTo18Oct'!$K:$K, '12OctTo18Oct'!$J:$J, $A103)</f>
        <v>0</v>
      </c>
      <c r="Y103" s="121">
        <f>SUMIFS('12OctTo18Oct'!$O:$O, '12OctTo18Oct'!$J:$J, $A103)</f>
        <v>0</v>
      </c>
      <c r="Z103" s="121">
        <f>SUMIFS('12OctTo18Oct'!$P:$P, '12OctTo18Oct'!$J:$J, $A103)</f>
        <v>0</v>
      </c>
      <c r="AA103" s="122">
        <f t="shared" si="4"/>
        <v>0</v>
      </c>
      <c r="AB103" s="121">
        <f>SUMIFS('5OctTo11Oct'!$L:$L, '5OctTo11Oct'!$J:$J, $A103)</f>
        <v>0</v>
      </c>
      <c r="AC103" s="121">
        <f>SUMIFS('5OctTo11Oct'!$K:$K, '5OctTo11Oct'!$J:$J, $A103)</f>
        <v>0</v>
      </c>
      <c r="AD103" s="121">
        <f>SUMIFS('5OctTo11Oct'!$O:$O, '5OctTo11Oct'!$J:$J, $A103)</f>
        <v>0</v>
      </c>
      <c r="AE103" s="121">
        <f>SUMIFS('5OctTo11Oct'!$P:$P, '5OctTo11Oct'!$J:$J, $A103)</f>
        <v>0</v>
      </c>
      <c r="AF103" s="123">
        <f t="shared" si="5"/>
        <v>0</v>
      </c>
      <c r="AG103" s="121">
        <f>SUMIFS('28SepTo4Oct'!$L:$L, '28SepTo4Oct'!$J:$J, $A103)</f>
        <v>0</v>
      </c>
      <c r="AH103" s="121">
        <f>SUMIFS('28SepTo4Oct'!$K:$K, '28SepTo4Oct'!$J:$J, $A103)</f>
        <v>0</v>
      </c>
      <c r="AI103" s="121">
        <f>SUMIFS('28SepTo4Oct'!$O:$O, '28SepTo4Oct'!$J:$J, $A103)</f>
        <v>0</v>
      </c>
      <c r="AJ103" s="121">
        <f>SUMIFS('28SepTo4Oct'!$P:$P, '28SepTo4Oct'!$J:$J, $A103)</f>
        <v>0</v>
      </c>
      <c r="AK103" s="123">
        <f t="shared" si="6"/>
        <v>0</v>
      </c>
      <c r="AL103" s="121">
        <f>SUMIFS('21SepTo27Sep'!$L:$L, '21SepTo27Sep'!$J:$J, $A103)</f>
        <v>0</v>
      </c>
      <c r="AM103" s="121">
        <f>SUMIFS('21SepTo27Sep'!$K:$K, '21SepTo27Sep'!$J:$J, $A103)</f>
        <v>0</v>
      </c>
      <c r="AN103" s="121">
        <f>SUMIFS('21SepTo27Sep'!$O:$O, '21SepTo27Sep'!$J:$J, $A103)</f>
        <v>0</v>
      </c>
      <c r="AO103" s="121">
        <f>SUMIFS('21SepTo27Sep'!$P:$P, '21SepTo27Sep'!$J:$J, $A103)</f>
        <v>0</v>
      </c>
      <c r="AP103" s="123">
        <f t="shared" si="7"/>
        <v>0</v>
      </c>
      <c r="AQ103" s="121">
        <f>SUMIFS('14SepTo20Sep'!$L:$L, '14SepTo20Sep'!$J:$J, $A103)</f>
        <v>0</v>
      </c>
      <c r="AR103" s="121">
        <f>SUMIFS('14SepTo20Sep'!$K:$K, '14SepTo20Sep'!$J:$J, $A103)</f>
        <v>0</v>
      </c>
      <c r="AS103" s="121">
        <f>SUMIFS('14SepTo20Sep'!$O:$O, '14SepTo20Sep'!$J:$J, $A103)</f>
        <v>0</v>
      </c>
      <c r="AT103" s="121">
        <f>SUMIFS('14SepTo20Sep'!$P:$P, '14SepTo20Sep'!$J:$J, $A103)</f>
        <v>0</v>
      </c>
      <c r="AU103" s="123">
        <f t="shared" si="8"/>
        <v>0</v>
      </c>
      <c r="AV103" s="121">
        <f>SUMIFS('7SepTo13Sep'!$L:$L, '7SepTo13Sep'!$J:$J, $A103)</f>
        <v>0</v>
      </c>
      <c r="AW103" s="121">
        <f>SUMIFS('7SepTo13Sep'!$K:$K, '7SepTo13Sep'!$J:$J, $A103)</f>
        <v>0</v>
      </c>
      <c r="AX103" s="121">
        <f>SUMIFS('7SepTo13Sep'!$O:$O, '7SepTo13Sep'!$J:$J, $A103)</f>
        <v>0</v>
      </c>
      <c r="AY103" s="121">
        <f>SUMIFS('7SepTo13Sep'!$P:$P, '7SepTo13Sep'!$J:$J, $A103)</f>
        <v>0</v>
      </c>
      <c r="AZ103" s="123">
        <f t="shared" si="9"/>
        <v>0</v>
      </c>
      <c r="BA103" s="121">
        <f>SUMIFS('31AugTo6Sep'!$L:$L, '31AugTo6Sep'!$J:$J, $A103)</f>
        <v>2</v>
      </c>
      <c r="BB103" s="121">
        <f>SUMIFS('31AugTo6Sep'!$K:$K, '31AugTo6Sep'!$J:$J, $A103)</f>
        <v>3</v>
      </c>
      <c r="BC103" s="121">
        <f>SUMIFS('31AugTo6Sep'!$O:$O, '31AugTo6Sep'!$J:$J, $A103)</f>
        <v>5</v>
      </c>
      <c r="BD103" s="121">
        <f>SUMIFS('31AugTo6Sep'!$P:$P, '31AugTo6Sep'!$J:$J, $A103)</f>
        <v>24.94</v>
      </c>
      <c r="BE103" s="123">
        <f t="shared" si="10"/>
        <v>20.048115477145149</v>
      </c>
      <c r="BF103" s="121">
        <f>SUMIFS('24AugTo29Aug'!$L:$L, '24AugTo29Aug'!$J:$J, $A103)</f>
        <v>0</v>
      </c>
      <c r="BG103" s="121">
        <f>SUMIFS('24AugTo29Aug'!$K:$K, '24AugTo29Aug'!$J:$J, $A103)</f>
        <v>0</v>
      </c>
      <c r="BH103" s="121">
        <f>SUMIFS('24AugTo29Aug'!$O:$O, '24AugTo29Aug'!$J:$J, $A103)</f>
        <v>0</v>
      </c>
      <c r="BI103" s="121">
        <f>SUMIFS('24AugTo29Aug'!$P:$P, '24AugTo29Aug'!$J:$J, $A103)</f>
        <v>0</v>
      </c>
      <c r="BJ103" s="123">
        <f t="shared" si="11"/>
        <v>0</v>
      </c>
      <c r="BK103" s="121">
        <f>SUMIFS('17AugTo21Aug'!$L:$L, '17AugTo21Aug'!$J:$J, $A103)</f>
        <v>0</v>
      </c>
      <c r="BL103" s="121">
        <f>SUMIFS('17AugTo21Aug'!$K:$K, '17AugTo21Aug'!$J:$J, $A103)</f>
        <v>0</v>
      </c>
      <c r="BM103" s="121">
        <f>SUMIFS('17AugTo21Aug'!$O:$O, '17AugTo21Aug'!$J:$J, $A103)</f>
        <v>0</v>
      </c>
      <c r="BN103" s="121">
        <f>SUMIFS('17AugTo21Aug'!$P:$P, '17AugTo21Aug'!$J:$J, $A103)</f>
        <v>0</v>
      </c>
      <c r="BO103" s="123">
        <f t="shared" si="12"/>
        <v>0</v>
      </c>
      <c r="BP103" s="121">
        <f>SUMIFS('10AugTo16Aug'!$L:$L, '10AugTo16Aug'!$J:$J, $A103)</f>
        <v>0</v>
      </c>
      <c r="BQ103" s="121">
        <f>SUMIFS('10AugTo16Aug'!$K:$K, '10AugTo16Aug'!$J:$J, $A103)</f>
        <v>0</v>
      </c>
      <c r="BR103" s="121">
        <f>SUMIFS('10AugTo16Aug'!$O:$O, '10AugTo16Aug'!$J:$J, $A103)</f>
        <v>0</v>
      </c>
      <c r="BS103" s="121">
        <f>SUMIFS('10AugTo16Aug'!$P:$P, '10AugTo16Aug'!$J:$J, $A103)</f>
        <v>0</v>
      </c>
      <c r="BT103" s="123">
        <f t="shared" si="13"/>
        <v>0</v>
      </c>
      <c r="BU103" s="121">
        <f>SUMIFS('3AugTo9Aug'!$L:$L, '3AugTo9Aug'!$J:$J, $A103)</f>
        <v>0</v>
      </c>
      <c r="BV103" s="121">
        <f>SUMIFS('3AugTo9Aug'!$K:$K, '3AugTo9Aug'!$J:$J, $A103)</f>
        <v>0</v>
      </c>
      <c r="BW103" s="121">
        <f>SUMIFS('3AugTo9Aug'!$O:$O, '3AugTo9Aug'!$J:$J, $A103)</f>
        <v>0</v>
      </c>
      <c r="BX103" s="121">
        <f>SUMIFS('3AugTo9Aug'!$P:$P, '3AugTo9Aug'!$J:$J, $A103)</f>
        <v>0</v>
      </c>
      <c r="BY103" s="123">
        <f t="shared" si="14"/>
        <v>0</v>
      </c>
      <c r="BZ103" s="121">
        <f>SUMIFS('27JulyTo2Aug'!$L:$L, '27JulyTo2Aug'!$J:$J, $A103)</f>
        <v>0</v>
      </c>
      <c r="CA103" s="121">
        <f>SUMIFS('27JulyTo2Aug'!$K:$K, '27JulyTo2Aug'!$J:$J, $A103)</f>
        <v>0</v>
      </c>
      <c r="CB103" s="121">
        <f>SUMIFS('27JulyTo2Aug'!$O:$O, '27JulyTo2Aug'!$J:$J, $A103)</f>
        <v>0</v>
      </c>
      <c r="CC103" s="121">
        <f>SUMIFS('27JulyTo2Aug'!$P:$P, '27JulyTo2Aug'!$J:$J, $A103)</f>
        <v>0</v>
      </c>
      <c r="CD103" s="123">
        <f t="shared" si="15"/>
        <v>0</v>
      </c>
    </row>
    <row r="104" spans="1:82" ht="14.25" customHeight="1" x14ac:dyDescent="0.3">
      <c r="A104" s="124" t="s">
        <v>558</v>
      </c>
      <c r="B104" s="120" t="str">
        <f t="shared" si="17"/>
        <v>NO TRAFFIC</v>
      </c>
      <c r="C104" s="121">
        <f>SUMIFS('9NovTo15Nov'!$L:$L, '9NovTo15Nov'!$J:$J, $A104)</f>
        <v>0</v>
      </c>
      <c r="D104" s="121">
        <f>SUMIFS('9NovTo15Nov'!$K:$K, '9NovTo15Nov'!$J:$J, $A104)</f>
        <v>0</v>
      </c>
      <c r="E104" s="121">
        <f>SUMIFS('9NovTo15Nov'!$O:$O, '9NovTo15Nov'!$J:$J, $A104)</f>
        <v>0</v>
      </c>
      <c r="F104" s="121">
        <f>SUMIFS('9NovTo15Nov'!$P:$P, '9NovTo15Nov'!$J:$J, $A104)</f>
        <v>0</v>
      </c>
      <c r="G104" s="122">
        <f t="shared" si="0"/>
        <v>0</v>
      </c>
      <c r="H104" s="121">
        <f>SUMIFS('2NovTo8Nov'!$L:$L, '2NovTo8Nov'!$J:$J, $A104)</f>
        <v>0</v>
      </c>
      <c r="I104" s="121">
        <f>SUMIFS('2NovTo8Nov'!$K:$K, '2NovTo8Nov'!$J:$J, $A104)</f>
        <v>0</v>
      </c>
      <c r="J104" s="121">
        <f>SUMIFS('2NovTo8Nov'!$O:$O, '2NovTo8Nov'!$J:$J, $A104)</f>
        <v>0</v>
      </c>
      <c r="K104" s="121">
        <f>SUMIFS('2NovTo8Nov'!$P:$P, '2NovTo8Nov'!$J:$J, $A104)</f>
        <v>0</v>
      </c>
      <c r="L104" s="122">
        <f t="shared" si="1"/>
        <v>0</v>
      </c>
      <c r="M104" s="121">
        <f>SUMIFS('26OctTo1Nov'!$L:$L, '26OctTo1Nov'!$J:$J, $A104)</f>
        <v>0</v>
      </c>
      <c r="N104" s="121">
        <f>SUMIFS('26OctTo1Nov'!$K:$K, '26OctTo1Nov'!$J:$J, $A104)</f>
        <v>0</v>
      </c>
      <c r="O104" s="121">
        <f>SUMIFS('26OctTo1Nov'!$O:$O, '26OctTo1Nov'!$J:$J, $A104)</f>
        <v>0</v>
      </c>
      <c r="P104" s="121">
        <f>SUMIFS('26OctTo1Nov'!$P:$P, '26OctTo1Nov'!$J:$J, $A104)</f>
        <v>0</v>
      </c>
      <c r="Q104" s="122">
        <f t="shared" si="2"/>
        <v>0</v>
      </c>
      <c r="R104" s="121">
        <f>SUMIFS('19OctTo25Oct'!$L:$L, '19OctTo25Oct'!$J:$J, $A104)</f>
        <v>0</v>
      </c>
      <c r="S104" s="121">
        <f>SUMIFS('19OctTo25Oct'!$K:$K, '19OctTo25Oct'!$J:$J, $A104)</f>
        <v>0</v>
      </c>
      <c r="T104" s="121">
        <f>SUMIFS('19OctTo25Oct'!$O:$O, '19OctTo25Oct'!$J:$J, $A104)</f>
        <v>0</v>
      </c>
      <c r="U104" s="121">
        <f>SUMIFS('19OctTo25Oct'!$P:$P, '19OctTo25Oct'!$J:$J, $A104)</f>
        <v>0</v>
      </c>
      <c r="V104" s="122">
        <f t="shared" si="3"/>
        <v>0</v>
      </c>
      <c r="W104" s="121">
        <f>SUMIFS('12OctTo18Oct'!$L:$L, '12OctTo18Oct'!$J:$J, $A104)</f>
        <v>0</v>
      </c>
      <c r="X104" s="121">
        <f>SUMIFS('12OctTo18Oct'!$K:$K, '12OctTo18Oct'!$J:$J, $A104)</f>
        <v>0</v>
      </c>
      <c r="Y104" s="121">
        <f>SUMIFS('12OctTo18Oct'!$O:$O, '12OctTo18Oct'!$J:$J, $A104)</f>
        <v>0</v>
      </c>
      <c r="Z104" s="121">
        <f>SUMIFS('12OctTo18Oct'!$P:$P, '12OctTo18Oct'!$J:$J, $A104)</f>
        <v>0</v>
      </c>
      <c r="AA104" s="122">
        <f t="shared" si="4"/>
        <v>0</v>
      </c>
      <c r="AB104" s="121">
        <f>SUMIFS('5OctTo11Oct'!$L:$L, '5OctTo11Oct'!$J:$J, $A104)</f>
        <v>0</v>
      </c>
      <c r="AC104" s="121">
        <f>SUMIFS('5OctTo11Oct'!$K:$K, '5OctTo11Oct'!$J:$J, $A104)</f>
        <v>0</v>
      </c>
      <c r="AD104" s="121">
        <f>SUMIFS('5OctTo11Oct'!$O:$O, '5OctTo11Oct'!$J:$J, $A104)</f>
        <v>0</v>
      </c>
      <c r="AE104" s="121">
        <f>SUMIFS('5OctTo11Oct'!$P:$P, '5OctTo11Oct'!$J:$J, $A104)</f>
        <v>0</v>
      </c>
      <c r="AF104" s="123">
        <f t="shared" si="5"/>
        <v>0</v>
      </c>
      <c r="AG104" s="121">
        <f>SUMIFS('28SepTo4Oct'!$L:$L, '28SepTo4Oct'!$J:$J, $A104)</f>
        <v>0</v>
      </c>
      <c r="AH104" s="121">
        <f>SUMIFS('28SepTo4Oct'!$K:$K, '28SepTo4Oct'!$J:$J, $A104)</f>
        <v>0</v>
      </c>
      <c r="AI104" s="121">
        <f>SUMIFS('28SepTo4Oct'!$O:$O, '28SepTo4Oct'!$J:$J, $A104)</f>
        <v>0</v>
      </c>
      <c r="AJ104" s="121">
        <f>SUMIFS('28SepTo4Oct'!$P:$P, '28SepTo4Oct'!$J:$J, $A104)</f>
        <v>0</v>
      </c>
      <c r="AK104" s="123">
        <f t="shared" si="6"/>
        <v>0</v>
      </c>
      <c r="AL104" s="121">
        <f>SUMIFS('21SepTo27Sep'!$L:$L, '21SepTo27Sep'!$J:$J, $A104)</f>
        <v>0</v>
      </c>
      <c r="AM104" s="121">
        <f>SUMIFS('21SepTo27Sep'!$K:$K, '21SepTo27Sep'!$J:$J, $A104)</f>
        <v>0</v>
      </c>
      <c r="AN104" s="121">
        <f>SUMIFS('21SepTo27Sep'!$O:$O, '21SepTo27Sep'!$J:$J, $A104)</f>
        <v>0</v>
      </c>
      <c r="AO104" s="121">
        <f>SUMIFS('21SepTo27Sep'!$P:$P, '21SepTo27Sep'!$J:$J, $A104)</f>
        <v>0</v>
      </c>
      <c r="AP104" s="123">
        <f t="shared" si="7"/>
        <v>0</v>
      </c>
      <c r="AQ104" s="121">
        <f>SUMIFS('14SepTo20Sep'!$L:$L, '14SepTo20Sep'!$J:$J, $A104)</f>
        <v>0</v>
      </c>
      <c r="AR104" s="121">
        <f>SUMIFS('14SepTo20Sep'!$K:$K, '14SepTo20Sep'!$J:$J, $A104)</f>
        <v>0</v>
      </c>
      <c r="AS104" s="121">
        <f>SUMIFS('14SepTo20Sep'!$O:$O, '14SepTo20Sep'!$J:$J, $A104)</f>
        <v>0</v>
      </c>
      <c r="AT104" s="121">
        <f>SUMIFS('14SepTo20Sep'!$P:$P, '14SepTo20Sep'!$J:$J, $A104)</f>
        <v>0</v>
      </c>
      <c r="AU104" s="123">
        <f t="shared" si="8"/>
        <v>0</v>
      </c>
      <c r="AV104" s="121">
        <f>SUMIFS('7SepTo13Sep'!$L:$L, '7SepTo13Sep'!$J:$J, $A104)</f>
        <v>0</v>
      </c>
      <c r="AW104" s="121">
        <f>SUMIFS('7SepTo13Sep'!$K:$K, '7SepTo13Sep'!$J:$J, $A104)</f>
        <v>0</v>
      </c>
      <c r="AX104" s="121">
        <f>SUMIFS('7SepTo13Sep'!$O:$O, '7SepTo13Sep'!$J:$J, $A104)</f>
        <v>0</v>
      </c>
      <c r="AY104" s="121">
        <f>SUMIFS('7SepTo13Sep'!$P:$P, '7SepTo13Sep'!$J:$J, $A104)</f>
        <v>0</v>
      </c>
      <c r="AZ104" s="123">
        <f t="shared" si="9"/>
        <v>0</v>
      </c>
      <c r="BA104" s="121">
        <f>SUMIFS('31AugTo6Sep'!$L:$L, '31AugTo6Sep'!$J:$J, $A104)</f>
        <v>1</v>
      </c>
      <c r="BB104" s="121">
        <f>SUMIFS('31AugTo6Sep'!$K:$K, '31AugTo6Sep'!$J:$J, $A104)</f>
        <v>1</v>
      </c>
      <c r="BC104" s="121">
        <f>SUMIFS('31AugTo6Sep'!$O:$O, '31AugTo6Sep'!$J:$J, $A104)</f>
        <v>1.62</v>
      </c>
      <c r="BD104" s="121">
        <f>SUMIFS('31AugTo6Sep'!$P:$P, '31AugTo6Sep'!$J:$J, $A104)</f>
        <v>24.94</v>
      </c>
      <c r="BE104" s="123">
        <f t="shared" si="10"/>
        <v>6.4955894145950284</v>
      </c>
      <c r="BF104" s="121">
        <f>SUMIFS('24AugTo29Aug'!$L:$L, '24AugTo29Aug'!$J:$J, $A104)</f>
        <v>0</v>
      </c>
      <c r="BG104" s="121">
        <f>SUMIFS('24AugTo29Aug'!$K:$K, '24AugTo29Aug'!$J:$J, $A104)</f>
        <v>0</v>
      </c>
      <c r="BH104" s="121">
        <f>SUMIFS('24AugTo29Aug'!$O:$O, '24AugTo29Aug'!$J:$J, $A104)</f>
        <v>0</v>
      </c>
      <c r="BI104" s="121">
        <f>SUMIFS('24AugTo29Aug'!$P:$P, '24AugTo29Aug'!$J:$J, $A104)</f>
        <v>0</v>
      </c>
      <c r="BJ104" s="123">
        <f t="shared" si="11"/>
        <v>0</v>
      </c>
      <c r="BK104" s="121">
        <f>SUMIFS('17AugTo21Aug'!$L:$L, '17AugTo21Aug'!$J:$J, $A104)</f>
        <v>0</v>
      </c>
      <c r="BL104" s="121">
        <f>SUMIFS('17AugTo21Aug'!$K:$K, '17AugTo21Aug'!$J:$J, $A104)</f>
        <v>0</v>
      </c>
      <c r="BM104" s="121">
        <f>SUMIFS('17AugTo21Aug'!$O:$O, '17AugTo21Aug'!$J:$J, $A104)</f>
        <v>0</v>
      </c>
      <c r="BN104" s="121">
        <f>SUMIFS('17AugTo21Aug'!$P:$P, '17AugTo21Aug'!$J:$J, $A104)</f>
        <v>0</v>
      </c>
      <c r="BO104" s="123">
        <f t="shared" si="12"/>
        <v>0</v>
      </c>
      <c r="BP104" s="121">
        <f>SUMIFS('10AugTo16Aug'!$L:$L, '10AugTo16Aug'!$J:$J, $A104)</f>
        <v>0</v>
      </c>
      <c r="BQ104" s="121">
        <f>SUMIFS('10AugTo16Aug'!$K:$K, '10AugTo16Aug'!$J:$J, $A104)</f>
        <v>0</v>
      </c>
      <c r="BR104" s="121">
        <f>SUMIFS('10AugTo16Aug'!$O:$O, '10AugTo16Aug'!$J:$J, $A104)</f>
        <v>0</v>
      </c>
      <c r="BS104" s="121">
        <f>SUMIFS('10AugTo16Aug'!$P:$P, '10AugTo16Aug'!$J:$J, $A104)</f>
        <v>0</v>
      </c>
      <c r="BT104" s="123">
        <f t="shared" si="13"/>
        <v>0</v>
      </c>
      <c r="BU104" s="121">
        <f>SUMIFS('3AugTo9Aug'!$L:$L, '3AugTo9Aug'!$J:$J, $A104)</f>
        <v>0</v>
      </c>
      <c r="BV104" s="121">
        <f>SUMIFS('3AugTo9Aug'!$K:$K, '3AugTo9Aug'!$J:$J, $A104)</f>
        <v>0</v>
      </c>
      <c r="BW104" s="121">
        <f>SUMIFS('3AugTo9Aug'!$O:$O, '3AugTo9Aug'!$J:$J, $A104)</f>
        <v>0</v>
      </c>
      <c r="BX104" s="121">
        <f>SUMIFS('3AugTo9Aug'!$P:$P, '3AugTo9Aug'!$J:$J, $A104)</f>
        <v>0</v>
      </c>
      <c r="BY104" s="123">
        <f t="shared" si="14"/>
        <v>0</v>
      </c>
      <c r="BZ104" s="121">
        <f>SUMIFS('27JulyTo2Aug'!$L:$L, '27JulyTo2Aug'!$J:$J, $A104)</f>
        <v>0</v>
      </c>
      <c r="CA104" s="121">
        <f>SUMIFS('27JulyTo2Aug'!$K:$K, '27JulyTo2Aug'!$J:$J, $A104)</f>
        <v>0</v>
      </c>
      <c r="CB104" s="121">
        <f>SUMIFS('27JulyTo2Aug'!$O:$O, '27JulyTo2Aug'!$J:$J, $A104)</f>
        <v>0</v>
      </c>
      <c r="CC104" s="121">
        <f>SUMIFS('27JulyTo2Aug'!$P:$P, '27JulyTo2Aug'!$J:$J, $A104)</f>
        <v>0</v>
      </c>
      <c r="CD104" s="123">
        <f t="shared" si="15"/>
        <v>0</v>
      </c>
    </row>
    <row r="105" spans="1:82" ht="14.25" customHeight="1" x14ac:dyDescent="0.3">
      <c r="A105" s="124" t="s">
        <v>560</v>
      </c>
      <c r="B105" s="120" t="str">
        <f t="shared" si="17"/>
        <v>NO TRAFFIC</v>
      </c>
      <c r="C105" s="121">
        <f>SUMIFS('9NovTo15Nov'!$L:$L, '9NovTo15Nov'!$J:$J, $A105)</f>
        <v>0</v>
      </c>
      <c r="D105" s="121">
        <f>SUMIFS('9NovTo15Nov'!$K:$K, '9NovTo15Nov'!$J:$J, $A105)</f>
        <v>0</v>
      </c>
      <c r="E105" s="121">
        <f>SUMIFS('9NovTo15Nov'!$O:$O, '9NovTo15Nov'!$J:$J, $A105)</f>
        <v>0</v>
      </c>
      <c r="F105" s="121">
        <f>SUMIFS('9NovTo15Nov'!$P:$P, '9NovTo15Nov'!$J:$J, $A105)</f>
        <v>0</v>
      </c>
      <c r="G105" s="122">
        <f t="shared" si="0"/>
        <v>0</v>
      </c>
      <c r="H105" s="121">
        <f>SUMIFS('2NovTo8Nov'!$L:$L, '2NovTo8Nov'!$J:$J, $A105)</f>
        <v>0</v>
      </c>
      <c r="I105" s="121">
        <f>SUMIFS('2NovTo8Nov'!$K:$K, '2NovTo8Nov'!$J:$J, $A105)</f>
        <v>0</v>
      </c>
      <c r="J105" s="121">
        <f>SUMIFS('2NovTo8Nov'!$O:$O, '2NovTo8Nov'!$J:$J, $A105)</f>
        <v>0</v>
      </c>
      <c r="K105" s="121">
        <f>SUMIFS('2NovTo8Nov'!$P:$P, '2NovTo8Nov'!$J:$J, $A105)</f>
        <v>0</v>
      </c>
      <c r="L105" s="122">
        <f t="shared" si="1"/>
        <v>0</v>
      </c>
      <c r="M105" s="121">
        <f>SUMIFS('26OctTo1Nov'!$L:$L, '26OctTo1Nov'!$J:$J, $A105)</f>
        <v>0</v>
      </c>
      <c r="N105" s="121">
        <f>SUMIFS('26OctTo1Nov'!$K:$K, '26OctTo1Nov'!$J:$J, $A105)</f>
        <v>0</v>
      </c>
      <c r="O105" s="121">
        <f>SUMIFS('26OctTo1Nov'!$O:$O, '26OctTo1Nov'!$J:$J, $A105)</f>
        <v>0</v>
      </c>
      <c r="P105" s="121">
        <f>SUMIFS('26OctTo1Nov'!$P:$P, '26OctTo1Nov'!$J:$J, $A105)</f>
        <v>0</v>
      </c>
      <c r="Q105" s="122">
        <f t="shared" si="2"/>
        <v>0</v>
      </c>
      <c r="R105" s="121">
        <f>SUMIFS('19OctTo25Oct'!$L:$L, '19OctTo25Oct'!$J:$J, $A105)</f>
        <v>0</v>
      </c>
      <c r="S105" s="121">
        <f>SUMIFS('19OctTo25Oct'!$K:$K, '19OctTo25Oct'!$J:$J, $A105)</f>
        <v>0</v>
      </c>
      <c r="T105" s="121">
        <f>SUMIFS('19OctTo25Oct'!$O:$O, '19OctTo25Oct'!$J:$J, $A105)</f>
        <v>0</v>
      </c>
      <c r="U105" s="121">
        <f>SUMIFS('19OctTo25Oct'!$P:$P, '19OctTo25Oct'!$J:$J, $A105)</f>
        <v>0</v>
      </c>
      <c r="V105" s="122">
        <f t="shared" si="3"/>
        <v>0</v>
      </c>
      <c r="W105" s="121">
        <f>SUMIFS('12OctTo18Oct'!$L:$L, '12OctTo18Oct'!$J:$J, $A105)</f>
        <v>0</v>
      </c>
      <c r="X105" s="121">
        <f>SUMIFS('12OctTo18Oct'!$K:$K, '12OctTo18Oct'!$J:$J, $A105)</f>
        <v>0</v>
      </c>
      <c r="Y105" s="121">
        <f>SUMIFS('12OctTo18Oct'!$O:$O, '12OctTo18Oct'!$J:$J, $A105)</f>
        <v>0</v>
      </c>
      <c r="Z105" s="121">
        <f>SUMIFS('12OctTo18Oct'!$P:$P, '12OctTo18Oct'!$J:$J, $A105)</f>
        <v>0</v>
      </c>
      <c r="AA105" s="122">
        <f t="shared" si="4"/>
        <v>0</v>
      </c>
      <c r="AB105" s="121">
        <f>SUMIFS('5OctTo11Oct'!$L:$L, '5OctTo11Oct'!$J:$J, $A105)</f>
        <v>0</v>
      </c>
      <c r="AC105" s="121">
        <f>SUMIFS('5OctTo11Oct'!$K:$K, '5OctTo11Oct'!$J:$J, $A105)</f>
        <v>0</v>
      </c>
      <c r="AD105" s="121">
        <f>SUMIFS('5OctTo11Oct'!$O:$O, '5OctTo11Oct'!$J:$J, $A105)</f>
        <v>0</v>
      </c>
      <c r="AE105" s="121">
        <f>SUMIFS('5OctTo11Oct'!$P:$P, '5OctTo11Oct'!$J:$J, $A105)</f>
        <v>0</v>
      </c>
      <c r="AF105" s="123">
        <f t="shared" si="5"/>
        <v>0</v>
      </c>
      <c r="AG105" s="121">
        <f>SUMIFS('28SepTo4Oct'!$L:$L, '28SepTo4Oct'!$J:$J, $A105)</f>
        <v>0</v>
      </c>
      <c r="AH105" s="121">
        <f>SUMIFS('28SepTo4Oct'!$K:$K, '28SepTo4Oct'!$J:$J, $A105)</f>
        <v>0</v>
      </c>
      <c r="AI105" s="121">
        <f>SUMIFS('28SepTo4Oct'!$O:$O, '28SepTo4Oct'!$J:$J, $A105)</f>
        <v>0</v>
      </c>
      <c r="AJ105" s="121">
        <f>SUMIFS('28SepTo4Oct'!$P:$P, '28SepTo4Oct'!$J:$J, $A105)</f>
        <v>0</v>
      </c>
      <c r="AK105" s="123">
        <f t="shared" si="6"/>
        <v>0</v>
      </c>
      <c r="AL105" s="121">
        <f>SUMIFS('21SepTo27Sep'!$L:$L, '21SepTo27Sep'!$J:$J, $A105)</f>
        <v>0</v>
      </c>
      <c r="AM105" s="121">
        <f>SUMIFS('21SepTo27Sep'!$K:$K, '21SepTo27Sep'!$J:$J, $A105)</f>
        <v>0</v>
      </c>
      <c r="AN105" s="121">
        <f>SUMIFS('21SepTo27Sep'!$O:$O, '21SepTo27Sep'!$J:$J, $A105)</f>
        <v>0</v>
      </c>
      <c r="AO105" s="121">
        <f>SUMIFS('21SepTo27Sep'!$P:$P, '21SepTo27Sep'!$J:$J, $A105)</f>
        <v>0</v>
      </c>
      <c r="AP105" s="123">
        <f t="shared" si="7"/>
        <v>0</v>
      </c>
      <c r="AQ105" s="121">
        <f>SUMIFS('14SepTo20Sep'!$L:$L, '14SepTo20Sep'!$J:$J, $A105)</f>
        <v>0</v>
      </c>
      <c r="AR105" s="121">
        <f>SUMIFS('14SepTo20Sep'!$K:$K, '14SepTo20Sep'!$J:$J, $A105)</f>
        <v>0</v>
      </c>
      <c r="AS105" s="121">
        <f>SUMIFS('14SepTo20Sep'!$O:$O, '14SepTo20Sep'!$J:$J, $A105)</f>
        <v>0</v>
      </c>
      <c r="AT105" s="121">
        <f>SUMIFS('14SepTo20Sep'!$P:$P, '14SepTo20Sep'!$J:$J, $A105)</f>
        <v>0</v>
      </c>
      <c r="AU105" s="123">
        <f t="shared" si="8"/>
        <v>0</v>
      </c>
      <c r="AV105" s="121">
        <f>SUMIFS('7SepTo13Sep'!$L:$L, '7SepTo13Sep'!$J:$J, $A105)</f>
        <v>0</v>
      </c>
      <c r="AW105" s="121">
        <f>SUMIFS('7SepTo13Sep'!$K:$K, '7SepTo13Sep'!$J:$J, $A105)</f>
        <v>0</v>
      </c>
      <c r="AX105" s="121">
        <f>SUMIFS('7SepTo13Sep'!$O:$O, '7SepTo13Sep'!$J:$J, $A105)</f>
        <v>0</v>
      </c>
      <c r="AY105" s="121">
        <f>SUMIFS('7SepTo13Sep'!$P:$P, '7SepTo13Sep'!$J:$J, $A105)</f>
        <v>0</v>
      </c>
      <c r="AZ105" s="123">
        <f t="shared" si="9"/>
        <v>0</v>
      </c>
      <c r="BA105" s="121">
        <f>SUMIFS('31AugTo6Sep'!$L:$L, '31AugTo6Sep'!$J:$J, $A105)</f>
        <v>2</v>
      </c>
      <c r="BB105" s="121">
        <f>SUMIFS('31AugTo6Sep'!$K:$K, '31AugTo6Sep'!$J:$J, $A105)</f>
        <v>6</v>
      </c>
      <c r="BC105" s="121">
        <f>SUMIFS('31AugTo6Sep'!$O:$O, '31AugTo6Sep'!$J:$J, $A105)</f>
        <v>5.94</v>
      </c>
      <c r="BD105" s="121">
        <f>SUMIFS('31AugTo6Sep'!$P:$P, '31AugTo6Sep'!$J:$J, $A105)</f>
        <v>24.94</v>
      </c>
      <c r="BE105" s="123">
        <f t="shared" si="10"/>
        <v>23.817161186848438</v>
      </c>
      <c r="BF105" s="121">
        <f>SUMIFS('24AugTo29Aug'!$L:$L, '24AugTo29Aug'!$J:$J, $A105)</f>
        <v>0</v>
      </c>
      <c r="BG105" s="121">
        <f>SUMIFS('24AugTo29Aug'!$K:$K, '24AugTo29Aug'!$J:$J, $A105)</f>
        <v>0</v>
      </c>
      <c r="BH105" s="121">
        <f>SUMIFS('24AugTo29Aug'!$O:$O, '24AugTo29Aug'!$J:$J, $A105)</f>
        <v>0</v>
      </c>
      <c r="BI105" s="121">
        <f>SUMIFS('24AugTo29Aug'!$P:$P, '24AugTo29Aug'!$J:$J, $A105)</f>
        <v>0</v>
      </c>
      <c r="BJ105" s="123">
        <f t="shared" si="11"/>
        <v>0</v>
      </c>
      <c r="BK105" s="121">
        <f>SUMIFS('17AugTo21Aug'!$L:$L, '17AugTo21Aug'!$J:$J, $A105)</f>
        <v>0</v>
      </c>
      <c r="BL105" s="121">
        <f>SUMIFS('17AugTo21Aug'!$K:$K, '17AugTo21Aug'!$J:$J, $A105)</f>
        <v>0</v>
      </c>
      <c r="BM105" s="121">
        <f>SUMIFS('17AugTo21Aug'!$O:$O, '17AugTo21Aug'!$J:$J, $A105)</f>
        <v>0</v>
      </c>
      <c r="BN105" s="121">
        <f>SUMIFS('17AugTo21Aug'!$P:$P, '17AugTo21Aug'!$J:$J, $A105)</f>
        <v>0</v>
      </c>
      <c r="BO105" s="123">
        <f t="shared" si="12"/>
        <v>0</v>
      </c>
      <c r="BP105" s="121">
        <f>SUMIFS('10AugTo16Aug'!$L:$L, '10AugTo16Aug'!$J:$J, $A105)</f>
        <v>0</v>
      </c>
      <c r="BQ105" s="121">
        <f>SUMIFS('10AugTo16Aug'!$K:$K, '10AugTo16Aug'!$J:$J, $A105)</f>
        <v>0</v>
      </c>
      <c r="BR105" s="121">
        <f>SUMIFS('10AugTo16Aug'!$O:$O, '10AugTo16Aug'!$J:$J, $A105)</f>
        <v>0</v>
      </c>
      <c r="BS105" s="121">
        <f>SUMIFS('10AugTo16Aug'!$P:$P, '10AugTo16Aug'!$J:$J, $A105)</f>
        <v>0</v>
      </c>
      <c r="BT105" s="123">
        <f t="shared" si="13"/>
        <v>0</v>
      </c>
      <c r="BU105" s="121">
        <f>SUMIFS('3AugTo9Aug'!$L:$L, '3AugTo9Aug'!$J:$J, $A105)</f>
        <v>0</v>
      </c>
      <c r="BV105" s="121">
        <f>SUMIFS('3AugTo9Aug'!$K:$K, '3AugTo9Aug'!$J:$J, $A105)</f>
        <v>0</v>
      </c>
      <c r="BW105" s="121">
        <f>SUMIFS('3AugTo9Aug'!$O:$O, '3AugTo9Aug'!$J:$J, $A105)</f>
        <v>0</v>
      </c>
      <c r="BX105" s="121">
        <f>SUMIFS('3AugTo9Aug'!$P:$P, '3AugTo9Aug'!$J:$J, $A105)</f>
        <v>0</v>
      </c>
      <c r="BY105" s="123">
        <f t="shared" si="14"/>
        <v>0</v>
      </c>
      <c r="BZ105" s="121">
        <f>SUMIFS('27JulyTo2Aug'!$L:$L, '27JulyTo2Aug'!$J:$J, $A105)</f>
        <v>0</v>
      </c>
      <c r="CA105" s="121">
        <f>SUMIFS('27JulyTo2Aug'!$K:$K, '27JulyTo2Aug'!$J:$J, $A105)</f>
        <v>0</v>
      </c>
      <c r="CB105" s="121">
        <f>SUMIFS('27JulyTo2Aug'!$O:$O, '27JulyTo2Aug'!$J:$J, $A105)</f>
        <v>0</v>
      </c>
      <c r="CC105" s="121">
        <f>SUMIFS('27JulyTo2Aug'!$P:$P, '27JulyTo2Aug'!$J:$J, $A105)</f>
        <v>0</v>
      </c>
      <c r="CD105" s="123">
        <f t="shared" si="15"/>
        <v>0</v>
      </c>
    </row>
    <row r="106" spans="1:82" ht="14.25" customHeight="1" x14ac:dyDescent="0.3">
      <c r="A106" s="124" t="s">
        <v>562</v>
      </c>
      <c r="B106" s="120" t="str">
        <f t="shared" si="17"/>
        <v>NO TRAFFIC</v>
      </c>
      <c r="C106" s="121">
        <f>SUMIFS('9NovTo15Nov'!$L:$L, '9NovTo15Nov'!$J:$J, $A106)</f>
        <v>0</v>
      </c>
      <c r="D106" s="121">
        <f>SUMIFS('9NovTo15Nov'!$K:$K, '9NovTo15Nov'!$J:$J, $A106)</f>
        <v>0</v>
      </c>
      <c r="E106" s="121">
        <f>SUMIFS('9NovTo15Nov'!$O:$O, '9NovTo15Nov'!$J:$J, $A106)</f>
        <v>0</v>
      </c>
      <c r="F106" s="121">
        <f>SUMIFS('9NovTo15Nov'!$P:$P, '9NovTo15Nov'!$J:$J, $A106)</f>
        <v>0</v>
      </c>
      <c r="G106" s="122">
        <f t="shared" si="0"/>
        <v>0</v>
      </c>
      <c r="H106" s="121">
        <f>SUMIFS('2NovTo8Nov'!$L:$L, '2NovTo8Nov'!$J:$J, $A106)</f>
        <v>0</v>
      </c>
      <c r="I106" s="121">
        <f>SUMIFS('2NovTo8Nov'!$K:$K, '2NovTo8Nov'!$J:$J, $A106)</f>
        <v>0</v>
      </c>
      <c r="J106" s="121">
        <f>SUMIFS('2NovTo8Nov'!$O:$O, '2NovTo8Nov'!$J:$J, $A106)</f>
        <v>0</v>
      </c>
      <c r="K106" s="121">
        <f>SUMIFS('2NovTo8Nov'!$P:$P, '2NovTo8Nov'!$J:$J, $A106)</f>
        <v>0</v>
      </c>
      <c r="L106" s="122">
        <f t="shared" si="1"/>
        <v>0</v>
      </c>
      <c r="M106" s="121">
        <f>SUMIFS('26OctTo1Nov'!$L:$L, '26OctTo1Nov'!$J:$J, $A106)</f>
        <v>0</v>
      </c>
      <c r="N106" s="121">
        <f>SUMIFS('26OctTo1Nov'!$K:$K, '26OctTo1Nov'!$J:$J, $A106)</f>
        <v>0</v>
      </c>
      <c r="O106" s="121">
        <f>SUMIFS('26OctTo1Nov'!$O:$O, '26OctTo1Nov'!$J:$J, $A106)</f>
        <v>0</v>
      </c>
      <c r="P106" s="121">
        <f>SUMIFS('26OctTo1Nov'!$P:$P, '26OctTo1Nov'!$J:$J, $A106)</f>
        <v>0</v>
      </c>
      <c r="Q106" s="122">
        <f t="shared" si="2"/>
        <v>0</v>
      </c>
      <c r="R106" s="121">
        <f>SUMIFS('19OctTo25Oct'!$L:$L, '19OctTo25Oct'!$J:$J, $A106)</f>
        <v>0</v>
      </c>
      <c r="S106" s="121">
        <f>SUMIFS('19OctTo25Oct'!$K:$K, '19OctTo25Oct'!$J:$J, $A106)</f>
        <v>0</v>
      </c>
      <c r="T106" s="121">
        <f>SUMIFS('19OctTo25Oct'!$O:$O, '19OctTo25Oct'!$J:$J, $A106)</f>
        <v>0</v>
      </c>
      <c r="U106" s="121">
        <f>SUMIFS('19OctTo25Oct'!$P:$P, '19OctTo25Oct'!$J:$J, $A106)</f>
        <v>0</v>
      </c>
      <c r="V106" s="122">
        <f t="shared" si="3"/>
        <v>0</v>
      </c>
      <c r="W106" s="121">
        <f>SUMIFS('12OctTo18Oct'!$L:$L, '12OctTo18Oct'!$J:$J, $A106)</f>
        <v>0</v>
      </c>
      <c r="X106" s="121">
        <f>SUMIFS('12OctTo18Oct'!$K:$K, '12OctTo18Oct'!$J:$J, $A106)</f>
        <v>0</v>
      </c>
      <c r="Y106" s="121">
        <f>SUMIFS('12OctTo18Oct'!$O:$O, '12OctTo18Oct'!$J:$J, $A106)</f>
        <v>0</v>
      </c>
      <c r="Z106" s="121">
        <f>SUMIFS('12OctTo18Oct'!$P:$P, '12OctTo18Oct'!$J:$J, $A106)</f>
        <v>0</v>
      </c>
      <c r="AA106" s="122">
        <f t="shared" si="4"/>
        <v>0</v>
      </c>
      <c r="AB106" s="121">
        <f>SUMIFS('5OctTo11Oct'!$L:$L, '5OctTo11Oct'!$J:$J, $A106)</f>
        <v>0</v>
      </c>
      <c r="AC106" s="121">
        <f>SUMIFS('5OctTo11Oct'!$K:$K, '5OctTo11Oct'!$J:$J, $A106)</f>
        <v>0</v>
      </c>
      <c r="AD106" s="121">
        <f>SUMIFS('5OctTo11Oct'!$O:$O, '5OctTo11Oct'!$J:$J, $A106)</f>
        <v>0</v>
      </c>
      <c r="AE106" s="121">
        <f>SUMIFS('5OctTo11Oct'!$P:$P, '5OctTo11Oct'!$J:$J, $A106)</f>
        <v>0</v>
      </c>
      <c r="AF106" s="123">
        <f t="shared" si="5"/>
        <v>0</v>
      </c>
      <c r="AG106" s="121">
        <f>SUMIFS('28SepTo4Oct'!$L:$L, '28SepTo4Oct'!$J:$J, $A106)</f>
        <v>0</v>
      </c>
      <c r="AH106" s="121">
        <f>SUMIFS('28SepTo4Oct'!$K:$K, '28SepTo4Oct'!$J:$J, $A106)</f>
        <v>0</v>
      </c>
      <c r="AI106" s="121">
        <f>SUMIFS('28SepTo4Oct'!$O:$O, '28SepTo4Oct'!$J:$J, $A106)</f>
        <v>0</v>
      </c>
      <c r="AJ106" s="121">
        <f>SUMIFS('28SepTo4Oct'!$P:$P, '28SepTo4Oct'!$J:$J, $A106)</f>
        <v>0</v>
      </c>
      <c r="AK106" s="123">
        <f t="shared" si="6"/>
        <v>0</v>
      </c>
      <c r="AL106" s="121">
        <f>SUMIFS('21SepTo27Sep'!$L:$L, '21SepTo27Sep'!$J:$J, $A106)</f>
        <v>0</v>
      </c>
      <c r="AM106" s="121">
        <f>SUMIFS('21SepTo27Sep'!$K:$K, '21SepTo27Sep'!$J:$J, $A106)</f>
        <v>0</v>
      </c>
      <c r="AN106" s="121">
        <f>SUMIFS('21SepTo27Sep'!$O:$O, '21SepTo27Sep'!$J:$J, $A106)</f>
        <v>0</v>
      </c>
      <c r="AO106" s="121">
        <f>SUMIFS('21SepTo27Sep'!$P:$P, '21SepTo27Sep'!$J:$J, $A106)</f>
        <v>0</v>
      </c>
      <c r="AP106" s="123">
        <f t="shared" si="7"/>
        <v>0</v>
      </c>
      <c r="AQ106" s="121">
        <f>SUMIFS('14SepTo20Sep'!$L:$L, '14SepTo20Sep'!$J:$J, $A106)</f>
        <v>0</v>
      </c>
      <c r="AR106" s="121">
        <f>SUMIFS('14SepTo20Sep'!$K:$K, '14SepTo20Sep'!$J:$J, $A106)</f>
        <v>0</v>
      </c>
      <c r="AS106" s="121">
        <f>SUMIFS('14SepTo20Sep'!$O:$O, '14SepTo20Sep'!$J:$J, $A106)</f>
        <v>0</v>
      </c>
      <c r="AT106" s="121">
        <f>SUMIFS('14SepTo20Sep'!$P:$P, '14SepTo20Sep'!$J:$J, $A106)</f>
        <v>0</v>
      </c>
      <c r="AU106" s="123">
        <f t="shared" si="8"/>
        <v>0</v>
      </c>
      <c r="AV106" s="121">
        <f>SUMIFS('7SepTo13Sep'!$L:$L, '7SepTo13Sep'!$J:$J, $A106)</f>
        <v>0</v>
      </c>
      <c r="AW106" s="121">
        <f>SUMIFS('7SepTo13Sep'!$K:$K, '7SepTo13Sep'!$J:$J, $A106)</f>
        <v>0</v>
      </c>
      <c r="AX106" s="121">
        <f>SUMIFS('7SepTo13Sep'!$O:$O, '7SepTo13Sep'!$J:$J, $A106)</f>
        <v>0</v>
      </c>
      <c r="AY106" s="121">
        <f>SUMIFS('7SepTo13Sep'!$P:$P, '7SepTo13Sep'!$J:$J, $A106)</f>
        <v>0</v>
      </c>
      <c r="AZ106" s="123">
        <f t="shared" si="9"/>
        <v>0</v>
      </c>
      <c r="BA106" s="121">
        <f>SUMIFS('31AugTo6Sep'!$L:$L, '31AugTo6Sep'!$J:$J, $A106)</f>
        <v>1</v>
      </c>
      <c r="BB106" s="121">
        <f>SUMIFS('31AugTo6Sep'!$K:$K, '31AugTo6Sep'!$J:$J, $A106)</f>
        <v>2</v>
      </c>
      <c r="BC106" s="121">
        <f>SUMIFS('31AugTo6Sep'!$O:$O, '31AugTo6Sep'!$J:$J, $A106)</f>
        <v>2.5</v>
      </c>
      <c r="BD106" s="121">
        <f>SUMIFS('31AugTo6Sep'!$P:$P, '31AugTo6Sep'!$J:$J, $A106)</f>
        <v>24.94</v>
      </c>
      <c r="BE106" s="123">
        <f t="shared" si="10"/>
        <v>10.024057738572575</v>
      </c>
      <c r="BF106" s="121">
        <f>SUMIFS('24AugTo29Aug'!$L:$L, '24AugTo29Aug'!$J:$J, $A106)</f>
        <v>0</v>
      </c>
      <c r="BG106" s="121">
        <f>SUMIFS('24AugTo29Aug'!$K:$K, '24AugTo29Aug'!$J:$J, $A106)</f>
        <v>0</v>
      </c>
      <c r="BH106" s="121">
        <f>SUMIFS('24AugTo29Aug'!$O:$O, '24AugTo29Aug'!$J:$J, $A106)</f>
        <v>0</v>
      </c>
      <c r="BI106" s="121">
        <f>SUMIFS('24AugTo29Aug'!$P:$P, '24AugTo29Aug'!$J:$J, $A106)</f>
        <v>0</v>
      </c>
      <c r="BJ106" s="123">
        <f t="shared" si="11"/>
        <v>0</v>
      </c>
      <c r="BK106" s="121">
        <f>SUMIFS('17AugTo21Aug'!$L:$L, '17AugTo21Aug'!$J:$J, $A106)</f>
        <v>0</v>
      </c>
      <c r="BL106" s="121">
        <f>SUMIFS('17AugTo21Aug'!$K:$K, '17AugTo21Aug'!$J:$J, $A106)</f>
        <v>0</v>
      </c>
      <c r="BM106" s="121">
        <f>SUMIFS('17AugTo21Aug'!$O:$O, '17AugTo21Aug'!$J:$J, $A106)</f>
        <v>0</v>
      </c>
      <c r="BN106" s="121">
        <f>SUMIFS('17AugTo21Aug'!$P:$P, '17AugTo21Aug'!$J:$J, $A106)</f>
        <v>0</v>
      </c>
      <c r="BO106" s="123">
        <f t="shared" si="12"/>
        <v>0</v>
      </c>
      <c r="BP106" s="121">
        <f>SUMIFS('10AugTo16Aug'!$L:$L, '10AugTo16Aug'!$J:$J, $A106)</f>
        <v>0</v>
      </c>
      <c r="BQ106" s="121">
        <f>SUMIFS('10AugTo16Aug'!$K:$K, '10AugTo16Aug'!$J:$J, $A106)</f>
        <v>0</v>
      </c>
      <c r="BR106" s="121">
        <f>SUMIFS('10AugTo16Aug'!$O:$O, '10AugTo16Aug'!$J:$J, $A106)</f>
        <v>0</v>
      </c>
      <c r="BS106" s="121">
        <f>SUMIFS('10AugTo16Aug'!$P:$P, '10AugTo16Aug'!$J:$J, $A106)</f>
        <v>0</v>
      </c>
      <c r="BT106" s="123">
        <f t="shared" si="13"/>
        <v>0</v>
      </c>
      <c r="BU106" s="121">
        <f>SUMIFS('3AugTo9Aug'!$L:$L, '3AugTo9Aug'!$J:$J, $A106)</f>
        <v>0</v>
      </c>
      <c r="BV106" s="121">
        <f>SUMIFS('3AugTo9Aug'!$K:$K, '3AugTo9Aug'!$J:$J, $A106)</f>
        <v>0</v>
      </c>
      <c r="BW106" s="121">
        <f>SUMIFS('3AugTo9Aug'!$O:$O, '3AugTo9Aug'!$J:$J, $A106)</f>
        <v>0</v>
      </c>
      <c r="BX106" s="121">
        <f>SUMIFS('3AugTo9Aug'!$P:$P, '3AugTo9Aug'!$J:$J, $A106)</f>
        <v>0</v>
      </c>
      <c r="BY106" s="123">
        <f t="shared" si="14"/>
        <v>0</v>
      </c>
      <c r="BZ106" s="121">
        <f>SUMIFS('27JulyTo2Aug'!$L:$L, '27JulyTo2Aug'!$J:$J, $A106)</f>
        <v>0</v>
      </c>
      <c r="CA106" s="121">
        <f>SUMIFS('27JulyTo2Aug'!$K:$K, '27JulyTo2Aug'!$J:$J, $A106)</f>
        <v>0</v>
      </c>
      <c r="CB106" s="121">
        <f>SUMIFS('27JulyTo2Aug'!$O:$O, '27JulyTo2Aug'!$J:$J, $A106)</f>
        <v>0</v>
      </c>
      <c r="CC106" s="121">
        <f>SUMIFS('27JulyTo2Aug'!$P:$P, '27JulyTo2Aug'!$J:$J, $A106)</f>
        <v>0</v>
      </c>
      <c r="CD106" s="123">
        <f t="shared" si="15"/>
        <v>0</v>
      </c>
    </row>
    <row r="107" spans="1:82" ht="14.25" customHeight="1" x14ac:dyDescent="0.3">
      <c r="A107" s="124" t="s">
        <v>570</v>
      </c>
      <c r="B107" s="120" t="str">
        <f t="shared" si="17"/>
        <v>NO TRAFFIC</v>
      </c>
      <c r="C107" s="121">
        <f>SUMIFS('9NovTo15Nov'!$L:$L, '9NovTo15Nov'!$J:$J, $A107)</f>
        <v>0</v>
      </c>
      <c r="D107" s="121">
        <f>SUMIFS('9NovTo15Nov'!$K:$K, '9NovTo15Nov'!$J:$J, $A107)</f>
        <v>0</v>
      </c>
      <c r="E107" s="121">
        <f>SUMIFS('9NovTo15Nov'!$O:$O, '9NovTo15Nov'!$J:$J, $A107)</f>
        <v>0</v>
      </c>
      <c r="F107" s="121">
        <f>SUMIFS('9NovTo15Nov'!$P:$P, '9NovTo15Nov'!$J:$J, $A107)</f>
        <v>0</v>
      </c>
      <c r="G107" s="122">
        <f t="shared" si="0"/>
        <v>0</v>
      </c>
      <c r="H107" s="121">
        <f>SUMIFS('2NovTo8Nov'!$L:$L, '2NovTo8Nov'!$J:$J, $A107)</f>
        <v>0</v>
      </c>
      <c r="I107" s="121">
        <f>SUMIFS('2NovTo8Nov'!$K:$K, '2NovTo8Nov'!$J:$J, $A107)</f>
        <v>0</v>
      </c>
      <c r="J107" s="121">
        <f>SUMIFS('2NovTo8Nov'!$O:$O, '2NovTo8Nov'!$J:$J, $A107)</f>
        <v>0</v>
      </c>
      <c r="K107" s="121">
        <f>SUMIFS('2NovTo8Nov'!$P:$P, '2NovTo8Nov'!$J:$J, $A107)</f>
        <v>0</v>
      </c>
      <c r="L107" s="122">
        <f t="shared" si="1"/>
        <v>0</v>
      </c>
      <c r="M107" s="121">
        <f>SUMIFS('26OctTo1Nov'!$L:$L, '26OctTo1Nov'!$J:$J, $A107)</f>
        <v>0</v>
      </c>
      <c r="N107" s="121">
        <f>SUMIFS('26OctTo1Nov'!$K:$K, '26OctTo1Nov'!$J:$J, $A107)</f>
        <v>0</v>
      </c>
      <c r="O107" s="121">
        <f>SUMIFS('26OctTo1Nov'!$O:$O, '26OctTo1Nov'!$J:$J, $A107)</f>
        <v>0</v>
      </c>
      <c r="P107" s="121">
        <f>SUMIFS('26OctTo1Nov'!$P:$P, '26OctTo1Nov'!$J:$J, $A107)</f>
        <v>0</v>
      </c>
      <c r="Q107" s="122">
        <f t="shared" si="2"/>
        <v>0</v>
      </c>
      <c r="R107" s="121">
        <f>SUMIFS('19OctTo25Oct'!$L:$L, '19OctTo25Oct'!$J:$J, $A107)</f>
        <v>0</v>
      </c>
      <c r="S107" s="121">
        <f>SUMIFS('19OctTo25Oct'!$K:$K, '19OctTo25Oct'!$J:$J, $A107)</f>
        <v>0</v>
      </c>
      <c r="T107" s="121">
        <f>SUMIFS('19OctTo25Oct'!$O:$O, '19OctTo25Oct'!$J:$J, $A107)</f>
        <v>0</v>
      </c>
      <c r="U107" s="121">
        <f>SUMIFS('19OctTo25Oct'!$P:$P, '19OctTo25Oct'!$J:$J, $A107)</f>
        <v>0</v>
      </c>
      <c r="V107" s="122">
        <f t="shared" si="3"/>
        <v>0</v>
      </c>
      <c r="W107" s="121">
        <f>SUMIFS('12OctTo18Oct'!$L:$L, '12OctTo18Oct'!$J:$J, $A107)</f>
        <v>0</v>
      </c>
      <c r="X107" s="121">
        <f>SUMIFS('12OctTo18Oct'!$K:$K, '12OctTo18Oct'!$J:$J, $A107)</f>
        <v>0</v>
      </c>
      <c r="Y107" s="121">
        <f>SUMIFS('12OctTo18Oct'!$O:$O, '12OctTo18Oct'!$J:$J, $A107)</f>
        <v>0</v>
      </c>
      <c r="Z107" s="121">
        <f>SUMIFS('12OctTo18Oct'!$P:$P, '12OctTo18Oct'!$J:$J, $A107)</f>
        <v>0</v>
      </c>
      <c r="AA107" s="122">
        <f t="shared" si="4"/>
        <v>0</v>
      </c>
      <c r="AB107" s="121">
        <f>SUMIFS('5OctTo11Oct'!$L:$L, '5OctTo11Oct'!$J:$J, $A107)</f>
        <v>0</v>
      </c>
      <c r="AC107" s="121">
        <f>SUMIFS('5OctTo11Oct'!$K:$K, '5OctTo11Oct'!$J:$J, $A107)</f>
        <v>0</v>
      </c>
      <c r="AD107" s="121">
        <f>SUMIFS('5OctTo11Oct'!$O:$O, '5OctTo11Oct'!$J:$J, $A107)</f>
        <v>0</v>
      </c>
      <c r="AE107" s="121">
        <f>SUMIFS('5OctTo11Oct'!$P:$P, '5OctTo11Oct'!$J:$J, $A107)</f>
        <v>0</v>
      </c>
      <c r="AF107" s="123">
        <f t="shared" si="5"/>
        <v>0</v>
      </c>
      <c r="AG107" s="121">
        <f>SUMIFS('28SepTo4Oct'!$L:$L, '28SepTo4Oct'!$J:$J, $A107)</f>
        <v>0</v>
      </c>
      <c r="AH107" s="121">
        <f>SUMIFS('28SepTo4Oct'!$K:$K, '28SepTo4Oct'!$J:$J, $A107)</f>
        <v>0</v>
      </c>
      <c r="AI107" s="121">
        <f>SUMIFS('28SepTo4Oct'!$O:$O, '28SepTo4Oct'!$J:$J, $A107)</f>
        <v>0</v>
      </c>
      <c r="AJ107" s="121">
        <f>SUMIFS('28SepTo4Oct'!$P:$P, '28SepTo4Oct'!$J:$J, $A107)</f>
        <v>0</v>
      </c>
      <c r="AK107" s="123">
        <f t="shared" si="6"/>
        <v>0</v>
      </c>
      <c r="AL107" s="121">
        <f>SUMIFS('21SepTo27Sep'!$L:$L, '21SepTo27Sep'!$J:$J, $A107)</f>
        <v>0</v>
      </c>
      <c r="AM107" s="121">
        <f>SUMIFS('21SepTo27Sep'!$K:$K, '21SepTo27Sep'!$J:$J, $A107)</f>
        <v>0</v>
      </c>
      <c r="AN107" s="121">
        <f>SUMIFS('21SepTo27Sep'!$O:$O, '21SepTo27Sep'!$J:$J, $A107)</f>
        <v>0</v>
      </c>
      <c r="AO107" s="121">
        <f>SUMIFS('21SepTo27Sep'!$P:$P, '21SepTo27Sep'!$J:$J, $A107)</f>
        <v>0</v>
      </c>
      <c r="AP107" s="123">
        <f t="shared" si="7"/>
        <v>0</v>
      </c>
      <c r="AQ107" s="121">
        <f>SUMIFS('14SepTo20Sep'!$L:$L, '14SepTo20Sep'!$J:$J, $A107)</f>
        <v>0</v>
      </c>
      <c r="AR107" s="121">
        <f>SUMIFS('14SepTo20Sep'!$K:$K, '14SepTo20Sep'!$J:$J, $A107)</f>
        <v>0</v>
      </c>
      <c r="AS107" s="121">
        <f>SUMIFS('14SepTo20Sep'!$O:$O, '14SepTo20Sep'!$J:$J, $A107)</f>
        <v>0</v>
      </c>
      <c r="AT107" s="121">
        <f>SUMIFS('14SepTo20Sep'!$P:$P, '14SepTo20Sep'!$J:$J, $A107)</f>
        <v>0</v>
      </c>
      <c r="AU107" s="123">
        <f t="shared" si="8"/>
        <v>0</v>
      </c>
      <c r="AV107" s="121">
        <f>SUMIFS('7SepTo13Sep'!$L:$L, '7SepTo13Sep'!$J:$J, $A107)</f>
        <v>0</v>
      </c>
      <c r="AW107" s="121">
        <f>SUMIFS('7SepTo13Sep'!$K:$K, '7SepTo13Sep'!$J:$J, $A107)</f>
        <v>0</v>
      </c>
      <c r="AX107" s="121">
        <f>SUMIFS('7SepTo13Sep'!$O:$O, '7SepTo13Sep'!$J:$J, $A107)</f>
        <v>0</v>
      </c>
      <c r="AY107" s="121">
        <f>SUMIFS('7SepTo13Sep'!$P:$P, '7SepTo13Sep'!$J:$J, $A107)</f>
        <v>0</v>
      </c>
      <c r="AZ107" s="123">
        <f t="shared" si="9"/>
        <v>0</v>
      </c>
      <c r="BA107" s="121">
        <f>SUMIFS('31AugTo6Sep'!$L:$L, '31AugTo6Sep'!$J:$J, $A107)</f>
        <v>1</v>
      </c>
      <c r="BB107" s="121">
        <f>SUMIFS('31AugTo6Sep'!$K:$K, '31AugTo6Sep'!$J:$J, $A107)</f>
        <v>1</v>
      </c>
      <c r="BC107" s="121">
        <f>SUMIFS('31AugTo6Sep'!$O:$O, '31AugTo6Sep'!$J:$J, $A107)</f>
        <v>3.5</v>
      </c>
      <c r="BD107" s="121">
        <f>SUMIFS('31AugTo6Sep'!$P:$P, '31AugTo6Sep'!$J:$J, $A107)</f>
        <v>24.94</v>
      </c>
      <c r="BE107" s="123">
        <f t="shared" si="10"/>
        <v>14.033680834001602</v>
      </c>
      <c r="BF107" s="121">
        <f>SUMIFS('24AugTo29Aug'!$L:$L, '24AugTo29Aug'!$J:$J, $A107)</f>
        <v>0</v>
      </c>
      <c r="BG107" s="121">
        <f>SUMIFS('24AugTo29Aug'!$K:$K, '24AugTo29Aug'!$J:$J, $A107)</f>
        <v>0</v>
      </c>
      <c r="BH107" s="121">
        <f>SUMIFS('24AugTo29Aug'!$O:$O, '24AugTo29Aug'!$J:$J, $A107)</f>
        <v>0</v>
      </c>
      <c r="BI107" s="121">
        <f>SUMIFS('24AugTo29Aug'!$P:$P, '24AugTo29Aug'!$J:$J, $A107)</f>
        <v>0</v>
      </c>
      <c r="BJ107" s="123">
        <f t="shared" si="11"/>
        <v>0</v>
      </c>
      <c r="BK107" s="121">
        <f>SUMIFS('17AugTo21Aug'!$L:$L, '17AugTo21Aug'!$J:$J, $A107)</f>
        <v>0</v>
      </c>
      <c r="BL107" s="121">
        <f>SUMIFS('17AugTo21Aug'!$K:$K, '17AugTo21Aug'!$J:$J, $A107)</f>
        <v>0</v>
      </c>
      <c r="BM107" s="121">
        <f>SUMIFS('17AugTo21Aug'!$O:$O, '17AugTo21Aug'!$J:$J, $A107)</f>
        <v>0</v>
      </c>
      <c r="BN107" s="121">
        <f>SUMIFS('17AugTo21Aug'!$P:$P, '17AugTo21Aug'!$J:$J, $A107)</f>
        <v>0</v>
      </c>
      <c r="BO107" s="123">
        <f t="shared" si="12"/>
        <v>0</v>
      </c>
      <c r="BP107" s="121">
        <f>SUMIFS('10AugTo16Aug'!$L:$L, '10AugTo16Aug'!$J:$J, $A107)</f>
        <v>0</v>
      </c>
      <c r="BQ107" s="121">
        <f>SUMIFS('10AugTo16Aug'!$K:$K, '10AugTo16Aug'!$J:$J, $A107)</f>
        <v>0</v>
      </c>
      <c r="BR107" s="121">
        <f>SUMIFS('10AugTo16Aug'!$O:$O, '10AugTo16Aug'!$J:$J, $A107)</f>
        <v>0</v>
      </c>
      <c r="BS107" s="121">
        <f>SUMIFS('10AugTo16Aug'!$P:$P, '10AugTo16Aug'!$J:$J, $A107)</f>
        <v>0</v>
      </c>
      <c r="BT107" s="123">
        <f t="shared" si="13"/>
        <v>0</v>
      </c>
      <c r="BU107" s="121">
        <f>SUMIFS('3AugTo9Aug'!$L:$L, '3AugTo9Aug'!$J:$J, $A107)</f>
        <v>0</v>
      </c>
      <c r="BV107" s="121">
        <f>SUMIFS('3AugTo9Aug'!$K:$K, '3AugTo9Aug'!$J:$J, $A107)</f>
        <v>0</v>
      </c>
      <c r="BW107" s="121">
        <f>SUMIFS('3AugTo9Aug'!$O:$O, '3AugTo9Aug'!$J:$J, $A107)</f>
        <v>0</v>
      </c>
      <c r="BX107" s="121">
        <f>SUMIFS('3AugTo9Aug'!$P:$P, '3AugTo9Aug'!$J:$J, $A107)</f>
        <v>0</v>
      </c>
      <c r="BY107" s="123">
        <f t="shared" si="14"/>
        <v>0</v>
      </c>
      <c r="BZ107" s="121">
        <f>SUMIFS('27JulyTo2Aug'!$L:$L, '27JulyTo2Aug'!$J:$J, $A107)</f>
        <v>0</v>
      </c>
      <c r="CA107" s="121">
        <f>SUMIFS('27JulyTo2Aug'!$K:$K, '27JulyTo2Aug'!$J:$J, $A107)</f>
        <v>0</v>
      </c>
      <c r="CB107" s="121">
        <f>SUMIFS('27JulyTo2Aug'!$O:$O, '27JulyTo2Aug'!$J:$J, $A107)</f>
        <v>0</v>
      </c>
      <c r="CC107" s="121">
        <f>SUMIFS('27JulyTo2Aug'!$P:$P, '27JulyTo2Aug'!$J:$J, $A107)</f>
        <v>0</v>
      </c>
      <c r="CD107" s="123">
        <f t="shared" si="15"/>
        <v>0</v>
      </c>
    </row>
    <row r="108" spans="1:82" ht="14.25" customHeight="1" x14ac:dyDescent="0.3">
      <c r="A108" s="124" t="s">
        <v>572</v>
      </c>
      <c r="B108" s="120" t="str">
        <f t="shared" si="17"/>
        <v>NO TRAFFIC</v>
      </c>
      <c r="C108" s="121">
        <f>SUMIFS('9NovTo15Nov'!$L:$L, '9NovTo15Nov'!$J:$J, $A108)</f>
        <v>0</v>
      </c>
      <c r="D108" s="121">
        <f>SUMIFS('9NovTo15Nov'!$K:$K, '9NovTo15Nov'!$J:$J, $A108)</f>
        <v>0</v>
      </c>
      <c r="E108" s="121">
        <f>SUMIFS('9NovTo15Nov'!$O:$O, '9NovTo15Nov'!$J:$J, $A108)</f>
        <v>0</v>
      </c>
      <c r="F108" s="121">
        <f>SUMIFS('9NovTo15Nov'!$P:$P, '9NovTo15Nov'!$J:$J, $A108)</f>
        <v>0</v>
      </c>
      <c r="G108" s="122">
        <f t="shared" si="0"/>
        <v>0</v>
      </c>
      <c r="H108" s="121">
        <f>SUMIFS('2NovTo8Nov'!$L:$L, '2NovTo8Nov'!$J:$J, $A108)</f>
        <v>0</v>
      </c>
      <c r="I108" s="121">
        <f>SUMIFS('2NovTo8Nov'!$K:$K, '2NovTo8Nov'!$J:$J, $A108)</f>
        <v>0</v>
      </c>
      <c r="J108" s="121">
        <f>SUMIFS('2NovTo8Nov'!$O:$O, '2NovTo8Nov'!$J:$J, $A108)</f>
        <v>0</v>
      </c>
      <c r="K108" s="121">
        <f>SUMIFS('2NovTo8Nov'!$P:$P, '2NovTo8Nov'!$J:$J, $A108)</f>
        <v>0</v>
      </c>
      <c r="L108" s="122">
        <f t="shared" si="1"/>
        <v>0</v>
      </c>
      <c r="M108" s="121">
        <f>SUMIFS('26OctTo1Nov'!$L:$L, '26OctTo1Nov'!$J:$J, $A108)</f>
        <v>0</v>
      </c>
      <c r="N108" s="121">
        <f>SUMIFS('26OctTo1Nov'!$K:$K, '26OctTo1Nov'!$J:$J, $A108)</f>
        <v>0</v>
      </c>
      <c r="O108" s="121">
        <f>SUMIFS('26OctTo1Nov'!$O:$O, '26OctTo1Nov'!$J:$J, $A108)</f>
        <v>0</v>
      </c>
      <c r="P108" s="121">
        <f>SUMIFS('26OctTo1Nov'!$P:$P, '26OctTo1Nov'!$J:$J, $A108)</f>
        <v>0</v>
      </c>
      <c r="Q108" s="122">
        <f t="shared" si="2"/>
        <v>0</v>
      </c>
      <c r="R108" s="121">
        <f>SUMIFS('19OctTo25Oct'!$L:$L, '19OctTo25Oct'!$J:$J, $A108)</f>
        <v>0</v>
      </c>
      <c r="S108" s="121">
        <f>SUMIFS('19OctTo25Oct'!$K:$K, '19OctTo25Oct'!$J:$J, $A108)</f>
        <v>0</v>
      </c>
      <c r="T108" s="121">
        <f>SUMIFS('19OctTo25Oct'!$O:$O, '19OctTo25Oct'!$J:$J, $A108)</f>
        <v>0</v>
      </c>
      <c r="U108" s="121">
        <f>SUMIFS('19OctTo25Oct'!$P:$P, '19OctTo25Oct'!$J:$J, $A108)</f>
        <v>0</v>
      </c>
      <c r="V108" s="122">
        <f t="shared" si="3"/>
        <v>0</v>
      </c>
      <c r="W108" s="121">
        <f>SUMIFS('12OctTo18Oct'!$L:$L, '12OctTo18Oct'!$J:$J, $A108)</f>
        <v>0</v>
      </c>
      <c r="X108" s="121">
        <f>SUMIFS('12OctTo18Oct'!$K:$K, '12OctTo18Oct'!$J:$J, $A108)</f>
        <v>0</v>
      </c>
      <c r="Y108" s="121">
        <f>SUMIFS('12OctTo18Oct'!$O:$O, '12OctTo18Oct'!$J:$J, $A108)</f>
        <v>0</v>
      </c>
      <c r="Z108" s="121">
        <f>SUMIFS('12OctTo18Oct'!$P:$P, '12OctTo18Oct'!$J:$J, $A108)</f>
        <v>0</v>
      </c>
      <c r="AA108" s="122">
        <f t="shared" si="4"/>
        <v>0</v>
      </c>
      <c r="AB108" s="121">
        <f>SUMIFS('5OctTo11Oct'!$L:$L, '5OctTo11Oct'!$J:$J, $A108)</f>
        <v>0</v>
      </c>
      <c r="AC108" s="121">
        <f>SUMIFS('5OctTo11Oct'!$K:$K, '5OctTo11Oct'!$J:$J, $A108)</f>
        <v>0</v>
      </c>
      <c r="AD108" s="121">
        <f>SUMIFS('5OctTo11Oct'!$O:$O, '5OctTo11Oct'!$J:$J, $A108)</f>
        <v>0</v>
      </c>
      <c r="AE108" s="121">
        <f>SUMIFS('5OctTo11Oct'!$P:$P, '5OctTo11Oct'!$J:$J, $A108)</f>
        <v>0</v>
      </c>
      <c r="AF108" s="123">
        <f t="shared" si="5"/>
        <v>0</v>
      </c>
      <c r="AG108" s="121">
        <f>SUMIFS('28SepTo4Oct'!$L:$L, '28SepTo4Oct'!$J:$J, $A108)</f>
        <v>0</v>
      </c>
      <c r="AH108" s="121">
        <f>SUMIFS('28SepTo4Oct'!$K:$K, '28SepTo4Oct'!$J:$J, $A108)</f>
        <v>0</v>
      </c>
      <c r="AI108" s="121">
        <f>SUMIFS('28SepTo4Oct'!$O:$O, '28SepTo4Oct'!$J:$J, $A108)</f>
        <v>0</v>
      </c>
      <c r="AJ108" s="121">
        <f>SUMIFS('28SepTo4Oct'!$P:$P, '28SepTo4Oct'!$J:$J, $A108)</f>
        <v>0</v>
      </c>
      <c r="AK108" s="123">
        <f t="shared" si="6"/>
        <v>0</v>
      </c>
      <c r="AL108" s="121">
        <f>SUMIFS('21SepTo27Sep'!$L:$L, '21SepTo27Sep'!$J:$J, $A108)</f>
        <v>0</v>
      </c>
      <c r="AM108" s="121">
        <f>SUMIFS('21SepTo27Sep'!$K:$K, '21SepTo27Sep'!$J:$J, $A108)</f>
        <v>0</v>
      </c>
      <c r="AN108" s="121">
        <f>SUMIFS('21SepTo27Sep'!$O:$O, '21SepTo27Sep'!$J:$J, $A108)</f>
        <v>0</v>
      </c>
      <c r="AO108" s="121">
        <f>SUMIFS('21SepTo27Sep'!$P:$P, '21SepTo27Sep'!$J:$J, $A108)</f>
        <v>0</v>
      </c>
      <c r="AP108" s="123">
        <f t="shared" si="7"/>
        <v>0</v>
      </c>
      <c r="AQ108" s="121">
        <f>SUMIFS('14SepTo20Sep'!$L:$L, '14SepTo20Sep'!$J:$J, $A108)</f>
        <v>0</v>
      </c>
      <c r="AR108" s="121">
        <f>SUMIFS('14SepTo20Sep'!$K:$K, '14SepTo20Sep'!$J:$J, $A108)</f>
        <v>0</v>
      </c>
      <c r="AS108" s="121">
        <f>SUMIFS('14SepTo20Sep'!$O:$O, '14SepTo20Sep'!$J:$J, $A108)</f>
        <v>0</v>
      </c>
      <c r="AT108" s="121">
        <f>SUMIFS('14SepTo20Sep'!$P:$P, '14SepTo20Sep'!$J:$J, $A108)</f>
        <v>0</v>
      </c>
      <c r="AU108" s="123">
        <f t="shared" si="8"/>
        <v>0</v>
      </c>
      <c r="AV108" s="121">
        <f>SUMIFS('7SepTo13Sep'!$L:$L, '7SepTo13Sep'!$J:$J, $A108)</f>
        <v>0</v>
      </c>
      <c r="AW108" s="121">
        <f>SUMIFS('7SepTo13Sep'!$K:$K, '7SepTo13Sep'!$J:$J, $A108)</f>
        <v>0</v>
      </c>
      <c r="AX108" s="121">
        <f>SUMIFS('7SepTo13Sep'!$O:$O, '7SepTo13Sep'!$J:$J, $A108)</f>
        <v>0</v>
      </c>
      <c r="AY108" s="121">
        <f>SUMIFS('7SepTo13Sep'!$P:$P, '7SepTo13Sep'!$J:$J, $A108)</f>
        <v>0</v>
      </c>
      <c r="AZ108" s="123">
        <f t="shared" si="9"/>
        <v>0</v>
      </c>
      <c r="BA108" s="121">
        <f>SUMIFS('31AugTo6Sep'!$L:$L, '31AugTo6Sep'!$J:$J, $A108)</f>
        <v>1</v>
      </c>
      <c r="BB108" s="121">
        <f>SUMIFS('31AugTo6Sep'!$K:$K, '31AugTo6Sep'!$J:$J, $A108)</f>
        <v>3</v>
      </c>
      <c r="BC108" s="121">
        <f>SUMIFS('31AugTo6Sep'!$O:$O, '31AugTo6Sep'!$J:$J, $A108)</f>
        <v>2.5</v>
      </c>
      <c r="BD108" s="121">
        <f>SUMIFS('31AugTo6Sep'!$P:$P, '31AugTo6Sep'!$J:$J, $A108)</f>
        <v>24.94</v>
      </c>
      <c r="BE108" s="123">
        <f t="shared" si="10"/>
        <v>10.024057738572575</v>
      </c>
      <c r="BF108" s="121">
        <f>SUMIFS('24AugTo29Aug'!$L:$L, '24AugTo29Aug'!$J:$J, $A108)</f>
        <v>0</v>
      </c>
      <c r="BG108" s="121">
        <f>SUMIFS('24AugTo29Aug'!$K:$K, '24AugTo29Aug'!$J:$J, $A108)</f>
        <v>0</v>
      </c>
      <c r="BH108" s="121">
        <f>SUMIFS('24AugTo29Aug'!$O:$O, '24AugTo29Aug'!$J:$J, $A108)</f>
        <v>0</v>
      </c>
      <c r="BI108" s="121">
        <f>SUMIFS('24AugTo29Aug'!$P:$P, '24AugTo29Aug'!$J:$J, $A108)</f>
        <v>0</v>
      </c>
      <c r="BJ108" s="123">
        <f t="shared" si="11"/>
        <v>0</v>
      </c>
      <c r="BK108" s="121">
        <f>SUMIFS('17AugTo21Aug'!$L:$L, '17AugTo21Aug'!$J:$J, $A108)</f>
        <v>0</v>
      </c>
      <c r="BL108" s="121">
        <f>SUMIFS('17AugTo21Aug'!$K:$K, '17AugTo21Aug'!$J:$J, $A108)</f>
        <v>0</v>
      </c>
      <c r="BM108" s="121">
        <f>SUMIFS('17AugTo21Aug'!$O:$O, '17AugTo21Aug'!$J:$J, $A108)</f>
        <v>0</v>
      </c>
      <c r="BN108" s="121">
        <f>SUMIFS('17AugTo21Aug'!$P:$P, '17AugTo21Aug'!$J:$J, $A108)</f>
        <v>0</v>
      </c>
      <c r="BO108" s="123">
        <f t="shared" si="12"/>
        <v>0</v>
      </c>
      <c r="BP108" s="121">
        <f>SUMIFS('10AugTo16Aug'!$L:$L, '10AugTo16Aug'!$J:$J, $A108)</f>
        <v>0</v>
      </c>
      <c r="BQ108" s="121">
        <f>SUMIFS('10AugTo16Aug'!$K:$K, '10AugTo16Aug'!$J:$J, $A108)</f>
        <v>0</v>
      </c>
      <c r="BR108" s="121">
        <f>SUMIFS('10AugTo16Aug'!$O:$O, '10AugTo16Aug'!$J:$J, $A108)</f>
        <v>0</v>
      </c>
      <c r="BS108" s="121">
        <f>SUMIFS('10AugTo16Aug'!$P:$P, '10AugTo16Aug'!$J:$J, $A108)</f>
        <v>0</v>
      </c>
      <c r="BT108" s="123">
        <f t="shared" si="13"/>
        <v>0</v>
      </c>
      <c r="BU108" s="121">
        <f>SUMIFS('3AugTo9Aug'!$L:$L, '3AugTo9Aug'!$J:$J, $A108)</f>
        <v>0</v>
      </c>
      <c r="BV108" s="121">
        <f>SUMIFS('3AugTo9Aug'!$K:$K, '3AugTo9Aug'!$J:$J, $A108)</f>
        <v>0</v>
      </c>
      <c r="BW108" s="121">
        <f>SUMIFS('3AugTo9Aug'!$O:$O, '3AugTo9Aug'!$J:$J, $A108)</f>
        <v>0</v>
      </c>
      <c r="BX108" s="121">
        <f>SUMIFS('3AugTo9Aug'!$P:$P, '3AugTo9Aug'!$J:$J, $A108)</f>
        <v>0</v>
      </c>
      <c r="BY108" s="123">
        <f t="shared" si="14"/>
        <v>0</v>
      </c>
      <c r="BZ108" s="121">
        <f>SUMIFS('27JulyTo2Aug'!$L:$L, '27JulyTo2Aug'!$J:$J, $A108)</f>
        <v>0</v>
      </c>
      <c r="CA108" s="121">
        <f>SUMIFS('27JulyTo2Aug'!$K:$K, '27JulyTo2Aug'!$J:$J, $A108)</f>
        <v>0</v>
      </c>
      <c r="CB108" s="121">
        <f>SUMIFS('27JulyTo2Aug'!$O:$O, '27JulyTo2Aug'!$J:$J, $A108)</f>
        <v>0</v>
      </c>
      <c r="CC108" s="121">
        <f>SUMIFS('27JulyTo2Aug'!$P:$P, '27JulyTo2Aug'!$J:$J, $A108)</f>
        <v>0</v>
      </c>
      <c r="CD108" s="123">
        <f t="shared" si="15"/>
        <v>0</v>
      </c>
    </row>
    <row r="109" spans="1:82" ht="14.25" customHeight="1" x14ac:dyDescent="0.3">
      <c r="A109" s="124" t="s">
        <v>574</v>
      </c>
      <c r="B109" s="120" t="str">
        <f t="shared" si="17"/>
        <v>NO TRAFFIC</v>
      </c>
      <c r="C109" s="121">
        <f>SUMIFS('9NovTo15Nov'!$L:$L, '9NovTo15Nov'!$J:$J, $A109)</f>
        <v>0</v>
      </c>
      <c r="D109" s="121">
        <f>SUMIFS('9NovTo15Nov'!$K:$K, '9NovTo15Nov'!$J:$J, $A109)</f>
        <v>0</v>
      </c>
      <c r="E109" s="121">
        <f>SUMIFS('9NovTo15Nov'!$O:$O, '9NovTo15Nov'!$J:$J, $A109)</f>
        <v>0</v>
      </c>
      <c r="F109" s="121">
        <f>SUMIFS('9NovTo15Nov'!$P:$P, '9NovTo15Nov'!$J:$J, $A109)</f>
        <v>0</v>
      </c>
      <c r="G109" s="122">
        <f t="shared" si="0"/>
        <v>0</v>
      </c>
      <c r="H109" s="121">
        <f>SUMIFS('2NovTo8Nov'!$L:$L, '2NovTo8Nov'!$J:$J, $A109)</f>
        <v>0</v>
      </c>
      <c r="I109" s="121">
        <f>SUMIFS('2NovTo8Nov'!$K:$K, '2NovTo8Nov'!$J:$J, $A109)</f>
        <v>0</v>
      </c>
      <c r="J109" s="121">
        <f>SUMIFS('2NovTo8Nov'!$O:$O, '2NovTo8Nov'!$J:$J, $A109)</f>
        <v>0</v>
      </c>
      <c r="K109" s="121">
        <f>SUMIFS('2NovTo8Nov'!$P:$P, '2NovTo8Nov'!$J:$J, $A109)</f>
        <v>0</v>
      </c>
      <c r="L109" s="122">
        <f t="shared" si="1"/>
        <v>0</v>
      </c>
      <c r="M109" s="121">
        <f>SUMIFS('26OctTo1Nov'!$L:$L, '26OctTo1Nov'!$J:$J, $A109)</f>
        <v>0</v>
      </c>
      <c r="N109" s="121">
        <f>SUMIFS('26OctTo1Nov'!$K:$K, '26OctTo1Nov'!$J:$J, $A109)</f>
        <v>0</v>
      </c>
      <c r="O109" s="121">
        <f>SUMIFS('26OctTo1Nov'!$O:$O, '26OctTo1Nov'!$J:$J, $A109)</f>
        <v>0</v>
      </c>
      <c r="P109" s="121">
        <f>SUMIFS('26OctTo1Nov'!$P:$P, '26OctTo1Nov'!$J:$J, $A109)</f>
        <v>0</v>
      </c>
      <c r="Q109" s="122">
        <f t="shared" si="2"/>
        <v>0</v>
      </c>
      <c r="R109" s="121">
        <f>SUMIFS('19OctTo25Oct'!$L:$L, '19OctTo25Oct'!$J:$J, $A109)</f>
        <v>0</v>
      </c>
      <c r="S109" s="121">
        <f>SUMIFS('19OctTo25Oct'!$K:$K, '19OctTo25Oct'!$J:$J, $A109)</f>
        <v>0</v>
      </c>
      <c r="T109" s="121">
        <f>SUMIFS('19OctTo25Oct'!$O:$O, '19OctTo25Oct'!$J:$J, $A109)</f>
        <v>0</v>
      </c>
      <c r="U109" s="121">
        <f>SUMIFS('19OctTo25Oct'!$P:$P, '19OctTo25Oct'!$J:$J, $A109)</f>
        <v>0</v>
      </c>
      <c r="V109" s="122">
        <f t="shared" si="3"/>
        <v>0</v>
      </c>
      <c r="W109" s="121">
        <f>SUMIFS('12OctTo18Oct'!$L:$L, '12OctTo18Oct'!$J:$J, $A109)</f>
        <v>0</v>
      </c>
      <c r="X109" s="121">
        <f>SUMIFS('12OctTo18Oct'!$K:$K, '12OctTo18Oct'!$J:$J, $A109)</f>
        <v>0</v>
      </c>
      <c r="Y109" s="121">
        <f>SUMIFS('12OctTo18Oct'!$O:$O, '12OctTo18Oct'!$J:$J, $A109)</f>
        <v>0</v>
      </c>
      <c r="Z109" s="121">
        <f>SUMIFS('12OctTo18Oct'!$P:$P, '12OctTo18Oct'!$J:$J, $A109)</f>
        <v>0</v>
      </c>
      <c r="AA109" s="122">
        <f t="shared" si="4"/>
        <v>0</v>
      </c>
      <c r="AB109" s="121">
        <f>SUMIFS('5OctTo11Oct'!$L:$L, '5OctTo11Oct'!$J:$J, $A109)</f>
        <v>0</v>
      </c>
      <c r="AC109" s="121">
        <f>SUMIFS('5OctTo11Oct'!$K:$K, '5OctTo11Oct'!$J:$J, $A109)</f>
        <v>0</v>
      </c>
      <c r="AD109" s="121">
        <f>SUMIFS('5OctTo11Oct'!$O:$O, '5OctTo11Oct'!$J:$J, $A109)</f>
        <v>0</v>
      </c>
      <c r="AE109" s="121">
        <f>SUMIFS('5OctTo11Oct'!$P:$P, '5OctTo11Oct'!$J:$J, $A109)</f>
        <v>0</v>
      </c>
      <c r="AF109" s="123">
        <f t="shared" si="5"/>
        <v>0</v>
      </c>
      <c r="AG109" s="121">
        <f>SUMIFS('28SepTo4Oct'!$L:$L, '28SepTo4Oct'!$J:$J, $A109)</f>
        <v>0</v>
      </c>
      <c r="AH109" s="121">
        <f>SUMIFS('28SepTo4Oct'!$K:$K, '28SepTo4Oct'!$J:$J, $A109)</f>
        <v>0</v>
      </c>
      <c r="AI109" s="121">
        <f>SUMIFS('28SepTo4Oct'!$O:$O, '28SepTo4Oct'!$J:$J, $A109)</f>
        <v>0</v>
      </c>
      <c r="AJ109" s="121">
        <f>SUMIFS('28SepTo4Oct'!$P:$P, '28SepTo4Oct'!$J:$J, $A109)</f>
        <v>0</v>
      </c>
      <c r="AK109" s="123">
        <f t="shared" si="6"/>
        <v>0</v>
      </c>
      <c r="AL109" s="121">
        <f>SUMIFS('21SepTo27Sep'!$L:$L, '21SepTo27Sep'!$J:$J, $A109)</f>
        <v>0</v>
      </c>
      <c r="AM109" s="121">
        <f>SUMIFS('21SepTo27Sep'!$K:$K, '21SepTo27Sep'!$J:$J, $A109)</f>
        <v>0</v>
      </c>
      <c r="AN109" s="121">
        <f>SUMIFS('21SepTo27Sep'!$O:$O, '21SepTo27Sep'!$J:$J, $A109)</f>
        <v>0</v>
      </c>
      <c r="AO109" s="121">
        <f>SUMIFS('21SepTo27Sep'!$P:$P, '21SepTo27Sep'!$J:$J, $A109)</f>
        <v>0</v>
      </c>
      <c r="AP109" s="123">
        <f t="shared" si="7"/>
        <v>0</v>
      </c>
      <c r="AQ109" s="121">
        <f>SUMIFS('14SepTo20Sep'!$L:$L, '14SepTo20Sep'!$J:$J, $A109)</f>
        <v>0</v>
      </c>
      <c r="AR109" s="121">
        <f>SUMIFS('14SepTo20Sep'!$K:$K, '14SepTo20Sep'!$J:$J, $A109)</f>
        <v>0</v>
      </c>
      <c r="AS109" s="121">
        <f>SUMIFS('14SepTo20Sep'!$O:$O, '14SepTo20Sep'!$J:$J, $A109)</f>
        <v>0</v>
      </c>
      <c r="AT109" s="121">
        <f>SUMIFS('14SepTo20Sep'!$P:$P, '14SepTo20Sep'!$J:$J, $A109)</f>
        <v>0</v>
      </c>
      <c r="AU109" s="123">
        <f t="shared" si="8"/>
        <v>0</v>
      </c>
      <c r="AV109" s="121">
        <f>SUMIFS('7SepTo13Sep'!$L:$L, '7SepTo13Sep'!$J:$J, $A109)</f>
        <v>0</v>
      </c>
      <c r="AW109" s="121">
        <f>SUMIFS('7SepTo13Sep'!$K:$K, '7SepTo13Sep'!$J:$J, $A109)</f>
        <v>0</v>
      </c>
      <c r="AX109" s="121">
        <f>SUMIFS('7SepTo13Sep'!$O:$O, '7SepTo13Sep'!$J:$J, $A109)</f>
        <v>0</v>
      </c>
      <c r="AY109" s="121">
        <f>SUMIFS('7SepTo13Sep'!$P:$P, '7SepTo13Sep'!$J:$J, $A109)</f>
        <v>0</v>
      </c>
      <c r="AZ109" s="123">
        <f t="shared" si="9"/>
        <v>0</v>
      </c>
      <c r="BA109" s="121">
        <f>SUMIFS('31AugTo6Sep'!$L:$L, '31AugTo6Sep'!$J:$J, $A109)</f>
        <v>1</v>
      </c>
      <c r="BB109" s="121">
        <f>SUMIFS('31AugTo6Sep'!$K:$K, '31AugTo6Sep'!$J:$J, $A109)</f>
        <v>1</v>
      </c>
      <c r="BC109" s="121">
        <f>SUMIFS('31AugTo6Sep'!$O:$O, '31AugTo6Sep'!$J:$J, $A109)</f>
        <v>2.5</v>
      </c>
      <c r="BD109" s="121">
        <f>SUMIFS('31AugTo6Sep'!$P:$P, '31AugTo6Sep'!$J:$J, $A109)</f>
        <v>24.94</v>
      </c>
      <c r="BE109" s="123">
        <f t="shared" si="10"/>
        <v>10.024057738572575</v>
      </c>
      <c r="BF109" s="121">
        <f>SUMIFS('24AugTo29Aug'!$L:$L, '24AugTo29Aug'!$J:$J, $A109)</f>
        <v>0</v>
      </c>
      <c r="BG109" s="121">
        <f>SUMIFS('24AugTo29Aug'!$K:$K, '24AugTo29Aug'!$J:$J, $A109)</f>
        <v>0</v>
      </c>
      <c r="BH109" s="121">
        <f>SUMIFS('24AugTo29Aug'!$O:$O, '24AugTo29Aug'!$J:$J, $A109)</f>
        <v>0</v>
      </c>
      <c r="BI109" s="121">
        <f>SUMIFS('24AugTo29Aug'!$P:$P, '24AugTo29Aug'!$J:$J, $A109)</f>
        <v>0</v>
      </c>
      <c r="BJ109" s="123">
        <f t="shared" si="11"/>
        <v>0</v>
      </c>
      <c r="BK109" s="121">
        <f>SUMIFS('17AugTo21Aug'!$L:$L, '17AugTo21Aug'!$J:$J, $A109)</f>
        <v>0</v>
      </c>
      <c r="BL109" s="121">
        <f>SUMIFS('17AugTo21Aug'!$K:$K, '17AugTo21Aug'!$J:$J, $A109)</f>
        <v>0</v>
      </c>
      <c r="BM109" s="121">
        <f>SUMIFS('17AugTo21Aug'!$O:$O, '17AugTo21Aug'!$J:$J, $A109)</f>
        <v>0</v>
      </c>
      <c r="BN109" s="121">
        <f>SUMIFS('17AugTo21Aug'!$P:$P, '17AugTo21Aug'!$J:$J, $A109)</f>
        <v>0</v>
      </c>
      <c r="BO109" s="123">
        <f t="shared" si="12"/>
        <v>0</v>
      </c>
      <c r="BP109" s="121">
        <f>SUMIFS('10AugTo16Aug'!$L:$L, '10AugTo16Aug'!$J:$J, $A109)</f>
        <v>0</v>
      </c>
      <c r="BQ109" s="121">
        <f>SUMIFS('10AugTo16Aug'!$K:$K, '10AugTo16Aug'!$J:$J, $A109)</f>
        <v>0</v>
      </c>
      <c r="BR109" s="121">
        <f>SUMIFS('10AugTo16Aug'!$O:$O, '10AugTo16Aug'!$J:$J, $A109)</f>
        <v>0</v>
      </c>
      <c r="BS109" s="121">
        <f>SUMIFS('10AugTo16Aug'!$P:$P, '10AugTo16Aug'!$J:$J, $A109)</f>
        <v>0</v>
      </c>
      <c r="BT109" s="123">
        <f t="shared" si="13"/>
        <v>0</v>
      </c>
      <c r="BU109" s="121">
        <f>SUMIFS('3AugTo9Aug'!$L:$L, '3AugTo9Aug'!$J:$J, $A109)</f>
        <v>0</v>
      </c>
      <c r="BV109" s="121">
        <f>SUMIFS('3AugTo9Aug'!$K:$K, '3AugTo9Aug'!$J:$J, $A109)</f>
        <v>0</v>
      </c>
      <c r="BW109" s="121">
        <f>SUMIFS('3AugTo9Aug'!$O:$O, '3AugTo9Aug'!$J:$J, $A109)</f>
        <v>0</v>
      </c>
      <c r="BX109" s="121">
        <f>SUMIFS('3AugTo9Aug'!$P:$P, '3AugTo9Aug'!$J:$J, $A109)</f>
        <v>0</v>
      </c>
      <c r="BY109" s="123">
        <f t="shared" si="14"/>
        <v>0</v>
      </c>
      <c r="BZ109" s="121">
        <f>SUMIFS('27JulyTo2Aug'!$L:$L, '27JulyTo2Aug'!$J:$J, $A109)</f>
        <v>0</v>
      </c>
      <c r="CA109" s="121">
        <f>SUMIFS('27JulyTo2Aug'!$K:$K, '27JulyTo2Aug'!$J:$J, $A109)</f>
        <v>0</v>
      </c>
      <c r="CB109" s="121">
        <f>SUMIFS('27JulyTo2Aug'!$O:$O, '27JulyTo2Aug'!$J:$J, $A109)</f>
        <v>0</v>
      </c>
      <c r="CC109" s="121">
        <f>SUMIFS('27JulyTo2Aug'!$P:$P, '27JulyTo2Aug'!$J:$J, $A109)</f>
        <v>0</v>
      </c>
      <c r="CD109" s="123">
        <f t="shared" si="15"/>
        <v>0</v>
      </c>
    </row>
    <row r="110" spans="1:82" ht="14.25" customHeight="1" x14ac:dyDescent="0.3">
      <c r="A110" s="130" t="s">
        <v>576</v>
      </c>
      <c r="B110" s="120" t="str">
        <f t="shared" si="17"/>
        <v>NO TRAFFIC</v>
      </c>
      <c r="C110" s="121">
        <f>SUMIFS('9NovTo15Nov'!$L:$L, '9NovTo15Nov'!$J:$J, $A110)</f>
        <v>0</v>
      </c>
      <c r="D110" s="121">
        <f>SUMIFS('9NovTo15Nov'!$K:$K, '9NovTo15Nov'!$J:$J, $A110)</f>
        <v>0</v>
      </c>
      <c r="E110" s="121">
        <f>SUMIFS('9NovTo15Nov'!$O:$O, '9NovTo15Nov'!$J:$J, $A110)</f>
        <v>0</v>
      </c>
      <c r="F110" s="121">
        <f>SUMIFS('9NovTo15Nov'!$P:$P, '9NovTo15Nov'!$J:$J, $A110)</f>
        <v>0</v>
      </c>
      <c r="G110" s="122">
        <f t="shared" si="0"/>
        <v>0</v>
      </c>
      <c r="H110" s="121">
        <f>SUMIFS('2NovTo8Nov'!$L:$L, '2NovTo8Nov'!$J:$J, $A110)</f>
        <v>0</v>
      </c>
      <c r="I110" s="121">
        <f>SUMIFS('2NovTo8Nov'!$K:$K, '2NovTo8Nov'!$J:$J, $A110)</f>
        <v>0</v>
      </c>
      <c r="J110" s="121">
        <f>SUMIFS('2NovTo8Nov'!$O:$O, '2NovTo8Nov'!$J:$J, $A110)</f>
        <v>0</v>
      </c>
      <c r="K110" s="121">
        <f>SUMIFS('2NovTo8Nov'!$P:$P, '2NovTo8Nov'!$J:$J, $A110)</f>
        <v>0</v>
      </c>
      <c r="L110" s="122">
        <f t="shared" si="1"/>
        <v>0</v>
      </c>
      <c r="M110" s="121">
        <f>SUMIFS('26OctTo1Nov'!$L:$L, '26OctTo1Nov'!$J:$J, $A110)</f>
        <v>0</v>
      </c>
      <c r="N110" s="121">
        <f>SUMIFS('26OctTo1Nov'!$K:$K, '26OctTo1Nov'!$J:$J, $A110)</f>
        <v>0</v>
      </c>
      <c r="O110" s="121">
        <f>SUMIFS('26OctTo1Nov'!$O:$O, '26OctTo1Nov'!$J:$J, $A110)</f>
        <v>0</v>
      </c>
      <c r="P110" s="121">
        <f>SUMIFS('26OctTo1Nov'!$P:$P, '26OctTo1Nov'!$J:$J, $A110)</f>
        <v>0</v>
      </c>
      <c r="Q110" s="122">
        <f t="shared" si="2"/>
        <v>0</v>
      </c>
      <c r="R110" s="121">
        <f>SUMIFS('19OctTo25Oct'!$L:$L, '19OctTo25Oct'!$J:$J, $A110)</f>
        <v>0</v>
      </c>
      <c r="S110" s="121">
        <f>SUMIFS('19OctTo25Oct'!$K:$K, '19OctTo25Oct'!$J:$J, $A110)</f>
        <v>0</v>
      </c>
      <c r="T110" s="121">
        <f>SUMIFS('19OctTo25Oct'!$O:$O, '19OctTo25Oct'!$J:$J, $A110)</f>
        <v>0</v>
      </c>
      <c r="U110" s="121">
        <f>SUMIFS('19OctTo25Oct'!$P:$P, '19OctTo25Oct'!$J:$J, $A110)</f>
        <v>0</v>
      </c>
      <c r="V110" s="122">
        <f t="shared" si="3"/>
        <v>0</v>
      </c>
      <c r="W110" s="121">
        <f>SUMIFS('12OctTo18Oct'!$L:$L, '12OctTo18Oct'!$J:$J, $A110)</f>
        <v>0</v>
      </c>
      <c r="X110" s="121">
        <f>SUMIFS('12OctTo18Oct'!$K:$K, '12OctTo18Oct'!$J:$J, $A110)</f>
        <v>0</v>
      </c>
      <c r="Y110" s="121">
        <f>SUMIFS('12OctTo18Oct'!$O:$O, '12OctTo18Oct'!$J:$J, $A110)</f>
        <v>0</v>
      </c>
      <c r="Z110" s="121">
        <f>SUMIFS('12OctTo18Oct'!$P:$P, '12OctTo18Oct'!$J:$J, $A110)</f>
        <v>0</v>
      </c>
      <c r="AA110" s="122">
        <f t="shared" si="4"/>
        <v>0</v>
      </c>
      <c r="AB110" s="121">
        <f>SUMIFS('5OctTo11Oct'!$L:$L, '5OctTo11Oct'!$J:$J, $A110)</f>
        <v>0</v>
      </c>
      <c r="AC110" s="121">
        <f>SUMIFS('5OctTo11Oct'!$K:$K, '5OctTo11Oct'!$J:$J, $A110)</f>
        <v>0</v>
      </c>
      <c r="AD110" s="121">
        <f>SUMIFS('5OctTo11Oct'!$O:$O, '5OctTo11Oct'!$J:$J, $A110)</f>
        <v>0</v>
      </c>
      <c r="AE110" s="121">
        <f>SUMIFS('5OctTo11Oct'!$P:$P, '5OctTo11Oct'!$J:$J, $A110)</f>
        <v>0</v>
      </c>
      <c r="AF110" s="123">
        <f t="shared" si="5"/>
        <v>0</v>
      </c>
      <c r="AG110" s="129">
        <f>SUMIFS('28SepTo4Oct'!$L:$L, '28SepTo4Oct'!$J:$J, $A110)</f>
        <v>0</v>
      </c>
      <c r="AH110" s="129">
        <f>SUMIFS('28SepTo4Oct'!$K:$K, '28SepTo4Oct'!$J:$J, $A110)</f>
        <v>0</v>
      </c>
      <c r="AI110" s="129">
        <f>SUMIFS('28SepTo4Oct'!$O:$O, '28SepTo4Oct'!$J:$J, $A110)</f>
        <v>0</v>
      </c>
      <c r="AJ110" s="129">
        <f>SUMIFS('28SepTo4Oct'!$P:$P, '28SepTo4Oct'!$J:$J, $A110)</f>
        <v>0</v>
      </c>
      <c r="AK110" s="123">
        <f t="shared" si="6"/>
        <v>0</v>
      </c>
      <c r="AL110" s="129">
        <f>SUMIFS('21SepTo27Sep'!$L:$L, '21SepTo27Sep'!$J:$J, $A110)</f>
        <v>0</v>
      </c>
      <c r="AM110" s="129">
        <f>SUMIFS('21SepTo27Sep'!$K:$K, '21SepTo27Sep'!$J:$J, $A110)</f>
        <v>0</v>
      </c>
      <c r="AN110" s="121">
        <f>SUMIFS('21SepTo27Sep'!$O:$O, '21SepTo27Sep'!$J:$J, $A110)</f>
        <v>0</v>
      </c>
      <c r="AO110" s="129">
        <f>SUMIFS('21SepTo27Sep'!$P:$P, '21SepTo27Sep'!$J:$J, $A110)</f>
        <v>0</v>
      </c>
      <c r="AP110" s="123">
        <f t="shared" si="7"/>
        <v>0</v>
      </c>
      <c r="AQ110" s="129">
        <f>SUMIFS('14SepTo20Sep'!$L:$L, '14SepTo20Sep'!$J:$J, $A110)</f>
        <v>0</v>
      </c>
      <c r="AR110" s="129">
        <f>SUMIFS('14SepTo20Sep'!$K:$K, '14SepTo20Sep'!$J:$J, $A110)</f>
        <v>0</v>
      </c>
      <c r="AS110" s="121">
        <f>SUMIFS('14SepTo20Sep'!$O:$O, '14SepTo20Sep'!$J:$J, $A110)</f>
        <v>0</v>
      </c>
      <c r="AT110" s="129">
        <f>SUMIFS('14SepTo20Sep'!$P:$P, '14SepTo20Sep'!$J:$J, $A110)</f>
        <v>0</v>
      </c>
      <c r="AU110" s="123">
        <f t="shared" si="8"/>
        <v>0</v>
      </c>
      <c r="AV110" s="129">
        <f>SUMIFS('7SepTo13Sep'!$L:$L, '7SepTo13Sep'!$J:$J, $A110)</f>
        <v>0</v>
      </c>
      <c r="AW110" s="129">
        <f>SUMIFS('7SepTo13Sep'!$K:$K, '7SepTo13Sep'!$J:$J, $A110)</f>
        <v>0</v>
      </c>
      <c r="AX110" s="121">
        <f>SUMIFS('7SepTo13Sep'!$O:$O, '7SepTo13Sep'!$J:$J, $A110)</f>
        <v>0</v>
      </c>
      <c r="AY110" s="129">
        <f>SUMIFS('7SepTo13Sep'!$P:$P, '7SepTo13Sep'!$J:$J, $A110)</f>
        <v>0</v>
      </c>
      <c r="AZ110" s="123">
        <f t="shared" si="9"/>
        <v>0</v>
      </c>
      <c r="BA110" s="129">
        <f>SUMIFS('31AugTo6Sep'!$L:$L, '31AugTo6Sep'!$J:$J, $A110)</f>
        <v>1</v>
      </c>
      <c r="BB110" s="129">
        <f>SUMIFS('31AugTo6Sep'!$K:$K, '31AugTo6Sep'!$J:$J, $A110)</f>
        <v>1</v>
      </c>
      <c r="BC110" s="121">
        <f>SUMIFS('31AugTo6Sep'!$O:$O, '31AugTo6Sep'!$J:$J, $A110)</f>
        <v>2.39</v>
      </c>
      <c r="BD110" s="129">
        <f>SUMIFS('31AugTo6Sep'!$P:$P, '31AugTo6Sep'!$J:$J, $A110)</f>
        <v>24.94</v>
      </c>
      <c r="BE110" s="123">
        <f t="shared" si="10"/>
        <v>9.582999198075381</v>
      </c>
      <c r="BF110" s="129">
        <f>SUMIFS('24AugTo29Aug'!$L:$L, '24AugTo29Aug'!$J:$J, $A110)</f>
        <v>0</v>
      </c>
      <c r="BG110" s="129">
        <f>SUMIFS('24AugTo29Aug'!$K:$K, '24AugTo29Aug'!$J:$J, $A110)</f>
        <v>0</v>
      </c>
      <c r="BH110" s="121">
        <f>SUMIFS('24AugTo29Aug'!$O:$O, '24AugTo29Aug'!$J:$J, $A110)</f>
        <v>0</v>
      </c>
      <c r="BI110" s="129">
        <f>SUMIFS('24AugTo29Aug'!$P:$P, '24AugTo29Aug'!$J:$J, $A110)</f>
        <v>0</v>
      </c>
      <c r="BJ110" s="123">
        <f t="shared" si="11"/>
        <v>0</v>
      </c>
      <c r="BK110" s="129">
        <f>SUMIFS('17AugTo21Aug'!$L:$L, '17AugTo21Aug'!$J:$J, $A110)</f>
        <v>0</v>
      </c>
      <c r="BL110" s="129">
        <f>SUMIFS('17AugTo21Aug'!$K:$K, '17AugTo21Aug'!$J:$J, $A110)</f>
        <v>0</v>
      </c>
      <c r="BM110" s="121">
        <f>SUMIFS('17AugTo21Aug'!$O:$O, '17AugTo21Aug'!$J:$J, $A110)</f>
        <v>0</v>
      </c>
      <c r="BN110" s="129">
        <f>SUMIFS('17AugTo21Aug'!$P:$P, '17AugTo21Aug'!$J:$J, $A110)</f>
        <v>0</v>
      </c>
      <c r="BO110" s="123">
        <f t="shared" si="12"/>
        <v>0</v>
      </c>
      <c r="BP110" s="129">
        <f>SUMIFS('10AugTo16Aug'!$L:$L, '10AugTo16Aug'!$J:$J, $A110)</f>
        <v>0</v>
      </c>
      <c r="BQ110" s="129">
        <f>SUMIFS('10AugTo16Aug'!$K:$K, '10AugTo16Aug'!$J:$J, $A110)</f>
        <v>0</v>
      </c>
      <c r="BR110" s="121">
        <f>SUMIFS('10AugTo16Aug'!$O:$O, '10AugTo16Aug'!$J:$J, $A110)</f>
        <v>0</v>
      </c>
      <c r="BS110" s="129">
        <f>SUMIFS('10AugTo16Aug'!$P:$P, '10AugTo16Aug'!$J:$J, $A110)</f>
        <v>0</v>
      </c>
      <c r="BT110" s="123">
        <f t="shared" si="13"/>
        <v>0</v>
      </c>
      <c r="BU110" s="129">
        <f>SUMIFS('3AugTo9Aug'!$L:$L, '3AugTo9Aug'!$J:$J, $A110)</f>
        <v>0</v>
      </c>
      <c r="BV110" s="129">
        <f>SUMIFS('3AugTo9Aug'!$K:$K, '3AugTo9Aug'!$J:$J, $A110)</f>
        <v>0</v>
      </c>
      <c r="BW110" s="121">
        <f>SUMIFS('3AugTo9Aug'!$O:$O, '3AugTo9Aug'!$J:$J, $A110)</f>
        <v>0</v>
      </c>
      <c r="BX110" s="129">
        <f>SUMIFS('3AugTo9Aug'!$P:$P, '3AugTo9Aug'!$J:$J, $A110)</f>
        <v>0</v>
      </c>
      <c r="BY110" s="123">
        <f t="shared" si="14"/>
        <v>0</v>
      </c>
      <c r="BZ110" s="129">
        <f>SUMIFS('27JulyTo2Aug'!$L:$L, '27JulyTo2Aug'!$J:$J, $A110)</f>
        <v>0</v>
      </c>
      <c r="CA110" s="129">
        <f>SUMIFS('27JulyTo2Aug'!$K:$K, '27JulyTo2Aug'!$J:$J, $A110)</f>
        <v>0</v>
      </c>
      <c r="CB110" s="121">
        <f>SUMIFS('27JulyTo2Aug'!$O:$O, '27JulyTo2Aug'!$J:$J, $A110)</f>
        <v>0</v>
      </c>
      <c r="CC110" s="129">
        <f>SUMIFS('27JulyTo2Aug'!$P:$P, '27JulyTo2Aug'!$J:$J, $A110)</f>
        <v>0</v>
      </c>
      <c r="CD110" s="123">
        <f t="shared" si="15"/>
        <v>0</v>
      </c>
    </row>
    <row r="111" spans="1:82" ht="14.25" customHeight="1" x14ac:dyDescent="0.3">
      <c r="A111" s="124" t="s">
        <v>578</v>
      </c>
      <c r="B111" s="120" t="str">
        <f t="shared" si="17"/>
        <v>NO TRAFFIC</v>
      </c>
      <c r="C111" s="121">
        <f>SUMIFS('9NovTo15Nov'!$L:$L, '9NovTo15Nov'!$J:$J, $A111)</f>
        <v>0</v>
      </c>
      <c r="D111" s="121">
        <f>SUMIFS('9NovTo15Nov'!$K:$K, '9NovTo15Nov'!$J:$J, $A111)</f>
        <v>0</v>
      </c>
      <c r="E111" s="121">
        <f>SUMIFS('9NovTo15Nov'!$O:$O, '9NovTo15Nov'!$J:$J, $A111)</f>
        <v>0</v>
      </c>
      <c r="F111" s="121">
        <f>SUMIFS('9NovTo15Nov'!$P:$P, '9NovTo15Nov'!$J:$J, $A111)</f>
        <v>0</v>
      </c>
      <c r="G111" s="122">
        <f t="shared" si="0"/>
        <v>0</v>
      </c>
      <c r="H111" s="121">
        <f>SUMIFS('2NovTo8Nov'!$L:$L, '2NovTo8Nov'!$J:$J, $A111)</f>
        <v>0</v>
      </c>
      <c r="I111" s="121">
        <f>SUMIFS('2NovTo8Nov'!$K:$K, '2NovTo8Nov'!$J:$J, $A111)</f>
        <v>0</v>
      </c>
      <c r="J111" s="121">
        <f>SUMIFS('2NovTo8Nov'!$O:$O, '2NovTo8Nov'!$J:$J, $A111)</f>
        <v>0</v>
      </c>
      <c r="K111" s="121">
        <f>SUMIFS('2NovTo8Nov'!$P:$P, '2NovTo8Nov'!$J:$J, $A111)</f>
        <v>0</v>
      </c>
      <c r="L111" s="122">
        <f t="shared" si="1"/>
        <v>0</v>
      </c>
      <c r="M111" s="121">
        <f>SUMIFS('26OctTo1Nov'!$L:$L, '26OctTo1Nov'!$J:$J, $A111)</f>
        <v>0</v>
      </c>
      <c r="N111" s="121">
        <f>SUMIFS('26OctTo1Nov'!$K:$K, '26OctTo1Nov'!$J:$J, $A111)</f>
        <v>0</v>
      </c>
      <c r="O111" s="121">
        <f>SUMIFS('26OctTo1Nov'!$O:$O, '26OctTo1Nov'!$J:$J, $A111)</f>
        <v>0</v>
      </c>
      <c r="P111" s="121">
        <f>SUMIFS('26OctTo1Nov'!$P:$P, '26OctTo1Nov'!$J:$J, $A111)</f>
        <v>0</v>
      </c>
      <c r="Q111" s="122">
        <f t="shared" si="2"/>
        <v>0</v>
      </c>
      <c r="R111" s="121">
        <f>SUMIFS('19OctTo25Oct'!$L:$L, '19OctTo25Oct'!$J:$J, $A111)</f>
        <v>0</v>
      </c>
      <c r="S111" s="121">
        <f>SUMIFS('19OctTo25Oct'!$K:$K, '19OctTo25Oct'!$J:$J, $A111)</f>
        <v>0</v>
      </c>
      <c r="T111" s="121">
        <f>SUMIFS('19OctTo25Oct'!$O:$O, '19OctTo25Oct'!$J:$J, $A111)</f>
        <v>0</v>
      </c>
      <c r="U111" s="121">
        <f>SUMIFS('19OctTo25Oct'!$P:$P, '19OctTo25Oct'!$J:$J, $A111)</f>
        <v>0</v>
      </c>
      <c r="V111" s="122">
        <f t="shared" si="3"/>
        <v>0</v>
      </c>
      <c r="W111" s="121">
        <f>SUMIFS('12OctTo18Oct'!$L:$L, '12OctTo18Oct'!$J:$J, $A111)</f>
        <v>0</v>
      </c>
      <c r="X111" s="121">
        <f>SUMIFS('12OctTo18Oct'!$K:$K, '12OctTo18Oct'!$J:$J, $A111)</f>
        <v>0</v>
      </c>
      <c r="Y111" s="121">
        <f>SUMIFS('12OctTo18Oct'!$O:$O, '12OctTo18Oct'!$J:$J, $A111)</f>
        <v>0</v>
      </c>
      <c r="Z111" s="121">
        <f>SUMIFS('12OctTo18Oct'!$P:$P, '12OctTo18Oct'!$J:$J, $A111)</f>
        <v>0</v>
      </c>
      <c r="AA111" s="122">
        <f t="shared" si="4"/>
        <v>0</v>
      </c>
      <c r="AB111" s="121">
        <f>SUMIFS('5OctTo11Oct'!$L:$L, '5OctTo11Oct'!$J:$J, $A111)</f>
        <v>0</v>
      </c>
      <c r="AC111" s="121">
        <f>SUMIFS('5OctTo11Oct'!$K:$K, '5OctTo11Oct'!$J:$J, $A111)</f>
        <v>0</v>
      </c>
      <c r="AD111" s="121">
        <f>SUMIFS('5OctTo11Oct'!$O:$O, '5OctTo11Oct'!$J:$J, $A111)</f>
        <v>0</v>
      </c>
      <c r="AE111" s="121">
        <f>SUMIFS('5OctTo11Oct'!$P:$P, '5OctTo11Oct'!$J:$J, $A111)</f>
        <v>0</v>
      </c>
      <c r="AF111" s="123">
        <f t="shared" si="5"/>
        <v>0</v>
      </c>
      <c r="AG111" s="121">
        <f>SUMIFS('28SepTo4Oct'!$L:$L, '28SepTo4Oct'!$J:$J, $A111)</f>
        <v>0</v>
      </c>
      <c r="AH111" s="121">
        <f>SUMIFS('28SepTo4Oct'!$K:$K, '28SepTo4Oct'!$J:$J, $A111)</f>
        <v>0</v>
      </c>
      <c r="AI111" s="121">
        <f>SUMIFS('28SepTo4Oct'!$O:$O, '28SepTo4Oct'!$J:$J, $A111)</f>
        <v>0</v>
      </c>
      <c r="AJ111" s="121">
        <f>SUMIFS('28SepTo4Oct'!$P:$P, '28SepTo4Oct'!$J:$J, $A111)</f>
        <v>0</v>
      </c>
      <c r="AK111" s="123">
        <f t="shared" si="6"/>
        <v>0</v>
      </c>
      <c r="AL111" s="121">
        <f>SUMIFS('21SepTo27Sep'!$L:$L, '21SepTo27Sep'!$J:$J, $A111)</f>
        <v>0</v>
      </c>
      <c r="AM111" s="121">
        <f>SUMIFS('21SepTo27Sep'!$K:$K, '21SepTo27Sep'!$J:$J, $A111)</f>
        <v>0</v>
      </c>
      <c r="AN111" s="121">
        <f>SUMIFS('21SepTo27Sep'!$O:$O, '21SepTo27Sep'!$J:$J, $A111)</f>
        <v>0</v>
      </c>
      <c r="AO111" s="121">
        <f>SUMIFS('21SepTo27Sep'!$P:$P, '21SepTo27Sep'!$J:$J, $A111)</f>
        <v>0</v>
      </c>
      <c r="AP111" s="123">
        <f t="shared" si="7"/>
        <v>0</v>
      </c>
      <c r="AQ111" s="121">
        <f>SUMIFS('14SepTo20Sep'!$L:$L, '14SepTo20Sep'!$J:$J, $A111)</f>
        <v>0</v>
      </c>
      <c r="AR111" s="121">
        <f>SUMIFS('14SepTo20Sep'!$K:$K, '14SepTo20Sep'!$J:$J, $A111)</f>
        <v>0</v>
      </c>
      <c r="AS111" s="121">
        <f>SUMIFS('14SepTo20Sep'!$O:$O, '14SepTo20Sep'!$J:$J, $A111)</f>
        <v>0</v>
      </c>
      <c r="AT111" s="121">
        <f>SUMIFS('14SepTo20Sep'!$P:$P, '14SepTo20Sep'!$J:$J, $A111)</f>
        <v>0</v>
      </c>
      <c r="AU111" s="123">
        <f t="shared" si="8"/>
        <v>0</v>
      </c>
      <c r="AV111" s="121">
        <f>SUMIFS('7SepTo13Sep'!$L:$L, '7SepTo13Sep'!$J:$J, $A111)</f>
        <v>0</v>
      </c>
      <c r="AW111" s="121">
        <f>SUMIFS('7SepTo13Sep'!$K:$K, '7SepTo13Sep'!$J:$J, $A111)</f>
        <v>0</v>
      </c>
      <c r="AX111" s="121">
        <f>SUMIFS('7SepTo13Sep'!$O:$O, '7SepTo13Sep'!$J:$J, $A111)</f>
        <v>0</v>
      </c>
      <c r="AY111" s="121">
        <f>SUMIFS('7SepTo13Sep'!$P:$P, '7SepTo13Sep'!$J:$J, $A111)</f>
        <v>0</v>
      </c>
      <c r="AZ111" s="123">
        <f t="shared" si="9"/>
        <v>0</v>
      </c>
      <c r="BA111" s="121">
        <f>SUMIFS('31AugTo6Sep'!$L:$L, '31AugTo6Sep'!$J:$J, $A111)</f>
        <v>2</v>
      </c>
      <c r="BB111" s="121">
        <f>SUMIFS('31AugTo6Sep'!$K:$K, '31AugTo6Sep'!$J:$J, $A111)</f>
        <v>10</v>
      </c>
      <c r="BC111" s="121">
        <f>SUMIFS('31AugTo6Sep'!$O:$O, '31AugTo6Sep'!$J:$J, $A111)</f>
        <v>5</v>
      </c>
      <c r="BD111" s="121">
        <f>SUMIFS('31AugTo6Sep'!$P:$P, '31AugTo6Sep'!$J:$J, $A111)</f>
        <v>24.94</v>
      </c>
      <c r="BE111" s="123">
        <f t="shared" si="10"/>
        <v>20.048115477145149</v>
      </c>
      <c r="BF111" s="121">
        <f>SUMIFS('24AugTo29Aug'!$L:$L, '24AugTo29Aug'!$J:$J, $A111)</f>
        <v>0</v>
      </c>
      <c r="BG111" s="121">
        <f>SUMIFS('24AugTo29Aug'!$K:$K, '24AugTo29Aug'!$J:$J, $A111)</f>
        <v>0</v>
      </c>
      <c r="BH111" s="121">
        <f>SUMIFS('24AugTo29Aug'!$O:$O, '24AugTo29Aug'!$J:$J, $A111)</f>
        <v>0</v>
      </c>
      <c r="BI111" s="121">
        <f>SUMIFS('24AugTo29Aug'!$P:$P, '24AugTo29Aug'!$J:$J, $A111)</f>
        <v>0</v>
      </c>
      <c r="BJ111" s="123">
        <f t="shared" si="11"/>
        <v>0</v>
      </c>
      <c r="BK111" s="121">
        <f>SUMIFS('17AugTo21Aug'!$L:$L, '17AugTo21Aug'!$J:$J, $A111)</f>
        <v>0</v>
      </c>
      <c r="BL111" s="121">
        <f>SUMIFS('17AugTo21Aug'!$K:$K, '17AugTo21Aug'!$J:$J, $A111)</f>
        <v>0</v>
      </c>
      <c r="BM111" s="121">
        <f>SUMIFS('17AugTo21Aug'!$O:$O, '17AugTo21Aug'!$J:$J, $A111)</f>
        <v>0</v>
      </c>
      <c r="BN111" s="121">
        <f>SUMIFS('17AugTo21Aug'!$P:$P, '17AugTo21Aug'!$J:$J, $A111)</f>
        <v>0</v>
      </c>
      <c r="BO111" s="123">
        <f t="shared" si="12"/>
        <v>0</v>
      </c>
      <c r="BP111" s="121">
        <f>SUMIFS('10AugTo16Aug'!$L:$L, '10AugTo16Aug'!$J:$J, $A111)</f>
        <v>0</v>
      </c>
      <c r="BQ111" s="121">
        <f>SUMIFS('10AugTo16Aug'!$K:$K, '10AugTo16Aug'!$J:$J, $A111)</f>
        <v>0</v>
      </c>
      <c r="BR111" s="121">
        <f>SUMIFS('10AugTo16Aug'!$O:$O, '10AugTo16Aug'!$J:$J, $A111)</f>
        <v>0</v>
      </c>
      <c r="BS111" s="121">
        <f>SUMIFS('10AugTo16Aug'!$P:$P, '10AugTo16Aug'!$J:$J, $A111)</f>
        <v>0</v>
      </c>
      <c r="BT111" s="123">
        <f t="shared" si="13"/>
        <v>0</v>
      </c>
      <c r="BU111" s="121">
        <f>SUMIFS('3AugTo9Aug'!$L:$L, '3AugTo9Aug'!$J:$J, $A111)</f>
        <v>0</v>
      </c>
      <c r="BV111" s="121">
        <f>SUMIFS('3AugTo9Aug'!$K:$K, '3AugTo9Aug'!$J:$J, $A111)</f>
        <v>0</v>
      </c>
      <c r="BW111" s="121">
        <f>SUMIFS('3AugTo9Aug'!$O:$O, '3AugTo9Aug'!$J:$J, $A111)</f>
        <v>0</v>
      </c>
      <c r="BX111" s="121">
        <f>SUMIFS('3AugTo9Aug'!$P:$P, '3AugTo9Aug'!$J:$J, $A111)</f>
        <v>0</v>
      </c>
      <c r="BY111" s="123">
        <f t="shared" si="14"/>
        <v>0</v>
      </c>
      <c r="BZ111" s="121">
        <f>SUMIFS('27JulyTo2Aug'!$L:$L, '27JulyTo2Aug'!$J:$J, $A111)</f>
        <v>0</v>
      </c>
      <c r="CA111" s="121">
        <f>SUMIFS('27JulyTo2Aug'!$K:$K, '27JulyTo2Aug'!$J:$J, $A111)</f>
        <v>0</v>
      </c>
      <c r="CB111" s="121">
        <f>SUMIFS('27JulyTo2Aug'!$O:$O, '27JulyTo2Aug'!$J:$J, $A111)</f>
        <v>0</v>
      </c>
      <c r="CC111" s="121">
        <f>SUMIFS('27JulyTo2Aug'!$P:$P, '27JulyTo2Aug'!$J:$J, $A111)</f>
        <v>0</v>
      </c>
      <c r="CD111" s="123">
        <f t="shared" si="15"/>
        <v>0</v>
      </c>
    </row>
    <row r="112" spans="1:82" ht="14.25" customHeight="1" x14ac:dyDescent="0.3">
      <c r="A112" s="124" t="s">
        <v>583</v>
      </c>
      <c r="B112" s="120" t="str">
        <f t="shared" si="17"/>
        <v>NO TRAFFIC</v>
      </c>
      <c r="C112" s="121">
        <f>SUMIFS('9NovTo15Nov'!$L:$L, '9NovTo15Nov'!$J:$J, $A112)</f>
        <v>0</v>
      </c>
      <c r="D112" s="121">
        <f>SUMIFS('9NovTo15Nov'!$K:$K, '9NovTo15Nov'!$J:$J, $A112)</f>
        <v>0</v>
      </c>
      <c r="E112" s="121">
        <f>SUMIFS('9NovTo15Nov'!$O:$O, '9NovTo15Nov'!$J:$J, $A112)</f>
        <v>0</v>
      </c>
      <c r="F112" s="121">
        <f>SUMIFS('9NovTo15Nov'!$P:$P, '9NovTo15Nov'!$J:$J, $A112)</f>
        <v>0</v>
      </c>
      <c r="G112" s="122">
        <f t="shared" si="0"/>
        <v>0</v>
      </c>
      <c r="H112" s="121">
        <f>SUMIFS('2NovTo8Nov'!$L:$L, '2NovTo8Nov'!$J:$J, $A112)</f>
        <v>0</v>
      </c>
      <c r="I112" s="121">
        <f>SUMIFS('2NovTo8Nov'!$K:$K, '2NovTo8Nov'!$J:$J, $A112)</f>
        <v>0</v>
      </c>
      <c r="J112" s="121">
        <f>SUMIFS('2NovTo8Nov'!$O:$O, '2NovTo8Nov'!$J:$J, $A112)</f>
        <v>0</v>
      </c>
      <c r="K112" s="121">
        <f>SUMIFS('2NovTo8Nov'!$P:$P, '2NovTo8Nov'!$J:$J, $A112)</f>
        <v>0</v>
      </c>
      <c r="L112" s="122">
        <f t="shared" si="1"/>
        <v>0</v>
      </c>
      <c r="M112" s="121">
        <f>SUMIFS('26OctTo1Nov'!$L:$L, '26OctTo1Nov'!$J:$J, $A112)</f>
        <v>0</v>
      </c>
      <c r="N112" s="121">
        <f>SUMIFS('26OctTo1Nov'!$K:$K, '26OctTo1Nov'!$J:$J, $A112)</f>
        <v>0</v>
      </c>
      <c r="O112" s="121">
        <f>SUMIFS('26OctTo1Nov'!$O:$O, '26OctTo1Nov'!$J:$J, $A112)</f>
        <v>0</v>
      </c>
      <c r="P112" s="121">
        <f>SUMIFS('26OctTo1Nov'!$P:$P, '26OctTo1Nov'!$J:$J, $A112)</f>
        <v>0</v>
      </c>
      <c r="Q112" s="122">
        <f t="shared" si="2"/>
        <v>0</v>
      </c>
      <c r="R112" s="121">
        <f>SUMIFS('19OctTo25Oct'!$L:$L, '19OctTo25Oct'!$J:$J, $A112)</f>
        <v>0</v>
      </c>
      <c r="S112" s="121">
        <f>SUMIFS('19OctTo25Oct'!$K:$K, '19OctTo25Oct'!$J:$J, $A112)</f>
        <v>0</v>
      </c>
      <c r="T112" s="121">
        <f>SUMIFS('19OctTo25Oct'!$O:$O, '19OctTo25Oct'!$J:$J, $A112)</f>
        <v>0</v>
      </c>
      <c r="U112" s="121">
        <f>SUMIFS('19OctTo25Oct'!$P:$P, '19OctTo25Oct'!$J:$J, $A112)</f>
        <v>0</v>
      </c>
      <c r="V112" s="122">
        <f t="shared" si="3"/>
        <v>0</v>
      </c>
      <c r="W112" s="121">
        <f>SUMIFS('12OctTo18Oct'!$L:$L, '12OctTo18Oct'!$J:$J, $A112)</f>
        <v>0</v>
      </c>
      <c r="X112" s="121">
        <f>SUMIFS('12OctTo18Oct'!$K:$K, '12OctTo18Oct'!$J:$J, $A112)</f>
        <v>0</v>
      </c>
      <c r="Y112" s="121">
        <f>SUMIFS('12OctTo18Oct'!$O:$O, '12OctTo18Oct'!$J:$J, $A112)</f>
        <v>0</v>
      </c>
      <c r="Z112" s="121">
        <f>SUMIFS('12OctTo18Oct'!$P:$P, '12OctTo18Oct'!$J:$J, $A112)</f>
        <v>0</v>
      </c>
      <c r="AA112" s="122">
        <f t="shared" si="4"/>
        <v>0</v>
      </c>
      <c r="AB112" s="121">
        <f>SUMIFS('5OctTo11Oct'!$L:$L, '5OctTo11Oct'!$J:$J, $A112)</f>
        <v>0</v>
      </c>
      <c r="AC112" s="121">
        <f>SUMIFS('5OctTo11Oct'!$K:$K, '5OctTo11Oct'!$J:$J, $A112)</f>
        <v>0</v>
      </c>
      <c r="AD112" s="121">
        <f>SUMIFS('5OctTo11Oct'!$O:$O, '5OctTo11Oct'!$J:$J, $A112)</f>
        <v>0</v>
      </c>
      <c r="AE112" s="121">
        <f>SUMIFS('5OctTo11Oct'!$P:$P, '5OctTo11Oct'!$J:$J, $A112)</f>
        <v>0</v>
      </c>
      <c r="AF112" s="123">
        <f t="shared" si="5"/>
        <v>0</v>
      </c>
      <c r="AG112" s="121">
        <f>SUMIFS('28SepTo4Oct'!$L:$L, '28SepTo4Oct'!$J:$J, $A112)</f>
        <v>0</v>
      </c>
      <c r="AH112" s="121">
        <f>SUMIFS('28SepTo4Oct'!$K:$K, '28SepTo4Oct'!$J:$J, $A112)</f>
        <v>0</v>
      </c>
      <c r="AI112" s="121">
        <f>SUMIFS('28SepTo4Oct'!$O:$O, '28SepTo4Oct'!$J:$J, $A112)</f>
        <v>0</v>
      </c>
      <c r="AJ112" s="121">
        <f>SUMIFS('28SepTo4Oct'!$P:$P, '28SepTo4Oct'!$J:$J, $A112)</f>
        <v>0</v>
      </c>
      <c r="AK112" s="123">
        <f t="shared" si="6"/>
        <v>0</v>
      </c>
      <c r="AL112" s="121">
        <f>SUMIFS('21SepTo27Sep'!$L:$L, '21SepTo27Sep'!$J:$J, $A112)</f>
        <v>0</v>
      </c>
      <c r="AM112" s="121">
        <f>SUMIFS('21SepTo27Sep'!$K:$K, '21SepTo27Sep'!$J:$J, $A112)</f>
        <v>0</v>
      </c>
      <c r="AN112" s="121">
        <f>SUMIFS('21SepTo27Sep'!$O:$O, '21SepTo27Sep'!$J:$J, $A112)</f>
        <v>0</v>
      </c>
      <c r="AO112" s="121">
        <f>SUMIFS('21SepTo27Sep'!$P:$P, '21SepTo27Sep'!$J:$J, $A112)</f>
        <v>0</v>
      </c>
      <c r="AP112" s="123">
        <f t="shared" si="7"/>
        <v>0</v>
      </c>
      <c r="AQ112" s="121">
        <f>SUMIFS('14SepTo20Sep'!$L:$L, '14SepTo20Sep'!$J:$J, $A112)</f>
        <v>0</v>
      </c>
      <c r="AR112" s="121">
        <f>SUMIFS('14SepTo20Sep'!$K:$K, '14SepTo20Sep'!$J:$J, $A112)</f>
        <v>0</v>
      </c>
      <c r="AS112" s="121">
        <f>SUMIFS('14SepTo20Sep'!$O:$O, '14SepTo20Sep'!$J:$J, $A112)</f>
        <v>0</v>
      </c>
      <c r="AT112" s="121">
        <f>SUMIFS('14SepTo20Sep'!$P:$P, '14SepTo20Sep'!$J:$J, $A112)</f>
        <v>0</v>
      </c>
      <c r="AU112" s="123">
        <f t="shared" si="8"/>
        <v>0</v>
      </c>
      <c r="AV112" s="121">
        <f>SUMIFS('7SepTo13Sep'!$L:$L, '7SepTo13Sep'!$J:$J, $A112)</f>
        <v>0</v>
      </c>
      <c r="AW112" s="121">
        <f>SUMIFS('7SepTo13Sep'!$K:$K, '7SepTo13Sep'!$J:$J, $A112)</f>
        <v>0</v>
      </c>
      <c r="AX112" s="121">
        <f>SUMIFS('7SepTo13Sep'!$O:$O, '7SepTo13Sep'!$J:$J, $A112)</f>
        <v>0</v>
      </c>
      <c r="AY112" s="121">
        <f>SUMIFS('7SepTo13Sep'!$P:$P, '7SepTo13Sep'!$J:$J, $A112)</f>
        <v>0</v>
      </c>
      <c r="AZ112" s="123">
        <f t="shared" si="9"/>
        <v>0</v>
      </c>
      <c r="BA112" s="121">
        <f>SUMIFS('31AugTo6Sep'!$L:$L, '31AugTo6Sep'!$J:$J, $A112)</f>
        <v>1</v>
      </c>
      <c r="BB112" s="121">
        <f>SUMIFS('31AugTo6Sep'!$K:$K, '31AugTo6Sep'!$J:$J, $A112)</f>
        <v>2</v>
      </c>
      <c r="BC112" s="121">
        <f>SUMIFS('31AugTo6Sep'!$O:$O, '31AugTo6Sep'!$J:$J, $A112)</f>
        <v>3.33</v>
      </c>
      <c r="BD112" s="121">
        <f>SUMIFS('31AugTo6Sep'!$P:$P, '31AugTo6Sep'!$J:$J, $A112)</f>
        <v>24.94</v>
      </c>
      <c r="BE112" s="123">
        <f t="shared" si="10"/>
        <v>13.352044907778668</v>
      </c>
      <c r="BF112" s="121">
        <f>SUMIFS('24AugTo29Aug'!$L:$L, '24AugTo29Aug'!$J:$J, $A112)</f>
        <v>0</v>
      </c>
      <c r="BG112" s="121">
        <f>SUMIFS('24AugTo29Aug'!$K:$K, '24AugTo29Aug'!$J:$J, $A112)</f>
        <v>0</v>
      </c>
      <c r="BH112" s="121">
        <f>SUMIFS('24AugTo29Aug'!$O:$O, '24AugTo29Aug'!$J:$J, $A112)</f>
        <v>0</v>
      </c>
      <c r="BI112" s="121">
        <f>SUMIFS('24AugTo29Aug'!$P:$P, '24AugTo29Aug'!$J:$J, $A112)</f>
        <v>0</v>
      </c>
      <c r="BJ112" s="123">
        <f t="shared" si="11"/>
        <v>0</v>
      </c>
      <c r="BK112" s="121">
        <f>SUMIFS('17AugTo21Aug'!$L:$L, '17AugTo21Aug'!$J:$J, $A112)</f>
        <v>0</v>
      </c>
      <c r="BL112" s="121">
        <f>SUMIFS('17AugTo21Aug'!$K:$K, '17AugTo21Aug'!$J:$J, $A112)</f>
        <v>0</v>
      </c>
      <c r="BM112" s="121">
        <f>SUMIFS('17AugTo21Aug'!$O:$O, '17AugTo21Aug'!$J:$J, $A112)</f>
        <v>0</v>
      </c>
      <c r="BN112" s="121">
        <f>SUMIFS('17AugTo21Aug'!$P:$P, '17AugTo21Aug'!$J:$J, $A112)</f>
        <v>0</v>
      </c>
      <c r="BO112" s="123">
        <f t="shared" si="12"/>
        <v>0</v>
      </c>
      <c r="BP112" s="121">
        <f>SUMIFS('10AugTo16Aug'!$L:$L, '10AugTo16Aug'!$J:$J, $A112)</f>
        <v>0</v>
      </c>
      <c r="BQ112" s="121">
        <f>SUMIFS('10AugTo16Aug'!$K:$K, '10AugTo16Aug'!$J:$J, $A112)</f>
        <v>0</v>
      </c>
      <c r="BR112" s="121">
        <f>SUMIFS('10AugTo16Aug'!$O:$O, '10AugTo16Aug'!$J:$J, $A112)</f>
        <v>0</v>
      </c>
      <c r="BS112" s="121">
        <f>SUMIFS('10AugTo16Aug'!$P:$P, '10AugTo16Aug'!$J:$J, $A112)</f>
        <v>0</v>
      </c>
      <c r="BT112" s="123">
        <f t="shared" si="13"/>
        <v>0</v>
      </c>
      <c r="BU112" s="121">
        <f>SUMIFS('3AugTo9Aug'!$L:$L, '3AugTo9Aug'!$J:$J, $A112)</f>
        <v>0</v>
      </c>
      <c r="BV112" s="121">
        <f>SUMIFS('3AugTo9Aug'!$K:$K, '3AugTo9Aug'!$J:$J, $A112)</f>
        <v>0</v>
      </c>
      <c r="BW112" s="121">
        <f>SUMIFS('3AugTo9Aug'!$O:$O, '3AugTo9Aug'!$J:$J, $A112)</f>
        <v>0</v>
      </c>
      <c r="BX112" s="121">
        <f>SUMIFS('3AugTo9Aug'!$P:$P, '3AugTo9Aug'!$J:$J, $A112)</f>
        <v>0</v>
      </c>
      <c r="BY112" s="123">
        <f t="shared" si="14"/>
        <v>0</v>
      </c>
      <c r="BZ112" s="121">
        <f>SUMIFS('27JulyTo2Aug'!$L:$L, '27JulyTo2Aug'!$J:$J, $A112)</f>
        <v>0</v>
      </c>
      <c r="CA112" s="121">
        <f>SUMIFS('27JulyTo2Aug'!$K:$K, '27JulyTo2Aug'!$J:$J, $A112)</f>
        <v>0</v>
      </c>
      <c r="CB112" s="121">
        <f>SUMIFS('27JulyTo2Aug'!$O:$O, '27JulyTo2Aug'!$J:$J, $A112)</f>
        <v>0</v>
      </c>
      <c r="CC112" s="121">
        <f>SUMIFS('27JulyTo2Aug'!$P:$P, '27JulyTo2Aug'!$J:$J, $A112)</f>
        <v>0</v>
      </c>
      <c r="CD112" s="123">
        <f t="shared" si="15"/>
        <v>0</v>
      </c>
    </row>
    <row r="113" spans="1:82" ht="14.25" customHeight="1" x14ac:dyDescent="0.3">
      <c r="A113" s="124" t="s">
        <v>585</v>
      </c>
      <c r="B113" s="120" t="str">
        <f t="shared" si="17"/>
        <v>NO TRAFFIC</v>
      </c>
      <c r="C113" s="121">
        <f>SUMIFS('9NovTo15Nov'!$L:$L, '9NovTo15Nov'!$J:$J, $A113)</f>
        <v>0</v>
      </c>
      <c r="D113" s="121">
        <f>SUMIFS('9NovTo15Nov'!$K:$K, '9NovTo15Nov'!$J:$J, $A113)</f>
        <v>0</v>
      </c>
      <c r="E113" s="121">
        <f>SUMIFS('9NovTo15Nov'!$O:$O, '9NovTo15Nov'!$J:$J, $A113)</f>
        <v>0</v>
      </c>
      <c r="F113" s="121">
        <f>SUMIFS('9NovTo15Nov'!$P:$P, '9NovTo15Nov'!$J:$J, $A113)</f>
        <v>0</v>
      </c>
      <c r="G113" s="122">
        <f t="shared" si="0"/>
        <v>0</v>
      </c>
      <c r="H113" s="121">
        <f>SUMIFS('2NovTo8Nov'!$L:$L, '2NovTo8Nov'!$J:$J, $A113)</f>
        <v>0</v>
      </c>
      <c r="I113" s="121">
        <f>SUMIFS('2NovTo8Nov'!$K:$K, '2NovTo8Nov'!$J:$J, $A113)</f>
        <v>0</v>
      </c>
      <c r="J113" s="121">
        <f>SUMIFS('2NovTo8Nov'!$O:$O, '2NovTo8Nov'!$J:$J, $A113)</f>
        <v>0</v>
      </c>
      <c r="K113" s="121">
        <f>SUMIFS('2NovTo8Nov'!$P:$P, '2NovTo8Nov'!$J:$J, $A113)</f>
        <v>0</v>
      </c>
      <c r="L113" s="122">
        <f t="shared" si="1"/>
        <v>0</v>
      </c>
      <c r="M113" s="121">
        <f>SUMIFS('26OctTo1Nov'!$L:$L, '26OctTo1Nov'!$J:$J, $A113)</f>
        <v>0</v>
      </c>
      <c r="N113" s="121">
        <f>SUMIFS('26OctTo1Nov'!$K:$K, '26OctTo1Nov'!$J:$J, $A113)</f>
        <v>0</v>
      </c>
      <c r="O113" s="121">
        <f>SUMIFS('26OctTo1Nov'!$O:$O, '26OctTo1Nov'!$J:$J, $A113)</f>
        <v>0</v>
      </c>
      <c r="P113" s="121">
        <f>SUMIFS('26OctTo1Nov'!$P:$P, '26OctTo1Nov'!$J:$J, $A113)</f>
        <v>0</v>
      </c>
      <c r="Q113" s="122">
        <f t="shared" si="2"/>
        <v>0</v>
      </c>
      <c r="R113" s="121">
        <f>SUMIFS('19OctTo25Oct'!$L:$L, '19OctTo25Oct'!$J:$J, $A113)</f>
        <v>0</v>
      </c>
      <c r="S113" s="121">
        <f>SUMIFS('19OctTo25Oct'!$K:$K, '19OctTo25Oct'!$J:$J, $A113)</f>
        <v>0</v>
      </c>
      <c r="T113" s="121">
        <f>SUMIFS('19OctTo25Oct'!$O:$O, '19OctTo25Oct'!$J:$J, $A113)</f>
        <v>0</v>
      </c>
      <c r="U113" s="121">
        <f>SUMIFS('19OctTo25Oct'!$P:$P, '19OctTo25Oct'!$J:$J, $A113)</f>
        <v>0</v>
      </c>
      <c r="V113" s="122">
        <f t="shared" si="3"/>
        <v>0</v>
      </c>
      <c r="W113" s="121">
        <f>SUMIFS('12OctTo18Oct'!$L:$L, '12OctTo18Oct'!$J:$J, $A113)</f>
        <v>0</v>
      </c>
      <c r="X113" s="121">
        <f>SUMIFS('12OctTo18Oct'!$K:$K, '12OctTo18Oct'!$J:$J, $A113)</f>
        <v>0</v>
      </c>
      <c r="Y113" s="121">
        <f>SUMIFS('12OctTo18Oct'!$O:$O, '12OctTo18Oct'!$J:$J, $A113)</f>
        <v>0</v>
      </c>
      <c r="Z113" s="121">
        <f>SUMIFS('12OctTo18Oct'!$P:$P, '12OctTo18Oct'!$J:$J, $A113)</f>
        <v>0</v>
      </c>
      <c r="AA113" s="122">
        <f t="shared" si="4"/>
        <v>0</v>
      </c>
      <c r="AB113" s="121">
        <f>SUMIFS('5OctTo11Oct'!$L:$L, '5OctTo11Oct'!$J:$J, $A113)</f>
        <v>0</v>
      </c>
      <c r="AC113" s="121">
        <f>SUMIFS('5OctTo11Oct'!$K:$K, '5OctTo11Oct'!$J:$J, $A113)</f>
        <v>0</v>
      </c>
      <c r="AD113" s="121">
        <f>SUMIFS('5OctTo11Oct'!$O:$O, '5OctTo11Oct'!$J:$J, $A113)</f>
        <v>0</v>
      </c>
      <c r="AE113" s="121">
        <f>SUMIFS('5OctTo11Oct'!$P:$P, '5OctTo11Oct'!$J:$J, $A113)</f>
        <v>0</v>
      </c>
      <c r="AF113" s="123">
        <f t="shared" si="5"/>
        <v>0</v>
      </c>
      <c r="AG113" s="121">
        <f>SUMIFS('28SepTo4Oct'!$L:$L, '28SepTo4Oct'!$J:$J, $A113)</f>
        <v>0</v>
      </c>
      <c r="AH113" s="121">
        <f>SUMIFS('28SepTo4Oct'!$K:$K, '28SepTo4Oct'!$J:$J, $A113)</f>
        <v>0</v>
      </c>
      <c r="AI113" s="121">
        <f>SUMIFS('28SepTo4Oct'!$O:$O, '28SepTo4Oct'!$J:$J, $A113)</f>
        <v>0</v>
      </c>
      <c r="AJ113" s="121">
        <f>SUMIFS('28SepTo4Oct'!$P:$P, '28SepTo4Oct'!$J:$J, $A113)</f>
        <v>0</v>
      </c>
      <c r="AK113" s="123">
        <f t="shared" si="6"/>
        <v>0</v>
      </c>
      <c r="AL113" s="121">
        <f>SUMIFS('21SepTo27Sep'!$L:$L, '21SepTo27Sep'!$J:$J, $A113)</f>
        <v>0</v>
      </c>
      <c r="AM113" s="121">
        <f>SUMIFS('21SepTo27Sep'!$K:$K, '21SepTo27Sep'!$J:$J, $A113)</f>
        <v>0</v>
      </c>
      <c r="AN113" s="121">
        <f>SUMIFS('21SepTo27Sep'!$O:$O, '21SepTo27Sep'!$J:$J, $A113)</f>
        <v>0</v>
      </c>
      <c r="AO113" s="121">
        <f>SUMIFS('21SepTo27Sep'!$P:$P, '21SepTo27Sep'!$J:$J, $A113)</f>
        <v>0</v>
      </c>
      <c r="AP113" s="123">
        <f t="shared" si="7"/>
        <v>0</v>
      </c>
      <c r="AQ113" s="121">
        <f>SUMIFS('14SepTo20Sep'!$L:$L, '14SepTo20Sep'!$J:$J, $A113)</f>
        <v>0</v>
      </c>
      <c r="AR113" s="121">
        <f>SUMIFS('14SepTo20Sep'!$K:$K, '14SepTo20Sep'!$J:$J, $A113)</f>
        <v>0</v>
      </c>
      <c r="AS113" s="121">
        <f>SUMIFS('14SepTo20Sep'!$O:$O, '14SepTo20Sep'!$J:$J, $A113)</f>
        <v>0</v>
      </c>
      <c r="AT113" s="121">
        <f>SUMIFS('14SepTo20Sep'!$P:$P, '14SepTo20Sep'!$J:$J, $A113)</f>
        <v>0</v>
      </c>
      <c r="AU113" s="123">
        <f t="shared" si="8"/>
        <v>0</v>
      </c>
      <c r="AV113" s="121">
        <f>SUMIFS('7SepTo13Sep'!$L:$L, '7SepTo13Sep'!$J:$J, $A113)</f>
        <v>0</v>
      </c>
      <c r="AW113" s="121">
        <f>SUMIFS('7SepTo13Sep'!$K:$K, '7SepTo13Sep'!$J:$J, $A113)</f>
        <v>0</v>
      </c>
      <c r="AX113" s="121">
        <f>SUMIFS('7SepTo13Sep'!$O:$O, '7SepTo13Sep'!$J:$J, $A113)</f>
        <v>0</v>
      </c>
      <c r="AY113" s="121">
        <f>SUMIFS('7SepTo13Sep'!$P:$P, '7SepTo13Sep'!$J:$J, $A113)</f>
        <v>0</v>
      </c>
      <c r="AZ113" s="123">
        <f t="shared" si="9"/>
        <v>0</v>
      </c>
      <c r="BA113" s="121">
        <f>SUMIFS('31AugTo6Sep'!$L:$L, '31AugTo6Sep'!$J:$J, $A113)</f>
        <v>1</v>
      </c>
      <c r="BB113" s="121">
        <f>SUMIFS('31AugTo6Sep'!$K:$K, '31AugTo6Sep'!$J:$J, $A113)</f>
        <v>3</v>
      </c>
      <c r="BC113" s="121">
        <f>SUMIFS('31AugTo6Sep'!$O:$O, '31AugTo6Sep'!$J:$J, $A113)</f>
        <v>1.62</v>
      </c>
      <c r="BD113" s="121">
        <f>SUMIFS('31AugTo6Sep'!$P:$P, '31AugTo6Sep'!$J:$J, $A113)</f>
        <v>24.94</v>
      </c>
      <c r="BE113" s="123">
        <f t="shared" si="10"/>
        <v>6.4955894145950284</v>
      </c>
      <c r="BF113" s="121">
        <f>SUMIFS('24AugTo29Aug'!$L:$L, '24AugTo29Aug'!$J:$J, $A113)</f>
        <v>0</v>
      </c>
      <c r="BG113" s="121">
        <f>SUMIFS('24AugTo29Aug'!$K:$K, '24AugTo29Aug'!$J:$J, $A113)</f>
        <v>0</v>
      </c>
      <c r="BH113" s="121">
        <f>SUMIFS('24AugTo29Aug'!$O:$O, '24AugTo29Aug'!$J:$J, $A113)</f>
        <v>0</v>
      </c>
      <c r="BI113" s="121">
        <f>SUMIFS('24AugTo29Aug'!$P:$P, '24AugTo29Aug'!$J:$J, $A113)</f>
        <v>0</v>
      </c>
      <c r="BJ113" s="123">
        <f t="shared" si="11"/>
        <v>0</v>
      </c>
      <c r="BK113" s="121">
        <f>SUMIFS('17AugTo21Aug'!$L:$L, '17AugTo21Aug'!$J:$J, $A113)</f>
        <v>0</v>
      </c>
      <c r="BL113" s="121">
        <f>SUMIFS('17AugTo21Aug'!$K:$K, '17AugTo21Aug'!$J:$J, $A113)</f>
        <v>0</v>
      </c>
      <c r="BM113" s="121">
        <f>SUMIFS('17AugTo21Aug'!$O:$O, '17AugTo21Aug'!$J:$J, $A113)</f>
        <v>0</v>
      </c>
      <c r="BN113" s="121">
        <f>SUMIFS('17AugTo21Aug'!$P:$P, '17AugTo21Aug'!$J:$J, $A113)</f>
        <v>0</v>
      </c>
      <c r="BO113" s="123">
        <f t="shared" si="12"/>
        <v>0</v>
      </c>
      <c r="BP113" s="121">
        <f>SUMIFS('10AugTo16Aug'!$L:$L, '10AugTo16Aug'!$J:$J, $A113)</f>
        <v>0</v>
      </c>
      <c r="BQ113" s="121">
        <f>SUMIFS('10AugTo16Aug'!$K:$K, '10AugTo16Aug'!$J:$J, $A113)</f>
        <v>0</v>
      </c>
      <c r="BR113" s="121">
        <f>SUMIFS('10AugTo16Aug'!$O:$O, '10AugTo16Aug'!$J:$J, $A113)</f>
        <v>0</v>
      </c>
      <c r="BS113" s="121">
        <f>SUMIFS('10AugTo16Aug'!$P:$P, '10AugTo16Aug'!$J:$J, $A113)</f>
        <v>0</v>
      </c>
      <c r="BT113" s="123">
        <f t="shared" si="13"/>
        <v>0</v>
      </c>
      <c r="BU113" s="121">
        <f>SUMIFS('3AugTo9Aug'!$L:$L, '3AugTo9Aug'!$J:$J, $A113)</f>
        <v>0</v>
      </c>
      <c r="BV113" s="121">
        <f>SUMIFS('3AugTo9Aug'!$K:$K, '3AugTo9Aug'!$J:$J, $A113)</f>
        <v>0</v>
      </c>
      <c r="BW113" s="121">
        <f>SUMIFS('3AugTo9Aug'!$O:$O, '3AugTo9Aug'!$J:$J, $A113)</f>
        <v>0</v>
      </c>
      <c r="BX113" s="121">
        <f>SUMIFS('3AugTo9Aug'!$P:$P, '3AugTo9Aug'!$J:$J, $A113)</f>
        <v>0</v>
      </c>
      <c r="BY113" s="123">
        <f t="shared" si="14"/>
        <v>0</v>
      </c>
      <c r="BZ113" s="121">
        <f>SUMIFS('27JulyTo2Aug'!$L:$L, '27JulyTo2Aug'!$J:$J, $A113)</f>
        <v>0</v>
      </c>
      <c r="CA113" s="121">
        <f>SUMIFS('27JulyTo2Aug'!$K:$K, '27JulyTo2Aug'!$J:$J, $A113)</f>
        <v>0</v>
      </c>
      <c r="CB113" s="121">
        <f>SUMIFS('27JulyTo2Aug'!$O:$O, '27JulyTo2Aug'!$J:$J, $A113)</f>
        <v>0</v>
      </c>
      <c r="CC113" s="121">
        <f>SUMIFS('27JulyTo2Aug'!$P:$P, '27JulyTo2Aug'!$J:$J, $A113)</f>
        <v>0</v>
      </c>
      <c r="CD113" s="123">
        <f t="shared" si="15"/>
        <v>0</v>
      </c>
    </row>
    <row r="114" spans="1:82" ht="14.25" customHeight="1" x14ac:dyDescent="0.3">
      <c r="A114" s="124" t="s">
        <v>593</v>
      </c>
      <c r="B114" s="120" t="str">
        <f t="shared" si="17"/>
        <v>NO TRAFFIC</v>
      </c>
      <c r="C114" s="121">
        <f>SUMIFS('9NovTo15Nov'!$L:$L, '9NovTo15Nov'!$J:$J, $A114)</f>
        <v>0</v>
      </c>
      <c r="D114" s="121">
        <f>SUMIFS('9NovTo15Nov'!$K:$K, '9NovTo15Nov'!$J:$J, $A114)</f>
        <v>0</v>
      </c>
      <c r="E114" s="121">
        <f>SUMIFS('9NovTo15Nov'!$O:$O, '9NovTo15Nov'!$J:$J, $A114)</f>
        <v>0</v>
      </c>
      <c r="F114" s="121">
        <f>SUMIFS('9NovTo15Nov'!$P:$P, '9NovTo15Nov'!$J:$J, $A114)</f>
        <v>0</v>
      </c>
      <c r="G114" s="122">
        <f t="shared" si="0"/>
        <v>0</v>
      </c>
      <c r="H114" s="121">
        <f>SUMIFS('2NovTo8Nov'!$L:$L, '2NovTo8Nov'!$J:$J, $A114)</f>
        <v>0</v>
      </c>
      <c r="I114" s="121">
        <f>SUMIFS('2NovTo8Nov'!$K:$K, '2NovTo8Nov'!$J:$J, $A114)</f>
        <v>0</v>
      </c>
      <c r="J114" s="121">
        <f>SUMIFS('2NovTo8Nov'!$O:$O, '2NovTo8Nov'!$J:$J, $A114)</f>
        <v>0</v>
      </c>
      <c r="K114" s="121">
        <f>SUMIFS('2NovTo8Nov'!$P:$P, '2NovTo8Nov'!$J:$J, $A114)</f>
        <v>0</v>
      </c>
      <c r="L114" s="122">
        <f t="shared" si="1"/>
        <v>0</v>
      </c>
      <c r="M114" s="121">
        <f>SUMIFS('26OctTo1Nov'!$L:$L, '26OctTo1Nov'!$J:$J, $A114)</f>
        <v>0</v>
      </c>
      <c r="N114" s="121">
        <f>SUMIFS('26OctTo1Nov'!$K:$K, '26OctTo1Nov'!$J:$J, $A114)</f>
        <v>0</v>
      </c>
      <c r="O114" s="121">
        <f>SUMIFS('26OctTo1Nov'!$O:$O, '26OctTo1Nov'!$J:$J, $A114)</f>
        <v>0</v>
      </c>
      <c r="P114" s="121">
        <f>SUMIFS('26OctTo1Nov'!$P:$P, '26OctTo1Nov'!$J:$J, $A114)</f>
        <v>0</v>
      </c>
      <c r="Q114" s="122">
        <f t="shared" si="2"/>
        <v>0</v>
      </c>
      <c r="R114" s="121">
        <f>SUMIFS('19OctTo25Oct'!$L:$L, '19OctTo25Oct'!$J:$J, $A114)</f>
        <v>0</v>
      </c>
      <c r="S114" s="121">
        <f>SUMIFS('19OctTo25Oct'!$K:$K, '19OctTo25Oct'!$J:$J, $A114)</f>
        <v>0</v>
      </c>
      <c r="T114" s="121">
        <f>SUMIFS('19OctTo25Oct'!$O:$O, '19OctTo25Oct'!$J:$J, $A114)</f>
        <v>0</v>
      </c>
      <c r="U114" s="121">
        <f>SUMIFS('19OctTo25Oct'!$P:$P, '19OctTo25Oct'!$J:$J, $A114)</f>
        <v>0</v>
      </c>
      <c r="V114" s="122">
        <f t="shared" si="3"/>
        <v>0</v>
      </c>
      <c r="W114" s="121">
        <f>SUMIFS('12OctTo18Oct'!$L:$L, '12OctTo18Oct'!$J:$J, $A114)</f>
        <v>0</v>
      </c>
      <c r="X114" s="121">
        <f>SUMIFS('12OctTo18Oct'!$K:$K, '12OctTo18Oct'!$J:$J, $A114)</f>
        <v>0</v>
      </c>
      <c r="Y114" s="121">
        <f>SUMIFS('12OctTo18Oct'!$O:$O, '12OctTo18Oct'!$J:$J, $A114)</f>
        <v>0</v>
      </c>
      <c r="Z114" s="121">
        <f>SUMIFS('12OctTo18Oct'!$P:$P, '12OctTo18Oct'!$J:$J, $A114)</f>
        <v>0</v>
      </c>
      <c r="AA114" s="122">
        <f t="shared" si="4"/>
        <v>0</v>
      </c>
      <c r="AB114" s="121">
        <f>SUMIFS('5OctTo11Oct'!$L:$L, '5OctTo11Oct'!$J:$J, $A114)</f>
        <v>0</v>
      </c>
      <c r="AC114" s="121">
        <f>SUMIFS('5OctTo11Oct'!$K:$K, '5OctTo11Oct'!$J:$J, $A114)</f>
        <v>0</v>
      </c>
      <c r="AD114" s="121">
        <f>SUMIFS('5OctTo11Oct'!$O:$O, '5OctTo11Oct'!$J:$J, $A114)</f>
        <v>0</v>
      </c>
      <c r="AE114" s="121">
        <f>SUMIFS('5OctTo11Oct'!$P:$P, '5OctTo11Oct'!$J:$J, $A114)</f>
        <v>0</v>
      </c>
      <c r="AF114" s="123">
        <f t="shared" si="5"/>
        <v>0</v>
      </c>
      <c r="AG114" s="121">
        <f>SUMIFS('28SepTo4Oct'!$L:$L, '28SepTo4Oct'!$J:$J, $A114)</f>
        <v>0</v>
      </c>
      <c r="AH114" s="121">
        <f>SUMIFS('28SepTo4Oct'!$K:$K, '28SepTo4Oct'!$J:$J, $A114)</f>
        <v>0</v>
      </c>
      <c r="AI114" s="121">
        <f>SUMIFS('28SepTo4Oct'!$O:$O, '28SepTo4Oct'!$J:$J, $A114)</f>
        <v>0</v>
      </c>
      <c r="AJ114" s="121">
        <f>SUMIFS('28SepTo4Oct'!$P:$P, '28SepTo4Oct'!$J:$J, $A114)</f>
        <v>0</v>
      </c>
      <c r="AK114" s="123">
        <f t="shared" si="6"/>
        <v>0</v>
      </c>
      <c r="AL114" s="121">
        <f>SUMIFS('21SepTo27Sep'!$L:$L, '21SepTo27Sep'!$J:$J, $A114)</f>
        <v>0</v>
      </c>
      <c r="AM114" s="121">
        <f>SUMIFS('21SepTo27Sep'!$K:$K, '21SepTo27Sep'!$J:$J, $A114)</f>
        <v>0</v>
      </c>
      <c r="AN114" s="121">
        <f>SUMIFS('21SepTo27Sep'!$O:$O, '21SepTo27Sep'!$J:$J, $A114)</f>
        <v>0</v>
      </c>
      <c r="AO114" s="121">
        <f>SUMIFS('21SepTo27Sep'!$P:$P, '21SepTo27Sep'!$J:$J, $A114)</f>
        <v>0</v>
      </c>
      <c r="AP114" s="123">
        <f t="shared" si="7"/>
        <v>0</v>
      </c>
      <c r="AQ114" s="121">
        <f>SUMIFS('14SepTo20Sep'!$L:$L, '14SepTo20Sep'!$J:$J, $A114)</f>
        <v>0</v>
      </c>
      <c r="AR114" s="121">
        <f>SUMIFS('14SepTo20Sep'!$K:$K, '14SepTo20Sep'!$J:$J, $A114)</f>
        <v>0</v>
      </c>
      <c r="AS114" s="121">
        <f>SUMIFS('14SepTo20Sep'!$O:$O, '14SepTo20Sep'!$J:$J, $A114)</f>
        <v>0</v>
      </c>
      <c r="AT114" s="121">
        <f>SUMIFS('14SepTo20Sep'!$P:$P, '14SepTo20Sep'!$J:$J, $A114)</f>
        <v>0</v>
      </c>
      <c r="AU114" s="123">
        <f t="shared" si="8"/>
        <v>0</v>
      </c>
      <c r="AV114" s="121">
        <f>SUMIFS('7SepTo13Sep'!$L:$L, '7SepTo13Sep'!$J:$J, $A114)</f>
        <v>0</v>
      </c>
      <c r="AW114" s="121">
        <f>SUMIFS('7SepTo13Sep'!$K:$K, '7SepTo13Sep'!$J:$J, $A114)</f>
        <v>0</v>
      </c>
      <c r="AX114" s="121">
        <f>SUMIFS('7SepTo13Sep'!$O:$O, '7SepTo13Sep'!$J:$J, $A114)</f>
        <v>0</v>
      </c>
      <c r="AY114" s="121">
        <f>SUMIFS('7SepTo13Sep'!$P:$P, '7SepTo13Sep'!$J:$J, $A114)</f>
        <v>0</v>
      </c>
      <c r="AZ114" s="123">
        <f t="shared" si="9"/>
        <v>0</v>
      </c>
      <c r="BA114" s="121">
        <f>SUMIFS('31AugTo6Sep'!$L:$L, '31AugTo6Sep'!$J:$J, $A114)</f>
        <v>1</v>
      </c>
      <c r="BB114" s="121">
        <f>SUMIFS('31AugTo6Sep'!$K:$K, '31AugTo6Sep'!$J:$J, $A114)</f>
        <v>2</v>
      </c>
      <c r="BC114" s="121">
        <f>SUMIFS('31AugTo6Sep'!$O:$O, '31AugTo6Sep'!$J:$J, $A114)</f>
        <v>1.82</v>
      </c>
      <c r="BD114" s="121">
        <f>SUMIFS('31AugTo6Sep'!$P:$P, '31AugTo6Sep'!$J:$J, $A114)</f>
        <v>24.94</v>
      </c>
      <c r="BE114" s="123">
        <f t="shared" si="10"/>
        <v>7.2975140336808337</v>
      </c>
      <c r="BF114" s="121">
        <f>SUMIFS('24AugTo29Aug'!$L:$L, '24AugTo29Aug'!$J:$J, $A114)</f>
        <v>0</v>
      </c>
      <c r="BG114" s="121">
        <f>SUMIFS('24AugTo29Aug'!$K:$K, '24AugTo29Aug'!$J:$J, $A114)</f>
        <v>0</v>
      </c>
      <c r="BH114" s="121">
        <f>SUMIFS('24AugTo29Aug'!$O:$O, '24AugTo29Aug'!$J:$J, $A114)</f>
        <v>0</v>
      </c>
      <c r="BI114" s="121">
        <f>SUMIFS('24AugTo29Aug'!$P:$P, '24AugTo29Aug'!$J:$J, $A114)</f>
        <v>0</v>
      </c>
      <c r="BJ114" s="123">
        <f t="shared" si="11"/>
        <v>0</v>
      </c>
      <c r="BK114" s="121">
        <f>SUMIFS('17AugTo21Aug'!$L:$L, '17AugTo21Aug'!$J:$J, $A114)</f>
        <v>0</v>
      </c>
      <c r="BL114" s="121">
        <f>SUMIFS('17AugTo21Aug'!$K:$K, '17AugTo21Aug'!$J:$J, $A114)</f>
        <v>0</v>
      </c>
      <c r="BM114" s="121">
        <f>SUMIFS('17AugTo21Aug'!$O:$O, '17AugTo21Aug'!$J:$J, $A114)</f>
        <v>0</v>
      </c>
      <c r="BN114" s="121">
        <f>SUMIFS('17AugTo21Aug'!$P:$P, '17AugTo21Aug'!$J:$J, $A114)</f>
        <v>0</v>
      </c>
      <c r="BO114" s="123">
        <f t="shared" si="12"/>
        <v>0</v>
      </c>
      <c r="BP114" s="121">
        <f>SUMIFS('10AugTo16Aug'!$L:$L, '10AugTo16Aug'!$J:$J, $A114)</f>
        <v>0</v>
      </c>
      <c r="BQ114" s="121">
        <f>SUMIFS('10AugTo16Aug'!$K:$K, '10AugTo16Aug'!$J:$J, $A114)</f>
        <v>0</v>
      </c>
      <c r="BR114" s="121">
        <f>SUMIFS('10AugTo16Aug'!$O:$O, '10AugTo16Aug'!$J:$J, $A114)</f>
        <v>0</v>
      </c>
      <c r="BS114" s="121">
        <f>SUMIFS('10AugTo16Aug'!$P:$P, '10AugTo16Aug'!$J:$J, $A114)</f>
        <v>0</v>
      </c>
      <c r="BT114" s="123">
        <f t="shared" si="13"/>
        <v>0</v>
      </c>
      <c r="BU114" s="121">
        <f>SUMIFS('3AugTo9Aug'!$L:$L, '3AugTo9Aug'!$J:$J, $A114)</f>
        <v>0</v>
      </c>
      <c r="BV114" s="121">
        <f>SUMIFS('3AugTo9Aug'!$K:$K, '3AugTo9Aug'!$J:$J, $A114)</f>
        <v>0</v>
      </c>
      <c r="BW114" s="121">
        <f>SUMIFS('3AugTo9Aug'!$O:$O, '3AugTo9Aug'!$J:$J, $A114)</f>
        <v>0</v>
      </c>
      <c r="BX114" s="121">
        <f>SUMIFS('3AugTo9Aug'!$P:$P, '3AugTo9Aug'!$J:$J, $A114)</f>
        <v>0</v>
      </c>
      <c r="BY114" s="123">
        <f t="shared" si="14"/>
        <v>0</v>
      </c>
      <c r="BZ114" s="121">
        <f>SUMIFS('27JulyTo2Aug'!$L:$L, '27JulyTo2Aug'!$J:$J, $A114)</f>
        <v>0</v>
      </c>
      <c r="CA114" s="121">
        <f>SUMIFS('27JulyTo2Aug'!$K:$K, '27JulyTo2Aug'!$J:$J, $A114)</f>
        <v>0</v>
      </c>
      <c r="CB114" s="121">
        <f>SUMIFS('27JulyTo2Aug'!$O:$O, '27JulyTo2Aug'!$J:$J, $A114)</f>
        <v>0</v>
      </c>
      <c r="CC114" s="121">
        <f>SUMIFS('27JulyTo2Aug'!$P:$P, '27JulyTo2Aug'!$J:$J, $A114)</f>
        <v>0</v>
      </c>
      <c r="CD114" s="123">
        <f t="shared" si="15"/>
        <v>0</v>
      </c>
    </row>
    <row r="115" spans="1:82" ht="14.25" customHeight="1" x14ac:dyDescent="0.3">
      <c r="A115" s="124" t="s">
        <v>596</v>
      </c>
      <c r="B115" s="120" t="str">
        <f t="shared" si="17"/>
        <v>NO TRAFFIC</v>
      </c>
      <c r="C115" s="121">
        <f>SUMIFS('9NovTo15Nov'!$L:$L, '9NovTo15Nov'!$J:$J, $A115)</f>
        <v>0</v>
      </c>
      <c r="D115" s="121">
        <f>SUMIFS('9NovTo15Nov'!$K:$K, '9NovTo15Nov'!$J:$J, $A115)</f>
        <v>0</v>
      </c>
      <c r="E115" s="121">
        <f>SUMIFS('9NovTo15Nov'!$O:$O, '9NovTo15Nov'!$J:$J, $A115)</f>
        <v>0</v>
      </c>
      <c r="F115" s="121">
        <f>SUMIFS('9NovTo15Nov'!$P:$P, '9NovTo15Nov'!$J:$J, $A115)</f>
        <v>0</v>
      </c>
      <c r="G115" s="122">
        <f t="shared" si="0"/>
        <v>0</v>
      </c>
      <c r="H115" s="121">
        <f>SUMIFS('2NovTo8Nov'!$L:$L, '2NovTo8Nov'!$J:$J, $A115)</f>
        <v>0</v>
      </c>
      <c r="I115" s="121">
        <f>SUMIFS('2NovTo8Nov'!$K:$K, '2NovTo8Nov'!$J:$J, $A115)</f>
        <v>0</v>
      </c>
      <c r="J115" s="121">
        <f>SUMIFS('2NovTo8Nov'!$O:$O, '2NovTo8Nov'!$J:$J, $A115)</f>
        <v>0</v>
      </c>
      <c r="K115" s="121">
        <f>SUMIFS('2NovTo8Nov'!$P:$P, '2NovTo8Nov'!$J:$J, $A115)</f>
        <v>0</v>
      </c>
      <c r="L115" s="122">
        <f t="shared" si="1"/>
        <v>0</v>
      </c>
      <c r="M115" s="121">
        <f>SUMIFS('26OctTo1Nov'!$L:$L, '26OctTo1Nov'!$J:$J, $A115)</f>
        <v>0</v>
      </c>
      <c r="N115" s="121">
        <f>SUMIFS('26OctTo1Nov'!$K:$K, '26OctTo1Nov'!$J:$J, $A115)</f>
        <v>0</v>
      </c>
      <c r="O115" s="121">
        <f>SUMIFS('26OctTo1Nov'!$O:$O, '26OctTo1Nov'!$J:$J, $A115)</f>
        <v>0</v>
      </c>
      <c r="P115" s="121">
        <f>SUMIFS('26OctTo1Nov'!$P:$P, '26OctTo1Nov'!$J:$J, $A115)</f>
        <v>0</v>
      </c>
      <c r="Q115" s="122">
        <f t="shared" si="2"/>
        <v>0</v>
      </c>
      <c r="R115" s="121">
        <f>SUMIFS('19OctTo25Oct'!$L:$L, '19OctTo25Oct'!$J:$J, $A115)</f>
        <v>0</v>
      </c>
      <c r="S115" s="121">
        <f>SUMIFS('19OctTo25Oct'!$K:$K, '19OctTo25Oct'!$J:$J, $A115)</f>
        <v>0</v>
      </c>
      <c r="T115" s="121">
        <f>SUMIFS('19OctTo25Oct'!$O:$O, '19OctTo25Oct'!$J:$J, $A115)</f>
        <v>0</v>
      </c>
      <c r="U115" s="121">
        <f>SUMIFS('19OctTo25Oct'!$P:$P, '19OctTo25Oct'!$J:$J, $A115)</f>
        <v>0</v>
      </c>
      <c r="V115" s="122">
        <f t="shared" si="3"/>
        <v>0</v>
      </c>
      <c r="W115" s="121">
        <f>SUMIFS('12OctTo18Oct'!$L:$L, '12OctTo18Oct'!$J:$J, $A115)</f>
        <v>0</v>
      </c>
      <c r="X115" s="121">
        <f>SUMIFS('12OctTo18Oct'!$K:$K, '12OctTo18Oct'!$J:$J, $A115)</f>
        <v>0</v>
      </c>
      <c r="Y115" s="121">
        <f>SUMIFS('12OctTo18Oct'!$O:$O, '12OctTo18Oct'!$J:$J, $A115)</f>
        <v>0</v>
      </c>
      <c r="Z115" s="121">
        <f>SUMIFS('12OctTo18Oct'!$P:$P, '12OctTo18Oct'!$J:$J, $A115)</f>
        <v>0</v>
      </c>
      <c r="AA115" s="122">
        <f t="shared" si="4"/>
        <v>0</v>
      </c>
      <c r="AB115" s="121">
        <f>SUMIFS('5OctTo11Oct'!$L:$L, '5OctTo11Oct'!$J:$J, $A115)</f>
        <v>0</v>
      </c>
      <c r="AC115" s="121">
        <f>SUMIFS('5OctTo11Oct'!$K:$K, '5OctTo11Oct'!$J:$J, $A115)</f>
        <v>0</v>
      </c>
      <c r="AD115" s="121">
        <f>SUMIFS('5OctTo11Oct'!$O:$O, '5OctTo11Oct'!$J:$J, $A115)</f>
        <v>0</v>
      </c>
      <c r="AE115" s="121">
        <f>SUMIFS('5OctTo11Oct'!$P:$P, '5OctTo11Oct'!$J:$J, $A115)</f>
        <v>0</v>
      </c>
      <c r="AF115" s="123">
        <f t="shared" si="5"/>
        <v>0</v>
      </c>
      <c r="AG115" s="121">
        <f>SUMIFS('28SepTo4Oct'!$L:$L, '28SepTo4Oct'!$J:$J, $A115)</f>
        <v>0</v>
      </c>
      <c r="AH115" s="121">
        <f>SUMIFS('28SepTo4Oct'!$K:$K, '28SepTo4Oct'!$J:$J, $A115)</f>
        <v>0</v>
      </c>
      <c r="AI115" s="121">
        <f>SUMIFS('28SepTo4Oct'!$O:$O, '28SepTo4Oct'!$J:$J, $A115)</f>
        <v>0</v>
      </c>
      <c r="AJ115" s="121">
        <f>SUMIFS('28SepTo4Oct'!$P:$P, '28SepTo4Oct'!$J:$J, $A115)</f>
        <v>0</v>
      </c>
      <c r="AK115" s="123">
        <f t="shared" si="6"/>
        <v>0</v>
      </c>
      <c r="AL115" s="121">
        <f>SUMIFS('21SepTo27Sep'!$L:$L, '21SepTo27Sep'!$J:$J, $A115)</f>
        <v>0</v>
      </c>
      <c r="AM115" s="121">
        <f>SUMIFS('21SepTo27Sep'!$K:$K, '21SepTo27Sep'!$J:$J, $A115)</f>
        <v>0</v>
      </c>
      <c r="AN115" s="121">
        <f>SUMIFS('21SepTo27Sep'!$O:$O, '21SepTo27Sep'!$J:$J, $A115)</f>
        <v>0</v>
      </c>
      <c r="AO115" s="121">
        <f>SUMIFS('21SepTo27Sep'!$P:$P, '21SepTo27Sep'!$J:$J, $A115)</f>
        <v>0</v>
      </c>
      <c r="AP115" s="123">
        <f t="shared" si="7"/>
        <v>0</v>
      </c>
      <c r="AQ115" s="121">
        <f>SUMIFS('14SepTo20Sep'!$L:$L, '14SepTo20Sep'!$J:$J, $A115)</f>
        <v>0</v>
      </c>
      <c r="AR115" s="121">
        <f>SUMIFS('14SepTo20Sep'!$K:$K, '14SepTo20Sep'!$J:$J, $A115)</f>
        <v>0</v>
      </c>
      <c r="AS115" s="121">
        <f>SUMIFS('14SepTo20Sep'!$O:$O, '14SepTo20Sep'!$J:$J, $A115)</f>
        <v>0</v>
      </c>
      <c r="AT115" s="121">
        <f>SUMIFS('14SepTo20Sep'!$P:$P, '14SepTo20Sep'!$J:$J, $A115)</f>
        <v>0</v>
      </c>
      <c r="AU115" s="123">
        <f t="shared" si="8"/>
        <v>0</v>
      </c>
      <c r="AV115" s="121">
        <f>SUMIFS('7SepTo13Sep'!$L:$L, '7SepTo13Sep'!$J:$J, $A115)</f>
        <v>0</v>
      </c>
      <c r="AW115" s="121">
        <f>SUMIFS('7SepTo13Sep'!$K:$K, '7SepTo13Sep'!$J:$J, $A115)</f>
        <v>0</v>
      </c>
      <c r="AX115" s="121">
        <f>SUMIFS('7SepTo13Sep'!$O:$O, '7SepTo13Sep'!$J:$J, $A115)</f>
        <v>0</v>
      </c>
      <c r="AY115" s="121">
        <f>SUMIFS('7SepTo13Sep'!$P:$P, '7SepTo13Sep'!$J:$J, $A115)</f>
        <v>0</v>
      </c>
      <c r="AZ115" s="123">
        <f t="shared" si="9"/>
        <v>0</v>
      </c>
      <c r="BA115" s="121">
        <f>SUMIFS('31AugTo6Sep'!$L:$L, '31AugTo6Sep'!$J:$J, $A115)</f>
        <v>0</v>
      </c>
      <c r="BB115" s="121">
        <f>SUMIFS('31AugTo6Sep'!$K:$K, '31AugTo6Sep'!$J:$J, $A115)</f>
        <v>0</v>
      </c>
      <c r="BC115" s="121">
        <f>SUMIFS('31AugTo6Sep'!$O:$O, '31AugTo6Sep'!$J:$J, $A115)</f>
        <v>0</v>
      </c>
      <c r="BD115" s="121">
        <f>SUMIFS('31AugTo6Sep'!$P:$P, '31AugTo6Sep'!$J:$J, $A115)</f>
        <v>0</v>
      </c>
      <c r="BE115" s="123">
        <f t="shared" si="10"/>
        <v>0</v>
      </c>
      <c r="BF115" s="121">
        <f>SUMIFS('24AugTo29Aug'!$L:$L, '24AugTo29Aug'!$J:$J, $A115)</f>
        <v>2</v>
      </c>
      <c r="BG115" s="121">
        <f>SUMIFS('24AugTo29Aug'!$K:$K, '24AugTo29Aug'!$J:$J, $A115)</f>
        <v>2</v>
      </c>
      <c r="BH115" s="121">
        <f>SUMIFS('24AugTo29Aug'!$O:$O, '24AugTo29Aug'!$J:$J, $A115)</f>
        <v>4.7699999999999996</v>
      </c>
      <c r="BI115" s="121">
        <f>SUMIFS('24AugTo29Aug'!$P:$P, '24AugTo29Aug'!$J:$J, $A115)</f>
        <v>24.94</v>
      </c>
      <c r="BJ115" s="123">
        <f t="shared" si="11"/>
        <v>19.125902165196468</v>
      </c>
      <c r="BK115" s="121">
        <f>SUMIFS('17AugTo21Aug'!$L:$L, '17AugTo21Aug'!$J:$J, $A115)</f>
        <v>0</v>
      </c>
      <c r="BL115" s="121">
        <f>SUMIFS('17AugTo21Aug'!$K:$K, '17AugTo21Aug'!$J:$J, $A115)</f>
        <v>0</v>
      </c>
      <c r="BM115" s="121">
        <f>SUMIFS('17AugTo21Aug'!$O:$O, '17AugTo21Aug'!$J:$J, $A115)</f>
        <v>0</v>
      </c>
      <c r="BN115" s="121">
        <f>SUMIFS('17AugTo21Aug'!$P:$P, '17AugTo21Aug'!$J:$J, $A115)</f>
        <v>0</v>
      </c>
      <c r="BO115" s="123">
        <f t="shared" si="12"/>
        <v>0</v>
      </c>
      <c r="BP115" s="121">
        <f>SUMIFS('10AugTo16Aug'!$L:$L, '10AugTo16Aug'!$J:$J, $A115)</f>
        <v>0</v>
      </c>
      <c r="BQ115" s="121">
        <f>SUMIFS('10AugTo16Aug'!$K:$K, '10AugTo16Aug'!$J:$J, $A115)</f>
        <v>0</v>
      </c>
      <c r="BR115" s="121">
        <f>SUMIFS('10AugTo16Aug'!$O:$O, '10AugTo16Aug'!$J:$J, $A115)</f>
        <v>0</v>
      </c>
      <c r="BS115" s="121">
        <f>SUMIFS('10AugTo16Aug'!$P:$P, '10AugTo16Aug'!$J:$J, $A115)</f>
        <v>0</v>
      </c>
      <c r="BT115" s="123">
        <f t="shared" si="13"/>
        <v>0</v>
      </c>
      <c r="BU115" s="121">
        <f>SUMIFS('3AugTo9Aug'!$L:$L, '3AugTo9Aug'!$J:$J, $A115)</f>
        <v>0</v>
      </c>
      <c r="BV115" s="121">
        <f>SUMIFS('3AugTo9Aug'!$K:$K, '3AugTo9Aug'!$J:$J, $A115)</f>
        <v>0</v>
      </c>
      <c r="BW115" s="121">
        <f>SUMIFS('3AugTo9Aug'!$O:$O, '3AugTo9Aug'!$J:$J, $A115)</f>
        <v>0</v>
      </c>
      <c r="BX115" s="121">
        <f>SUMIFS('3AugTo9Aug'!$P:$P, '3AugTo9Aug'!$J:$J, $A115)</f>
        <v>0</v>
      </c>
      <c r="BY115" s="123">
        <f t="shared" si="14"/>
        <v>0</v>
      </c>
      <c r="BZ115" s="121">
        <f>SUMIFS('27JulyTo2Aug'!$L:$L, '27JulyTo2Aug'!$J:$J, $A115)</f>
        <v>0</v>
      </c>
      <c r="CA115" s="121">
        <f>SUMIFS('27JulyTo2Aug'!$K:$K, '27JulyTo2Aug'!$J:$J, $A115)</f>
        <v>0</v>
      </c>
      <c r="CB115" s="121">
        <f>SUMIFS('27JulyTo2Aug'!$O:$O, '27JulyTo2Aug'!$J:$J, $A115)</f>
        <v>0</v>
      </c>
      <c r="CC115" s="121">
        <f>SUMIFS('27JulyTo2Aug'!$P:$P, '27JulyTo2Aug'!$J:$J, $A115)</f>
        <v>0</v>
      </c>
      <c r="CD115" s="123">
        <f t="shared" si="15"/>
        <v>0</v>
      </c>
    </row>
    <row r="116" spans="1:82" ht="14.25" customHeight="1" x14ac:dyDescent="0.3">
      <c r="A116" s="124" t="s">
        <v>597</v>
      </c>
      <c r="B116" s="120" t="str">
        <f t="shared" si="17"/>
        <v>NO TRAFFIC</v>
      </c>
      <c r="C116" s="121">
        <f>SUMIFS('9NovTo15Nov'!$L:$L, '9NovTo15Nov'!$J:$J, $A116)</f>
        <v>0</v>
      </c>
      <c r="D116" s="121">
        <f>SUMIFS('9NovTo15Nov'!$K:$K, '9NovTo15Nov'!$J:$J, $A116)</f>
        <v>0</v>
      </c>
      <c r="E116" s="121">
        <f>SUMIFS('9NovTo15Nov'!$O:$O, '9NovTo15Nov'!$J:$J, $A116)</f>
        <v>0</v>
      </c>
      <c r="F116" s="121">
        <f>SUMIFS('9NovTo15Nov'!$P:$P, '9NovTo15Nov'!$J:$J, $A116)</f>
        <v>0</v>
      </c>
      <c r="G116" s="122">
        <f t="shared" si="0"/>
        <v>0</v>
      </c>
      <c r="H116" s="121">
        <f>SUMIFS('2NovTo8Nov'!$L:$L, '2NovTo8Nov'!$J:$J, $A116)</f>
        <v>0</v>
      </c>
      <c r="I116" s="121">
        <f>SUMIFS('2NovTo8Nov'!$K:$K, '2NovTo8Nov'!$J:$J, $A116)</f>
        <v>0</v>
      </c>
      <c r="J116" s="121">
        <f>SUMIFS('2NovTo8Nov'!$O:$O, '2NovTo8Nov'!$J:$J, $A116)</f>
        <v>0</v>
      </c>
      <c r="K116" s="121">
        <f>SUMIFS('2NovTo8Nov'!$P:$P, '2NovTo8Nov'!$J:$J, $A116)</f>
        <v>0</v>
      </c>
      <c r="L116" s="122">
        <f t="shared" si="1"/>
        <v>0</v>
      </c>
      <c r="M116" s="121">
        <f>SUMIFS('26OctTo1Nov'!$L:$L, '26OctTo1Nov'!$J:$J, $A116)</f>
        <v>0</v>
      </c>
      <c r="N116" s="121">
        <f>SUMIFS('26OctTo1Nov'!$K:$K, '26OctTo1Nov'!$J:$J, $A116)</f>
        <v>0</v>
      </c>
      <c r="O116" s="121">
        <f>SUMIFS('26OctTo1Nov'!$O:$O, '26OctTo1Nov'!$J:$J, $A116)</f>
        <v>0</v>
      </c>
      <c r="P116" s="121">
        <f>SUMIFS('26OctTo1Nov'!$P:$P, '26OctTo1Nov'!$J:$J, $A116)</f>
        <v>0</v>
      </c>
      <c r="Q116" s="122">
        <f t="shared" si="2"/>
        <v>0</v>
      </c>
      <c r="R116" s="121">
        <f>SUMIFS('19OctTo25Oct'!$L:$L, '19OctTo25Oct'!$J:$J, $A116)</f>
        <v>0</v>
      </c>
      <c r="S116" s="121">
        <f>SUMIFS('19OctTo25Oct'!$K:$K, '19OctTo25Oct'!$J:$J, $A116)</f>
        <v>0</v>
      </c>
      <c r="T116" s="121">
        <f>SUMIFS('19OctTo25Oct'!$O:$O, '19OctTo25Oct'!$J:$J, $A116)</f>
        <v>0</v>
      </c>
      <c r="U116" s="121">
        <f>SUMIFS('19OctTo25Oct'!$P:$P, '19OctTo25Oct'!$J:$J, $A116)</f>
        <v>0</v>
      </c>
      <c r="V116" s="122">
        <f t="shared" si="3"/>
        <v>0</v>
      </c>
      <c r="W116" s="121">
        <f>SUMIFS('12OctTo18Oct'!$L:$L, '12OctTo18Oct'!$J:$J, $A116)</f>
        <v>0</v>
      </c>
      <c r="X116" s="121">
        <f>SUMIFS('12OctTo18Oct'!$K:$K, '12OctTo18Oct'!$J:$J, $A116)</f>
        <v>0</v>
      </c>
      <c r="Y116" s="121">
        <f>SUMIFS('12OctTo18Oct'!$O:$O, '12OctTo18Oct'!$J:$J, $A116)</f>
        <v>0</v>
      </c>
      <c r="Z116" s="121">
        <f>SUMIFS('12OctTo18Oct'!$P:$P, '12OctTo18Oct'!$J:$J, $A116)</f>
        <v>0</v>
      </c>
      <c r="AA116" s="122">
        <f t="shared" si="4"/>
        <v>0</v>
      </c>
      <c r="AB116" s="121">
        <f>SUMIFS('5OctTo11Oct'!$L:$L, '5OctTo11Oct'!$J:$J, $A116)</f>
        <v>0</v>
      </c>
      <c r="AC116" s="121">
        <f>SUMIFS('5OctTo11Oct'!$K:$K, '5OctTo11Oct'!$J:$J, $A116)</f>
        <v>0</v>
      </c>
      <c r="AD116" s="121">
        <f>SUMIFS('5OctTo11Oct'!$O:$O, '5OctTo11Oct'!$J:$J, $A116)</f>
        <v>0</v>
      </c>
      <c r="AE116" s="121">
        <f>SUMIFS('5OctTo11Oct'!$P:$P, '5OctTo11Oct'!$J:$J, $A116)</f>
        <v>0</v>
      </c>
      <c r="AF116" s="123">
        <f t="shared" si="5"/>
        <v>0</v>
      </c>
      <c r="AG116" s="121">
        <f>SUMIFS('28SepTo4Oct'!$L:$L, '28SepTo4Oct'!$J:$J, $A116)</f>
        <v>0</v>
      </c>
      <c r="AH116" s="121">
        <f>SUMIFS('28SepTo4Oct'!$K:$K, '28SepTo4Oct'!$J:$J, $A116)</f>
        <v>0</v>
      </c>
      <c r="AI116" s="121">
        <f>SUMIFS('28SepTo4Oct'!$O:$O, '28SepTo4Oct'!$J:$J, $A116)</f>
        <v>0</v>
      </c>
      <c r="AJ116" s="121">
        <f>SUMIFS('28SepTo4Oct'!$P:$P, '28SepTo4Oct'!$J:$J, $A116)</f>
        <v>0</v>
      </c>
      <c r="AK116" s="123">
        <f t="shared" si="6"/>
        <v>0</v>
      </c>
      <c r="AL116" s="121">
        <f>SUMIFS('21SepTo27Sep'!$L:$L, '21SepTo27Sep'!$J:$J, $A116)</f>
        <v>0</v>
      </c>
      <c r="AM116" s="121">
        <f>SUMIFS('21SepTo27Sep'!$K:$K, '21SepTo27Sep'!$J:$J, $A116)</f>
        <v>0</v>
      </c>
      <c r="AN116" s="121">
        <f>SUMIFS('21SepTo27Sep'!$O:$O, '21SepTo27Sep'!$J:$J, $A116)</f>
        <v>0</v>
      </c>
      <c r="AO116" s="121">
        <f>SUMIFS('21SepTo27Sep'!$P:$P, '21SepTo27Sep'!$J:$J, $A116)</f>
        <v>0</v>
      </c>
      <c r="AP116" s="123">
        <f t="shared" si="7"/>
        <v>0</v>
      </c>
      <c r="AQ116" s="121">
        <f>SUMIFS('14SepTo20Sep'!$L:$L, '14SepTo20Sep'!$J:$J, $A116)</f>
        <v>0</v>
      </c>
      <c r="AR116" s="121">
        <f>SUMIFS('14SepTo20Sep'!$K:$K, '14SepTo20Sep'!$J:$J, $A116)</f>
        <v>0</v>
      </c>
      <c r="AS116" s="121">
        <f>SUMIFS('14SepTo20Sep'!$O:$O, '14SepTo20Sep'!$J:$J, $A116)</f>
        <v>0</v>
      </c>
      <c r="AT116" s="121">
        <f>SUMIFS('14SepTo20Sep'!$P:$P, '14SepTo20Sep'!$J:$J, $A116)</f>
        <v>0</v>
      </c>
      <c r="AU116" s="123">
        <f t="shared" si="8"/>
        <v>0</v>
      </c>
      <c r="AV116" s="121">
        <f>SUMIFS('7SepTo13Sep'!$L:$L, '7SepTo13Sep'!$J:$J, $A116)</f>
        <v>0</v>
      </c>
      <c r="AW116" s="121">
        <f>SUMIFS('7SepTo13Sep'!$K:$K, '7SepTo13Sep'!$J:$J, $A116)</f>
        <v>0</v>
      </c>
      <c r="AX116" s="121">
        <f>SUMIFS('7SepTo13Sep'!$O:$O, '7SepTo13Sep'!$J:$J, $A116)</f>
        <v>0</v>
      </c>
      <c r="AY116" s="121">
        <f>SUMIFS('7SepTo13Sep'!$P:$P, '7SepTo13Sep'!$J:$J, $A116)</f>
        <v>0</v>
      </c>
      <c r="AZ116" s="123">
        <f t="shared" si="9"/>
        <v>0</v>
      </c>
      <c r="BA116" s="121">
        <f>SUMIFS('31AugTo6Sep'!$L:$L, '31AugTo6Sep'!$J:$J, $A116)</f>
        <v>0</v>
      </c>
      <c r="BB116" s="121">
        <f>SUMIFS('31AugTo6Sep'!$K:$K, '31AugTo6Sep'!$J:$J, $A116)</f>
        <v>0</v>
      </c>
      <c r="BC116" s="121">
        <f>SUMIFS('31AugTo6Sep'!$O:$O, '31AugTo6Sep'!$J:$J, $A116)</f>
        <v>0</v>
      </c>
      <c r="BD116" s="121">
        <f>SUMIFS('31AugTo6Sep'!$P:$P, '31AugTo6Sep'!$J:$J, $A116)</f>
        <v>0</v>
      </c>
      <c r="BE116" s="123">
        <f t="shared" si="10"/>
        <v>0</v>
      </c>
      <c r="BF116" s="121">
        <f>SUMIFS('24AugTo29Aug'!$L:$L, '24AugTo29Aug'!$J:$J, $A116)</f>
        <v>1</v>
      </c>
      <c r="BG116" s="121">
        <f>SUMIFS('24AugTo29Aug'!$K:$K, '24AugTo29Aug'!$J:$J, $A116)</f>
        <v>1</v>
      </c>
      <c r="BH116" s="121">
        <f>SUMIFS('24AugTo29Aug'!$O:$O, '24AugTo29Aug'!$J:$J, $A116)</f>
        <v>2.5499999999999998</v>
      </c>
      <c r="BI116" s="121">
        <f>SUMIFS('24AugTo29Aug'!$P:$P, '24AugTo29Aug'!$J:$J, $A116)</f>
        <v>24.94</v>
      </c>
      <c r="BJ116" s="123">
        <f t="shared" si="11"/>
        <v>10.224538893344025</v>
      </c>
      <c r="BK116" s="121">
        <f>SUMIFS('17AugTo21Aug'!$L:$L, '17AugTo21Aug'!$J:$J, $A116)</f>
        <v>0</v>
      </c>
      <c r="BL116" s="121">
        <f>SUMIFS('17AugTo21Aug'!$K:$K, '17AugTo21Aug'!$J:$J, $A116)</f>
        <v>0</v>
      </c>
      <c r="BM116" s="121">
        <f>SUMIFS('17AugTo21Aug'!$O:$O, '17AugTo21Aug'!$J:$J, $A116)</f>
        <v>0</v>
      </c>
      <c r="BN116" s="121">
        <f>SUMIFS('17AugTo21Aug'!$P:$P, '17AugTo21Aug'!$J:$J, $A116)</f>
        <v>0</v>
      </c>
      <c r="BO116" s="123">
        <f t="shared" si="12"/>
        <v>0</v>
      </c>
      <c r="BP116" s="121">
        <f>SUMIFS('10AugTo16Aug'!$L:$L, '10AugTo16Aug'!$J:$J, $A116)</f>
        <v>0</v>
      </c>
      <c r="BQ116" s="121">
        <f>SUMIFS('10AugTo16Aug'!$K:$K, '10AugTo16Aug'!$J:$J, $A116)</f>
        <v>0</v>
      </c>
      <c r="BR116" s="121">
        <f>SUMIFS('10AugTo16Aug'!$O:$O, '10AugTo16Aug'!$J:$J, $A116)</f>
        <v>0</v>
      </c>
      <c r="BS116" s="121">
        <f>SUMIFS('10AugTo16Aug'!$P:$P, '10AugTo16Aug'!$J:$J, $A116)</f>
        <v>0</v>
      </c>
      <c r="BT116" s="123">
        <f t="shared" si="13"/>
        <v>0</v>
      </c>
      <c r="BU116" s="121">
        <f>SUMIFS('3AugTo9Aug'!$L:$L, '3AugTo9Aug'!$J:$J, $A116)</f>
        <v>0</v>
      </c>
      <c r="BV116" s="121">
        <f>SUMIFS('3AugTo9Aug'!$K:$K, '3AugTo9Aug'!$J:$J, $A116)</f>
        <v>0</v>
      </c>
      <c r="BW116" s="121">
        <f>SUMIFS('3AugTo9Aug'!$O:$O, '3AugTo9Aug'!$J:$J, $A116)</f>
        <v>0</v>
      </c>
      <c r="BX116" s="121">
        <f>SUMIFS('3AugTo9Aug'!$P:$P, '3AugTo9Aug'!$J:$J, $A116)</f>
        <v>0</v>
      </c>
      <c r="BY116" s="123">
        <f t="shared" si="14"/>
        <v>0</v>
      </c>
      <c r="BZ116" s="121">
        <f>SUMIFS('27JulyTo2Aug'!$L:$L, '27JulyTo2Aug'!$J:$J, $A116)</f>
        <v>0</v>
      </c>
      <c r="CA116" s="121">
        <f>SUMIFS('27JulyTo2Aug'!$K:$K, '27JulyTo2Aug'!$J:$J, $A116)</f>
        <v>0</v>
      </c>
      <c r="CB116" s="121">
        <f>SUMIFS('27JulyTo2Aug'!$O:$O, '27JulyTo2Aug'!$J:$J, $A116)</f>
        <v>0</v>
      </c>
      <c r="CC116" s="121">
        <f>SUMIFS('27JulyTo2Aug'!$P:$P, '27JulyTo2Aug'!$J:$J, $A116)</f>
        <v>0</v>
      </c>
      <c r="CD116" s="123">
        <f t="shared" si="15"/>
        <v>0</v>
      </c>
    </row>
    <row r="117" spans="1:82" ht="14.25" customHeight="1" x14ac:dyDescent="0.3">
      <c r="A117" s="124" t="s">
        <v>599</v>
      </c>
      <c r="B117" s="120" t="str">
        <f t="shared" si="17"/>
        <v>NO TRAFFIC</v>
      </c>
      <c r="C117" s="121">
        <f>SUMIFS('9NovTo15Nov'!$L:$L, '9NovTo15Nov'!$J:$J, $A117)</f>
        <v>0</v>
      </c>
      <c r="D117" s="121">
        <f>SUMIFS('9NovTo15Nov'!$K:$K, '9NovTo15Nov'!$J:$J, $A117)</f>
        <v>0</v>
      </c>
      <c r="E117" s="121">
        <f>SUMIFS('9NovTo15Nov'!$O:$O, '9NovTo15Nov'!$J:$J, $A117)</f>
        <v>0</v>
      </c>
      <c r="F117" s="121">
        <f>SUMIFS('9NovTo15Nov'!$P:$P, '9NovTo15Nov'!$J:$J, $A117)</f>
        <v>0</v>
      </c>
      <c r="G117" s="122">
        <f t="shared" si="0"/>
        <v>0</v>
      </c>
      <c r="H117" s="121">
        <f>SUMIFS('2NovTo8Nov'!$L:$L, '2NovTo8Nov'!$J:$J, $A117)</f>
        <v>0</v>
      </c>
      <c r="I117" s="121">
        <f>SUMIFS('2NovTo8Nov'!$K:$K, '2NovTo8Nov'!$J:$J, $A117)</f>
        <v>0</v>
      </c>
      <c r="J117" s="121">
        <f>SUMIFS('2NovTo8Nov'!$O:$O, '2NovTo8Nov'!$J:$J, $A117)</f>
        <v>0</v>
      </c>
      <c r="K117" s="121">
        <f>SUMIFS('2NovTo8Nov'!$P:$P, '2NovTo8Nov'!$J:$J, $A117)</f>
        <v>0</v>
      </c>
      <c r="L117" s="122">
        <f t="shared" si="1"/>
        <v>0</v>
      </c>
      <c r="M117" s="121">
        <f>SUMIFS('26OctTo1Nov'!$L:$L, '26OctTo1Nov'!$J:$J, $A117)</f>
        <v>0</v>
      </c>
      <c r="N117" s="121">
        <f>SUMIFS('26OctTo1Nov'!$K:$K, '26OctTo1Nov'!$J:$J, $A117)</f>
        <v>0</v>
      </c>
      <c r="O117" s="121">
        <f>SUMIFS('26OctTo1Nov'!$O:$O, '26OctTo1Nov'!$J:$J, $A117)</f>
        <v>0</v>
      </c>
      <c r="P117" s="121">
        <f>SUMIFS('26OctTo1Nov'!$P:$P, '26OctTo1Nov'!$J:$J, $A117)</f>
        <v>0</v>
      </c>
      <c r="Q117" s="122">
        <f t="shared" si="2"/>
        <v>0</v>
      </c>
      <c r="R117" s="121">
        <f>SUMIFS('19OctTo25Oct'!$L:$L, '19OctTo25Oct'!$J:$J, $A117)</f>
        <v>0</v>
      </c>
      <c r="S117" s="121">
        <f>SUMIFS('19OctTo25Oct'!$K:$K, '19OctTo25Oct'!$J:$J, $A117)</f>
        <v>0</v>
      </c>
      <c r="T117" s="121">
        <f>SUMIFS('19OctTo25Oct'!$O:$O, '19OctTo25Oct'!$J:$J, $A117)</f>
        <v>0</v>
      </c>
      <c r="U117" s="121">
        <f>SUMIFS('19OctTo25Oct'!$P:$P, '19OctTo25Oct'!$J:$J, $A117)</f>
        <v>0</v>
      </c>
      <c r="V117" s="122">
        <f t="shared" si="3"/>
        <v>0</v>
      </c>
      <c r="W117" s="121">
        <f>SUMIFS('12OctTo18Oct'!$L:$L, '12OctTo18Oct'!$J:$J, $A117)</f>
        <v>0</v>
      </c>
      <c r="X117" s="121">
        <f>SUMIFS('12OctTo18Oct'!$K:$K, '12OctTo18Oct'!$J:$J, $A117)</f>
        <v>0</v>
      </c>
      <c r="Y117" s="121">
        <f>SUMIFS('12OctTo18Oct'!$O:$O, '12OctTo18Oct'!$J:$J, $A117)</f>
        <v>0</v>
      </c>
      <c r="Z117" s="121">
        <f>SUMIFS('12OctTo18Oct'!$P:$P, '12OctTo18Oct'!$J:$J, $A117)</f>
        <v>0</v>
      </c>
      <c r="AA117" s="122">
        <f t="shared" si="4"/>
        <v>0</v>
      </c>
      <c r="AB117" s="121">
        <f>SUMIFS('5OctTo11Oct'!$L:$L, '5OctTo11Oct'!$J:$J, $A117)</f>
        <v>0</v>
      </c>
      <c r="AC117" s="121">
        <f>SUMIFS('5OctTo11Oct'!$K:$K, '5OctTo11Oct'!$J:$J, $A117)</f>
        <v>0</v>
      </c>
      <c r="AD117" s="121">
        <f>SUMIFS('5OctTo11Oct'!$O:$O, '5OctTo11Oct'!$J:$J, $A117)</f>
        <v>0</v>
      </c>
      <c r="AE117" s="121">
        <f>SUMIFS('5OctTo11Oct'!$P:$P, '5OctTo11Oct'!$J:$J, $A117)</f>
        <v>0</v>
      </c>
      <c r="AF117" s="123">
        <f t="shared" si="5"/>
        <v>0</v>
      </c>
      <c r="AG117" s="121">
        <f>SUMIFS('28SepTo4Oct'!$L:$L, '28SepTo4Oct'!$J:$J, $A117)</f>
        <v>0</v>
      </c>
      <c r="AH117" s="121">
        <f>SUMIFS('28SepTo4Oct'!$K:$K, '28SepTo4Oct'!$J:$J, $A117)</f>
        <v>0</v>
      </c>
      <c r="AI117" s="121">
        <f>SUMIFS('28SepTo4Oct'!$O:$O, '28SepTo4Oct'!$J:$J, $A117)</f>
        <v>0</v>
      </c>
      <c r="AJ117" s="121">
        <f>SUMIFS('28SepTo4Oct'!$P:$P, '28SepTo4Oct'!$J:$J, $A117)</f>
        <v>0</v>
      </c>
      <c r="AK117" s="123">
        <f t="shared" si="6"/>
        <v>0</v>
      </c>
      <c r="AL117" s="121">
        <f>SUMIFS('21SepTo27Sep'!$L:$L, '21SepTo27Sep'!$J:$J, $A117)</f>
        <v>0</v>
      </c>
      <c r="AM117" s="121">
        <f>SUMIFS('21SepTo27Sep'!$K:$K, '21SepTo27Sep'!$J:$J, $A117)</f>
        <v>0</v>
      </c>
      <c r="AN117" s="121">
        <f>SUMIFS('21SepTo27Sep'!$O:$O, '21SepTo27Sep'!$J:$J, $A117)</f>
        <v>0</v>
      </c>
      <c r="AO117" s="121">
        <f>SUMIFS('21SepTo27Sep'!$P:$P, '21SepTo27Sep'!$J:$J, $A117)</f>
        <v>0</v>
      </c>
      <c r="AP117" s="123">
        <f t="shared" si="7"/>
        <v>0</v>
      </c>
      <c r="AQ117" s="121">
        <f>SUMIFS('14SepTo20Sep'!$L:$L, '14SepTo20Sep'!$J:$J, $A117)</f>
        <v>0</v>
      </c>
      <c r="AR117" s="121">
        <f>SUMIFS('14SepTo20Sep'!$K:$K, '14SepTo20Sep'!$J:$J, $A117)</f>
        <v>0</v>
      </c>
      <c r="AS117" s="121">
        <f>SUMIFS('14SepTo20Sep'!$O:$O, '14SepTo20Sep'!$J:$J, $A117)</f>
        <v>0</v>
      </c>
      <c r="AT117" s="121">
        <f>SUMIFS('14SepTo20Sep'!$P:$P, '14SepTo20Sep'!$J:$J, $A117)</f>
        <v>0</v>
      </c>
      <c r="AU117" s="123">
        <f t="shared" si="8"/>
        <v>0</v>
      </c>
      <c r="AV117" s="121">
        <f>SUMIFS('7SepTo13Sep'!$L:$L, '7SepTo13Sep'!$J:$J, $A117)</f>
        <v>0</v>
      </c>
      <c r="AW117" s="121">
        <f>SUMIFS('7SepTo13Sep'!$K:$K, '7SepTo13Sep'!$J:$J, $A117)</f>
        <v>0</v>
      </c>
      <c r="AX117" s="121">
        <f>SUMIFS('7SepTo13Sep'!$O:$O, '7SepTo13Sep'!$J:$J, $A117)</f>
        <v>0</v>
      </c>
      <c r="AY117" s="121">
        <f>SUMIFS('7SepTo13Sep'!$P:$P, '7SepTo13Sep'!$J:$J, $A117)</f>
        <v>0</v>
      </c>
      <c r="AZ117" s="123">
        <f t="shared" si="9"/>
        <v>0</v>
      </c>
      <c r="BA117" s="121">
        <f>SUMIFS('31AugTo6Sep'!$L:$L, '31AugTo6Sep'!$J:$J, $A117)</f>
        <v>0</v>
      </c>
      <c r="BB117" s="121">
        <f>SUMIFS('31AugTo6Sep'!$K:$K, '31AugTo6Sep'!$J:$J, $A117)</f>
        <v>0</v>
      </c>
      <c r="BC117" s="121">
        <f>SUMIFS('31AugTo6Sep'!$O:$O, '31AugTo6Sep'!$J:$J, $A117)</f>
        <v>0</v>
      </c>
      <c r="BD117" s="121">
        <f>SUMIFS('31AugTo6Sep'!$P:$P, '31AugTo6Sep'!$J:$J, $A117)</f>
        <v>0</v>
      </c>
      <c r="BE117" s="123">
        <f t="shared" si="10"/>
        <v>0</v>
      </c>
      <c r="BF117" s="121">
        <f>SUMIFS('24AugTo29Aug'!$L:$L, '24AugTo29Aug'!$J:$J, $A117)</f>
        <v>1</v>
      </c>
      <c r="BG117" s="121">
        <f>SUMIFS('24AugTo29Aug'!$K:$K, '24AugTo29Aug'!$J:$J, $A117)</f>
        <v>5</v>
      </c>
      <c r="BH117" s="121">
        <f>SUMIFS('24AugTo29Aug'!$O:$O, '24AugTo29Aug'!$J:$J, $A117)</f>
        <v>2.4500000000000002</v>
      </c>
      <c r="BI117" s="121">
        <f>SUMIFS('24AugTo29Aug'!$P:$P, '24AugTo29Aug'!$J:$J, $A117)</f>
        <v>24.94</v>
      </c>
      <c r="BJ117" s="123">
        <f t="shared" si="11"/>
        <v>9.823576583801124</v>
      </c>
      <c r="BK117" s="121">
        <f>SUMIFS('17AugTo21Aug'!$L:$L, '17AugTo21Aug'!$J:$J, $A117)</f>
        <v>0</v>
      </c>
      <c r="BL117" s="121">
        <f>SUMIFS('17AugTo21Aug'!$K:$K, '17AugTo21Aug'!$J:$J, $A117)</f>
        <v>0</v>
      </c>
      <c r="BM117" s="121">
        <f>SUMIFS('17AugTo21Aug'!$O:$O, '17AugTo21Aug'!$J:$J, $A117)</f>
        <v>0</v>
      </c>
      <c r="BN117" s="121">
        <f>SUMIFS('17AugTo21Aug'!$P:$P, '17AugTo21Aug'!$J:$J, $A117)</f>
        <v>0</v>
      </c>
      <c r="BO117" s="123">
        <f t="shared" si="12"/>
        <v>0</v>
      </c>
      <c r="BP117" s="121">
        <f>SUMIFS('10AugTo16Aug'!$L:$L, '10AugTo16Aug'!$J:$J, $A117)</f>
        <v>2</v>
      </c>
      <c r="BQ117" s="121">
        <f>SUMIFS('10AugTo16Aug'!$K:$K, '10AugTo16Aug'!$J:$J, $A117)</f>
        <v>9</v>
      </c>
      <c r="BR117" s="121">
        <f>SUMIFS('10AugTo16Aug'!$O:$O, '10AugTo16Aug'!$J:$J, $A117)</f>
        <v>5</v>
      </c>
      <c r="BS117" s="121">
        <f>SUMIFS('10AugTo16Aug'!$P:$P, '10AugTo16Aug'!$J:$J, $A117)</f>
        <v>24.94</v>
      </c>
      <c r="BT117" s="123">
        <f t="shared" si="13"/>
        <v>20.048115477145149</v>
      </c>
      <c r="BU117" s="121">
        <f>SUMIFS('3AugTo9Aug'!$L:$L, '3AugTo9Aug'!$J:$J, $A117)</f>
        <v>0</v>
      </c>
      <c r="BV117" s="121">
        <f>SUMIFS('3AugTo9Aug'!$K:$K, '3AugTo9Aug'!$J:$J, $A117)</f>
        <v>0</v>
      </c>
      <c r="BW117" s="121">
        <f>SUMIFS('3AugTo9Aug'!$O:$O, '3AugTo9Aug'!$J:$J, $A117)</f>
        <v>0</v>
      </c>
      <c r="BX117" s="121">
        <f>SUMIFS('3AugTo9Aug'!$P:$P, '3AugTo9Aug'!$J:$J, $A117)</f>
        <v>0</v>
      </c>
      <c r="BY117" s="123">
        <f t="shared" si="14"/>
        <v>0</v>
      </c>
      <c r="BZ117" s="121">
        <f>SUMIFS('27JulyTo2Aug'!$L:$L, '27JulyTo2Aug'!$J:$J, $A117)</f>
        <v>0</v>
      </c>
      <c r="CA117" s="121">
        <f>SUMIFS('27JulyTo2Aug'!$K:$K, '27JulyTo2Aug'!$J:$J, $A117)</f>
        <v>0</v>
      </c>
      <c r="CB117" s="121">
        <f>SUMIFS('27JulyTo2Aug'!$O:$O, '27JulyTo2Aug'!$J:$J, $A117)</f>
        <v>0</v>
      </c>
      <c r="CC117" s="121">
        <f>SUMIFS('27JulyTo2Aug'!$P:$P, '27JulyTo2Aug'!$J:$J, $A117)</f>
        <v>0</v>
      </c>
      <c r="CD117" s="123">
        <f t="shared" si="15"/>
        <v>0</v>
      </c>
    </row>
    <row r="118" spans="1:82" ht="14.25" customHeight="1" x14ac:dyDescent="0.3">
      <c r="A118" s="124" t="s">
        <v>600</v>
      </c>
      <c r="B118" s="120" t="str">
        <f t="shared" si="17"/>
        <v>NO TRAFFIC</v>
      </c>
      <c r="C118" s="121">
        <f>SUMIFS('9NovTo15Nov'!$L:$L, '9NovTo15Nov'!$J:$J, $A118)</f>
        <v>0</v>
      </c>
      <c r="D118" s="121">
        <f>SUMIFS('9NovTo15Nov'!$K:$K, '9NovTo15Nov'!$J:$J, $A118)</f>
        <v>0</v>
      </c>
      <c r="E118" s="121">
        <f>SUMIFS('9NovTo15Nov'!$O:$O, '9NovTo15Nov'!$J:$J, $A118)</f>
        <v>0</v>
      </c>
      <c r="F118" s="121">
        <f>SUMIFS('9NovTo15Nov'!$P:$P, '9NovTo15Nov'!$J:$J, $A118)</f>
        <v>0</v>
      </c>
      <c r="G118" s="122">
        <f t="shared" si="0"/>
        <v>0</v>
      </c>
      <c r="H118" s="121">
        <f>SUMIFS('2NovTo8Nov'!$L:$L, '2NovTo8Nov'!$J:$J, $A118)</f>
        <v>0</v>
      </c>
      <c r="I118" s="121">
        <f>SUMIFS('2NovTo8Nov'!$K:$K, '2NovTo8Nov'!$J:$J, $A118)</f>
        <v>0</v>
      </c>
      <c r="J118" s="121">
        <f>SUMIFS('2NovTo8Nov'!$O:$O, '2NovTo8Nov'!$J:$J, $A118)</f>
        <v>0</v>
      </c>
      <c r="K118" s="121">
        <f>SUMIFS('2NovTo8Nov'!$P:$P, '2NovTo8Nov'!$J:$J, $A118)</f>
        <v>0</v>
      </c>
      <c r="L118" s="122">
        <f t="shared" si="1"/>
        <v>0</v>
      </c>
      <c r="M118" s="121">
        <f>SUMIFS('26OctTo1Nov'!$L:$L, '26OctTo1Nov'!$J:$J, $A118)</f>
        <v>0</v>
      </c>
      <c r="N118" s="121">
        <f>SUMIFS('26OctTo1Nov'!$K:$K, '26OctTo1Nov'!$J:$J, $A118)</f>
        <v>0</v>
      </c>
      <c r="O118" s="121">
        <f>SUMIFS('26OctTo1Nov'!$O:$O, '26OctTo1Nov'!$J:$J, $A118)</f>
        <v>0</v>
      </c>
      <c r="P118" s="121">
        <f>SUMIFS('26OctTo1Nov'!$P:$P, '26OctTo1Nov'!$J:$J, $A118)</f>
        <v>0</v>
      </c>
      <c r="Q118" s="122">
        <f t="shared" si="2"/>
        <v>0</v>
      </c>
      <c r="R118" s="121">
        <f>SUMIFS('19OctTo25Oct'!$L:$L, '19OctTo25Oct'!$J:$J, $A118)</f>
        <v>0</v>
      </c>
      <c r="S118" s="121">
        <f>SUMIFS('19OctTo25Oct'!$K:$K, '19OctTo25Oct'!$J:$J, $A118)</f>
        <v>0</v>
      </c>
      <c r="T118" s="121">
        <f>SUMIFS('19OctTo25Oct'!$O:$O, '19OctTo25Oct'!$J:$J, $A118)</f>
        <v>0</v>
      </c>
      <c r="U118" s="121">
        <f>SUMIFS('19OctTo25Oct'!$P:$P, '19OctTo25Oct'!$J:$J, $A118)</f>
        <v>0</v>
      </c>
      <c r="V118" s="122">
        <f t="shared" si="3"/>
        <v>0</v>
      </c>
      <c r="W118" s="121">
        <f>SUMIFS('12OctTo18Oct'!$L:$L, '12OctTo18Oct'!$J:$J, $A118)</f>
        <v>0</v>
      </c>
      <c r="X118" s="121">
        <f>SUMIFS('12OctTo18Oct'!$K:$K, '12OctTo18Oct'!$J:$J, $A118)</f>
        <v>0</v>
      </c>
      <c r="Y118" s="121">
        <f>SUMIFS('12OctTo18Oct'!$O:$O, '12OctTo18Oct'!$J:$J, $A118)</f>
        <v>0</v>
      </c>
      <c r="Z118" s="121">
        <f>SUMIFS('12OctTo18Oct'!$P:$P, '12OctTo18Oct'!$J:$J, $A118)</f>
        <v>0</v>
      </c>
      <c r="AA118" s="122">
        <f t="shared" si="4"/>
        <v>0</v>
      </c>
      <c r="AB118" s="121">
        <f>SUMIFS('5OctTo11Oct'!$L:$L, '5OctTo11Oct'!$J:$J, $A118)</f>
        <v>0</v>
      </c>
      <c r="AC118" s="121">
        <f>SUMIFS('5OctTo11Oct'!$K:$K, '5OctTo11Oct'!$J:$J, $A118)</f>
        <v>0</v>
      </c>
      <c r="AD118" s="121">
        <f>SUMIFS('5OctTo11Oct'!$O:$O, '5OctTo11Oct'!$J:$J, $A118)</f>
        <v>0</v>
      </c>
      <c r="AE118" s="121">
        <f>SUMIFS('5OctTo11Oct'!$P:$P, '5OctTo11Oct'!$J:$J, $A118)</f>
        <v>0</v>
      </c>
      <c r="AF118" s="123">
        <f t="shared" si="5"/>
        <v>0</v>
      </c>
      <c r="AG118" s="121">
        <f>SUMIFS('28SepTo4Oct'!$L:$L, '28SepTo4Oct'!$J:$J, $A118)</f>
        <v>0</v>
      </c>
      <c r="AH118" s="121">
        <f>SUMIFS('28SepTo4Oct'!$K:$K, '28SepTo4Oct'!$J:$J, $A118)</f>
        <v>0</v>
      </c>
      <c r="AI118" s="121">
        <f>SUMIFS('28SepTo4Oct'!$O:$O, '28SepTo4Oct'!$J:$J, $A118)</f>
        <v>0</v>
      </c>
      <c r="AJ118" s="121">
        <f>SUMIFS('28SepTo4Oct'!$P:$P, '28SepTo4Oct'!$J:$J, $A118)</f>
        <v>0</v>
      </c>
      <c r="AK118" s="123">
        <f t="shared" si="6"/>
        <v>0</v>
      </c>
      <c r="AL118" s="121">
        <f>SUMIFS('21SepTo27Sep'!$L:$L, '21SepTo27Sep'!$J:$J, $A118)</f>
        <v>0</v>
      </c>
      <c r="AM118" s="121">
        <f>SUMIFS('21SepTo27Sep'!$K:$K, '21SepTo27Sep'!$J:$J, $A118)</f>
        <v>0</v>
      </c>
      <c r="AN118" s="121">
        <f>SUMIFS('21SepTo27Sep'!$O:$O, '21SepTo27Sep'!$J:$J, $A118)</f>
        <v>0</v>
      </c>
      <c r="AO118" s="121">
        <f>SUMIFS('21SepTo27Sep'!$P:$P, '21SepTo27Sep'!$J:$J, $A118)</f>
        <v>0</v>
      </c>
      <c r="AP118" s="123">
        <f t="shared" si="7"/>
        <v>0</v>
      </c>
      <c r="AQ118" s="121">
        <f>SUMIFS('14SepTo20Sep'!$L:$L, '14SepTo20Sep'!$J:$J, $A118)</f>
        <v>0</v>
      </c>
      <c r="AR118" s="121">
        <f>SUMIFS('14SepTo20Sep'!$K:$K, '14SepTo20Sep'!$J:$J, $A118)</f>
        <v>0</v>
      </c>
      <c r="AS118" s="121">
        <f>SUMIFS('14SepTo20Sep'!$O:$O, '14SepTo20Sep'!$J:$J, $A118)</f>
        <v>0</v>
      </c>
      <c r="AT118" s="121">
        <f>SUMIFS('14SepTo20Sep'!$P:$P, '14SepTo20Sep'!$J:$J, $A118)</f>
        <v>0</v>
      </c>
      <c r="AU118" s="123">
        <f t="shared" si="8"/>
        <v>0</v>
      </c>
      <c r="AV118" s="121">
        <f>SUMIFS('7SepTo13Sep'!$L:$L, '7SepTo13Sep'!$J:$J, $A118)</f>
        <v>0</v>
      </c>
      <c r="AW118" s="121">
        <f>SUMIFS('7SepTo13Sep'!$K:$K, '7SepTo13Sep'!$J:$J, $A118)</f>
        <v>0</v>
      </c>
      <c r="AX118" s="121">
        <f>SUMIFS('7SepTo13Sep'!$O:$O, '7SepTo13Sep'!$J:$J, $A118)</f>
        <v>0</v>
      </c>
      <c r="AY118" s="121">
        <f>SUMIFS('7SepTo13Sep'!$P:$P, '7SepTo13Sep'!$J:$J, $A118)</f>
        <v>0</v>
      </c>
      <c r="AZ118" s="123">
        <f t="shared" si="9"/>
        <v>0</v>
      </c>
      <c r="BA118" s="121">
        <f>SUMIFS('31AugTo6Sep'!$L:$L, '31AugTo6Sep'!$J:$J, $A118)</f>
        <v>0</v>
      </c>
      <c r="BB118" s="121">
        <f>SUMIFS('31AugTo6Sep'!$K:$K, '31AugTo6Sep'!$J:$J, $A118)</f>
        <v>0</v>
      </c>
      <c r="BC118" s="121">
        <f>SUMIFS('31AugTo6Sep'!$O:$O, '31AugTo6Sep'!$J:$J, $A118)</f>
        <v>0</v>
      </c>
      <c r="BD118" s="121">
        <f>SUMIFS('31AugTo6Sep'!$P:$P, '31AugTo6Sep'!$J:$J, $A118)</f>
        <v>0</v>
      </c>
      <c r="BE118" s="123">
        <f t="shared" si="10"/>
        <v>0</v>
      </c>
      <c r="BF118" s="121">
        <f>SUMIFS('24AugTo29Aug'!$L:$L, '24AugTo29Aug'!$J:$J, $A118)</f>
        <v>1</v>
      </c>
      <c r="BG118" s="121">
        <f>SUMIFS('24AugTo29Aug'!$K:$K, '24AugTo29Aug'!$J:$J, $A118)</f>
        <v>2</v>
      </c>
      <c r="BH118" s="121">
        <f>SUMIFS('24AugTo29Aug'!$O:$O, '24AugTo29Aug'!$J:$J, $A118)</f>
        <v>3.6</v>
      </c>
      <c r="BI118" s="121">
        <f>SUMIFS('24AugTo29Aug'!$P:$P, '24AugTo29Aug'!$J:$J, $A118)</f>
        <v>24.94</v>
      </c>
      <c r="BJ118" s="123">
        <f t="shared" si="11"/>
        <v>14.434643143544507</v>
      </c>
      <c r="BK118" s="121">
        <f>SUMIFS('17AugTo21Aug'!$L:$L, '17AugTo21Aug'!$J:$J, $A118)</f>
        <v>0</v>
      </c>
      <c r="BL118" s="121">
        <f>SUMIFS('17AugTo21Aug'!$K:$K, '17AugTo21Aug'!$J:$J, $A118)</f>
        <v>0</v>
      </c>
      <c r="BM118" s="121">
        <f>SUMIFS('17AugTo21Aug'!$O:$O, '17AugTo21Aug'!$J:$J, $A118)</f>
        <v>0</v>
      </c>
      <c r="BN118" s="121">
        <f>SUMIFS('17AugTo21Aug'!$P:$P, '17AugTo21Aug'!$J:$J, $A118)</f>
        <v>0</v>
      </c>
      <c r="BO118" s="123">
        <f t="shared" si="12"/>
        <v>0</v>
      </c>
      <c r="BP118" s="121">
        <f>SUMIFS('10AugTo16Aug'!$L:$L, '10AugTo16Aug'!$J:$J, $A118)</f>
        <v>0</v>
      </c>
      <c r="BQ118" s="121">
        <f>SUMIFS('10AugTo16Aug'!$K:$K, '10AugTo16Aug'!$J:$J, $A118)</f>
        <v>0</v>
      </c>
      <c r="BR118" s="121">
        <f>SUMIFS('10AugTo16Aug'!$O:$O, '10AugTo16Aug'!$J:$J, $A118)</f>
        <v>0</v>
      </c>
      <c r="BS118" s="121">
        <f>SUMIFS('10AugTo16Aug'!$P:$P, '10AugTo16Aug'!$J:$J, $A118)</f>
        <v>0</v>
      </c>
      <c r="BT118" s="123">
        <f t="shared" si="13"/>
        <v>0</v>
      </c>
      <c r="BU118" s="121">
        <f>SUMIFS('3AugTo9Aug'!$L:$L, '3AugTo9Aug'!$J:$J, $A118)</f>
        <v>0</v>
      </c>
      <c r="BV118" s="121">
        <f>SUMIFS('3AugTo9Aug'!$K:$K, '3AugTo9Aug'!$J:$J, $A118)</f>
        <v>0</v>
      </c>
      <c r="BW118" s="121">
        <f>SUMIFS('3AugTo9Aug'!$O:$O, '3AugTo9Aug'!$J:$J, $A118)</f>
        <v>0</v>
      </c>
      <c r="BX118" s="121">
        <f>SUMIFS('3AugTo9Aug'!$P:$P, '3AugTo9Aug'!$J:$J, $A118)</f>
        <v>0</v>
      </c>
      <c r="BY118" s="123">
        <f t="shared" si="14"/>
        <v>0</v>
      </c>
      <c r="BZ118" s="121">
        <f>SUMIFS('27JulyTo2Aug'!$L:$L, '27JulyTo2Aug'!$J:$J, $A118)</f>
        <v>0</v>
      </c>
      <c r="CA118" s="121">
        <f>SUMIFS('27JulyTo2Aug'!$K:$K, '27JulyTo2Aug'!$J:$J, $A118)</f>
        <v>0</v>
      </c>
      <c r="CB118" s="121">
        <f>SUMIFS('27JulyTo2Aug'!$O:$O, '27JulyTo2Aug'!$J:$J, $A118)</f>
        <v>0</v>
      </c>
      <c r="CC118" s="121">
        <f>SUMIFS('27JulyTo2Aug'!$P:$P, '27JulyTo2Aug'!$J:$J, $A118)</f>
        <v>0</v>
      </c>
      <c r="CD118" s="123">
        <f t="shared" si="15"/>
        <v>0</v>
      </c>
    </row>
    <row r="119" spans="1:82" ht="14.25" customHeight="1" x14ac:dyDescent="0.3">
      <c r="A119" s="124" t="s">
        <v>601</v>
      </c>
      <c r="B119" s="120" t="str">
        <f t="shared" si="17"/>
        <v>NO TRAFFIC</v>
      </c>
      <c r="C119" s="121">
        <f>SUMIFS('9NovTo15Nov'!$L:$L, '9NovTo15Nov'!$J:$J, $A119)</f>
        <v>0</v>
      </c>
      <c r="D119" s="121">
        <f>SUMIFS('9NovTo15Nov'!$K:$K, '9NovTo15Nov'!$J:$J, $A119)</f>
        <v>0</v>
      </c>
      <c r="E119" s="121">
        <f>SUMIFS('9NovTo15Nov'!$O:$O, '9NovTo15Nov'!$J:$J, $A119)</f>
        <v>0</v>
      </c>
      <c r="F119" s="121">
        <f>SUMIFS('9NovTo15Nov'!$P:$P, '9NovTo15Nov'!$J:$J, $A119)</f>
        <v>0</v>
      </c>
      <c r="G119" s="122">
        <f t="shared" si="0"/>
        <v>0</v>
      </c>
      <c r="H119" s="121">
        <f>SUMIFS('2NovTo8Nov'!$L:$L, '2NovTo8Nov'!$J:$J, $A119)</f>
        <v>0</v>
      </c>
      <c r="I119" s="121">
        <f>SUMIFS('2NovTo8Nov'!$K:$K, '2NovTo8Nov'!$J:$J, $A119)</f>
        <v>0</v>
      </c>
      <c r="J119" s="121">
        <f>SUMIFS('2NovTo8Nov'!$O:$O, '2NovTo8Nov'!$J:$J, $A119)</f>
        <v>0</v>
      </c>
      <c r="K119" s="121">
        <f>SUMIFS('2NovTo8Nov'!$P:$P, '2NovTo8Nov'!$J:$J, $A119)</f>
        <v>0</v>
      </c>
      <c r="L119" s="122">
        <f t="shared" si="1"/>
        <v>0</v>
      </c>
      <c r="M119" s="121">
        <f>SUMIFS('26OctTo1Nov'!$L:$L, '26OctTo1Nov'!$J:$J, $A119)</f>
        <v>0</v>
      </c>
      <c r="N119" s="121">
        <f>SUMIFS('26OctTo1Nov'!$K:$K, '26OctTo1Nov'!$J:$J, $A119)</f>
        <v>0</v>
      </c>
      <c r="O119" s="121">
        <f>SUMIFS('26OctTo1Nov'!$O:$O, '26OctTo1Nov'!$J:$J, $A119)</f>
        <v>0</v>
      </c>
      <c r="P119" s="121">
        <f>SUMIFS('26OctTo1Nov'!$P:$P, '26OctTo1Nov'!$J:$J, $A119)</f>
        <v>0</v>
      </c>
      <c r="Q119" s="122">
        <f t="shared" si="2"/>
        <v>0</v>
      </c>
      <c r="R119" s="121">
        <f>SUMIFS('19OctTo25Oct'!$L:$L, '19OctTo25Oct'!$J:$J, $A119)</f>
        <v>0</v>
      </c>
      <c r="S119" s="121">
        <f>SUMIFS('19OctTo25Oct'!$K:$K, '19OctTo25Oct'!$J:$J, $A119)</f>
        <v>0</v>
      </c>
      <c r="T119" s="121">
        <f>SUMIFS('19OctTo25Oct'!$O:$O, '19OctTo25Oct'!$J:$J, $A119)</f>
        <v>0</v>
      </c>
      <c r="U119" s="121">
        <f>SUMIFS('19OctTo25Oct'!$P:$P, '19OctTo25Oct'!$J:$J, $A119)</f>
        <v>0</v>
      </c>
      <c r="V119" s="122">
        <f t="shared" si="3"/>
        <v>0</v>
      </c>
      <c r="W119" s="121">
        <f>SUMIFS('12OctTo18Oct'!$L:$L, '12OctTo18Oct'!$J:$J, $A119)</f>
        <v>0</v>
      </c>
      <c r="X119" s="121">
        <f>SUMIFS('12OctTo18Oct'!$K:$K, '12OctTo18Oct'!$J:$J, $A119)</f>
        <v>0</v>
      </c>
      <c r="Y119" s="121">
        <f>SUMIFS('12OctTo18Oct'!$O:$O, '12OctTo18Oct'!$J:$J, $A119)</f>
        <v>0</v>
      </c>
      <c r="Z119" s="121">
        <f>SUMIFS('12OctTo18Oct'!$P:$P, '12OctTo18Oct'!$J:$J, $A119)</f>
        <v>0</v>
      </c>
      <c r="AA119" s="122">
        <f t="shared" si="4"/>
        <v>0</v>
      </c>
      <c r="AB119" s="121">
        <f>SUMIFS('5OctTo11Oct'!$L:$L, '5OctTo11Oct'!$J:$J, $A119)</f>
        <v>0</v>
      </c>
      <c r="AC119" s="121">
        <f>SUMIFS('5OctTo11Oct'!$K:$K, '5OctTo11Oct'!$J:$J, $A119)</f>
        <v>0</v>
      </c>
      <c r="AD119" s="121">
        <f>SUMIFS('5OctTo11Oct'!$O:$O, '5OctTo11Oct'!$J:$J, $A119)</f>
        <v>0</v>
      </c>
      <c r="AE119" s="121">
        <f>SUMIFS('5OctTo11Oct'!$P:$P, '5OctTo11Oct'!$J:$J, $A119)</f>
        <v>0</v>
      </c>
      <c r="AF119" s="123">
        <f t="shared" si="5"/>
        <v>0</v>
      </c>
      <c r="AG119" s="121">
        <f>SUMIFS('28SepTo4Oct'!$L:$L, '28SepTo4Oct'!$J:$J, $A119)</f>
        <v>0</v>
      </c>
      <c r="AH119" s="121">
        <f>SUMIFS('28SepTo4Oct'!$K:$K, '28SepTo4Oct'!$J:$J, $A119)</f>
        <v>0</v>
      </c>
      <c r="AI119" s="121">
        <f>SUMIFS('28SepTo4Oct'!$O:$O, '28SepTo4Oct'!$J:$J, $A119)</f>
        <v>0</v>
      </c>
      <c r="AJ119" s="121">
        <f>SUMIFS('28SepTo4Oct'!$P:$P, '28SepTo4Oct'!$J:$J, $A119)</f>
        <v>0</v>
      </c>
      <c r="AK119" s="123">
        <f t="shared" si="6"/>
        <v>0</v>
      </c>
      <c r="AL119" s="121">
        <f>SUMIFS('21SepTo27Sep'!$L:$L, '21SepTo27Sep'!$J:$J, $A119)</f>
        <v>0</v>
      </c>
      <c r="AM119" s="121">
        <f>SUMIFS('21SepTo27Sep'!$K:$K, '21SepTo27Sep'!$J:$J, $A119)</f>
        <v>0</v>
      </c>
      <c r="AN119" s="121">
        <f>SUMIFS('21SepTo27Sep'!$O:$O, '21SepTo27Sep'!$J:$J, $A119)</f>
        <v>0</v>
      </c>
      <c r="AO119" s="121">
        <f>SUMIFS('21SepTo27Sep'!$P:$P, '21SepTo27Sep'!$J:$J, $A119)</f>
        <v>0</v>
      </c>
      <c r="AP119" s="123">
        <f t="shared" si="7"/>
        <v>0</v>
      </c>
      <c r="AQ119" s="121">
        <f>SUMIFS('14SepTo20Sep'!$L:$L, '14SepTo20Sep'!$J:$J, $A119)</f>
        <v>0</v>
      </c>
      <c r="AR119" s="121">
        <f>SUMIFS('14SepTo20Sep'!$K:$K, '14SepTo20Sep'!$J:$J, $A119)</f>
        <v>0</v>
      </c>
      <c r="AS119" s="121">
        <f>SUMIFS('14SepTo20Sep'!$O:$O, '14SepTo20Sep'!$J:$J, $A119)</f>
        <v>0</v>
      </c>
      <c r="AT119" s="121">
        <f>SUMIFS('14SepTo20Sep'!$P:$P, '14SepTo20Sep'!$J:$J, $A119)</f>
        <v>0</v>
      </c>
      <c r="AU119" s="123">
        <f t="shared" si="8"/>
        <v>0</v>
      </c>
      <c r="AV119" s="121">
        <f>SUMIFS('7SepTo13Sep'!$L:$L, '7SepTo13Sep'!$J:$J, $A119)</f>
        <v>0</v>
      </c>
      <c r="AW119" s="121">
        <f>SUMIFS('7SepTo13Sep'!$K:$K, '7SepTo13Sep'!$J:$J, $A119)</f>
        <v>0</v>
      </c>
      <c r="AX119" s="121">
        <f>SUMIFS('7SepTo13Sep'!$O:$O, '7SepTo13Sep'!$J:$J, $A119)</f>
        <v>0</v>
      </c>
      <c r="AY119" s="121">
        <f>SUMIFS('7SepTo13Sep'!$P:$P, '7SepTo13Sep'!$J:$J, $A119)</f>
        <v>0</v>
      </c>
      <c r="AZ119" s="123">
        <f t="shared" si="9"/>
        <v>0</v>
      </c>
      <c r="BA119" s="121">
        <f>SUMIFS('31AugTo6Sep'!$L:$L, '31AugTo6Sep'!$J:$J, $A119)</f>
        <v>0</v>
      </c>
      <c r="BB119" s="121">
        <f>SUMIFS('31AugTo6Sep'!$K:$K, '31AugTo6Sep'!$J:$J, $A119)</f>
        <v>0</v>
      </c>
      <c r="BC119" s="121">
        <f>SUMIFS('31AugTo6Sep'!$O:$O, '31AugTo6Sep'!$J:$J, $A119)</f>
        <v>0</v>
      </c>
      <c r="BD119" s="121">
        <f>SUMIFS('31AugTo6Sep'!$P:$P, '31AugTo6Sep'!$J:$J, $A119)</f>
        <v>0</v>
      </c>
      <c r="BE119" s="123">
        <f t="shared" si="10"/>
        <v>0</v>
      </c>
      <c r="BF119" s="121">
        <f>SUMIFS('24AugTo29Aug'!$L:$L, '24AugTo29Aug'!$J:$J, $A119)</f>
        <v>1</v>
      </c>
      <c r="BG119" s="121">
        <f>SUMIFS('24AugTo29Aug'!$K:$K, '24AugTo29Aug'!$J:$J, $A119)</f>
        <v>10</v>
      </c>
      <c r="BH119" s="121">
        <f>SUMIFS('24AugTo29Aug'!$O:$O, '24AugTo29Aug'!$J:$J, $A119)</f>
        <v>1.84</v>
      </c>
      <c r="BI119" s="121">
        <f>SUMIFS('24AugTo29Aug'!$P:$P, '24AugTo29Aug'!$J:$J, $A119)</f>
        <v>21.95</v>
      </c>
      <c r="BJ119" s="123">
        <f t="shared" si="11"/>
        <v>8.382687927107062</v>
      </c>
      <c r="BK119" s="121">
        <f>SUMIFS('17AugTo21Aug'!$L:$L, '17AugTo21Aug'!$J:$J, $A119)</f>
        <v>0</v>
      </c>
      <c r="BL119" s="121">
        <f>SUMIFS('17AugTo21Aug'!$K:$K, '17AugTo21Aug'!$J:$J, $A119)</f>
        <v>0</v>
      </c>
      <c r="BM119" s="121">
        <f>SUMIFS('17AugTo21Aug'!$O:$O, '17AugTo21Aug'!$J:$J, $A119)</f>
        <v>0</v>
      </c>
      <c r="BN119" s="121">
        <f>SUMIFS('17AugTo21Aug'!$P:$P, '17AugTo21Aug'!$J:$J, $A119)</f>
        <v>0</v>
      </c>
      <c r="BO119" s="123">
        <f t="shared" si="12"/>
        <v>0</v>
      </c>
      <c r="BP119" s="121">
        <f>SUMIFS('10AugTo16Aug'!$L:$L, '10AugTo16Aug'!$J:$J, $A119)</f>
        <v>0</v>
      </c>
      <c r="BQ119" s="121">
        <f>SUMIFS('10AugTo16Aug'!$K:$K, '10AugTo16Aug'!$J:$J, $A119)</f>
        <v>0</v>
      </c>
      <c r="BR119" s="121">
        <f>SUMIFS('10AugTo16Aug'!$O:$O, '10AugTo16Aug'!$J:$J, $A119)</f>
        <v>0</v>
      </c>
      <c r="BS119" s="121">
        <f>SUMIFS('10AugTo16Aug'!$P:$P, '10AugTo16Aug'!$J:$J, $A119)</f>
        <v>0</v>
      </c>
      <c r="BT119" s="123">
        <f t="shared" si="13"/>
        <v>0</v>
      </c>
      <c r="BU119" s="121">
        <f>SUMIFS('3AugTo9Aug'!$L:$L, '3AugTo9Aug'!$J:$J, $A119)</f>
        <v>0</v>
      </c>
      <c r="BV119" s="121">
        <f>SUMIFS('3AugTo9Aug'!$K:$K, '3AugTo9Aug'!$J:$J, $A119)</f>
        <v>0</v>
      </c>
      <c r="BW119" s="121">
        <f>SUMIFS('3AugTo9Aug'!$O:$O, '3AugTo9Aug'!$J:$J, $A119)</f>
        <v>0</v>
      </c>
      <c r="BX119" s="121">
        <f>SUMIFS('3AugTo9Aug'!$P:$P, '3AugTo9Aug'!$J:$J, $A119)</f>
        <v>0</v>
      </c>
      <c r="BY119" s="123">
        <f t="shared" si="14"/>
        <v>0</v>
      </c>
      <c r="BZ119" s="121">
        <f>SUMIFS('27JulyTo2Aug'!$L:$L, '27JulyTo2Aug'!$J:$J, $A119)</f>
        <v>0</v>
      </c>
      <c r="CA119" s="121">
        <f>SUMIFS('27JulyTo2Aug'!$K:$K, '27JulyTo2Aug'!$J:$J, $A119)</f>
        <v>0</v>
      </c>
      <c r="CB119" s="121">
        <f>SUMIFS('27JulyTo2Aug'!$O:$O, '27JulyTo2Aug'!$J:$J, $A119)</f>
        <v>0</v>
      </c>
      <c r="CC119" s="121">
        <f>SUMIFS('27JulyTo2Aug'!$P:$P, '27JulyTo2Aug'!$J:$J, $A119)</f>
        <v>0</v>
      </c>
      <c r="CD119" s="123">
        <f t="shared" si="15"/>
        <v>0</v>
      </c>
    </row>
    <row r="120" spans="1:82" ht="14.25" customHeight="1" x14ac:dyDescent="0.3">
      <c r="A120" s="124" t="s">
        <v>605</v>
      </c>
      <c r="B120" s="120" t="str">
        <f t="shared" si="17"/>
        <v>NO TRAFFIC</v>
      </c>
      <c r="C120" s="121">
        <f>SUMIFS('9NovTo15Nov'!$L:$L, '9NovTo15Nov'!$J:$J, $A120)</f>
        <v>0</v>
      </c>
      <c r="D120" s="121">
        <f>SUMIFS('9NovTo15Nov'!$K:$K, '9NovTo15Nov'!$J:$J, $A120)</f>
        <v>0</v>
      </c>
      <c r="E120" s="121">
        <f>SUMIFS('9NovTo15Nov'!$O:$O, '9NovTo15Nov'!$J:$J, $A120)</f>
        <v>0</v>
      </c>
      <c r="F120" s="121">
        <f>SUMIFS('9NovTo15Nov'!$P:$P, '9NovTo15Nov'!$J:$J, $A120)</f>
        <v>0</v>
      </c>
      <c r="G120" s="122">
        <f t="shared" si="0"/>
        <v>0</v>
      </c>
      <c r="H120" s="121">
        <f>SUMIFS('2NovTo8Nov'!$L:$L, '2NovTo8Nov'!$J:$J, $A120)</f>
        <v>0</v>
      </c>
      <c r="I120" s="121">
        <f>SUMIFS('2NovTo8Nov'!$K:$K, '2NovTo8Nov'!$J:$J, $A120)</f>
        <v>0</v>
      </c>
      <c r="J120" s="121">
        <f>SUMIFS('2NovTo8Nov'!$O:$O, '2NovTo8Nov'!$J:$J, $A120)</f>
        <v>0</v>
      </c>
      <c r="K120" s="121">
        <f>SUMIFS('2NovTo8Nov'!$P:$P, '2NovTo8Nov'!$J:$J, $A120)</f>
        <v>0</v>
      </c>
      <c r="L120" s="122">
        <f t="shared" si="1"/>
        <v>0</v>
      </c>
      <c r="M120" s="121">
        <f>SUMIFS('26OctTo1Nov'!$L:$L, '26OctTo1Nov'!$J:$J, $A120)</f>
        <v>0</v>
      </c>
      <c r="N120" s="121">
        <f>SUMIFS('26OctTo1Nov'!$K:$K, '26OctTo1Nov'!$J:$J, $A120)</f>
        <v>0</v>
      </c>
      <c r="O120" s="121">
        <f>SUMIFS('26OctTo1Nov'!$O:$O, '26OctTo1Nov'!$J:$J, $A120)</f>
        <v>0</v>
      </c>
      <c r="P120" s="121">
        <f>SUMIFS('26OctTo1Nov'!$P:$P, '26OctTo1Nov'!$J:$J, $A120)</f>
        <v>0</v>
      </c>
      <c r="Q120" s="122">
        <f t="shared" si="2"/>
        <v>0</v>
      </c>
      <c r="R120" s="121">
        <f>SUMIFS('19OctTo25Oct'!$L:$L, '19OctTo25Oct'!$J:$J, $A120)</f>
        <v>0</v>
      </c>
      <c r="S120" s="121">
        <f>SUMIFS('19OctTo25Oct'!$K:$K, '19OctTo25Oct'!$J:$J, $A120)</f>
        <v>0</v>
      </c>
      <c r="T120" s="121">
        <f>SUMIFS('19OctTo25Oct'!$O:$O, '19OctTo25Oct'!$J:$J, $A120)</f>
        <v>0</v>
      </c>
      <c r="U120" s="121">
        <f>SUMIFS('19OctTo25Oct'!$P:$P, '19OctTo25Oct'!$J:$J, $A120)</f>
        <v>0</v>
      </c>
      <c r="V120" s="122">
        <f t="shared" si="3"/>
        <v>0</v>
      </c>
      <c r="W120" s="121">
        <f>SUMIFS('12OctTo18Oct'!$L:$L, '12OctTo18Oct'!$J:$J, $A120)</f>
        <v>0</v>
      </c>
      <c r="X120" s="121">
        <f>SUMIFS('12OctTo18Oct'!$K:$K, '12OctTo18Oct'!$J:$J, $A120)</f>
        <v>0</v>
      </c>
      <c r="Y120" s="121">
        <f>SUMIFS('12OctTo18Oct'!$O:$O, '12OctTo18Oct'!$J:$J, $A120)</f>
        <v>0</v>
      </c>
      <c r="Z120" s="121">
        <f>SUMIFS('12OctTo18Oct'!$P:$P, '12OctTo18Oct'!$J:$J, $A120)</f>
        <v>0</v>
      </c>
      <c r="AA120" s="122">
        <f t="shared" si="4"/>
        <v>0</v>
      </c>
      <c r="AB120" s="121">
        <f>SUMIFS('5OctTo11Oct'!$L:$L, '5OctTo11Oct'!$J:$J, $A120)</f>
        <v>0</v>
      </c>
      <c r="AC120" s="121">
        <f>SUMIFS('5OctTo11Oct'!$K:$K, '5OctTo11Oct'!$J:$J, $A120)</f>
        <v>0</v>
      </c>
      <c r="AD120" s="121">
        <f>SUMIFS('5OctTo11Oct'!$O:$O, '5OctTo11Oct'!$J:$J, $A120)</f>
        <v>0</v>
      </c>
      <c r="AE120" s="121">
        <f>SUMIFS('5OctTo11Oct'!$P:$P, '5OctTo11Oct'!$J:$J, $A120)</f>
        <v>0</v>
      </c>
      <c r="AF120" s="123">
        <f t="shared" si="5"/>
        <v>0</v>
      </c>
      <c r="AG120" s="121">
        <f>SUMIFS('28SepTo4Oct'!$L:$L, '28SepTo4Oct'!$J:$J, $A120)</f>
        <v>0</v>
      </c>
      <c r="AH120" s="121">
        <f>SUMIFS('28SepTo4Oct'!$K:$K, '28SepTo4Oct'!$J:$J, $A120)</f>
        <v>0</v>
      </c>
      <c r="AI120" s="121">
        <f>SUMIFS('28SepTo4Oct'!$O:$O, '28SepTo4Oct'!$J:$J, $A120)</f>
        <v>0</v>
      </c>
      <c r="AJ120" s="121">
        <f>SUMIFS('28SepTo4Oct'!$P:$P, '28SepTo4Oct'!$J:$J, $A120)</f>
        <v>0</v>
      </c>
      <c r="AK120" s="123">
        <f t="shared" si="6"/>
        <v>0</v>
      </c>
      <c r="AL120" s="121">
        <f>SUMIFS('21SepTo27Sep'!$L:$L, '21SepTo27Sep'!$J:$J, $A120)</f>
        <v>0</v>
      </c>
      <c r="AM120" s="121">
        <f>SUMIFS('21SepTo27Sep'!$K:$K, '21SepTo27Sep'!$J:$J, $A120)</f>
        <v>0</v>
      </c>
      <c r="AN120" s="121">
        <f>SUMIFS('21SepTo27Sep'!$O:$O, '21SepTo27Sep'!$J:$J, $A120)</f>
        <v>0</v>
      </c>
      <c r="AO120" s="121">
        <f>SUMIFS('21SepTo27Sep'!$P:$P, '21SepTo27Sep'!$J:$J, $A120)</f>
        <v>0</v>
      </c>
      <c r="AP120" s="123">
        <f t="shared" si="7"/>
        <v>0</v>
      </c>
      <c r="AQ120" s="121">
        <f>SUMIFS('14SepTo20Sep'!$L:$L, '14SepTo20Sep'!$J:$J, $A120)</f>
        <v>0</v>
      </c>
      <c r="AR120" s="121">
        <f>SUMIFS('14SepTo20Sep'!$K:$K, '14SepTo20Sep'!$J:$J, $A120)</f>
        <v>0</v>
      </c>
      <c r="AS120" s="121">
        <f>SUMIFS('14SepTo20Sep'!$O:$O, '14SepTo20Sep'!$J:$J, $A120)</f>
        <v>0</v>
      </c>
      <c r="AT120" s="121">
        <f>SUMIFS('14SepTo20Sep'!$P:$P, '14SepTo20Sep'!$J:$J, $A120)</f>
        <v>0</v>
      </c>
      <c r="AU120" s="123">
        <f t="shared" si="8"/>
        <v>0</v>
      </c>
      <c r="AV120" s="121">
        <f>SUMIFS('7SepTo13Sep'!$L:$L, '7SepTo13Sep'!$J:$J, $A120)</f>
        <v>0</v>
      </c>
      <c r="AW120" s="121">
        <f>SUMIFS('7SepTo13Sep'!$K:$K, '7SepTo13Sep'!$J:$J, $A120)</f>
        <v>0</v>
      </c>
      <c r="AX120" s="121">
        <f>SUMIFS('7SepTo13Sep'!$O:$O, '7SepTo13Sep'!$J:$J, $A120)</f>
        <v>0</v>
      </c>
      <c r="AY120" s="121">
        <f>SUMIFS('7SepTo13Sep'!$P:$P, '7SepTo13Sep'!$J:$J, $A120)</f>
        <v>0</v>
      </c>
      <c r="AZ120" s="123">
        <f t="shared" si="9"/>
        <v>0</v>
      </c>
      <c r="BA120" s="121">
        <f>SUMIFS('31AugTo6Sep'!$L:$L, '31AugTo6Sep'!$J:$J, $A120)</f>
        <v>0</v>
      </c>
      <c r="BB120" s="121">
        <f>SUMIFS('31AugTo6Sep'!$K:$K, '31AugTo6Sep'!$J:$J, $A120)</f>
        <v>0</v>
      </c>
      <c r="BC120" s="121">
        <f>SUMIFS('31AugTo6Sep'!$O:$O, '31AugTo6Sep'!$J:$J, $A120)</f>
        <v>0</v>
      </c>
      <c r="BD120" s="121">
        <f>SUMIFS('31AugTo6Sep'!$P:$P, '31AugTo6Sep'!$J:$J, $A120)</f>
        <v>0</v>
      </c>
      <c r="BE120" s="123">
        <f t="shared" si="10"/>
        <v>0</v>
      </c>
      <c r="BF120" s="121">
        <f>SUMIFS('24AugTo29Aug'!$L:$L, '24AugTo29Aug'!$J:$J, $A120)</f>
        <v>1</v>
      </c>
      <c r="BG120" s="121">
        <f>SUMIFS('24AugTo29Aug'!$K:$K, '24AugTo29Aug'!$J:$J, $A120)</f>
        <v>3</v>
      </c>
      <c r="BH120" s="121">
        <f>SUMIFS('24AugTo29Aug'!$O:$O, '24AugTo29Aug'!$J:$J, $A120)</f>
        <v>3.41</v>
      </c>
      <c r="BI120" s="121">
        <f>SUMIFS('24AugTo29Aug'!$P:$P, '24AugTo29Aug'!$J:$J, $A120)</f>
        <v>24.94</v>
      </c>
      <c r="BJ120" s="123">
        <f t="shared" si="11"/>
        <v>13.67281475541299</v>
      </c>
      <c r="BK120" s="121">
        <f>SUMIFS('17AugTo21Aug'!$L:$L, '17AugTo21Aug'!$J:$J, $A120)</f>
        <v>0</v>
      </c>
      <c r="BL120" s="121">
        <f>SUMIFS('17AugTo21Aug'!$K:$K, '17AugTo21Aug'!$J:$J, $A120)</f>
        <v>0</v>
      </c>
      <c r="BM120" s="121">
        <f>SUMIFS('17AugTo21Aug'!$O:$O, '17AugTo21Aug'!$J:$J, $A120)</f>
        <v>0</v>
      </c>
      <c r="BN120" s="121">
        <f>SUMIFS('17AugTo21Aug'!$P:$P, '17AugTo21Aug'!$J:$J, $A120)</f>
        <v>0</v>
      </c>
      <c r="BO120" s="123">
        <f t="shared" si="12"/>
        <v>0</v>
      </c>
      <c r="BP120" s="121">
        <f>SUMIFS('10AugTo16Aug'!$L:$L, '10AugTo16Aug'!$J:$J, $A120)</f>
        <v>0</v>
      </c>
      <c r="BQ120" s="121">
        <f>SUMIFS('10AugTo16Aug'!$K:$K, '10AugTo16Aug'!$J:$J, $A120)</f>
        <v>0</v>
      </c>
      <c r="BR120" s="121">
        <f>SUMIFS('10AugTo16Aug'!$O:$O, '10AugTo16Aug'!$J:$J, $A120)</f>
        <v>0</v>
      </c>
      <c r="BS120" s="121">
        <f>SUMIFS('10AugTo16Aug'!$P:$P, '10AugTo16Aug'!$J:$J, $A120)</f>
        <v>0</v>
      </c>
      <c r="BT120" s="123">
        <f t="shared" si="13"/>
        <v>0</v>
      </c>
      <c r="BU120" s="121">
        <f>SUMIFS('3AugTo9Aug'!$L:$L, '3AugTo9Aug'!$J:$J, $A120)</f>
        <v>0</v>
      </c>
      <c r="BV120" s="121">
        <f>SUMIFS('3AugTo9Aug'!$K:$K, '3AugTo9Aug'!$J:$J, $A120)</f>
        <v>0</v>
      </c>
      <c r="BW120" s="121">
        <f>SUMIFS('3AugTo9Aug'!$O:$O, '3AugTo9Aug'!$J:$J, $A120)</f>
        <v>0</v>
      </c>
      <c r="BX120" s="121">
        <f>SUMIFS('3AugTo9Aug'!$P:$P, '3AugTo9Aug'!$J:$J, $A120)</f>
        <v>0</v>
      </c>
      <c r="BY120" s="123">
        <f t="shared" si="14"/>
        <v>0</v>
      </c>
      <c r="BZ120" s="121">
        <f>SUMIFS('27JulyTo2Aug'!$L:$L, '27JulyTo2Aug'!$J:$J, $A120)</f>
        <v>0</v>
      </c>
      <c r="CA120" s="121">
        <f>SUMIFS('27JulyTo2Aug'!$K:$K, '27JulyTo2Aug'!$J:$J, $A120)</f>
        <v>0</v>
      </c>
      <c r="CB120" s="121">
        <f>SUMIFS('27JulyTo2Aug'!$O:$O, '27JulyTo2Aug'!$J:$J, $A120)</f>
        <v>0</v>
      </c>
      <c r="CC120" s="121">
        <f>SUMIFS('27JulyTo2Aug'!$P:$P, '27JulyTo2Aug'!$J:$J, $A120)</f>
        <v>0</v>
      </c>
      <c r="CD120" s="123">
        <f t="shared" si="15"/>
        <v>0</v>
      </c>
    </row>
    <row r="121" spans="1:82" ht="14.25" customHeight="1" x14ac:dyDescent="0.3">
      <c r="A121" s="124" t="s">
        <v>607</v>
      </c>
      <c r="B121" s="120" t="str">
        <f t="shared" si="17"/>
        <v>NO TRAFFIC</v>
      </c>
      <c r="C121" s="121">
        <f>SUMIFS('9NovTo15Nov'!$L:$L, '9NovTo15Nov'!$J:$J, $A121)</f>
        <v>0</v>
      </c>
      <c r="D121" s="121">
        <f>SUMIFS('9NovTo15Nov'!$K:$K, '9NovTo15Nov'!$J:$J, $A121)</f>
        <v>0</v>
      </c>
      <c r="E121" s="121">
        <f>SUMIFS('9NovTo15Nov'!$O:$O, '9NovTo15Nov'!$J:$J, $A121)</f>
        <v>0</v>
      </c>
      <c r="F121" s="121">
        <f>SUMIFS('9NovTo15Nov'!$P:$P, '9NovTo15Nov'!$J:$J, $A121)</f>
        <v>0</v>
      </c>
      <c r="G121" s="122">
        <f t="shared" si="0"/>
        <v>0</v>
      </c>
      <c r="H121" s="121">
        <f>SUMIFS('2NovTo8Nov'!$L:$L, '2NovTo8Nov'!$J:$J, $A121)</f>
        <v>0</v>
      </c>
      <c r="I121" s="121">
        <f>SUMIFS('2NovTo8Nov'!$K:$K, '2NovTo8Nov'!$J:$J, $A121)</f>
        <v>0</v>
      </c>
      <c r="J121" s="121">
        <f>SUMIFS('2NovTo8Nov'!$O:$O, '2NovTo8Nov'!$J:$J, $A121)</f>
        <v>0</v>
      </c>
      <c r="K121" s="121">
        <f>SUMIFS('2NovTo8Nov'!$P:$P, '2NovTo8Nov'!$J:$J, $A121)</f>
        <v>0</v>
      </c>
      <c r="L121" s="122">
        <f t="shared" si="1"/>
        <v>0</v>
      </c>
      <c r="M121" s="121">
        <f>SUMIFS('26OctTo1Nov'!$L:$L, '26OctTo1Nov'!$J:$J, $A121)</f>
        <v>0</v>
      </c>
      <c r="N121" s="121">
        <f>SUMIFS('26OctTo1Nov'!$K:$K, '26OctTo1Nov'!$J:$J, $A121)</f>
        <v>0</v>
      </c>
      <c r="O121" s="121">
        <f>SUMIFS('26OctTo1Nov'!$O:$O, '26OctTo1Nov'!$J:$J, $A121)</f>
        <v>0</v>
      </c>
      <c r="P121" s="121">
        <f>SUMIFS('26OctTo1Nov'!$P:$P, '26OctTo1Nov'!$J:$J, $A121)</f>
        <v>0</v>
      </c>
      <c r="Q121" s="122">
        <f t="shared" si="2"/>
        <v>0</v>
      </c>
      <c r="R121" s="121">
        <f>SUMIFS('19OctTo25Oct'!$L:$L, '19OctTo25Oct'!$J:$J, $A121)</f>
        <v>0</v>
      </c>
      <c r="S121" s="121">
        <f>SUMIFS('19OctTo25Oct'!$K:$K, '19OctTo25Oct'!$J:$J, $A121)</f>
        <v>0</v>
      </c>
      <c r="T121" s="121">
        <f>SUMIFS('19OctTo25Oct'!$O:$O, '19OctTo25Oct'!$J:$J, $A121)</f>
        <v>0</v>
      </c>
      <c r="U121" s="121">
        <f>SUMIFS('19OctTo25Oct'!$P:$P, '19OctTo25Oct'!$J:$J, $A121)</f>
        <v>0</v>
      </c>
      <c r="V121" s="122">
        <f t="shared" si="3"/>
        <v>0</v>
      </c>
      <c r="W121" s="121">
        <f>SUMIFS('12OctTo18Oct'!$L:$L, '12OctTo18Oct'!$J:$J, $A121)</f>
        <v>0</v>
      </c>
      <c r="X121" s="121">
        <f>SUMIFS('12OctTo18Oct'!$K:$K, '12OctTo18Oct'!$J:$J, $A121)</f>
        <v>0</v>
      </c>
      <c r="Y121" s="121">
        <f>SUMIFS('12OctTo18Oct'!$O:$O, '12OctTo18Oct'!$J:$J, $A121)</f>
        <v>0</v>
      </c>
      <c r="Z121" s="121">
        <f>SUMIFS('12OctTo18Oct'!$P:$P, '12OctTo18Oct'!$J:$J, $A121)</f>
        <v>0</v>
      </c>
      <c r="AA121" s="122">
        <f t="shared" si="4"/>
        <v>0</v>
      </c>
      <c r="AB121" s="121">
        <f>SUMIFS('5OctTo11Oct'!$L:$L, '5OctTo11Oct'!$J:$J, $A121)</f>
        <v>0</v>
      </c>
      <c r="AC121" s="121">
        <f>SUMIFS('5OctTo11Oct'!$K:$K, '5OctTo11Oct'!$J:$J, $A121)</f>
        <v>0</v>
      </c>
      <c r="AD121" s="121">
        <f>SUMIFS('5OctTo11Oct'!$O:$O, '5OctTo11Oct'!$J:$J, $A121)</f>
        <v>0</v>
      </c>
      <c r="AE121" s="121">
        <f>SUMIFS('5OctTo11Oct'!$P:$P, '5OctTo11Oct'!$J:$J, $A121)</f>
        <v>0</v>
      </c>
      <c r="AF121" s="123">
        <f t="shared" si="5"/>
        <v>0</v>
      </c>
      <c r="AG121" s="121">
        <f>SUMIFS('28SepTo4Oct'!$L:$L, '28SepTo4Oct'!$J:$J, $A121)</f>
        <v>0</v>
      </c>
      <c r="AH121" s="121">
        <f>SUMIFS('28SepTo4Oct'!$K:$K, '28SepTo4Oct'!$J:$J, $A121)</f>
        <v>0</v>
      </c>
      <c r="AI121" s="121">
        <f>SUMIFS('28SepTo4Oct'!$O:$O, '28SepTo4Oct'!$J:$J, $A121)</f>
        <v>0</v>
      </c>
      <c r="AJ121" s="121">
        <f>SUMIFS('28SepTo4Oct'!$P:$P, '28SepTo4Oct'!$J:$J, $A121)</f>
        <v>0</v>
      </c>
      <c r="AK121" s="123">
        <f t="shared" si="6"/>
        <v>0</v>
      </c>
      <c r="AL121" s="121">
        <f>SUMIFS('21SepTo27Sep'!$L:$L, '21SepTo27Sep'!$J:$J, $A121)</f>
        <v>0</v>
      </c>
      <c r="AM121" s="121">
        <f>SUMIFS('21SepTo27Sep'!$K:$K, '21SepTo27Sep'!$J:$J, $A121)</f>
        <v>0</v>
      </c>
      <c r="AN121" s="121">
        <f>SUMIFS('21SepTo27Sep'!$O:$O, '21SepTo27Sep'!$J:$J, $A121)</f>
        <v>0</v>
      </c>
      <c r="AO121" s="121">
        <f>SUMIFS('21SepTo27Sep'!$P:$P, '21SepTo27Sep'!$J:$J, $A121)</f>
        <v>0</v>
      </c>
      <c r="AP121" s="123">
        <f t="shared" si="7"/>
        <v>0</v>
      </c>
      <c r="AQ121" s="121">
        <f>SUMIFS('14SepTo20Sep'!$L:$L, '14SepTo20Sep'!$J:$J, $A121)</f>
        <v>0</v>
      </c>
      <c r="AR121" s="121">
        <f>SUMIFS('14SepTo20Sep'!$K:$K, '14SepTo20Sep'!$J:$J, $A121)</f>
        <v>0</v>
      </c>
      <c r="AS121" s="121">
        <f>SUMIFS('14SepTo20Sep'!$O:$O, '14SepTo20Sep'!$J:$J, $A121)</f>
        <v>0</v>
      </c>
      <c r="AT121" s="121">
        <f>SUMIFS('14SepTo20Sep'!$P:$P, '14SepTo20Sep'!$J:$J, $A121)</f>
        <v>0</v>
      </c>
      <c r="AU121" s="123">
        <f t="shared" si="8"/>
        <v>0</v>
      </c>
      <c r="AV121" s="121">
        <f>SUMIFS('7SepTo13Sep'!$L:$L, '7SepTo13Sep'!$J:$J, $A121)</f>
        <v>0</v>
      </c>
      <c r="AW121" s="121">
        <f>SUMIFS('7SepTo13Sep'!$K:$K, '7SepTo13Sep'!$J:$J, $A121)</f>
        <v>0</v>
      </c>
      <c r="AX121" s="121">
        <f>SUMIFS('7SepTo13Sep'!$O:$O, '7SepTo13Sep'!$J:$J, $A121)</f>
        <v>0</v>
      </c>
      <c r="AY121" s="121">
        <f>SUMIFS('7SepTo13Sep'!$P:$P, '7SepTo13Sep'!$J:$J, $A121)</f>
        <v>0</v>
      </c>
      <c r="AZ121" s="123">
        <f t="shared" si="9"/>
        <v>0</v>
      </c>
      <c r="BA121" s="121">
        <f>SUMIFS('31AugTo6Sep'!$L:$L, '31AugTo6Sep'!$J:$J, $A121)</f>
        <v>0</v>
      </c>
      <c r="BB121" s="121">
        <f>SUMIFS('31AugTo6Sep'!$K:$K, '31AugTo6Sep'!$J:$J, $A121)</f>
        <v>0</v>
      </c>
      <c r="BC121" s="121">
        <f>SUMIFS('31AugTo6Sep'!$O:$O, '31AugTo6Sep'!$J:$J, $A121)</f>
        <v>0</v>
      </c>
      <c r="BD121" s="121">
        <f>SUMIFS('31AugTo6Sep'!$P:$P, '31AugTo6Sep'!$J:$J, $A121)</f>
        <v>0</v>
      </c>
      <c r="BE121" s="123">
        <f t="shared" si="10"/>
        <v>0</v>
      </c>
      <c r="BF121" s="121">
        <f>SUMIFS('24AugTo29Aug'!$L:$L, '24AugTo29Aug'!$J:$J, $A121)</f>
        <v>1</v>
      </c>
      <c r="BG121" s="121">
        <f>SUMIFS('24AugTo29Aug'!$K:$K, '24AugTo29Aug'!$J:$J, $A121)</f>
        <v>1</v>
      </c>
      <c r="BH121" s="121">
        <f>SUMIFS('24AugTo29Aug'!$O:$O, '24AugTo29Aug'!$J:$J, $A121)</f>
        <v>3.72</v>
      </c>
      <c r="BI121" s="121">
        <f>SUMIFS('24AugTo29Aug'!$P:$P, '24AugTo29Aug'!$J:$J, $A121)</f>
        <v>29.99</v>
      </c>
      <c r="BJ121" s="123">
        <f t="shared" si="11"/>
        <v>12.404134711570524</v>
      </c>
      <c r="BK121" s="121">
        <f>SUMIFS('17AugTo21Aug'!$L:$L, '17AugTo21Aug'!$J:$J, $A121)</f>
        <v>0</v>
      </c>
      <c r="BL121" s="121">
        <f>SUMIFS('17AugTo21Aug'!$K:$K, '17AugTo21Aug'!$J:$J, $A121)</f>
        <v>0</v>
      </c>
      <c r="BM121" s="121">
        <f>SUMIFS('17AugTo21Aug'!$O:$O, '17AugTo21Aug'!$J:$J, $A121)</f>
        <v>0</v>
      </c>
      <c r="BN121" s="121">
        <f>SUMIFS('17AugTo21Aug'!$P:$P, '17AugTo21Aug'!$J:$J, $A121)</f>
        <v>0</v>
      </c>
      <c r="BO121" s="123">
        <f t="shared" si="12"/>
        <v>0</v>
      </c>
      <c r="BP121" s="121">
        <f>SUMIFS('10AugTo16Aug'!$L:$L, '10AugTo16Aug'!$J:$J, $A121)</f>
        <v>0</v>
      </c>
      <c r="BQ121" s="121">
        <f>SUMIFS('10AugTo16Aug'!$K:$K, '10AugTo16Aug'!$J:$J, $A121)</f>
        <v>0</v>
      </c>
      <c r="BR121" s="121">
        <f>SUMIFS('10AugTo16Aug'!$O:$O, '10AugTo16Aug'!$J:$J, $A121)</f>
        <v>0</v>
      </c>
      <c r="BS121" s="121">
        <f>SUMIFS('10AugTo16Aug'!$P:$P, '10AugTo16Aug'!$J:$J, $A121)</f>
        <v>0</v>
      </c>
      <c r="BT121" s="123">
        <f t="shared" si="13"/>
        <v>0</v>
      </c>
      <c r="BU121" s="121">
        <f>SUMIFS('3AugTo9Aug'!$L:$L, '3AugTo9Aug'!$J:$J, $A121)</f>
        <v>0</v>
      </c>
      <c r="BV121" s="121">
        <f>SUMIFS('3AugTo9Aug'!$K:$K, '3AugTo9Aug'!$J:$J, $A121)</f>
        <v>0</v>
      </c>
      <c r="BW121" s="121">
        <f>SUMIFS('3AugTo9Aug'!$O:$O, '3AugTo9Aug'!$J:$J, $A121)</f>
        <v>0</v>
      </c>
      <c r="BX121" s="121">
        <f>SUMIFS('3AugTo9Aug'!$P:$P, '3AugTo9Aug'!$J:$J, $A121)</f>
        <v>0</v>
      </c>
      <c r="BY121" s="123">
        <f t="shared" si="14"/>
        <v>0</v>
      </c>
      <c r="BZ121" s="121">
        <f>SUMIFS('27JulyTo2Aug'!$L:$L, '27JulyTo2Aug'!$J:$J, $A121)</f>
        <v>0</v>
      </c>
      <c r="CA121" s="121">
        <f>SUMIFS('27JulyTo2Aug'!$K:$K, '27JulyTo2Aug'!$J:$J, $A121)</f>
        <v>0</v>
      </c>
      <c r="CB121" s="121">
        <f>SUMIFS('27JulyTo2Aug'!$O:$O, '27JulyTo2Aug'!$J:$J, $A121)</f>
        <v>0</v>
      </c>
      <c r="CC121" s="121">
        <f>SUMIFS('27JulyTo2Aug'!$P:$P, '27JulyTo2Aug'!$J:$J, $A121)</f>
        <v>0</v>
      </c>
      <c r="CD121" s="123">
        <f t="shared" si="15"/>
        <v>0</v>
      </c>
    </row>
    <row r="122" spans="1:82" ht="14.25" customHeight="1" x14ac:dyDescent="0.3">
      <c r="A122" s="124" t="s">
        <v>608</v>
      </c>
      <c r="B122" s="120" t="str">
        <f t="shared" si="17"/>
        <v>NO TRAFFIC</v>
      </c>
      <c r="C122" s="121">
        <f>SUMIFS('9NovTo15Nov'!$L:$L, '9NovTo15Nov'!$J:$J, $A122)</f>
        <v>0</v>
      </c>
      <c r="D122" s="121">
        <f>SUMIFS('9NovTo15Nov'!$K:$K, '9NovTo15Nov'!$J:$J, $A122)</f>
        <v>0</v>
      </c>
      <c r="E122" s="121">
        <f>SUMIFS('9NovTo15Nov'!$O:$O, '9NovTo15Nov'!$J:$J, $A122)</f>
        <v>0</v>
      </c>
      <c r="F122" s="121">
        <f>SUMIFS('9NovTo15Nov'!$P:$P, '9NovTo15Nov'!$J:$J, $A122)</f>
        <v>0</v>
      </c>
      <c r="G122" s="122">
        <f t="shared" si="0"/>
        <v>0</v>
      </c>
      <c r="H122" s="121">
        <f>SUMIFS('2NovTo8Nov'!$L:$L, '2NovTo8Nov'!$J:$J, $A122)</f>
        <v>0</v>
      </c>
      <c r="I122" s="121">
        <f>SUMIFS('2NovTo8Nov'!$K:$K, '2NovTo8Nov'!$J:$J, $A122)</f>
        <v>0</v>
      </c>
      <c r="J122" s="121">
        <f>SUMIFS('2NovTo8Nov'!$O:$O, '2NovTo8Nov'!$J:$J, $A122)</f>
        <v>0</v>
      </c>
      <c r="K122" s="121">
        <f>SUMIFS('2NovTo8Nov'!$P:$P, '2NovTo8Nov'!$J:$J, $A122)</f>
        <v>0</v>
      </c>
      <c r="L122" s="122">
        <f t="shared" si="1"/>
        <v>0</v>
      </c>
      <c r="M122" s="121">
        <f>SUMIFS('26OctTo1Nov'!$L:$L, '26OctTo1Nov'!$J:$J, $A122)</f>
        <v>0</v>
      </c>
      <c r="N122" s="121">
        <f>SUMIFS('26OctTo1Nov'!$K:$K, '26OctTo1Nov'!$J:$J, $A122)</f>
        <v>0</v>
      </c>
      <c r="O122" s="121">
        <f>SUMIFS('26OctTo1Nov'!$O:$O, '26OctTo1Nov'!$J:$J, $A122)</f>
        <v>0</v>
      </c>
      <c r="P122" s="121">
        <f>SUMIFS('26OctTo1Nov'!$P:$P, '26OctTo1Nov'!$J:$J, $A122)</f>
        <v>0</v>
      </c>
      <c r="Q122" s="122">
        <f t="shared" si="2"/>
        <v>0</v>
      </c>
      <c r="R122" s="121">
        <f>SUMIFS('19OctTo25Oct'!$L:$L, '19OctTo25Oct'!$J:$J, $A122)</f>
        <v>0</v>
      </c>
      <c r="S122" s="121">
        <f>SUMIFS('19OctTo25Oct'!$K:$K, '19OctTo25Oct'!$J:$J, $A122)</f>
        <v>0</v>
      </c>
      <c r="T122" s="121">
        <f>SUMIFS('19OctTo25Oct'!$O:$O, '19OctTo25Oct'!$J:$J, $A122)</f>
        <v>0</v>
      </c>
      <c r="U122" s="121">
        <f>SUMIFS('19OctTo25Oct'!$P:$P, '19OctTo25Oct'!$J:$J, $A122)</f>
        <v>0</v>
      </c>
      <c r="V122" s="122">
        <f t="shared" si="3"/>
        <v>0</v>
      </c>
      <c r="W122" s="121">
        <f>SUMIFS('12OctTo18Oct'!$L:$L, '12OctTo18Oct'!$J:$J, $A122)</f>
        <v>0</v>
      </c>
      <c r="X122" s="121">
        <f>SUMIFS('12OctTo18Oct'!$K:$K, '12OctTo18Oct'!$J:$J, $A122)</f>
        <v>0</v>
      </c>
      <c r="Y122" s="121">
        <f>SUMIFS('12OctTo18Oct'!$O:$O, '12OctTo18Oct'!$J:$J, $A122)</f>
        <v>0</v>
      </c>
      <c r="Z122" s="121">
        <f>SUMIFS('12OctTo18Oct'!$P:$P, '12OctTo18Oct'!$J:$J, $A122)</f>
        <v>0</v>
      </c>
      <c r="AA122" s="122">
        <f t="shared" si="4"/>
        <v>0</v>
      </c>
      <c r="AB122" s="121">
        <f>SUMIFS('5OctTo11Oct'!$L:$L, '5OctTo11Oct'!$J:$J, $A122)</f>
        <v>0</v>
      </c>
      <c r="AC122" s="121">
        <f>SUMIFS('5OctTo11Oct'!$K:$K, '5OctTo11Oct'!$J:$J, $A122)</f>
        <v>0</v>
      </c>
      <c r="AD122" s="121">
        <f>SUMIFS('5OctTo11Oct'!$O:$O, '5OctTo11Oct'!$J:$J, $A122)</f>
        <v>0</v>
      </c>
      <c r="AE122" s="121">
        <f>SUMIFS('5OctTo11Oct'!$P:$P, '5OctTo11Oct'!$J:$J, $A122)</f>
        <v>0</v>
      </c>
      <c r="AF122" s="123">
        <f t="shared" si="5"/>
        <v>0</v>
      </c>
      <c r="AG122" s="121">
        <f>SUMIFS('28SepTo4Oct'!$L:$L, '28SepTo4Oct'!$J:$J, $A122)</f>
        <v>0</v>
      </c>
      <c r="AH122" s="121">
        <f>SUMIFS('28SepTo4Oct'!$K:$K, '28SepTo4Oct'!$J:$J, $A122)</f>
        <v>0</v>
      </c>
      <c r="AI122" s="121">
        <f>SUMIFS('28SepTo4Oct'!$O:$O, '28SepTo4Oct'!$J:$J, $A122)</f>
        <v>0</v>
      </c>
      <c r="AJ122" s="121">
        <f>SUMIFS('28SepTo4Oct'!$P:$P, '28SepTo4Oct'!$J:$J, $A122)</f>
        <v>0</v>
      </c>
      <c r="AK122" s="123">
        <f t="shared" si="6"/>
        <v>0</v>
      </c>
      <c r="AL122" s="121">
        <f>SUMIFS('21SepTo27Sep'!$L:$L, '21SepTo27Sep'!$J:$J, $A122)</f>
        <v>0</v>
      </c>
      <c r="AM122" s="121">
        <f>SUMIFS('21SepTo27Sep'!$K:$K, '21SepTo27Sep'!$J:$J, $A122)</f>
        <v>0</v>
      </c>
      <c r="AN122" s="121">
        <f>SUMIFS('21SepTo27Sep'!$O:$O, '21SepTo27Sep'!$J:$J, $A122)</f>
        <v>0</v>
      </c>
      <c r="AO122" s="121">
        <f>SUMIFS('21SepTo27Sep'!$P:$P, '21SepTo27Sep'!$J:$J, $A122)</f>
        <v>0</v>
      </c>
      <c r="AP122" s="123">
        <f t="shared" si="7"/>
        <v>0</v>
      </c>
      <c r="AQ122" s="121">
        <f>SUMIFS('14SepTo20Sep'!$L:$L, '14SepTo20Sep'!$J:$J, $A122)</f>
        <v>0</v>
      </c>
      <c r="AR122" s="121">
        <f>SUMIFS('14SepTo20Sep'!$K:$K, '14SepTo20Sep'!$J:$J, $A122)</f>
        <v>0</v>
      </c>
      <c r="AS122" s="121">
        <f>SUMIFS('14SepTo20Sep'!$O:$O, '14SepTo20Sep'!$J:$J, $A122)</f>
        <v>0</v>
      </c>
      <c r="AT122" s="121">
        <f>SUMIFS('14SepTo20Sep'!$P:$P, '14SepTo20Sep'!$J:$J, $A122)</f>
        <v>0</v>
      </c>
      <c r="AU122" s="123">
        <f t="shared" si="8"/>
        <v>0</v>
      </c>
      <c r="AV122" s="121">
        <f>SUMIFS('7SepTo13Sep'!$L:$L, '7SepTo13Sep'!$J:$J, $A122)</f>
        <v>0</v>
      </c>
      <c r="AW122" s="121">
        <f>SUMIFS('7SepTo13Sep'!$K:$K, '7SepTo13Sep'!$J:$J, $A122)</f>
        <v>0</v>
      </c>
      <c r="AX122" s="121">
        <f>SUMIFS('7SepTo13Sep'!$O:$O, '7SepTo13Sep'!$J:$J, $A122)</f>
        <v>0</v>
      </c>
      <c r="AY122" s="121">
        <f>SUMIFS('7SepTo13Sep'!$P:$P, '7SepTo13Sep'!$J:$J, $A122)</f>
        <v>0</v>
      </c>
      <c r="AZ122" s="123">
        <f t="shared" si="9"/>
        <v>0</v>
      </c>
      <c r="BA122" s="121">
        <f>SUMIFS('31AugTo6Sep'!$L:$L, '31AugTo6Sep'!$J:$J, $A122)</f>
        <v>0</v>
      </c>
      <c r="BB122" s="121">
        <f>SUMIFS('31AugTo6Sep'!$K:$K, '31AugTo6Sep'!$J:$J, $A122)</f>
        <v>0</v>
      </c>
      <c r="BC122" s="121">
        <f>SUMIFS('31AugTo6Sep'!$O:$O, '31AugTo6Sep'!$J:$J, $A122)</f>
        <v>0</v>
      </c>
      <c r="BD122" s="121">
        <f>SUMIFS('31AugTo6Sep'!$P:$P, '31AugTo6Sep'!$J:$J, $A122)</f>
        <v>0</v>
      </c>
      <c r="BE122" s="123">
        <f t="shared" si="10"/>
        <v>0</v>
      </c>
      <c r="BF122" s="121">
        <f>SUMIFS('24AugTo29Aug'!$L:$L, '24AugTo29Aug'!$J:$J, $A122)</f>
        <v>1</v>
      </c>
      <c r="BG122" s="121">
        <f>SUMIFS('24AugTo29Aug'!$K:$K, '24AugTo29Aug'!$J:$J, $A122)</f>
        <v>1</v>
      </c>
      <c r="BH122" s="121">
        <f>SUMIFS('24AugTo29Aug'!$O:$O, '24AugTo29Aug'!$J:$J, $A122)</f>
        <v>3.5</v>
      </c>
      <c r="BI122" s="121">
        <f>SUMIFS('24AugTo29Aug'!$P:$P, '24AugTo29Aug'!$J:$J, $A122)</f>
        <v>24.94</v>
      </c>
      <c r="BJ122" s="123">
        <f t="shared" si="11"/>
        <v>14.033680834001602</v>
      </c>
      <c r="BK122" s="121">
        <f>SUMIFS('17AugTo21Aug'!$L:$L, '17AugTo21Aug'!$J:$J, $A122)</f>
        <v>0</v>
      </c>
      <c r="BL122" s="121">
        <f>SUMIFS('17AugTo21Aug'!$K:$K, '17AugTo21Aug'!$J:$J, $A122)</f>
        <v>0</v>
      </c>
      <c r="BM122" s="121">
        <f>SUMIFS('17AugTo21Aug'!$O:$O, '17AugTo21Aug'!$J:$J, $A122)</f>
        <v>0</v>
      </c>
      <c r="BN122" s="121">
        <f>SUMIFS('17AugTo21Aug'!$P:$P, '17AugTo21Aug'!$J:$J, $A122)</f>
        <v>0</v>
      </c>
      <c r="BO122" s="123">
        <f t="shared" si="12"/>
        <v>0</v>
      </c>
      <c r="BP122" s="121">
        <f>SUMIFS('10AugTo16Aug'!$L:$L, '10AugTo16Aug'!$J:$J, $A122)</f>
        <v>0</v>
      </c>
      <c r="BQ122" s="121">
        <f>SUMIFS('10AugTo16Aug'!$K:$K, '10AugTo16Aug'!$J:$J, $A122)</f>
        <v>0</v>
      </c>
      <c r="BR122" s="121">
        <f>SUMIFS('10AugTo16Aug'!$O:$O, '10AugTo16Aug'!$J:$J, $A122)</f>
        <v>0</v>
      </c>
      <c r="BS122" s="121">
        <f>SUMIFS('10AugTo16Aug'!$P:$P, '10AugTo16Aug'!$J:$J, $A122)</f>
        <v>0</v>
      </c>
      <c r="BT122" s="123">
        <f t="shared" si="13"/>
        <v>0</v>
      </c>
      <c r="BU122" s="121">
        <f>SUMIFS('3AugTo9Aug'!$L:$L, '3AugTo9Aug'!$J:$J, $A122)</f>
        <v>0</v>
      </c>
      <c r="BV122" s="121">
        <f>SUMIFS('3AugTo9Aug'!$K:$K, '3AugTo9Aug'!$J:$J, $A122)</f>
        <v>0</v>
      </c>
      <c r="BW122" s="121">
        <f>SUMIFS('3AugTo9Aug'!$O:$O, '3AugTo9Aug'!$J:$J, $A122)</f>
        <v>0</v>
      </c>
      <c r="BX122" s="121">
        <f>SUMIFS('3AugTo9Aug'!$P:$P, '3AugTo9Aug'!$J:$J, $A122)</f>
        <v>0</v>
      </c>
      <c r="BY122" s="123">
        <f t="shared" si="14"/>
        <v>0</v>
      </c>
      <c r="BZ122" s="121">
        <f>SUMIFS('27JulyTo2Aug'!$L:$L, '27JulyTo2Aug'!$J:$J, $A122)</f>
        <v>0</v>
      </c>
      <c r="CA122" s="121">
        <f>SUMIFS('27JulyTo2Aug'!$K:$K, '27JulyTo2Aug'!$J:$J, $A122)</f>
        <v>0</v>
      </c>
      <c r="CB122" s="121">
        <f>SUMIFS('27JulyTo2Aug'!$O:$O, '27JulyTo2Aug'!$J:$J, $A122)</f>
        <v>0</v>
      </c>
      <c r="CC122" s="121">
        <f>SUMIFS('27JulyTo2Aug'!$P:$P, '27JulyTo2Aug'!$J:$J, $A122)</f>
        <v>0</v>
      </c>
      <c r="CD122" s="123">
        <f t="shared" si="15"/>
        <v>0</v>
      </c>
    </row>
    <row r="123" spans="1:82" ht="14.25" customHeight="1" x14ac:dyDescent="0.3">
      <c r="A123" s="124" t="s">
        <v>611</v>
      </c>
      <c r="B123" s="120" t="str">
        <f t="shared" si="17"/>
        <v>NO TRAFFIC</v>
      </c>
      <c r="C123" s="121">
        <f>SUMIFS('9NovTo15Nov'!$L:$L, '9NovTo15Nov'!$J:$J, $A123)</f>
        <v>0</v>
      </c>
      <c r="D123" s="121">
        <f>SUMIFS('9NovTo15Nov'!$K:$K, '9NovTo15Nov'!$J:$J, $A123)</f>
        <v>0</v>
      </c>
      <c r="E123" s="121">
        <f>SUMIFS('9NovTo15Nov'!$O:$O, '9NovTo15Nov'!$J:$J, $A123)</f>
        <v>0</v>
      </c>
      <c r="F123" s="121">
        <f>SUMIFS('9NovTo15Nov'!$P:$P, '9NovTo15Nov'!$J:$J, $A123)</f>
        <v>0</v>
      </c>
      <c r="G123" s="122">
        <f t="shared" si="0"/>
        <v>0</v>
      </c>
      <c r="H123" s="121">
        <f>SUMIFS('2NovTo8Nov'!$L:$L, '2NovTo8Nov'!$J:$J, $A123)</f>
        <v>0</v>
      </c>
      <c r="I123" s="121">
        <f>SUMIFS('2NovTo8Nov'!$K:$K, '2NovTo8Nov'!$J:$J, $A123)</f>
        <v>0</v>
      </c>
      <c r="J123" s="121">
        <f>SUMIFS('2NovTo8Nov'!$O:$O, '2NovTo8Nov'!$J:$J, $A123)</f>
        <v>0</v>
      </c>
      <c r="K123" s="121">
        <f>SUMIFS('2NovTo8Nov'!$P:$P, '2NovTo8Nov'!$J:$J, $A123)</f>
        <v>0</v>
      </c>
      <c r="L123" s="122">
        <f t="shared" si="1"/>
        <v>0</v>
      </c>
      <c r="M123" s="121">
        <f>SUMIFS('26OctTo1Nov'!$L:$L, '26OctTo1Nov'!$J:$J, $A123)</f>
        <v>0</v>
      </c>
      <c r="N123" s="121">
        <f>SUMIFS('26OctTo1Nov'!$K:$K, '26OctTo1Nov'!$J:$J, $A123)</f>
        <v>0</v>
      </c>
      <c r="O123" s="121">
        <f>SUMIFS('26OctTo1Nov'!$O:$O, '26OctTo1Nov'!$J:$J, $A123)</f>
        <v>0</v>
      </c>
      <c r="P123" s="121">
        <f>SUMIFS('26OctTo1Nov'!$P:$P, '26OctTo1Nov'!$J:$J, $A123)</f>
        <v>0</v>
      </c>
      <c r="Q123" s="122">
        <f t="shared" si="2"/>
        <v>0</v>
      </c>
      <c r="R123" s="121">
        <f>SUMIFS('19OctTo25Oct'!$L:$L, '19OctTo25Oct'!$J:$J, $A123)</f>
        <v>0</v>
      </c>
      <c r="S123" s="121">
        <f>SUMIFS('19OctTo25Oct'!$K:$K, '19OctTo25Oct'!$J:$J, $A123)</f>
        <v>0</v>
      </c>
      <c r="T123" s="121">
        <f>SUMIFS('19OctTo25Oct'!$O:$O, '19OctTo25Oct'!$J:$J, $A123)</f>
        <v>0</v>
      </c>
      <c r="U123" s="121">
        <f>SUMIFS('19OctTo25Oct'!$P:$P, '19OctTo25Oct'!$J:$J, $A123)</f>
        <v>0</v>
      </c>
      <c r="V123" s="122">
        <f t="shared" si="3"/>
        <v>0</v>
      </c>
      <c r="W123" s="121">
        <f>SUMIFS('12OctTo18Oct'!$L:$L, '12OctTo18Oct'!$J:$J, $A123)</f>
        <v>0</v>
      </c>
      <c r="X123" s="121">
        <f>SUMIFS('12OctTo18Oct'!$K:$K, '12OctTo18Oct'!$J:$J, $A123)</f>
        <v>0</v>
      </c>
      <c r="Y123" s="121">
        <f>SUMIFS('12OctTo18Oct'!$O:$O, '12OctTo18Oct'!$J:$J, $A123)</f>
        <v>0</v>
      </c>
      <c r="Z123" s="121">
        <f>SUMIFS('12OctTo18Oct'!$P:$P, '12OctTo18Oct'!$J:$J, $A123)</f>
        <v>0</v>
      </c>
      <c r="AA123" s="122">
        <f t="shared" si="4"/>
        <v>0</v>
      </c>
      <c r="AB123" s="121">
        <f>SUMIFS('5OctTo11Oct'!$L:$L, '5OctTo11Oct'!$J:$J, $A123)</f>
        <v>0</v>
      </c>
      <c r="AC123" s="121">
        <f>SUMIFS('5OctTo11Oct'!$K:$K, '5OctTo11Oct'!$J:$J, $A123)</f>
        <v>0</v>
      </c>
      <c r="AD123" s="121">
        <f>SUMIFS('5OctTo11Oct'!$O:$O, '5OctTo11Oct'!$J:$J, $A123)</f>
        <v>0</v>
      </c>
      <c r="AE123" s="121">
        <f>SUMIFS('5OctTo11Oct'!$P:$P, '5OctTo11Oct'!$J:$J, $A123)</f>
        <v>0</v>
      </c>
      <c r="AF123" s="123">
        <f t="shared" si="5"/>
        <v>0</v>
      </c>
      <c r="AG123" s="121">
        <f>SUMIFS('28SepTo4Oct'!$L:$L, '28SepTo4Oct'!$J:$J, $A123)</f>
        <v>0</v>
      </c>
      <c r="AH123" s="121">
        <f>SUMIFS('28SepTo4Oct'!$K:$K, '28SepTo4Oct'!$J:$J, $A123)</f>
        <v>0</v>
      </c>
      <c r="AI123" s="121">
        <f>SUMIFS('28SepTo4Oct'!$O:$O, '28SepTo4Oct'!$J:$J, $A123)</f>
        <v>0</v>
      </c>
      <c r="AJ123" s="121">
        <f>SUMIFS('28SepTo4Oct'!$P:$P, '28SepTo4Oct'!$J:$J, $A123)</f>
        <v>0</v>
      </c>
      <c r="AK123" s="123">
        <f t="shared" si="6"/>
        <v>0</v>
      </c>
      <c r="AL123" s="121">
        <f>SUMIFS('21SepTo27Sep'!$L:$L, '21SepTo27Sep'!$J:$J, $A123)</f>
        <v>0</v>
      </c>
      <c r="AM123" s="121">
        <f>SUMIFS('21SepTo27Sep'!$K:$K, '21SepTo27Sep'!$J:$J, $A123)</f>
        <v>0</v>
      </c>
      <c r="AN123" s="121">
        <f>SUMIFS('21SepTo27Sep'!$O:$O, '21SepTo27Sep'!$J:$J, $A123)</f>
        <v>0</v>
      </c>
      <c r="AO123" s="121">
        <f>SUMIFS('21SepTo27Sep'!$P:$P, '21SepTo27Sep'!$J:$J, $A123)</f>
        <v>0</v>
      </c>
      <c r="AP123" s="123">
        <f t="shared" si="7"/>
        <v>0</v>
      </c>
      <c r="AQ123" s="121">
        <f>SUMIFS('14SepTo20Sep'!$L:$L, '14SepTo20Sep'!$J:$J, $A123)</f>
        <v>0</v>
      </c>
      <c r="AR123" s="121">
        <f>SUMIFS('14SepTo20Sep'!$K:$K, '14SepTo20Sep'!$J:$J, $A123)</f>
        <v>0</v>
      </c>
      <c r="AS123" s="121">
        <f>SUMIFS('14SepTo20Sep'!$O:$O, '14SepTo20Sep'!$J:$J, $A123)</f>
        <v>0</v>
      </c>
      <c r="AT123" s="121">
        <f>SUMIFS('14SepTo20Sep'!$P:$P, '14SepTo20Sep'!$J:$J, $A123)</f>
        <v>0</v>
      </c>
      <c r="AU123" s="123">
        <f t="shared" si="8"/>
        <v>0</v>
      </c>
      <c r="AV123" s="121">
        <f>SUMIFS('7SepTo13Sep'!$L:$L, '7SepTo13Sep'!$J:$J, $A123)</f>
        <v>0</v>
      </c>
      <c r="AW123" s="121">
        <f>SUMIFS('7SepTo13Sep'!$K:$K, '7SepTo13Sep'!$J:$J, $A123)</f>
        <v>0</v>
      </c>
      <c r="AX123" s="121">
        <f>SUMIFS('7SepTo13Sep'!$O:$O, '7SepTo13Sep'!$J:$J, $A123)</f>
        <v>0</v>
      </c>
      <c r="AY123" s="121">
        <f>SUMIFS('7SepTo13Sep'!$P:$P, '7SepTo13Sep'!$J:$J, $A123)</f>
        <v>0</v>
      </c>
      <c r="AZ123" s="123">
        <f t="shared" si="9"/>
        <v>0</v>
      </c>
      <c r="BA123" s="121">
        <f>SUMIFS('31AugTo6Sep'!$L:$L, '31AugTo6Sep'!$J:$J, $A123)</f>
        <v>0</v>
      </c>
      <c r="BB123" s="121">
        <f>SUMIFS('31AugTo6Sep'!$K:$K, '31AugTo6Sep'!$J:$J, $A123)</f>
        <v>0</v>
      </c>
      <c r="BC123" s="121">
        <f>SUMIFS('31AugTo6Sep'!$O:$O, '31AugTo6Sep'!$J:$J, $A123)</f>
        <v>0</v>
      </c>
      <c r="BD123" s="121">
        <f>SUMIFS('31AugTo6Sep'!$P:$P, '31AugTo6Sep'!$J:$J, $A123)</f>
        <v>0</v>
      </c>
      <c r="BE123" s="123">
        <f t="shared" si="10"/>
        <v>0</v>
      </c>
      <c r="BF123" s="121">
        <f>SUMIFS('24AugTo29Aug'!$L:$L, '24AugTo29Aug'!$J:$J, $A123)</f>
        <v>1</v>
      </c>
      <c r="BG123" s="121">
        <f>SUMIFS('24AugTo29Aug'!$K:$K, '24AugTo29Aug'!$J:$J, $A123)</f>
        <v>2</v>
      </c>
      <c r="BH123" s="121">
        <f>SUMIFS('24AugTo29Aug'!$O:$O, '24AugTo29Aug'!$J:$J, $A123)</f>
        <v>2.2799999999999998</v>
      </c>
      <c r="BI123" s="121">
        <f>SUMIFS('24AugTo29Aug'!$P:$P, '24AugTo29Aug'!$J:$J, $A123)</f>
        <v>24.94</v>
      </c>
      <c r="BJ123" s="123">
        <f t="shared" si="11"/>
        <v>9.1419406575781856</v>
      </c>
      <c r="BK123" s="121">
        <f>SUMIFS('17AugTo21Aug'!$L:$L, '17AugTo21Aug'!$J:$J, $A123)</f>
        <v>0</v>
      </c>
      <c r="BL123" s="121">
        <f>SUMIFS('17AugTo21Aug'!$K:$K, '17AugTo21Aug'!$J:$J, $A123)</f>
        <v>0</v>
      </c>
      <c r="BM123" s="121">
        <f>SUMIFS('17AugTo21Aug'!$O:$O, '17AugTo21Aug'!$J:$J, $A123)</f>
        <v>0</v>
      </c>
      <c r="BN123" s="121">
        <f>SUMIFS('17AugTo21Aug'!$P:$P, '17AugTo21Aug'!$J:$J, $A123)</f>
        <v>0</v>
      </c>
      <c r="BO123" s="123">
        <f t="shared" si="12"/>
        <v>0</v>
      </c>
      <c r="BP123" s="121">
        <f>SUMIFS('10AugTo16Aug'!$L:$L, '10AugTo16Aug'!$J:$J, $A123)</f>
        <v>0</v>
      </c>
      <c r="BQ123" s="121">
        <f>SUMIFS('10AugTo16Aug'!$K:$K, '10AugTo16Aug'!$J:$J, $A123)</f>
        <v>0</v>
      </c>
      <c r="BR123" s="121">
        <f>SUMIFS('10AugTo16Aug'!$O:$O, '10AugTo16Aug'!$J:$J, $A123)</f>
        <v>0</v>
      </c>
      <c r="BS123" s="121">
        <f>SUMIFS('10AugTo16Aug'!$P:$P, '10AugTo16Aug'!$J:$J, $A123)</f>
        <v>0</v>
      </c>
      <c r="BT123" s="123">
        <f t="shared" si="13"/>
        <v>0</v>
      </c>
      <c r="BU123" s="121">
        <f>SUMIFS('3AugTo9Aug'!$L:$L, '3AugTo9Aug'!$J:$J, $A123)</f>
        <v>0</v>
      </c>
      <c r="BV123" s="121">
        <f>SUMIFS('3AugTo9Aug'!$K:$K, '3AugTo9Aug'!$J:$J, $A123)</f>
        <v>0</v>
      </c>
      <c r="BW123" s="121">
        <f>SUMIFS('3AugTo9Aug'!$O:$O, '3AugTo9Aug'!$J:$J, $A123)</f>
        <v>0</v>
      </c>
      <c r="BX123" s="121">
        <f>SUMIFS('3AugTo9Aug'!$P:$P, '3AugTo9Aug'!$J:$J, $A123)</f>
        <v>0</v>
      </c>
      <c r="BY123" s="123">
        <f t="shared" si="14"/>
        <v>0</v>
      </c>
      <c r="BZ123" s="121">
        <f>SUMIFS('27JulyTo2Aug'!$L:$L, '27JulyTo2Aug'!$J:$J, $A123)</f>
        <v>0</v>
      </c>
      <c r="CA123" s="121">
        <f>SUMIFS('27JulyTo2Aug'!$K:$K, '27JulyTo2Aug'!$J:$J, $A123)</f>
        <v>0</v>
      </c>
      <c r="CB123" s="121">
        <f>SUMIFS('27JulyTo2Aug'!$O:$O, '27JulyTo2Aug'!$J:$J, $A123)</f>
        <v>0</v>
      </c>
      <c r="CC123" s="121">
        <f>SUMIFS('27JulyTo2Aug'!$P:$P, '27JulyTo2Aug'!$J:$J, $A123)</f>
        <v>0</v>
      </c>
      <c r="CD123" s="123">
        <f t="shared" si="15"/>
        <v>0</v>
      </c>
    </row>
    <row r="124" spans="1:82" ht="14.25" customHeight="1" x14ac:dyDescent="0.3">
      <c r="A124" s="133" t="s">
        <v>616</v>
      </c>
      <c r="B124" s="120" t="str">
        <f t="shared" si="17"/>
        <v>NO TRAFFIC</v>
      </c>
      <c r="C124" s="121">
        <f>SUMIFS('9NovTo15Nov'!$L:$L, '9NovTo15Nov'!$J:$J, $A124)</f>
        <v>0</v>
      </c>
      <c r="D124" s="121">
        <f>SUMIFS('9NovTo15Nov'!$K:$K, '9NovTo15Nov'!$J:$J, $A124)</f>
        <v>0</v>
      </c>
      <c r="E124" s="121">
        <f>SUMIFS('9NovTo15Nov'!$O:$O, '9NovTo15Nov'!$J:$J, $A124)</f>
        <v>0</v>
      </c>
      <c r="F124" s="121">
        <f>SUMIFS('9NovTo15Nov'!$P:$P, '9NovTo15Nov'!$J:$J, $A124)</f>
        <v>0</v>
      </c>
      <c r="G124" s="122">
        <f t="shared" si="0"/>
        <v>0</v>
      </c>
      <c r="H124" s="121">
        <f>SUMIFS('2NovTo8Nov'!$L:$L, '2NovTo8Nov'!$J:$J, $A124)</f>
        <v>0</v>
      </c>
      <c r="I124" s="121">
        <f>SUMIFS('2NovTo8Nov'!$K:$K, '2NovTo8Nov'!$J:$J, $A124)</f>
        <v>0</v>
      </c>
      <c r="J124" s="121">
        <f>SUMIFS('2NovTo8Nov'!$O:$O, '2NovTo8Nov'!$J:$J, $A124)</f>
        <v>0</v>
      </c>
      <c r="K124" s="121">
        <f>SUMIFS('2NovTo8Nov'!$P:$P, '2NovTo8Nov'!$J:$J, $A124)</f>
        <v>0</v>
      </c>
      <c r="L124" s="122">
        <f t="shared" si="1"/>
        <v>0</v>
      </c>
      <c r="M124" s="121">
        <f>SUMIFS('26OctTo1Nov'!$L:$L, '26OctTo1Nov'!$J:$J, $A124)</f>
        <v>0</v>
      </c>
      <c r="N124" s="121">
        <f>SUMIFS('26OctTo1Nov'!$K:$K, '26OctTo1Nov'!$J:$J, $A124)</f>
        <v>0</v>
      </c>
      <c r="O124" s="121">
        <f>SUMIFS('26OctTo1Nov'!$O:$O, '26OctTo1Nov'!$J:$J, $A124)</f>
        <v>0</v>
      </c>
      <c r="P124" s="121">
        <f>SUMIFS('26OctTo1Nov'!$P:$P, '26OctTo1Nov'!$J:$J, $A124)</f>
        <v>0</v>
      </c>
      <c r="Q124" s="122">
        <f t="shared" si="2"/>
        <v>0</v>
      </c>
      <c r="R124" s="121">
        <f>SUMIFS('19OctTo25Oct'!$L:$L, '19OctTo25Oct'!$J:$J, $A124)</f>
        <v>0</v>
      </c>
      <c r="S124" s="121">
        <f>SUMIFS('19OctTo25Oct'!$K:$K, '19OctTo25Oct'!$J:$J, $A124)</f>
        <v>0</v>
      </c>
      <c r="T124" s="121">
        <f>SUMIFS('19OctTo25Oct'!$O:$O, '19OctTo25Oct'!$J:$J, $A124)</f>
        <v>0</v>
      </c>
      <c r="U124" s="121">
        <f>SUMIFS('19OctTo25Oct'!$P:$P, '19OctTo25Oct'!$J:$J, $A124)</f>
        <v>0</v>
      </c>
      <c r="V124" s="122">
        <f t="shared" si="3"/>
        <v>0</v>
      </c>
      <c r="W124" s="121">
        <f>SUMIFS('12OctTo18Oct'!$L:$L, '12OctTo18Oct'!$J:$J, $A124)</f>
        <v>0</v>
      </c>
      <c r="X124" s="121">
        <f>SUMIFS('12OctTo18Oct'!$K:$K, '12OctTo18Oct'!$J:$J, $A124)</f>
        <v>0</v>
      </c>
      <c r="Y124" s="121">
        <f>SUMIFS('12OctTo18Oct'!$O:$O, '12OctTo18Oct'!$J:$J, $A124)</f>
        <v>0</v>
      </c>
      <c r="Z124" s="121">
        <f>SUMIFS('12OctTo18Oct'!$P:$P, '12OctTo18Oct'!$J:$J, $A124)</f>
        <v>0</v>
      </c>
      <c r="AA124" s="122">
        <f t="shared" si="4"/>
        <v>0</v>
      </c>
      <c r="AB124" s="121">
        <f>SUMIFS('5OctTo11Oct'!$L:$L, '5OctTo11Oct'!$J:$J, $A124)</f>
        <v>0</v>
      </c>
      <c r="AC124" s="121">
        <f>SUMIFS('5OctTo11Oct'!$K:$K, '5OctTo11Oct'!$J:$J, $A124)</f>
        <v>0</v>
      </c>
      <c r="AD124" s="121">
        <f>SUMIFS('5OctTo11Oct'!$O:$O, '5OctTo11Oct'!$J:$J, $A124)</f>
        <v>0</v>
      </c>
      <c r="AE124" s="121">
        <f>SUMIFS('5OctTo11Oct'!$P:$P, '5OctTo11Oct'!$J:$J, $A124)</f>
        <v>0</v>
      </c>
      <c r="AF124" s="123">
        <f t="shared" si="5"/>
        <v>0</v>
      </c>
      <c r="AG124" s="121">
        <f>SUMIFS('28SepTo4Oct'!$L:$L, '28SepTo4Oct'!$J:$J, $A124)</f>
        <v>0</v>
      </c>
      <c r="AH124" s="121">
        <f>SUMIFS('28SepTo4Oct'!$K:$K, '28SepTo4Oct'!$J:$J, $A124)</f>
        <v>0</v>
      </c>
      <c r="AI124" s="121">
        <f>SUMIFS('28SepTo4Oct'!$O:$O, '28SepTo4Oct'!$J:$J, $A124)</f>
        <v>0</v>
      </c>
      <c r="AJ124" s="121">
        <f>SUMIFS('28SepTo4Oct'!$P:$P, '28SepTo4Oct'!$J:$J, $A124)</f>
        <v>0</v>
      </c>
      <c r="AK124" s="123">
        <f t="shared" si="6"/>
        <v>0</v>
      </c>
      <c r="AL124" s="121">
        <f>SUMIFS('21SepTo27Sep'!$L:$L, '21SepTo27Sep'!$J:$J, $A124)</f>
        <v>0</v>
      </c>
      <c r="AM124" s="121">
        <f>SUMIFS('21SepTo27Sep'!$K:$K, '21SepTo27Sep'!$J:$J, $A124)</f>
        <v>0</v>
      </c>
      <c r="AN124" s="121">
        <f>SUMIFS('21SepTo27Sep'!$O:$O, '21SepTo27Sep'!$J:$J, $A124)</f>
        <v>0</v>
      </c>
      <c r="AO124" s="121">
        <f>SUMIFS('21SepTo27Sep'!$P:$P, '21SepTo27Sep'!$J:$J, $A124)</f>
        <v>0</v>
      </c>
      <c r="AP124" s="123">
        <f t="shared" si="7"/>
        <v>0</v>
      </c>
      <c r="AQ124" s="121">
        <f>SUMIFS('14SepTo20Sep'!$L:$L, '14SepTo20Sep'!$J:$J, $A124)</f>
        <v>0</v>
      </c>
      <c r="AR124" s="121">
        <f>SUMIFS('14SepTo20Sep'!$K:$K, '14SepTo20Sep'!$J:$J, $A124)</f>
        <v>0</v>
      </c>
      <c r="AS124" s="121">
        <f>SUMIFS('14SepTo20Sep'!$O:$O, '14SepTo20Sep'!$J:$J, $A124)</f>
        <v>0</v>
      </c>
      <c r="AT124" s="121">
        <f>SUMIFS('14SepTo20Sep'!$P:$P, '14SepTo20Sep'!$J:$J, $A124)</f>
        <v>0</v>
      </c>
      <c r="AU124" s="123">
        <f t="shared" si="8"/>
        <v>0</v>
      </c>
      <c r="AV124" s="121">
        <f>SUMIFS('7SepTo13Sep'!$L:$L, '7SepTo13Sep'!$J:$J, $A124)</f>
        <v>0</v>
      </c>
      <c r="AW124" s="121">
        <f>SUMIFS('7SepTo13Sep'!$K:$K, '7SepTo13Sep'!$J:$J, $A124)</f>
        <v>0</v>
      </c>
      <c r="AX124" s="121">
        <f>SUMIFS('7SepTo13Sep'!$O:$O, '7SepTo13Sep'!$J:$J, $A124)</f>
        <v>0</v>
      </c>
      <c r="AY124" s="121">
        <f>SUMIFS('7SepTo13Sep'!$P:$P, '7SepTo13Sep'!$J:$J, $A124)</f>
        <v>0</v>
      </c>
      <c r="AZ124" s="123">
        <f t="shared" si="9"/>
        <v>0</v>
      </c>
      <c r="BA124" s="121">
        <f>SUMIFS('31AugTo6Sep'!$L:$L, '31AugTo6Sep'!$J:$J, $A124)</f>
        <v>0</v>
      </c>
      <c r="BB124" s="121">
        <f>SUMIFS('31AugTo6Sep'!$K:$K, '31AugTo6Sep'!$J:$J, $A124)</f>
        <v>0</v>
      </c>
      <c r="BC124" s="121">
        <f>SUMIFS('31AugTo6Sep'!$O:$O, '31AugTo6Sep'!$J:$J, $A124)</f>
        <v>0</v>
      </c>
      <c r="BD124" s="121">
        <f>SUMIFS('31AugTo6Sep'!$P:$P, '31AugTo6Sep'!$J:$J, $A124)</f>
        <v>0</v>
      </c>
      <c r="BE124" s="123">
        <f t="shared" si="10"/>
        <v>0</v>
      </c>
      <c r="BF124" s="121">
        <f>SUMIFS('24AugTo29Aug'!$L:$L, '24AugTo29Aug'!$J:$J, $A124)</f>
        <v>1</v>
      </c>
      <c r="BG124" s="121">
        <f>SUMIFS('24AugTo29Aug'!$K:$K, '24AugTo29Aug'!$J:$J, $A124)</f>
        <v>1</v>
      </c>
      <c r="BH124" s="121">
        <f>SUMIFS('24AugTo29Aug'!$O:$O, '24AugTo29Aug'!$J:$J, $A124)</f>
        <v>1.98</v>
      </c>
      <c r="BI124" s="121">
        <f>SUMIFS('24AugTo29Aug'!$P:$P, '24AugTo29Aug'!$J:$J, $A124)</f>
        <v>21.95</v>
      </c>
      <c r="BJ124" s="123">
        <f t="shared" si="11"/>
        <v>9.020501138952163</v>
      </c>
      <c r="BK124" s="121">
        <f>SUMIFS('17AugTo21Aug'!$L:$L, '17AugTo21Aug'!$J:$J, $A124)</f>
        <v>0</v>
      </c>
      <c r="BL124" s="121">
        <f>SUMIFS('17AugTo21Aug'!$K:$K, '17AugTo21Aug'!$J:$J, $A124)</f>
        <v>0</v>
      </c>
      <c r="BM124" s="121">
        <f>SUMIFS('17AugTo21Aug'!$O:$O, '17AugTo21Aug'!$J:$J, $A124)</f>
        <v>0</v>
      </c>
      <c r="BN124" s="121">
        <f>SUMIFS('17AugTo21Aug'!$P:$P, '17AugTo21Aug'!$J:$J, $A124)</f>
        <v>0</v>
      </c>
      <c r="BO124" s="123">
        <f t="shared" si="12"/>
        <v>0</v>
      </c>
      <c r="BP124" s="121">
        <f>SUMIFS('10AugTo16Aug'!$L:$L, '10AugTo16Aug'!$J:$J, $A124)</f>
        <v>0</v>
      </c>
      <c r="BQ124" s="121">
        <f>SUMIFS('10AugTo16Aug'!$K:$K, '10AugTo16Aug'!$J:$J, $A124)</f>
        <v>0</v>
      </c>
      <c r="BR124" s="121">
        <f>SUMIFS('10AugTo16Aug'!$O:$O, '10AugTo16Aug'!$J:$J, $A124)</f>
        <v>0</v>
      </c>
      <c r="BS124" s="121">
        <f>SUMIFS('10AugTo16Aug'!$P:$P, '10AugTo16Aug'!$J:$J, $A124)</f>
        <v>0</v>
      </c>
      <c r="BT124" s="123">
        <f t="shared" si="13"/>
        <v>0</v>
      </c>
      <c r="BU124" s="121">
        <f>SUMIFS('3AugTo9Aug'!$L:$L, '3AugTo9Aug'!$J:$J, $A124)</f>
        <v>0</v>
      </c>
      <c r="BV124" s="121">
        <f>SUMIFS('3AugTo9Aug'!$K:$K, '3AugTo9Aug'!$J:$J, $A124)</f>
        <v>0</v>
      </c>
      <c r="BW124" s="121">
        <f>SUMIFS('3AugTo9Aug'!$O:$O, '3AugTo9Aug'!$J:$J, $A124)</f>
        <v>0</v>
      </c>
      <c r="BX124" s="121">
        <f>SUMIFS('3AugTo9Aug'!$P:$P, '3AugTo9Aug'!$J:$J, $A124)</f>
        <v>0</v>
      </c>
      <c r="BY124" s="123">
        <f t="shared" si="14"/>
        <v>0</v>
      </c>
      <c r="BZ124" s="121">
        <f>SUMIFS('27JulyTo2Aug'!$L:$L, '27JulyTo2Aug'!$J:$J, $A124)</f>
        <v>0</v>
      </c>
      <c r="CA124" s="121">
        <f>SUMIFS('27JulyTo2Aug'!$K:$K, '27JulyTo2Aug'!$J:$J, $A124)</f>
        <v>0</v>
      </c>
      <c r="CB124" s="121">
        <f>SUMIFS('27JulyTo2Aug'!$O:$O, '27JulyTo2Aug'!$J:$J, $A124)</f>
        <v>0</v>
      </c>
      <c r="CC124" s="121">
        <f>SUMIFS('27JulyTo2Aug'!$P:$P, '27JulyTo2Aug'!$J:$J, $A124)</f>
        <v>0</v>
      </c>
      <c r="CD124" s="123">
        <f t="shared" si="15"/>
        <v>0</v>
      </c>
    </row>
    <row r="125" spans="1:82" ht="14.25" customHeight="1" x14ac:dyDescent="0.3">
      <c r="A125" s="124" t="s">
        <v>617</v>
      </c>
      <c r="B125" s="120" t="str">
        <f t="shared" si="17"/>
        <v>NO TRAFFIC</v>
      </c>
      <c r="C125" s="121">
        <f>SUMIFS('9NovTo15Nov'!$L:$L, '9NovTo15Nov'!$J:$J, $A125)</f>
        <v>0</v>
      </c>
      <c r="D125" s="121">
        <f>SUMIFS('9NovTo15Nov'!$K:$K, '9NovTo15Nov'!$J:$J, $A125)</f>
        <v>0</v>
      </c>
      <c r="E125" s="121">
        <f>SUMIFS('9NovTo15Nov'!$O:$O, '9NovTo15Nov'!$J:$J, $A125)</f>
        <v>0</v>
      </c>
      <c r="F125" s="121">
        <f>SUMIFS('9NovTo15Nov'!$P:$P, '9NovTo15Nov'!$J:$J, $A125)</f>
        <v>0</v>
      </c>
      <c r="G125" s="122">
        <f t="shared" si="0"/>
        <v>0</v>
      </c>
      <c r="H125" s="121">
        <f>SUMIFS('2NovTo8Nov'!$L:$L, '2NovTo8Nov'!$J:$J, $A125)</f>
        <v>0</v>
      </c>
      <c r="I125" s="121">
        <f>SUMIFS('2NovTo8Nov'!$K:$K, '2NovTo8Nov'!$J:$J, $A125)</f>
        <v>0</v>
      </c>
      <c r="J125" s="121">
        <f>SUMIFS('2NovTo8Nov'!$O:$O, '2NovTo8Nov'!$J:$J, $A125)</f>
        <v>0</v>
      </c>
      <c r="K125" s="121">
        <f>SUMIFS('2NovTo8Nov'!$P:$P, '2NovTo8Nov'!$J:$J, $A125)</f>
        <v>0</v>
      </c>
      <c r="L125" s="122">
        <f t="shared" si="1"/>
        <v>0</v>
      </c>
      <c r="M125" s="121">
        <f>SUMIFS('26OctTo1Nov'!$L:$L, '26OctTo1Nov'!$J:$J, $A125)</f>
        <v>0</v>
      </c>
      <c r="N125" s="121">
        <f>SUMIFS('26OctTo1Nov'!$K:$K, '26OctTo1Nov'!$J:$J, $A125)</f>
        <v>0</v>
      </c>
      <c r="O125" s="121">
        <f>SUMIFS('26OctTo1Nov'!$O:$O, '26OctTo1Nov'!$J:$J, $A125)</f>
        <v>0</v>
      </c>
      <c r="P125" s="121">
        <f>SUMIFS('26OctTo1Nov'!$P:$P, '26OctTo1Nov'!$J:$J, $A125)</f>
        <v>0</v>
      </c>
      <c r="Q125" s="122">
        <f t="shared" si="2"/>
        <v>0</v>
      </c>
      <c r="R125" s="121">
        <f>SUMIFS('19OctTo25Oct'!$L:$L, '19OctTo25Oct'!$J:$J, $A125)</f>
        <v>0</v>
      </c>
      <c r="S125" s="121">
        <f>SUMIFS('19OctTo25Oct'!$K:$K, '19OctTo25Oct'!$J:$J, $A125)</f>
        <v>0</v>
      </c>
      <c r="T125" s="121">
        <f>SUMIFS('19OctTo25Oct'!$O:$O, '19OctTo25Oct'!$J:$J, $A125)</f>
        <v>0</v>
      </c>
      <c r="U125" s="121">
        <f>SUMIFS('19OctTo25Oct'!$P:$P, '19OctTo25Oct'!$J:$J, $A125)</f>
        <v>0</v>
      </c>
      <c r="V125" s="122">
        <f t="shared" si="3"/>
        <v>0</v>
      </c>
      <c r="W125" s="121">
        <f>SUMIFS('12OctTo18Oct'!$L:$L, '12OctTo18Oct'!$J:$J, $A125)</f>
        <v>0</v>
      </c>
      <c r="X125" s="121">
        <f>SUMIFS('12OctTo18Oct'!$K:$K, '12OctTo18Oct'!$J:$J, $A125)</f>
        <v>0</v>
      </c>
      <c r="Y125" s="121">
        <f>SUMIFS('12OctTo18Oct'!$O:$O, '12OctTo18Oct'!$J:$J, $A125)</f>
        <v>0</v>
      </c>
      <c r="Z125" s="121">
        <f>SUMIFS('12OctTo18Oct'!$P:$P, '12OctTo18Oct'!$J:$J, $A125)</f>
        <v>0</v>
      </c>
      <c r="AA125" s="122">
        <f t="shared" si="4"/>
        <v>0</v>
      </c>
      <c r="AB125" s="121">
        <f>SUMIFS('5OctTo11Oct'!$L:$L, '5OctTo11Oct'!$J:$J, $A125)</f>
        <v>0</v>
      </c>
      <c r="AC125" s="121">
        <f>SUMIFS('5OctTo11Oct'!$K:$K, '5OctTo11Oct'!$J:$J, $A125)</f>
        <v>0</v>
      </c>
      <c r="AD125" s="121">
        <f>SUMIFS('5OctTo11Oct'!$O:$O, '5OctTo11Oct'!$J:$J, $A125)</f>
        <v>0</v>
      </c>
      <c r="AE125" s="121">
        <f>SUMIFS('5OctTo11Oct'!$P:$P, '5OctTo11Oct'!$J:$J, $A125)</f>
        <v>0</v>
      </c>
      <c r="AF125" s="123">
        <f t="shared" si="5"/>
        <v>0</v>
      </c>
      <c r="AG125" s="121">
        <f>SUMIFS('28SepTo4Oct'!$L:$L, '28SepTo4Oct'!$J:$J, $A125)</f>
        <v>0</v>
      </c>
      <c r="AH125" s="121">
        <f>SUMIFS('28SepTo4Oct'!$K:$K, '28SepTo4Oct'!$J:$J, $A125)</f>
        <v>0</v>
      </c>
      <c r="AI125" s="121">
        <f>SUMIFS('28SepTo4Oct'!$O:$O, '28SepTo4Oct'!$J:$J, $A125)</f>
        <v>0</v>
      </c>
      <c r="AJ125" s="121">
        <f>SUMIFS('28SepTo4Oct'!$P:$P, '28SepTo4Oct'!$J:$J, $A125)</f>
        <v>0</v>
      </c>
      <c r="AK125" s="123">
        <f t="shared" si="6"/>
        <v>0</v>
      </c>
      <c r="AL125" s="121">
        <f>SUMIFS('21SepTo27Sep'!$L:$L, '21SepTo27Sep'!$J:$J, $A125)</f>
        <v>0</v>
      </c>
      <c r="AM125" s="121">
        <f>SUMIFS('21SepTo27Sep'!$K:$K, '21SepTo27Sep'!$J:$J, $A125)</f>
        <v>0</v>
      </c>
      <c r="AN125" s="121">
        <f>SUMIFS('21SepTo27Sep'!$O:$O, '21SepTo27Sep'!$J:$J, $A125)</f>
        <v>0</v>
      </c>
      <c r="AO125" s="121">
        <f>SUMIFS('21SepTo27Sep'!$P:$P, '21SepTo27Sep'!$J:$J, $A125)</f>
        <v>0</v>
      </c>
      <c r="AP125" s="123">
        <f t="shared" si="7"/>
        <v>0</v>
      </c>
      <c r="AQ125" s="121">
        <f>SUMIFS('14SepTo20Sep'!$L:$L, '14SepTo20Sep'!$J:$J, $A125)</f>
        <v>0</v>
      </c>
      <c r="AR125" s="121">
        <f>SUMIFS('14SepTo20Sep'!$K:$K, '14SepTo20Sep'!$J:$J, $A125)</f>
        <v>0</v>
      </c>
      <c r="AS125" s="121">
        <f>SUMIFS('14SepTo20Sep'!$O:$O, '14SepTo20Sep'!$J:$J, $A125)</f>
        <v>0</v>
      </c>
      <c r="AT125" s="121">
        <f>SUMIFS('14SepTo20Sep'!$P:$P, '14SepTo20Sep'!$J:$J, $A125)</f>
        <v>0</v>
      </c>
      <c r="AU125" s="123">
        <f t="shared" si="8"/>
        <v>0</v>
      </c>
      <c r="AV125" s="121">
        <f>SUMIFS('7SepTo13Sep'!$L:$L, '7SepTo13Sep'!$J:$J, $A125)</f>
        <v>0</v>
      </c>
      <c r="AW125" s="121">
        <f>SUMIFS('7SepTo13Sep'!$K:$K, '7SepTo13Sep'!$J:$J, $A125)</f>
        <v>0</v>
      </c>
      <c r="AX125" s="121">
        <f>SUMIFS('7SepTo13Sep'!$O:$O, '7SepTo13Sep'!$J:$J, $A125)</f>
        <v>0</v>
      </c>
      <c r="AY125" s="121">
        <f>SUMIFS('7SepTo13Sep'!$P:$P, '7SepTo13Sep'!$J:$J, $A125)</f>
        <v>0</v>
      </c>
      <c r="AZ125" s="123">
        <f t="shared" si="9"/>
        <v>0</v>
      </c>
      <c r="BA125" s="121">
        <f>SUMIFS('31AugTo6Sep'!$L:$L, '31AugTo6Sep'!$J:$J, $A125)</f>
        <v>0</v>
      </c>
      <c r="BB125" s="121">
        <f>SUMIFS('31AugTo6Sep'!$K:$K, '31AugTo6Sep'!$J:$J, $A125)</f>
        <v>0</v>
      </c>
      <c r="BC125" s="121">
        <f>SUMIFS('31AugTo6Sep'!$O:$O, '31AugTo6Sep'!$J:$J, $A125)</f>
        <v>0</v>
      </c>
      <c r="BD125" s="121">
        <f>SUMIFS('31AugTo6Sep'!$P:$P, '31AugTo6Sep'!$J:$J, $A125)</f>
        <v>0</v>
      </c>
      <c r="BE125" s="123">
        <f t="shared" si="10"/>
        <v>0</v>
      </c>
      <c r="BF125" s="121">
        <f>SUMIFS('24AugTo29Aug'!$L:$L, '24AugTo29Aug'!$J:$J, $A125)</f>
        <v>3</v>
      </c>
      <c r="BG125" s="121">
        <f>SUMIFS('24AugTo29Aug'!$K:$K, '24AugTo29Aug'!$J:$J, $A125)</f>
        <v>5</v>
      </c>
      <c r="BH125" s="121">
        <f>SUMIFS('24AugTo29Aug'!$O:$O, '24AugTo29Aug'!$J:$J, $A125)</f>
        <v>10.57</v>
      </c>
      <c r="BI125" s="121">
        <f>SUMIFS('24AugTo29Aug'!$P:$P, '24AugTo29Aug'!$J:$J, $A125)</f>
        <v>24.94</v>
      </c>
      <c r="BJ125" s="123">
        <f t="shared" si="11"/>
        <v>42.381716118684842</v>
      </c>
      <c r="BK125" s="121">
        <f>SUMIFS('17AugTo21Aug'!$L:$L, '17AugTo21Aug'!$J:$J, $A125)</f>
        <v>0</v>
      </c>
      <c r="BL125" s="121">
        <f>SUMIFS('17AugTo21Aug'!$K:$K, '17AugTo21Aug'!$J:$J, $A125)</f>
        <v>0</v>
      </c>
      <c r="BM125" s="121">
        <f>SUMIFS('17AugTo21Aug'!$O:$O, '17AugTo21Aug'!$J:$J, $A125)</f>
        <v>0</v>
      </c>
      <c r="BN125" s="121">
        <f>SUMIFS('17AugTo21Aug'!$P:$P, '17AugTo21Aug'!$J:$J, $A125)</f>
        <v>0</v>
      </c>
      <c r="BO125" s="123">
        <f t="shared" si="12"/>
        <v>0</v>
      </c>
      <c r="BP125" s="121">
        <f>SUMIFS('10AugTo16Aug'!$L:$L, '10AugTo16Aug'!$J:$J, $A125)</f>
        <v>4</v>
      </c>
      <c r="BQ125" s="121">
        <f>SUMIFS('10AugTo16Aug'!$K:$K, '10AugTo16Aug'!$J:$J, $A125)</f>
        <v>5</v>
      </c>
      <c r="BR125" s="121">
        <f>SUMIFS('10AugTo16Aug'!$O:$O, '10AugTo16Aug'!$J:$J, $A125)</f>
        <v>12.91</v>
      </c>
      <c r="BS125" s="121">
        <f>SUMIFS('10AugTo16Aug'!$P:$P, '10AugTo16Aug'!$J:$J, $A125)</f>
        <v>24.94</v>
      </c>
      <c r="BT125" s="123">
        <f t="shared" si="13"/>
        <v>51.764234161988774</v>
      </c>
      <c r="BU125" s="121">
        <f>SUMIFS('3AugTo9Aug'!$L:$L, '3AugTo9Aug'!$J:$J, $A125)</f>
        <v>2</v>
      </c>
      <c r="BV125" s="121">
        <f>SUMIFS('3AugTo9Aug'!$K:$K, '3AugTo9Aug'!$J:$J, $A125)</f>
        <v>3</v>
      </c>
      <c r="BW125" s="121">
        <f>SUMIFS('3AugTo9Aug'!$O:$O, '3AugTo9Aug'!$J:$J, $A125)</f>
        <v>6.41</v>
      </c>
      <c r="BX125" s="121">
        <f>SUMIFS('3AugTo9Aug'!$P:$P, '3AugTo9Aug'!$J:$J, $A125)</f>
        <v>24.94</v>
      </c>
      <c r="BY125" s="123">
        <f t="shared" si="14"/>
        <v>25.70168404170008</v>
      </c>
      <c r="BZ125" s="121">
        <f>SUMIFS('27JulyTo2Aug'!$L:$L, '27JulyTo2Aug'!$J:$J, $A125)</f>
        <v>0</v>
      </c>
      <c r="CA125" s="121">
        <f>SUMIFS('27JulyTo2Aug'!$K:$K, '27JulyTo2Aug'!$J:$J, $A125)</f>
        <v>0</v>
      </c>
      <c r="CB125" s="121">
        <f>SUMIFS('27JulyTo2Aug'!$O:$O, '27JulyTo2Aug'!$J:$J, $A125)</f>
        <v>0</v>
      </c>
      <c r="CC125" s="121">
        <f>SUMIFS('27JulyTo2Aug'!$P:$P, '27JulyTo2Aug'!$J:$J, $A125)</f>
        <v>0</v>
      </c>
      <c r="CD125" s="123">
        <f t="shared" si="15"/>
        <v>0</v>
      </c>
    </row>
    <row r="126" spans="1:82" ht="14.25" customHeight="1" x14ac:dyDescent="0.3">
      <c r="A126" s="124" t="s">
        <v>140</v>
      </c>
      <c r="B126" s="120" t="str">
        <f t="shared" si="17"/>
        <v>WINNER</v>
      </c>
      <c r="C126" s="121">
        <f>SUMIFS('9NovTo15Nov'!$L:$L, '9NovTo15Nov'!$J:$J, $A126)</f>
        <v>0</v>
      </c>
      <c r="D126" s="121">
        <f>SUMIFS('9NovTo15Nov'!$K:$K, '9NovTo15Nov'!$J:$J, $A126)</f>
        <v>0</v>
      </c>
      <c r="E126" s="121">
        <f>SUMIFS('9NovTo15Nov'!$O:$O, '9NovTo15Nov'!$J:$J, $A126)</f>
        <v>0</v>
      </c>
      <c r="F126" s="121">
        <f>SUMIFS('9NovTo15Nov'!$P:$P, '9NovTo15Nov'!$J:$J, $A126)</f>
        <v>0</v>
      </c>
      <c r="G126" s="122">
        <f t="shared" si="0"/>
        <v>0</v>
      </c>
      <c r="H126" s="121">
        <f>SUMIFS('2NovTo8Nov'!$L:$L, '2NovTo8Nov'!$J:$J, $A126)</f>
        <v>1</v>
      </c>
      <c r="I126" s="121">
        <f>SUMIFS('2NovTo8Nov'!$K:$K, '2NovTo8Nov'!$J:$J, $A126)</f>
        <v>13</v>
      </c>
      <c r="J126" s="121">
        <f>SUMIFS('2NovTo8Nov'!$O:$O, '2NovTo8Nov'!$J:$J, $A126)</f>
        <v>4.68</v>
      </c>
      <c r="K126" s="121">
        <f>SUMIFS('2NovTo8Nov'!$P:$P, '2NovTo8Nov'!$J:$J, $A126)</f>
        <v>24.94</v>
      </c>
      <c r="L126" s="122">
        <f t="shared" si="1"/>
        <v>18.765036086607857</v>
      </c>
      <c r="M126" s="121">
        <f>SUMIFS('26OctTo1Nov'!$L:$L, '26OctTo1Nov'!$J:$J, $A126)</f>
        <v>0</v>
      </c>
      <c r="N126" s="121">
        <f>SUMIFS('26OctTo1Nov'!$K:$K, '26OctTo1Nov'!$J:$J, $A126)</f>
        <v>0</v>
      </c>
      <c r="O126" s="121">
        <f>SUMIFS('26OctTo1Nov'!$O:$O, '26OctTo1Nov'!$J:$J, $A126)</f>
        <v>0</v>
      </c>
      <c r="P126" s="121">
        <f>SUMIFS('26OctTo1Nov'!$P:$P, '26OctTo1Nov'!$J:$J, $A126)</f>
        <v>0</v>
      </c>
      <c r="Q126" s="122">
        <f t="shared" si="2"/>
        <v>0</v>
      </c>
      <c r="R126" s="121">
        <f>SUMIFS('19OctTo25Oct'!$L:$L, '19OctTo25Oct'!$J:$J, $A126)</f>
        <v>0</v>
      </c>
      <c r="S126" s="121">
        <f>SUMIFS('19OctTo25Oct'!$K:$K, '19OctTo25Oct'!$J:$J, $A126)</f>
        <v>0</v>
      </c>
      <c r="T126" s="121">
        <f>SUMIFS('19OctTo25Oct'!$O:$O, '19OctTo25Oct'!$J:$J, $A126)</f>
        <v>0</v>
      </c>
      <c r="U126" s="121">
        <f>SUMIFS('19OctTo25Oct'!$P:$P, '19OctTo25Oct'!$J:$J, $A126)</f>
        <v>0</v>
      </c>
      <c r="V126" s="122">
        <f t="shared" si="3"/>
        <v>0</v>
      </c>
      <c r="W126" s="121">
        <f>SUMIFS('12OctTo18Oct'!$L:$L, '12OctTo18Oct'!$J:$J, $A126)</f>
        <v>0</v>
      </c>
      <c r="X126" s="121">
        <f>SUMIFS('12OctTo18Oct'!$K:$K, '12OctTo18Oct'!$J:$J, $A126)</f>
        <v>0</v>
      </c>
      <c r="Y126" s="121">
        <f>SUMIFS('12OctTo18Oct'!$O:$O, '12OctTo18Oct'!$J:$J, $A126)</f>
        <v>0</v>
      </c>
      <c r="Z126" s="121">
        <f>SUMIFS('12OctTo18Oct'!$P:$P, '12OctTo18Oct'!$J:$J, $A126)</f>
        <v>0</v>
      </c>
      <c r="AA126" s="122">
        <f t="shared" si="4"/>
        <v>0</v>
      </c>
      <c r="AB126" s="121">
        <f>SUMIFS('5OctTo11Oct'!$L:$L, '5OctTo11Oct'!$J:$J, $A126)</f>
        <v>0</v>
      </c>
      <c r="AC126" s="121">
        <f>SUMIFS('5OctTo11Oct'!$K:$K, '5OctTo11Oct'!$J:$J, $A126)</f>
        <v>0</v>
      </c>
      <c r="AD126" s="121">
        <f>SUMIFS('5OctTo11Oct'!$O:$O, '5OctTo11Oct'!$J:$J, $A126)</f>
        <v>0</v>
      </c>
      <c r="AE126" s="121">
        <f>SUMIFS('5OctTo11Oct'!$P:$P, '5OctTo11Oct'!$J:$J, $A126)</f>
        <v>0</v>
      </c>
      <c r="AF126" s="123">
        <f t="shared" si="5"/>
        <v>0</v>
      </c>
      <c r="AG126" s="121">
        <f>SUMIFS('28SepTo4Oct'!$L:$L, '28SepTo4Oct'!$J:$J, $A126)</f>
        <v>0</v>
      </c>
      <c r="AH126" s="121">
        <f>SUMIFS('28SepTo4Oct'!$K:$K, '28SepTo4Oct'!$J:$J, $A126)</f>
        <v>0</v>
      </c>
      <c r="AI126" s="121">
        <f>SUMIFS('28SepTo4Oct'!$O:$O, '28SepTo4Oct'!$J:$J, $A126)</f>
        <v>0</v>
      </c>
      <c r="AJ126" s="121">
        <f>SUMIFS('28SepTo4Oct'!$P:$P, '28SepTo4Oct'!$J:$J, $A126)</f>
        <v>0</v>
      </c>
      <c r="AK126" s="123">
        <f t="shared" si="6"/>
        <v>0</v>
      </c>
      <c r="AL126" s="121">
        <f>SUMIFS('21SepTo27Sep'!$L:$L, '21SepTo27Sep'!$J:$J, $A126)</f>
        <v>0</v>
      </c>
      <c r="AM126" s="121">
        <f>SUMIFS('21SepTo27Sep'!$K:$K, '21SepTo27Sep'!$J:$J, $A126)</f>
        <v>0</v>
      </c>
      <c r="AN126" s="121">
        <f>SUMIFS('21SepTo27Sep'!$O:$O, '21SepTo27Sep'!$J:$J, $A126)</f>
        <v>0</v>
      </c>
      <c r="AO126" s="121">
        <f>SUMIFS('21SepTo27Sep'!$P:$P, '21SepTo27Sep'!$J:$J, $A126)</f>
        <v>0</v>
      </c>
      <c r="AP126" s="123">
        <f t="shared" si="7"/>
        <v>0</v>
      </c>
      <c r="AQ126" s="121">
        <f>SUMIFS('14SepTo20Sep'!$L:$L, '14SepTo20Sep'!$J:$J, $A126)</f>
        <v>0</v>
      </c>
      <c r="AR126" s="121">
        <f>SUMIFS('14SepTo20Sep'!$K:$K, '14SepTo20Sep'!$J:$J, $A126)</f>
        <v>0</v>
      </c>
      <c r="AS126" s="121">
        <f>SUMIFS('14SepTo20Sep'!$O:$O, '14SepTo20Sep'!$J:$J, $A126)</f>
        <v>0</v>
      </c>
      <c r="AT126" s="121">
        <f>SUMIFS('14SepTo20Sep'!$P:$P, '14SepTo20Sep'!$J:$J, $A126)</f>
        <v>0</v>
      </c>
      <c r="AU126" s="123">
        <f t="shared" si="8"/>
        <v>0</v>
      </c>
      <c r="AV126" s="121">
        <f>SUMIFS('7SepTo13Sep'!$L:$L, '7SepTo13Sep'!$J:$J, $A126)</f>
        <v>0</v>
      </c>
      <c r="AW126" s="121">
        <f>SUMIFS('7SepTo13Sep'!$K:$K, '7SepTo13Sep'!$J:$J, $A126)</f>
        <v>0</v>
      </c>
      <c r="AX126" s="121">
        <f>SUMIFS('7SepTo13Sep'!$O:$O, '7SepTo13Sep'!$J:$J, $A126)</f>
        <v>0</v>
      </c>
      <c r="AY126" s="121">
        <f>SUMIFS('7SepTo13Sep'!$P:$P, '7SepTo13Sep'!$J:$J, $A126)</f>
        <v>0</v>
      </c>
      <c r="AZ126" s="123">
        <f t="shared" si="9"/>
        <v>0</v>
      </c>
      <c r="BA126" s="121">
        <f>SUMIFS('31AugTo6Sep'!$L:$L, '31AugTo6Sep'!$J:$J, $A126)</f>
        <v>0</v>
      </c>
      <c r="BB126" s="121">
        <f>SUMIFS('31AugTo6Sep'!$K:$K, '31AugTo6Sep'!$J:$J, $A126)</f>
        <v>0</v>
      </c>
      <c r="BC126" s="121">
        <f>SUMIFS('31AugTo6Sep'!$O:$O, '31AugTo6Sep'!$J:$J, $A126)</f>
        <v>0</v>
      </c>
      <c r="BD126" s="121">
        <f>SUMIFS('31AugTo6Sep'!$P:$P, '31AugTo6Sep'!$J:$J, $A126)</f>
        <v>0</v>
      </c>
      <c r="BE126" s="123">
        <f t="shared" si="10"/>
        <v>0</v>
      </c>
      <c r="BF126" s="121">
        <f>SUMIFS('24AugTo29Aug'!$L:$L, '24AugTo29Aug'!$J:$J, $A126)</f>
        <v>2</v>
      </c>
      <c r="BG126" s="121">
        <f>SUMIFS('24AugTo29Aug'!$K:$K, '24AugTo29Aug'!$J:$J, $A126)</f>
        <v>22</v>
      </c>
      <c r="BH126" s="121">
        <f>SUMIFS('24AugTo29Aug'!$O:$O, '24AugTo29Aug'!$J:$J, $A126)</f>
        <v>6.66</v>
      </c>
      <c r="BI126" s="121">
        <f>SUMIFS('24AugTo29Aug'!$P:$P, '24AugTo29Aug'!$J:$J, $A126)</f>
        <v>24.94</v>
      </c>
      <c r="BJ126" s="123">
        <f t="shared" si="11"/>
        <v>26.704089815557335</v>
      </c>
      <c r="BK126" s="121">
        <f>SUMIFS('17AugTo21Aug'!$L:$L, '17AugTo21Aug'!$J:$J, $A126)</f>
        <v>0</v>
      </c>
      <c r="BL126" s="121">
        <f>SUMIFS('17AugTo21Aug'!$K:$K, '17AugTo21Aug'!$J:$J, $A126)</f>
        <v>0</v>
      </c>
      <c r="BM126" s="121">
        <f>SUMIFS('17AugTo21Aug'!$O:$O, '17AugTo21Aug'!$J:$J, $A126)</f>
        <v>0</v>
      </c>
      <c r="BN126" s="121">
        <f>SUMIFS('17AugTo21Aug'!$P:$P, '17AugTo21Aug'!$J:$J, $A126)</f>
        <v>0</v>
      </c>
      <c r="BO126" s="123">
        <f t="shared" si="12"/>
        <v>0</v>
      </c>
      <c r="BP126" s="121">
        <f>SUMIFS('10AugTo16Aug'!$L:$L, '10AugTo16Aug'!$J:$J, $A126)</f>
        <v>2</v>
      </c>
      <c r="BQ126" s="121">
        <f>SUMIFS('10AugTo16Aug'!$K:$K, '10AugTo16Aug'!$J:$J, $A126)</f>
        <v>13</v>
      </c>
      <c r="BR126" s="121">
        <f>SUMIFS('10AugTo16Aug'!$O:$O, '10AugTo16Aug'!$J:$J, $A126)</f>
        <v>6.35</v>
      </c>
      <c r="BS126" s="121">
        <f>SUMIFS('10AugTo16Aug'!$P:$P, '10AugTo16Aug'!$J:$J, $A126)</f>
        <v>24.94</v>
      </c>
      <c r="BT126" s="123">
        <f t="shared" si="13"/>
        <v>25.461106655974337</v>
      </c>
      <c r="BU126" s="121">
        <f>SUMIFS('3AugTo9Aug'!$L:$L, '3AugTo9Aug'!$J:$J, $A126)</f>
        <v>0</v>
      </c>
      <c r="BV126" s="121">
        <f>SUMIFS('3AugTo9Aug'!$K:$K, '3AugTo9Aug'!$J:$J, $A126)</f>
        <v>0</v>
      </c>
      <c r="BW126" s="121">
        <f>SUMIFS('3AugTo9Aug'!$O:$O, '3AugTo9Aug'!$J:$J, $A126)</f>
        <v>0</v>
      </c>
      <c r="BX126" s="121">
        <f>SUMIFS('3AugTo9Aug'!$P:$P, '3AugTo9Aug'!$J:$J, $A126)</f>
        <v>0</v>
      </c>
      <c r="BY126" s="123">
        <f t="shared" si="14"/>
        <v>0</v>
      </c>
      <c r="BZ126" s="121">
        <f>SUMIFS('27JulyTo2Aug'!$L:$L, '27JulyTo2Aug'!$J:$J, $A126)</f>
        <v>0</v>
      </c>
      <c r="CA126" s="121">
        <f>SUMIFS('27JulyTo2Aug'!$K:$K, '27JulyTo2Aug'!$J:$J, $A126)</f>
        <v>0</v>
      </c>
      <c r="CB126" s="121">
        <f>SUMIFS('27JulyTo2Aug'!$O:$O, '27JulyTo2Aug'!$J:$J, $A126)</f>
        <v>0</v>
      </c>
      <c r="CC126" s="121">
        <f>SUMIFS('27JulyTo2Aug'!$P:$P, '27JulyTo2Aug'!$J:$J, $A126)</f>
        <v>0</v>
      </c>
      <c r="CD126" s="123">
        <f t="shared" si="15"/>
        <v>0</v>
      </c>
    </row>
    <row r="127" spans="1:82" ht="14.25" customHeight="1" x14ac:dyDescent="0.3">
      <c r="A127" s="124" t="s">
        <v>631</v>
      </c>
      <c r="B127" s="120" t="str">
        <f t="shared" si="17"/>
        <v>NO TRAFFIC</v>
      </c>
      <c r="C127" s="121">
        <f>SUMIFS('9NovTo15Nov'!$L:$L, '9NovTo15Nov'!$J:$J, $A127)</f>
        <v>0</v>
      </c>
      <c r="D127" s="121">
        <f>SUMIFS('9NovTo15Nov'!$K:$K, '9NovTo15Nov'!$J:$J, $A127)</f>
        <v>0</v>
      </c>
      <c r="E127" s="121">
        <f>SUMIFS('9NovTo15Nov'!$O:$O, '9NovTo15Nov'!$J:$J, $A127)</f>
        <v>0</v>
      </c>
      <c r="F127" s="121">
        <f>SUMIFS('9NovTo15Nov'!$P:$P, '9NovTo15Nov'!$J:$J, $A127)</f>
        <v>0</v>
      </c>
      <c r="G127" s="122">
        <f t="shared" si="0"/>
        <v>0</v>
      </c>
      <c r="H127" s="121">
        <f>SUMIFS('2NovTo8Nov'!$L:$L, '2NovTo8Nov'!$J:$J, $A127)</f>
        <v>0</v>
      </c>
      <c r="I127" s="121">
        <f>SUMIFS('2NovTo8Nov'!$K:$K, '2NovTo8Nov'!$J:$J, $A127)</f>
        <v>0</v>
      </c>
      <c r="J127" s="121">
        <f>SUMIFS('2NovTo8Nov'!$O:$O, '2NovTo8Nov'!$J:$J, $A127)</f>
        <v>0</v>
      </c>
      <c r="K127" s="121">
        <f>SUMIFS('2NovTo8Nov'!$P:$P, '2NovTo8Nov'!$J:$J, $A127)</f>
        <v>0</v>
      </c>
      <c r="L127" s="122">
        <f t="shared" si="1"/>
        <v>0</v>
      </c>
      <c r="M127" s="121">
        <f>SUMIFS('26OctTo1Nov'!$L:$L, '26OctTo1Nov'!$J:$J, $A127)</f>
        <v>0</v>
      </c>
      <c r="N127" s="121">
        <f>SUMIFS('26OctTo1Nov'!$K:$K, '26OctTo1Nov'!$J:$J, $A127)</f>
        <v>0</v>
      </c>
      <c r="O127" s="121">
        <f>SUMIFS('26OctTo1Nov'!$O:$O, '26OctTo1Nov'!$J:$J, $A127)</f>
        <v>0</v>
      </c>
      <c r="P127" s="121">
        <f>SUMIFS('26OctTo1Nov'!$P:$P, '26OctTo1Nov'!$J:$J, $A127)</f>
        <v>0</v>
      </c>
      <c r="Q127" s="122">
        <f t="shared" si="2"/>
        <v>0</v>
      </c>
      <c r="R127" s="121">
        <f>SUMIFS('19OctTo25Oct'!$L:$L, '19OctTo25Oct'!$J:$J, $A127)</f>
        <v>0</v>
      </c>
      <c r="S127" s="121">
        <f>SUMIFS('19OctTo25Oct'!$K:$K, '19OctTo25Oct'!$J:$J, $A127)</f>
        <v>0</v>
      </c>
      <c r="T127" s="121">
        <f>SUMIFS('19OctTo25Oct'!$O:$O, '19OctTo25Oct'!$J:$J, $A127)</f>
        <v>0</v>
      </c>
      <c r="U127" s="121">
        <f>SUMIFS('19OctTo25Oct'!$P:$P, '19OctTo25Oct'!$J:$J, $A127)</f>
        <v>0</v>
      </c>
      <c r="V127" s="122">
        <f t="shared" si="3"/>
        <v>0</v>
      </c>
      <c r="W127" s="121">
        <f>SUMIFS('12OctTo18Oct'!$L:$L, '12OctTo18Oct'!$J:$J, $A127)</f>
        <v>0</v>
      </c>
      <c r="X127" s="121">
        <f>SUMIFS('12OctTo18Oct'!$K:$K, '12OctTo18Oct'!$J:$J, $A127)</f>
        <v>0</v>
      </c>
      <c r="Y127" s="121">
        <f>SUMIFS('12OctTo18Oct'!$O:$O, '12OctTo18Oct'!$J:$J, $A127)</f>
        <v>0</v>
      </c>
      <c r="Z127" s="121">
        <f>SUMIFS('12OctTo18Oct'!$P:$P, '12OctTo18Oct'!$J:$J, $A127)</f>
        <v>0</v>
      </c>
      <c r="AA127" s="122">
        <f t="shared" si="4"/>
        <v>0</v>
      </c>
      <c r="AB127" s="121">
        <f>SUMIFS('5OctTo11Oct'!$L:$L, '5OctTo11Oct'!$J:$J, $A127)</f>
        <v>0</v>
      </c>
      <c r="AC127" s="121">
        <f>SUMIFS('5OctTo11Oct'!$K:$K, '5OctTo11Oct'!$J:$J, $A127)</f>
        <v>0</v>
      </c>
      <c r="AD127" s="121">
        <f>SUMIFS('5OctTo11Oct'!$O:$O, '5OctTo11Oct'!$J:$J, $A127)</f>
        <v>0</v>
      </c>
      <c r="AE127" s="121">
        <f>SUMIFS('5OctTo11Oct'!$P:$P, '5OctTo11Oct'!$J:$J, $A127)</f>
        <v>0</v>
      </c>
      <c r="AF127" s="123">
        <f t="shared" si="5"/>
        <v>0</v>
      </c>
      <c r="AG127" s="121">
        <f>SUMIFS('28SepTo4Oct'!$L:$L, '28SepTo4Oct'!$J:$J, $A127)</f>
        <v>0</v>
      </c>
      <c r="AH127" s="121">
        <f>SUMIFS('28SepTo4Oct'!$K:$K, '28SepTo4Oct'!$J:$J, $A127)</f>
        <v>0</v>
      </c>
      <c r="AI127" s="121">
        <f>SUMIFS('28SepTo4Oct'!$O:$O, '28SepTo4Oct'!$J:$J, $A127)</f>
        <v>0</v>
      </c>
      <c r="AJ127" s="121">
        <f>SUMIFS('28SepTo4Oct'!$P:$P, '28SepTo4Oct'!$J:$J, $A127)</f>
        <v>0</v>
      </c>
      <c r="AK127" s="123">
        <f t="shared" si="6"/>
        <v>0</v>
      </c>
      <c r="AL127" s="121">
        <f>SUMIFS('21SepTo27Sep'!$L:$L, '21SepTo27Sep'!$J:$J, $A127)</f>
        <v>0</v>
      </c>
      <c r="AM127" s="121">
        <f>SUMIFS('21SepTo27Sep'!$K:$K, '21SepTo27Sep'!$J:$J, $A127)</f>
        <v>0</v>
      </c>
      <c r="AN127" s="121">
        <f>SUMIFS('21SepTo27Sep'!$O:$O, '21SepTo27Sep'!$J:$J, $A127)</f>
        <v>0</v>
      </c>
      <c r="AO127" s="121">
        <f>SUMIFS('21SepTo27Sep'!$P:$P, '21SepTo27Sep'!$J:$J, $A127)</f>
        <v>0</v>
      </c>
      <c r="AP127" s="123">
        <f t="shared" si="7"/>
        <v>0</v>
      </c>
      <c r="AQ127" s="121">
        <f>SUMIFS('14SepTo20Sep'!$L:$L, '14SepTo20Sep'!$J:$J, $A127)</f>
        <v>0</v>
      </c>
      <c r="AR127" s="121">
        <f>SUMIFS('14SepTo20Sep'!$K:$K, '14SepTo20Sep'!$J:$J, $A127)</f>
        <v>0</v>
      </c>
      <c r="AS127" s="121">
        <f>SUMIFS('14SepTo20Sep'!$O:$O, '14SepTo20Sep'!$J:$J, $A127)</f>
        <v>0</v>
      </c>
      <c r="AT127" s="121">
        <f>SUMIFS('14SepTo20Sep'!$P:$P, '14SepTo20Sep'!$J:$J, $A127)</f>
        <v>0</v>
      </c>
      <c r="AU127" s="123">
        <f t="shared" si="8"/>
        <v>0</v>
      </c>
      <c r="AV127" s="121">
        <f>SUMIFS('7SepTo13Sep'!$L:$L, '7SepTo13Sep'!$J:$J, $A127)</f>
        <v>0</v>
      </c>
      <c r="AW127" s="121">
        <f>SUMIFS('7SepTo13Sep'!$K:$K, '7SepTo13Sep'!$J:$J, $A127)</f>
        <v>0</v>
      </c>
      <c r="AX127" s="121">
        <f>SUMIFS('7SepTo13Sep'!$O:$O, '7SepTo13Sep'!$J:$J, $A127)</f>
        <v>0</v>
      </c>
      <c r="AY127" s="121">
        <f>SUMIFS('7SepTo13Sep'!$P:$P, '7SepTo13Sep'!$J:$J, $A127)</f>
        <v>0</v>
      </c>
      <c r="AZ127" s="123">
        <f t="shared" si="9"/>
        <v>0</v>
      </c>
      <c r="BA127" s="121">
        <f>SUMIFS('31AugTo6Sep'!$L:$L, '31AugTo6Sep'!$J:$J, $A127)</f>
        <v>0</v>
      </c>
      <c r="BB127" s="121">
        <f>SUMIFS('31AugTo6Sep'!$K:$K, '31AugTo6Sep'!$J:$J, $A127)</f>
        <v>0</v>
      </c>
      <c r="BC127" s="121">
        <f>SUMIFS('31AugTo6Sep'!$O:$O, '31AugTo6Sep'!$J:$J, $A127)</f>
        <v>0</v>
      </c>
      <c r="BD127" s="121">
        <f>SUMIFS('31AugTo6Sep'!$P:$P, '31AugTo6Sep'!$J:$J, $A127)</f>
        <v>0</v>
      </c>
      <c r="BE127" s="123">
        <f t="shared" si="10"/>
        <v>0</v>
      </c>
      <c r="BF127" s="121">
        <f>SUMIFS('24AugTo29Aug'!$L:$L, '24AugTo29Aug'!$J:$J, $A127)</f>
        <v>0</v>
      </c>
      <c r="BG127" s="121">
        <f>SUMIFS('24AugTo29Aug'!$K:$K, '24AugTo29Aug'!$J:$J, $A127)</f>
        <v>0</v>
      </c>
      <c r="BH127" s="121">
        <f>SUMIFS('24AugTo29Aug'!$O:$O, '24AugTo29Aug'!$J:$J, $A127)</f>
        <v>0</v>
      </c>
      <c r="BI127" s="121">
        <f>SUMIFS('24AugTo29Aug'!$P:$P, '24AugTo29Aug'!$J:$J, $A127)</f>
        <v>0</v>
      </c>
      <c r="BJ127" s="123">
        <f t="shared" si="11"/>
        <v>0</v>
      </c>
      <c r="BK127" s="121">
        <f>SUMIFS('17AugTo21Aug'!$L:$L, '17AugTo21Aug'!$J:$J, $A127)</f>
        <v>1</v>
      </c>
      <c r="BL127" s="121">
        <f>SUMIFS('17AugTo21Aug'!$K:$K, '17AugTo21Aug'!$J:$J, $A127)</f>
        <v>2</v>
      </c>
      <c r="BM127" s="121">
        <f>SUMIFS('17AugTo21Aug'!$O:$O, '17AugTo21Aug'!$J:$J, $A127)</f>
        <v>2</v>
      </c>
      <c r="BN127" s="121">
        <f>SUMIFS('17AugTo21Aug'!$P:$P, '17AugTo21Aug'!$J:$J, $A127)</f>
        <v>21.95</v>
      </c>
      <c r="BO127" s="123">
        <f t="shared" si="12"/>
        <v>9.1116173120728927</v>
      </c>
      <c r="BP127" s="121">
        <f>SUMIFS('10AugTo16Aug'!$L:$L, '10AugTo16Aug'!$J:$J, $A127)</f>
        <v>0</v>
      </c>
      <c r="BQ127" s="121">
        <f>SUMIFS('10AugTo16Aug'!$K:$K, '10AugTo16Aug'!$J:$J, $A127)</f>
        <v>0</v>
      </c>
      <c r="BR127" s="121">
        <f>SUMIFS('10AugTo16Aug'!$O:$O, '10AugTo16Aug'!$J:$J, $A127)</f>
        <v>0</v>
      </c>
      <c r="BS127" s="121">
        <f>SUMIFS('10AugTo16Aug'!$P:$P, '10AugTo16Aug'!$J:$J, $A127)</f>
        <v>0</v>
      </c>
      <c r="BT127" s="123">
        <f t="shared" si="13"/>
        <v>0</v>
      </c>
      <c r="BU127" s="121">
        <f>SUMIFS('3AugTo9Aug'!$L:$L, '3AugTo9Aug'!$J:$J, $A127)</f>
        <v>0</v>
      </c>
      <c r="BV127" s="121">
        <f>SUMIFS('3AugTo9Aug'!$K:$K, '3AugTo9Aug'!$J:$J, $A127)</f>
        <v>0</v>
      </c>
      <c r="BW127" s="121">
        <f>SUMIFS('3AugTo9Aug'!$O:$O, '3AugTo9Aug'!$J:$J, $A127)</f>
        <v>0</v>
      </c>
      <c r="BX127" s="121">
        <f>SUMIFS('3AugTo9Aug'!$P:$P, '3AugTo9Aug'!$J:$J, $A127)</f>
        <v>0</v>
      </c>
      <c r="BY127" s="123">
        <f t="shared" si="14"/>
        <v>0</v>
      </c>
      <c r="BZ127" s="121">
        <f>SUMIFS('27JulyTo2Aug'!$L:$L, '27JulyTo2Aug'!$J:$J, $A127)</f>
        <v>0</v>
      </c>
      <c r="CA127" s="121">
        <f>SUMIFS('27JulyTo2Aug'!$K:$K, '27JulyTo2Aug'!$J:$J, $A127)</f>
        <v>0</v>
      </c>
      <c r="CB127" s="121">
        <f>SUMIFS('27JulyTo2Aug'!$O:$O, '27JulyTo2Aug'!$J:$J, $A127)</f>
        <v>0</v>
      </c>
      <c r="CC127" s="121">
        <f>SUMIFS('27JulyTo2Aug'!$P:$P, '27JulyTo2Aug'!$J:$J, $A127)</f>
        <v>0</v>
      </c>
      <c r="CD127" s="123">
        <f t="shared" si="15"/>
        <v>0</v>
      </c>
    </row>
    <row r="128" spans="1:82" ht="14.25" customHeight="1" x14ac:dyDescent="0.3">
      <c r="A128" s="124" t="s">
        <v>632</v>
      </c>
      <c r="B128" s="120" t="str">
        <f t="shared" si="17"/>
        <v>NO TRAFFIC</v>
      </c>
      <c r="C128" s="121">
        <f>SUMIFS('9NovTo15Nov'!$L:$L, '9NovTo15Nov'!$J:$J, $A128)</f>
        <v>0</v>
      </c>
      <c r="D128" s="121">
        <f>SUMIFS('9NovTo15Nov'!$K:$K, '9NovTo15Nov'!$J:$J, $A128)</f>
        <v>0</v>
      </c>
      <c r="E128" s="121">
        <f>SUMIFS('9NovTo15Nov'!$O:$O, '9NovTo15Nov'!$J:$J, $A128)</f>
        <v>0</v>
      </c>
      <c r="F128" s="121">
        <f>SUMIFS('9NovTo15Nov'!$P:$P, '9NovTo15Nov'!$J:$J, $A128)</f>
        <v>0</v>
      </c>
      <c r="G128" s="122">
        <f t="shared" si="0"/>
        <v>0</v>
      </c>
      <c r="H128" s="121">
        <f>SUMIFS('2NovTo8Nov'!$L:$L, '2NovTo8Nov'!$J:$J, $A128)</f>
        <v>0</v>
      </c>
      <c r="I128" s="121">
        <f>SUMIFS('2NovTo8Nov'!$K:$K, '2NovTo8Nov'!$J:$J, $A128)</f>
        <v>0</v>
      </c>
      <c r="J128" s="121">
        <f>SUMIFS('2NovTo8Nov'!$O:$O, '2NovTo8Nov'!$J:$J, $A128)</f>
        <v>0</v>
      </c>
      <c r="K128" s="121">
        <f>SUMIFS('2NovTo8Nov'!$P:$P, '2NovTo8Nov'!$J:$J, $A128)</f>
        <v>0</v>
      </c>
      <c r="L128" s="122">
        <f t="shared" si="1"/>
        <v>0</v>
      </c>
      <c r="M128" s="121">
        <f>SUMIFS('26OctTo1Nov'!$L:$L, '26OctTo1Nov'!$J:$J, $A128)</f>
        <v>0</v>
      </c>
      <c r="N128" s="121">
        <f>SUMIFS('26OctTo1Nov'!$K:$K, '26OctTo1Nov'!$J:$J, $A128)</f>
        <v>0</v>
      </c>
      <c r="O128" s="121">
        <f>SUMIFS('26OctTo1Nov'!$O:$O, '26OctTo1Nov'!$J:$J, $A128)</f>
        <v>0</v>
      </c>
      <c r="P128" s="121">
        <f>SUMIFS('26OctTo1Nov'!$P:$P, '26OctTo1Nov'!$J:$J, $A128)</f>
        <v>0</v>
      </c>
      <c r="Q128" s="122">
        <f t="shared" si="2"/>
        <v>0</v>
      </c>
      <c r="R128" s="121">
        <f>SUMIFS('19OctTo25Oct'!$L:$L, '19OctTo25Oct'!$J:$J, $A128)</f>
        <v>0</v>
      </c>
      <c r="S128" s="121">
        <f>SUMIFS('19OctTo25Oct'!$K:$K, '19OctTo25Oct'!$J:$J, $A128)</f>
        <v>0</v>
      </c>
      <c r="T128" s="121">
        <f>SUMIFS('19OctTo25Oct'!$O:$O, '19OctTo25Oct'!$J:$J, $A128)</f>
        <v>0</v>
      </c>
      <c r="U128" s="121">
        <f>SUMIFS('19OctTo25Oct'!$P:$P, '19OctTo25Oct'!$J:$J, $A128)</f>
        <v>0</v>
      </c>
      <c r="V128" s="122">
        <f t="shared" si="3"/>
        <v>0</v>
      </c>
      <c r="W128" s="121">
        <f>SUMIFS('12OctTo18Oct'!$L:$L, '12OctTo18Oct'!$J:$J, $A128)</f>
        <v>0</v>
      </c>
      <c r="X128" s="121">
        <f>SUMIFS('12OctTo18Oct'!$K:$K, '12OctTo18Oct'!$J:$J, $A128)</f>
        <v>0</v>
      </c>
      <c r="Y128" s="121">
        <f>SUMIFS('12OctTo18Oct'!$O:$O, '12OctTo18Oct'!$J:$J, $A128)</f>
        <v>0</v>
      </c>
      <c r="Z128" s="121">
        <f>SUMIFS('12OctTo18Oct'!$P:$P, '12OctTo18Oct'!$J:$J, $A128)</f>
        <v>0</v>
      </c>
      <c r="AA128" s="122">
        <f t="shared" si="4"/>
        <v>0</v>
      </c>
      <c r="AB128" s="121">
        <f>SUMIFS('5OctTo11Oct'!$L:$L, '5OctTo11Oct'!$J:$J, $A128)</f>
        <v>0</v>
      </c>
      <c r="AC128" s="121">
        <f>SUMIFS('5OctTo11Oct'!$K:$K, '5OctTo11Oct'!$J:$J, $A128)</f>
        <v>0</v>
      </c>
      <c r="AD128" s="121">
        <f>SUMIFS('5OctTo11Oct'!$O:$O, '5OctTo11Oct'!$J:$J, $A128)</f>
        <v>0</v>
      </c>
      <c r="AE128" s="121">
        <f>SUMIFS('5OctTo11Oct'!$P:$P, '5OctTo11Oct'!$J:$J, $A128)</f>
        <v>0</v>
      </c>
      <c r="AF128" s="123">
        <f t="shared" si="5"/>
        <v>0</v>
      </c>
      <c r="AG128" s="121">
        <f>SUMIFS('28SepTo4Oct'!$L:$L, '28SepTo4Oct'!$J:$J, $A128)</f>
        <v>0</v>
      </c>
      <c r="AH128" s="121">
        <f>SUMIFS('28SepTo4Oct'!$K:$K, '28SepTo4Oct'!$J:$J, $A128)</f>
        <v>0</v>
      </c>
      <c r="AI128" s="121">
        <f>SUMIFS('28SepTo4Oct'!$O:$O, '28SepTo4Oct'!$J:$J, $A128)</f>
        <v>0</v>
      </c>
      <c r="AJ128" s="121">
        <f>SUMIFS('28SepTo4Oct'!$P:$P, '28SepTo4Oct'!$J:$J, $A128)</f>
        <v>0</v>
      </c>
      <c r="AK128" s="123">
        <f t="shared" si="6"/>
        <v>0</v>
      </c>
      <c r="AL128" s="121">
        <f>SUMIFS('21SepTo27Sep'!$L:$L, '21SepTo27Sep'!$J:$J, $A128)</f>
        <v>0</v>
      </c>
      <c r="AM128" s="121">
        <f>SUMIFS('21SepTo27Sep'!$K:$K, '21SepTo27Sep'!$J:$J, $A128)</f>
        <v>0</v>
      </c>
      <c r="AN128" s="121">
        <f>SUMIFS('21SepTo27Sep'!$O:$O, '21SepTo27Sep'!$J:$J, $A128)</f>
        <v>0</v>
      </c>
      <c r="AO128" s="121">
        <f>SUMIFS('21SepTo27Sep'!$P:$P, '21SepTo27Sep'!$J:$J, $A128)</f>
        <v>0</v>
      </c>
      <c r="AP128" s="123">
        <f t="shared" si="7"/>
        <v>0</v>
      </c>
      <c r="AQ128" s="121">
        <f>SUMIFS('14SepTo20Sep'!$L:$L, '14SepTo20Sep'!$J:$J, $A128)</f>
        <v>0</v>
      </c>
      <c r="AR128" s="121">
        <f>SUMIFS('14SepTo20Sep'!$K:$K, '14SepTo20Sep'!$J:$J, $A128)</f>
        <v>0</v>
      </c>
      <c r="AS128" s="121">
        <f>SUMIFS('14SepTo20Sep'!$O:$O, '14SepTo20Sep'!$J:$J, $A128)</f>
        <v>0</v>
      </c>
      <c r="AT128" s="121">
        <f>SUMIFS('14SepTo20Sep'!$P:$P, '14SepTo20Sep'!$J:$J, $A128)</f>
        <v>0</v>
      </c>
      <c r="AU128" s="123">
        <f t="shared" si="8"/>
        <v>0</v>
      </c>
      <c r="AV128" s="121">
        <f>SUMIFS('7SepTo13Sep'!$L:$L, '7SepTo13Sep'!$J:$J, $A128)</f>
        <v>0</v>
      </c>
      <c r="AW128" s="121">
        <f>SUMIFS('7SepTo13Sep'!$K:$K, '7SepTo13Sep'!$J:$J, $A128)</f>
        <v>0</v>
      </c>
      <c r="AX128" s="121">
        <f>SUMIFS('7SepTo13Sep'!$O:$O, '7SepTo13Sep'!$J:$J, $A128)</f>
        <v>0</v>
      </c>
      <c r="AY128" s="121">
        <f>SUMIFS('7SepTo13Sep'!$P:$P, '7SepTo13Sep'!$J:$J, $A128)</f>
        <v>0</v>
      </c>
      <c r="AZ128" s="123">
        <f t="shared" si="9"/>
        <v>0</v>
      </c>
      <c r="BA128" s="121">
        <f>SUMIFS('31AugTo6Sep'!$L:$L, '31AugTo6Sep'!$J:$J, $A128)</f>
        <v>0</v>
      </c>
      <c r="BB128" s="121">
        <f>SUMIFS('31AugTo6Sep'!$K:$K, '31AugTo6Sep'!$J:$J, $A128)</f>
        <v>0</v>
      </c>
      <c r="BC128" s="121">
        <f>SUMIFS('31AugTo6Sep'!$O:$O, '31AugTo6Sep'!$J:$J, $A128)</f>
        <v>0</v>
      </c>
      <c r="BD128" s="121">
        <f>SUMIFS('31AugTo6Sep'!$P:$P, '31AugTo6Sep'!$J:$J, $A128)</f>
        <v>0</v>
      </c>
      <c r="BE128" s="123">
        <f t="shared" si="10"/>
        <v>0</v>
      </c>
      <c r="BF128" s="121">
        <f>SUMIFS('24AugTo29Aug'!$L:$L, '24AugTo29Aug'!$J:$J, $A128)</f>
        <v>0</v>
      </c>
      <c r="BG128" s="121">
        <f>SUMIFS('24AugTo29Aug'!$K:$K, '24AugTo29Aug'!$J:$J, $A128)</f>
        <v>0</v>
      </c>
      <c r="BH128" s="121">
        <f>SUMIFS('24AugTo29Aug'!$O:$O, '24AugTo29Aug'!$J:$J, $A128)</f>
        <v>0</v>
      </c>
      <c r="BI128" s="121">
        <f>SUMIFS('24AugTo29Aug'!$P:$P, '24AugTo29Aug'!$J:$J, $A128)</f>
        <v>0</v>
      </c>
      <c r="BJ128" s="123">
        <f t="shared" si="11"/>
        <v>0</v>
      </c>
      <c r="BK128" s="121">
        <f>SUMIFS('17AugTo21Aug'!$L:$L, '17AugTo21Aug'!$J:$J, $A128)</f>
        <v>1</v>
      </c>
      <c r="BL128" s="121">
        <f>SUMIFS('17AugTo21Aug'!$K:$K, '17AugTo21Aug'!$J:$J, $A128)</f>
        <v>9</v>
      </c>
      <c r="BM128" s="121">
        <f>SUMIFS('17AugTo21Aug'!$O:$O, '17AugTo21Aug'!$J:$J, $A128)</f>
        <v>2</v>
      </c>
      <c r="BN128" s="121">
        <f>SUMIFS('17AugTo21Aug'!$P:$P, '17AugTo21Aug'!$J:$J, $A128)</f>
        <v>21.95</v>
      </c>
      <c r="BO128" s="123">
        <f t="shared" si="12"/>
        <v>9.1116173120728927</v>
      </c>
      <c r="BP128" s="121">
        <f>SUMIFS('10AugTo16Aug'!$L:$L, '10AugTo16Aug'!$J:$J, $A128)</f>
        <v>0</v>
      </c>
      <c r="BQ128" s="121">
        <f>SUMIFS('10AugTo16Aug'!$K:$K, '10AugTo16Aug'!$J:$J, $A128)</f>
        <v>0</v>
      </c>
      <c r="BR128" s="121">
        <f>SUMIFS('10AugTo16Aug'!$O:$O, '10AugTo16Aug'!$J:$J, $A128)</f>
        <v>0</v>
      </c>
      <c r="BS128" s="121">
        <f>SUMIFS('10AugTo16Aug'!$P:$P, '10AugTo16Aug'!$J:$J, $A128)</f>
        <v>0</v>
      </c>
      <c r="BT128" s="123">
        <f t="shared" si="13"/>
        <v>0</v>
      </c>
      <c r="BU128" s="121">
        <f>SUMIFS('3AugTo9Aug'!$L:$L, '3AugTo9Aug'!$J:$J, $A128)</f>
        <v>0</v>
      </c>
      <c r="BV128" s="121">
        <f>SUMIFS('3AugTo9Aug'!$K:$K, '3AugTo9Aug'!$J:$J, $A128)</f>
        <v>0</v>
      </c>
      <c r="BW128" s="121">
        <f>SUMIFS('3AugTo9Aug'!$O:$O, '3AugTo9Aug'!$J:$J, $A128)</f>
        <v>0</v>
      </c>
      <c r="BX128" s="121">
        <f>SUMIFS('3AugTo9Aug'!$P:$P, '3AugTo9Aug'!$J:$J, $A128)</f>
        <v>0</v>
      </c>
      <c r="BY128" s="123">
        <f t="shared" si="14"/>
        <v>0</v>
      </c>
      <c r="BZ128" s="121">
        <f>SUMIFS('27JulyTo2Aug'!$L:$L, '27JulyTo2Aug'!$J:$J, $A128)</f>
        <v>0</v>
      </c>
      <c r="CA128" s="121">
        <f>SUMIFS('27JulyTo2Aug'!$K:$K, '27JulyTo2Aug'!$J:$J, $A128)</f>
        <v>0</v>
      </c>
      <c r="CB128" s="121">
        <f>SUMIFS('27JulyTo2Aug'!$O:$O, '27JulyTo2Aug'!$J:$J, $A128)</f>
        <v>0</v>
      </c>
      <c r="CC128" s="121">
        <f>SUMIFS('27JulyTo2Aug'!$P:$P, '27JulyTo2Aug'!$J:$J, $A128)</f>
        <v>0</v>
      </c>
      <c r="CD128" s="123">
        <f t="shared" si="15"/>
        <v>0</v>
      </c>
    </row>
    <row r="129" spans="1:82" ht="14.25" customHeight="1" x14ac:dyDescent="0.3">
      <c r="A129" s="124" t="s">
        <v>633</v>
      </c>
      <c r="B129" s="120" t="str">
        <f t="shared" si="17"/>
        <v>NO TRAFFIC</v>
      </c>
      <c r="C129" s="121">
        <f>SUMIFS('9NovTo15Nov'!$L:$L, '9NovTo15Nov'!$J:$J, $A129)</f>
        <v>0</v>
      </c>
      <c r="D129" s="121">
        <f>SUMIFS('9NovTo15Nov'!$K:$K, '9NovTo15Nov'!$J:$J, $A129)</f>
        <v>0</v>
      </c>
      <c r="E129" s="121">
        <f>SUMIFS('9NovTo15Nov'!$O:$O, '9NovTo15Nov'!$J:$J, $A129)</f>
        <v>0</v>
      </c>
      <c r="F129" s="121">
        <f>SUMIFS('9NovTo15Nov'!$P:$P, '9NovTo15Nov'!$J:$J, $A129)</f>
        <v>0</v>
      </c>
      <c r="G129" s="122">
        <f t="shared" si="0"/>
        <v>0</v>
      </c>
      <c r="H129" s="121">
        <f>SUMIFS('2NovTo8Nov'!$L:$L, '2NovTo8Nov'!$J:$J, $A129)</f>
        <v>0</v>
      </c>
      <c r="I129" s="121">
        <f>SUMIFS('2NovTo8Nov'!$K:$K, '2NovTo8Nov'!$J:$J, $A129)</f>
        <v>0</v>
      </c>
      <c r="J129" s="121">
        <f>SUMIFS('2NovTo8Nov'!$O:$O, '2NovTo8Nov'!$J:$J, $A129)</f>
        <v>0</v>
      </c>
      <c r="K129" s="121">
        <f>SUMIFS('2NovTo8Nov'!$P:$P, '2NovTo8Nov'!$J:$J, $A129)</f>
        <v>0</v>
      </c>
      <c r="L129" s="122">
        <f t="shared" si="1"/>
        <v>0</v>
      </c>
      <c r="M129" s="121">
        <f>SUMIFS('26OctTo1Nov'!$L:$L, '26OctTo1Nov'!$J:$J, $A129)</f>
        <v>0</v>
      </c>
      <c r="N129" s="121">
        <f>SUMIFS('26OctTo1Nov'!$K:$K, '26OctTo1Nov'!$J:$J, $A129)</f>
        <v>0</v>
      </c>
      <c r="O129" s="121">
        <f>SUMIFS('26OctTo1Nov'!$O:$O, '26OctTo1Nov'!$J:$J, $A129)</f>
        <v>0</v>
      </c>
      <c r="P129" s="121">
        <f>SUMIFS('26OctTo1Nov'!$P:$P, '26OctTo1Nov'!$J:$J, $A129)</f>
        <v>0</v>
      </c>
      <c r="Q129" s="122">
        <f t="shared" si="2"/>
        <v>0</v>
      </c>
      <c r="R129" s="121">
        <f>SUMIFS('19OctTo25Oct'!$L:$L, '19OctTo25Oct'!$J:$J, $A129)</f>
        <v>0</v>
      </c>
      <c r="S129" s="121">
        <f>SUMIFS('19OctTo25Oct'!$K:$K, '19OctTo25Oct'!$J:$J, $A129)</f>
        <v>0</v>
      </c>
      <c r="T129" s="121">
        <f>SUMIFS('19OctTo25Oct'!$O:$O, '19OctTo25Oct'!$J:$J, $A129)</f>
        <v>0</v>
      </c>
      <c r="U129" s="121">
        <f>SUMIFS('19OctTo25Oct'!$P:$P, '19OctTo25Oct'!$J:$J, $A129)</f>
        <v>0</v>
      </c>
      <c r="V129" s="122">
        <f t="shared" si="3"/>
        <v>0</v>
      </c>
      <c r="W129" s="121">
        <f>SUMIFS('12OctTo18Oct'!$L:$L, '12OctTo18Oct'!$J:$J, $A129)</f>
        <v>0</v>
      </c>
      <c r="X129" s="121">
        <f>SUMIFS('12OctTo18Oct'!$K:$K, '12OctTo18Oct'!$J:$J, $A129)</f>
        <v>0</v>
      </c>
      <c r="Y129" s="121">
        <f>SUMIFS('12OctTo18Oct'!$O:$O, '12OctTo18Oct'!$J:$J, $A129)</f>
        <v>0</v>
      </c>
      <c r="Z129" s="121">
        <f>SUMIFS('12OctTo18Oct'!$P:$P, '12OctTo18Oct'!$J:$J, $A129)</f>
        <v>0</v>
      </c>
      <c r="AA129" s="122">
        <f t="shared" si="4"/>
        <v>0</v>
      </c>
      <c r="AB129" s="121">
        <f>SUMIFS('5OctTo11Oct'!$L:$L, '5OctTo11Oct'!$J:$J, $A129)</f>
        <v>0</v>
      </c>
      <c r="AC129" s="121">
        <f>SUMIFS('5OctTo11Oct'!$K:$K, '5OctTo11Oct'!$J:$J, $A129)</f>
        <v>0</v>
      </c>
      <c r="AD129" s="121">
        <f>SUMIFS('5OctTo11Oct'!$O:$O, '5OctTo11Oct'!$J:$J, $A129)</f>
        <v>0</v>
      </c>
      <c r="AE129" s="121">
        <f>SUMIFS('5OctTo11Oct'!$P:$P, '5OctTo11Oct'!$J:$J, $A129)</f>
        <v>0</v>
      </c>
      <c r="AF129" s="123">
        <f t="shared" si="5"/>
        <v>0</v>
      </c>
      <c r="AG129" s="121">
        <f>SUMIFS('28SepTo4Oct'!$L:$L, '28SepTo4Oct'!$J:$J, $A129)</f>
        <v>0</v>
      </c>
      <c r="AH129" s="121">
        <f>SUMIFS('28SepTo4Oct'!$K:$K, '28SepTo4Oct'!$J:$J, $A129)</f>
        <v>0</v>
      </c>
      <c r="AI129" s="121">
        <f>SUMIFS('28SepTo4Oct'!$O:$O, '28SepTo4Oct'!$J:$J, $A129)</f>
        <v>0</v>
      </c>
      <c r="AJ129" s="121">
        <f>SUMIFS('28SepTo4Oct'!$P:$P, '28SepTo4Oct'!$J:$J, $A129)</f>
        <v>0</v>
      </c>
      <c r="AK129" s="123">
        <f t="shared" si="6"/>
        <v>0</v>
      </c>
      <c r="AL129" s="121">
        <f>SUMIFS('21SepTo27Sep'!$L:$L, '21SepTo27Sep'!$J:$J, $A129)</f>
        <v>0</v>
      </c>
      <c r="AM129" s="121">
        <f>SUMIFS('21SepTo27Sep'!$K:$K, '21SepTo27Sep'!$J:$J, $A129)</f>
        <v>0</v>
      </c>
      <c r="AN129" s="121">
        <f>SUMIFS('21SepTo27Sep'!$O:$O, '21SepTo27Sep'!$J:$J, $A129)</f>
        <v>0</v>
      </c>
      <c r="AO129" s="121">
        <f>SUMIFS('21SepTo27Sep'!$P:$P, '21SepTo27Sep'!$J:$J, $A129)</f>
        <v>0</v>
      </c>
      <c r="AP129" s="123">
        <f t="shared" si="7"/>
        <v>0</v>
      </c>
      <c r="AQ129" s="121">
        <f>SUMIFS('14SepTo20Sep'!$L:$L, '14SepTo20Sep'!$J:$J, $A129)</f>
        <v>0</v>
      </c>
      <c r="AR129" s="121">
        <f>SUMIFS('14SepTo20Sep'!$K:$K, '14SepTo20Sep'!$J:$J, $A129)</f>
        <v>0</v>
      </c>
      <c r="AS129" s="121">
        <f>SUMIFS('14SepTo20Sep'!$O:$O, '14SepTo20Sep'!$J:$J, $A129)</f>
        <v>0</v>
      </c>
      <c r="AT129" s="121">
        <f>SUMIFS('14SepTo20Sep'!$P:$P, '14SepTo20Sep'!$J:$J, $A129)</f>
        <v>0</v>
      </c>
      <c r="AU129" s="123">
        <f t="shared" si="8"/>
        <v>0</v>
      </c>
      <c r="AV129" s="121">
        <f>SUMIFS('7SepTo13Sep'!$L:$L, '7SepTo13Sep'!$J:$J, $A129)</f>
        <v>0</v>
      </c>
      <c r="AW129" s="121">
        <f>SUMIFS('7SepTo13Sep'!$K:$K, '7SepTo13Sep'!$J:$J, $A129)</f>
        <v>0</v>
      </c>
      <c r="AX129" s="121">
        <f>SUMIFS('7SepTo13Sep'!$O:$O, '7SepTo13Sep'!$J:$J, $A129)</f>
        <v>0</v>
      </c>
      <c r="AY129" s="121">
        <f>SUMIFS('7SepTo13Sep'!$P:$P, '7SepTo13Sep'!$J:$J, $A129)</f>
        <v>0</v>
      </c>
      <c r="AZ129" s="123">
        <f t="shared" si="9"/>
        <v>0</v>
      </c>
      <c r="BA129" s="121">
        <f>SUMIFS('31AugTo6Sep'!$L:$L, '31AugTo6Sep'!$J:$J, $A129)</f>
        <v>0</v>
      </c>
      <c r="BB129" s="121">
        <f>SUMIFS('31AugTo6Sep'!$K:$K, '31AugTo6Sep'!$J:$J, $A129)</f>
        <v>0</v>
      </c>
      <c r="BC129" s="121">
        <f>SUMIFS('31AugTo6Sep'!$O:$O, '31AugTo6Sep'!$J:$J, $A129)</f>
        <v>0</v>
      </c>
      <c r="BD129" s="121">
        <f>SUMIFS('31AugTo6Sep'!$P:$P, '31AugTo6Sep'!$J:$J, $A129)</f>
        <v>0</v>
      </c>
      <c r="BE129" s="123">
        <f t="shared" si="10"/>
        <v>0</v>
      </c>
      <c r="BF129" s="121">
        <f>SUMIFS('24AugTo29Aug'!$L:$L, '24AugTo29Aug'!$J:$J, $A129)</f>
        <v>0</v>
      </c>
      <c r="BG129" s="121">
        <f>SUMIFS('24AugTo29Aug'!$K:$K, '24AugTo29Aug'!$J:$J, $A129)</f>
        <v>0</v>
      </c>
      <c r="BH129" s="121">
        <f>SUMIFS('24AugTo29Aug'!$O:$O, '24AugTo29Aug'!$J:$J, $A129)</f>
        <v>0</v>
      </c>
      <c r="BI129" s="121">
        <f>SUMIFS('24AugTo29Aug'!$P:$P, '24AugTo29Aug'!$J:$J, $A129)</f>
        <v>0</v>
      </c>
      <c r="BJ129" s="123">
        <f t="shared" si="11"/>
        <v>0</v>
      </c>
      <c r="BK129" s="121">
        <f>SUMIFS('17AugTo21Aug'!$L:$L, '17AugTo21Aug'!$J:$J, $A129)</f>
        <v>1</v>
      </c>
      <c r="BL129" s="121">
        <f>SUMIFS('17AugTo21Aug'!$K:$K, '17AugTo21Aug'!$J:$J, $A129)</f>
        <v>1</v>
      </c>
      <c r="BM129" s="121">
        <f>SUMIFS('17AugTo21Aug'!$O:$O, '17AugTo21Aug'!$J:$J, $A129)</f>
        <v>3.24</v>
      </c>
      <c r="BN129" s="121">
        <f>SUMIFS('17AugTo21Aug'!$P:$P, '17AugTo21Aug'!$J:$J, $A129)</f>
        <v>29.99</v>
      </c>
      <c r="BO129" s="123">
        <f t="shared" si="12"/>
        <v>10.803601200400134</v>
      </c>
      <c r="BP129" s="121">
        <f>SUMIFS('10AugTo16Aug'!$L:$L, '10AugTo16Aug'!$J:$J, $A129)</f>
        <v>0</v>
      </c>
      <c r="BQ129" s="121">
        <f>SUMIFS('10AugTo16Aug'!$K:$K, '10AugTo16Aug'!$J:$J, $A129)</f>
        <v>0</v>
      </c>
      <c r="BR129" s="121">
        <f>SUMIFS('10AugTo16Aug'!$O:$O, '10AugTo16Aug'!$J:$J, $A129)</f>
        <v>0</v>
      </c>
      <c r="BS129" s="121">
        <f>SUMIFS('10AugTo16Aug'!$P:$P, '10AugTo16Aug'!$J:$J, $A129)</f>
        <v>0</v>
      </c>
      <c r="BT129" s="123">
        <f t="shared" si="13"/>
        <v>0</v>
      </c>
      <c r="BU129" s="121">
        <f>SUMIFS('3AugTo9Aug'!$L:$L, '3AugTo9Aug'!$J:$J, $A129)</f>
        <v>0</v>
      </c>
      <c r="BV129" s="121">
        <f>SUMIFS('3AugTo9Aug'!$K:$K, '3AugTo9Aug'!$J:$J, $A129)</f>
        <v>0</v>
      </c>
      <c r="BW129" s="121">
        <f>SUMIFS('3AugTo9Aug'!$O:$O, '3AugTo9Aug'!$J:$J, $A129)</f>
        <v>0</v>
      </c>
      <c r="BX129" s="121">
        <f>SUMIFS('3AugTo9Aug'!$P:$P, '3AugTo9Aug'!$J:$J, $A129)</f>
        <v>0</v>
      </c>
      <c r="BY129" s="123">
        <f t="shared" si="14"/>
        <v>0</v>
      </c>
      <c r="BZ129" s="121">
        <f>SUMIFS('27JulyTo2Aug'!$L:$L, '27JulyTo2Aug'!$J:$J, $A129)</f>
        <v>0</v>
      </c>
      <c r="CA129" s="121">
        <f>SUMIFS('27JulyTo2Aug'!$K:$K, '27JulyTo2Aug'!$J:$J, $A129)</f>
        <v>0</v>
      </c>
      <c r="CB129" s="121">
        <f>SUMIFS('27JulyTo2Aug'!$O:$O, '27JulyTo2Aug'!$J:$J, $A129)</f>
        <v>0</v>
      </c>
      <c r="CC129" s="121">
        <f>SUMIFS('27JulyTo2Aug'!$P:$P, '27JulyTo2Aug'!$J:$J, $A129)</f>
        <v>0</v>
      </c>
      <c r="CD129" s="123">
        <f t="shared" si="15"/>
        <v>0</v>
      </c>
    </row>
    <row r="130" spans="1:82" ht="14.25" customHeight="1" x14ac:dyDescent="0.3">
      <c r="A130" s="124" t="s">
        <v>641</v>
      </c>
      <c r="B130" s="120" t="str">
        <f t="shared" si="17"/>
        <v>NO TRAFFIC</v>
      </c>
      <c r="C130" s="121">
        <f>SUMIFS('9NovTo15Nov'!$L:$L, '9NovTo15Nov'!$J:$J, $A130)</f>
        <v>0</v>
      </c>
      <c r="D130" s="121">
        <f>SUMIFS('9NovTo15Nov'!$K:$K, '9NovTo15Nov'!$J:$J, $A130)</f>
        <v>0</v>
      </c>
      <c r="E130" s="121">
        <f>SUMIFS('9NovTo15Nov'!$O:$O, '9NovTo15Nov'!$J:$J, $A130)</f>
        <v>0</v>
      </c>
      <c r="F130" s="121">
        <f>SUMIFS('9NovTo15Nov'!$P:$P, '9NovTo15Nov'!$J:$J, $A130)</f>
        <v>0</v>
      </c>
      <c r="G130" s="122">
        <f t="shared" si="0"/>
        <v>0</v>
      </c>
      <c r="H130" s="121">
        <f>SUMIFS('2NovTo8Nov'!$L:$L, '2NovTo8Nov'!$J:$J, $A130)</f>
        <v>0</v>
      </c>
      <c r="I130" s="121">
        <f>SUMIFS('2NovTo8Nov'!$K:$K, '2NovTo8Nov'!$J:$J, $A130)</f>
        <v>0</v>
      </c>
      <c r="J130" s="121">
        <f>SUMIFS('2NovTo8Nov'!$O:$O, '2NovTo8Nov'!$J:$J, $A130)</f>
        <v>0</v>
      </c>
      <c r="K130" s="121">
        <f>SUMIFS('2NovTo8Nov'!$P:$P, '2NovTo8Nov'!$J:$J, $A130)</f>
        <v>0</v>
      </c>
      <c r="L130" s="122">
        <f t="shared" si="1"/>
        <v>0</v>
      </c>
      <c r="M130" s="121">
        <f>SUMIFS('26OctTo1Nov'!$L:$L, '26OctTo1Nov'!$J:$J, $A130)</f>
        <v>0</v>
      </c>
      <c r="N130" s="121">
        <f>SUMIFS('26OctTo1Nov'!$K:$K, '26OctTo1Nov'!$J:$J, $A130)</f>
        <v>0</v>
      </c>
      <c r="O130" s="121">
        <f>SUMIFS('26OctTo1Nov'!$O:$O, '26OctTo1Nov'!$J:$J, $A130)</f>
        <v>0</v>
      </c>
      <c r="P130" s="121">
        <f>SUMIFS('26OctTo1Nov'!$P:$P, '26OctTo1Nov'!$J:$J, $A130)</f>
        <v>0</v>
      </c>
      <c r="Q130" s="122">
        <f t="shared" si="2"/>
        <v>0</v>
      </c>
      <c r="R130" s="121">
        <f>SUMIFS('19OctTo25Oct'!$L:$L, '19OctTo25Oct'!$J:$J, $A130)</f>
        <v>0</v>
      </c>
      <c r="S130" s="121">
        <f>SUMIFS('19OctTo25Oct'!$K:$K, '19OctTo25Oct'!$J:$J, $A130)</f>
        <v>0</v>
      </c>
      <c r="T130" s="121">
        <f>SUMIFS('19OctTo25Oct'!$O:$O, '19OctTo25Oct'!$J:$J, $A130)</f>
        <v>0</v>
      </c>
      <c r="U130" s="121">
        <f>SUMIFS('19OctTo25Oct'!$P:$P, '19OctTo25Oct'!$J:$J, $A130)</f>
        <v>0</v>
      </c>
      <c r="V130" s="122">
        <f t="shared" si="3"/>
        <v>0</v>
      </c>
      <c r="W130" s="121">
        <f>SUMIFS('12OctTo18Oct'!$L:$L, '12OctTo18Oct'!$J:$J, $A130)</f>
        <v>0</v>
      </c>
      <c r="X130" s="121">
        <f>SUMIFS('12OctTo18Oct'!$K:$K, '12OctTo18Oct'!$J:$J, $A130)</f>
        <v>0</v>
      </c>
      <c r="Y130" s="121">
        <f>SUMIFS('12OctTo18Oct'!$O:$O, '12OctTo18Oct'!$J:$J, $A130)</f>
        <v>0</v>
      </c>
      <c r="Z130" s="121">
        <f>SUMIFS('12OctTo18Oct'!$P:$P, '12OctTo18Oct'!$J:$J, $A130)</f>
        <v>0</v>
      </c>
      <c r="AA130" s="122">
        <f t="shared" si="4"/>
        <v>0</v>
      </c>
      <c r="AB130" s="121">
        <f>SUMIFS('5OctTo11Oct'!$L:$L, '5OctTo11Oct'!$J:$J, $A130)</f>
        <v>0</v>
      </c>
      <c r="AC130" s="121">
        <f>SUMIFS('5OctTo11Oct'!$K:$K, '5OctTo11Oct'!$J:$J, $A130)</f>
        <v>0</v>
      </c>
      <c r="AD130" s="121">
        <f>SUMIFS('5OctTo11Oct'!$O:$O, '5OctTo11Oct'!$J:$J, $A130)</f>
        <v>0</v>
      </c>
      <c r="AE130" s="121">
        <f>SUMIFS('5OctTo11Oct'!$P:$P, '5OctTo11Oct'!$J:$J, $A130)</f>
        <v>0</v>
      </c>
      <c r="AF130" s="123">
        <f t="shared" si="5"/>
        <v>0</v>
      </c>
      <c r="AG130" s="121">
        <f>SUMIFS('28SepTo4Oct'!$L:$L, '28SepTo4Oct'!$J:$J, $A130)</f>
        <v>0</v>
      </c>
      <c r="AH130" s="121">
        <f>SUMIFS('28SepTo4Oct'!$K:$K, '28SepTo4Oct'!$J:$J, $A130)</f>
        <v>0</v>
      </c>
      <c r="AI130" s="121">
        <f>SUMIFS('28SepTo4Oct'!$O:$O, '28SepTo4Oct'!$J:$J, $A130)</f>
        <v>0</v>
      </c>
      <c r="AJ130" s="121">
        <f>SUMIFS('28SepTo4Oct'!$P:$P, '28SepTo4Oct'!$J:$J, $A130)</f>
        <v>0</v>
      </c>
      <c r="AK130" s="123">
        <f t="shared" si="6"/>
        <v>0</v>
      </c>
      <c r="AL130" s="121">
        <f>SUMIFS('21SepTo27Sep'!$L:$L, '21SepTo27Sep'!$J:$J, $A130)</f>
        <v>0</v>
      </c>
      <c r="AM130" s="121">
        <f>SUMIFS('21SepTo27Sep'!$K:$K, '21SepTo27Sep'!$J:$J, $A130)</f>
        <v>0</v>
      </c>
      <c r="AN130" s="121">
        <f>SUMIFS('21SepTo27Sep'!$O:$O, '21SepTo27Sep'!$J:$J, $A130)</f>
        <v>0</v>
      </c>
      <c r="AO130" s="121">
        <f>SUMIFS('21SepTo27Sep'!$P:$P, '21SepTo27Sep'!$J:$J, $A130)</f>
        <v>0</v>
      </c>
      <c r="AP130" s="123">
        <f t="shared" si="7"/>
        <v>0</v>
      </c>
      <c r="AQ130" s="121">
        <f>SUMIFS('14SepTo20Sep'!$L:$L, '14SepTo20Sep'!$J:$J, $A130)</f>
        <v>0</v>
      </c>
      <c r="AR130" s="121">
        <f>SUMIFS('14SepTo20Sep'!$K:$K, '14SepTo20Sep'!$J:$J, $A130)</f>
        <v>0</v>
      </c>
      <c r="AS130" s="121">
        <f>SUMIFS('14SepTo20Sep'!$O:$O, '14SepTo20Sep'!$J:$J, $A130)</f>
        <v>0</v>
      </c>
      <c r="AT130" s="121">
        <f>SUMIFS('14SepTo20Sep'!$P:$P, '14SepTo20Sep'!$J:$J, $A130)</f>
        <v>0</v>
      </c>
      <c r="AU130" s="123">
        <f t="shared" si="8"/>
        <v>0</v>
      </c>
      <c r="AV130" s="121">
        <f>SUMIFS('7SepTo13Sep'!$L:$L, '7SepTo13Sep'!$J:$J, $A130)</f>
        <v>0</v>
      </c>
      <c r="AW130" s="121">
        <f>SUMIFS('7SepTo13Sep'!$K:$K, '7SepTo13Sep'!$J:$J, $A130)</f>
        <v>0</v>
      </c>
      <c r="AX130" s="121">
        <f>SUMIFS('7SepTo13Sep'!$O:$O, '7SepTo13Sep'!$J:$J, $A130)</f>
        <v>0</v>
      </c>
      <c r="AY130" s="121">
        <f>SUMIFS('7SepTo13Sep'!$P:$P, '7SepTo13Sep'!$J:$J, $A130)</f>
        <v>0</v>
      </c>
      <c r="AZ130" s="123">
        <f t="shared" si="9"/>
        <v>0</v>
      </c>
      <c r="BA130" s="121">
        <f>SUMIFS('31AugTo6Sep'!$L:$L, '31AugTo6Sep'!$J:$J, $A130)</f>
        <v>0</v>
      </c>
      <c r="BB130" s="121">
        <f>SUMIFS('31AugTo6Sep'!$K:$K, '31AugTo6Sep'!$J:$J, $A130)</f>
        <v>0</v>
      </c>
      <c r="BC130" s="121">
        <f>SUMIFS('31AugTo6Sep'!$O:$O, '31AugTo6Sep'!$J:$J, $A130)</f>
        <v>0</v>
      </c>
      <c r="BD130" s="121">
        <f>SUMIFS('31AugTo6Sep'!$P:$P, '31AugTo6Sep'!$J:$J, $A130)</f>
        <v>0</v>
      </c>
      <c r="BE130" s="123">
        <f t="shared" si="10"/>
        <v>0</v>
      </c>
      <c r="BF130" s="121">
        <f>SUMIFS('24AugTo29Aug'!$L:$L, '24AugTo29Aug'!$J:$J, $A130)</f>
        <v>0</v>
      </c>
      <c r="BG130" s="121">
        <f>SUMIFS('24AugTo29Aug'!$K:$K, '24AugTo29Aug'!$J:$J, $A130)</f>
        <v>0</v>
      </c>
      <c r="BH130" s="121">
        <f>SUMIFS('24AugTo29Aug'!$O:$O, '24AugTo29Aug'!$J:$J, $A130)</f>
        <v>0</v>
      </c>
      <c r="BI130" s="121">
        <f>SUMIFS('24AugTo29Aug'!$P:$P, '24AugTo29Aug'!$J:$J, $A130)</f>
        <v>0</v>
      </c>
      <c r="BJ130" s="123">
        <f t="shared" si="11"/>
        <v>0</v>
      </c>
      <c r="BK130" s="121">
        <f>SUMIFS('17AugTo21Aug'!$L:$L, '17AugTo21Aug'!$J:$J, $A130)</f>
        <v>1</v>
      </c>
      <c r="BL130" s="121">
        <f>SUMIFS('17AugTo21Aug'!$K:$K, '17AugTo21Aug'!$J:$J, $A130)</f>
        <v>9</v>
      </c>
      <c r="BM130" s="121">
        <f>SUMIFS('17AugTo21Aug'!$O:$O, '17AugTo21Aug'!$J:$J, $A130)</f>
        <v>0.18</v>
      </c>
      <c r="BN130" s="121">
        <f>SUMIFS('17AugTo21Aug'!$P:$P, '17AugTo21Aug'!$J:$J, $A130)</f>
        <v>24.94</v>
      </c>
      <c r="BO130" s="123">
        <f t="shared" si="12"/>
        <v>0.72173215717722528</v>
      </c>
      <c r="BP130" s="121">
        <f>SUMIFS('10AugTo16Aug'!$L:$L, '10AugTo16Aug'!$J:$J, $A130)</f>
        <v>0</v>
      </c>
      <c r="BQ130" s="121">
        <f>SUMIFS('10AugTo16Aug'!$K:$K, '10AugTo16Aug'!$J:$J, $A130)</f>
        <v>0</v>
      </c>
      <c r="BR130" s="121">
        <f>SUMIFS('10AugTo16Aug'!$O:$O, '10AugTo16Aug'!$J:$J, $A130)</f>
        <v>0</v>
      </c>
      <c r="BS130" s="121">
        <f>SUMIFS('10AugTo16Aug'!$P:$P, '10AugTo16Aug'!$J:$J, $A130)</f>
        <v>0</v>
      </c>
      <c r="BT130" s="123">
        <f t="shared" si="13"/>
        <v>0</v>
      </c>
      <c r="BU130" s="121">
        <f>SUMIFS('3AugTo9Aug'!$L:$L, '3AugTo9Aug'!$J:$J, $A130)</f>
        <v>0</v>
      </c>
      <c r="BV130" s="121">
        <f>SUMIFS('3AugTo9Aug'!$K:$K, '3AugTo9Aug'!$J:$J, $A130)</f>
        <v>0</v>
      </c>
      <c r="BW130" s="121">
        <f>SUMIFS('3AugTo9Aug'!$O:$O, '3AugTo9Aug'!$J:$J, $A130)</f>
        <v>0</v>
      </c>
      <c r="BX130" s="121">
        <f>SUMIFS('3AugTo9Aug'!$P:$P, '3AugTo9Aug'!$J:$J, $A130)</f>
        <v>0</v>
      </c>
      <c r="BY130" s="123">
        <f t="shared" si="14"/>
        <v>0</v>
      </c>
      <c r="BZ130" s="121">
        <f>SUMIFS('27JulyTo2Aug'!$L:$L, '27JulyTo2Aug'!$J:$J, $A130)</f>
        <v>0</v>
      </c>
      <c r="CA130" s="121">
        <f>SUMIFS('27JulyTo2Aug'!$K:$K, '27JulyTo2Aug'!$J:$J, $A130)</f>
        <v>0</v>
      </c>
      <c r="CB130" s="121">
        <f>SUMIFS('27JulyTo2Aug'!$O:$O, '27JulyTo2Aug'!$J:$J, $A130)</f>
        <v>0</v>
      </c>
      <c r="CC130" s="121">
        <f>SUMIFS('27JulyTo2Aug'!$P:$P, '27JulyTo2Aug'!$J:$J, $A130)</f>
        <v>0</v>
      </c>
      <c r="CD130" s="123">
        <f t="shared" si="15"/>
        <v>0</v>
      </c>
    </row>
    <row r="131" spans="1:82" ht="14.25" customHeight="1" x14ac:dyDescent="0.3">
      <c r="A131" s="124" t="s">
        <v>643</v>
      </c>
      <c r="B131" s="120" t="str">
        <f t="shared" si="17"/>
        <v>NO TRAFFIC</v>
      </c>
      <c r="C131" s="121">
        <f>SUMIFS('9NovTo15Nov'!$L:$L, '9NovTo15Nov'!$J:$J, $A131)</f>
        <v>0</v>
      </c>
      <c r="D131" s="121">
        <f>SUMIFS('9NovTo15Nov'!$K:$K, '9NovTo15Nov'!$J:$J, $A131)</f>
        <v>0</v>
      </c>
      <c r="E131" s="121">
        <f>SUMIFS('9NovTo15Nov'!$O:$O, '9NovTo15Nov'!$J:$J, $A131)</f>
        <v>0</v>
      </c>
      <c r="F131" s="121">
        <f>SUMIFS('9NovTo15Nov'!$P:$P, '9NovTo15Nov'!$J:$J, $A131)</f>
        <v>0</v>
      </c>
      <c r="G131" s="122">
        <f t="shared" si="0"/>
        <v>0</v>
      </c>
      <c r="H131" s="121">
        <f>SUMIFS('2NovTo8Nov'!$L:$L, '2NovTo8Nov'!$J:$J, $A131)</f>
        <v>0</v>
      </c>
      <c r="I131" s="121">
        <f>SUMIFS('2NovTo8Nov'!$K:$K, '2NovTo8Nov'!$J:$J, $A131)</f>
        <v>0</v>
      </c>
      <c r="J131" s="121">
        <f>SUMIFS('2NovTo8Nov'!$O:$O, '2NovTo8Nov'!$J:$J, $A131)</f>
        <v>0</v>
      </c>
      <c r="K131" s="121">
        <f>SUMIFS('2NovTo8Nov'!$P:$P, '2NovTo8Nov'!$J:$J, $A131)</f>
        <v>0</v>
      </c>
      <c r="L131" s="122">
        <f t="shared" si="1"/>
        <v>0</v>
      </c>
      <c r="M131" s="121">
        <f>SUMIFS('26OctTo1Nov'!$L:$L, '26OctTo1Nov'!$J:$J, $A131)</f>
        <v>0</v>
      </c>
      <c r="N131" s="121">
        <f>SUMIFS('26OctTo1Nov'!$K:$K, '26OctTo1Nov'!$J:$J, $A131)</f>
        <v>0</v>
      </c>
      <c r="O131" s="121">
        <f>SUMIFS('26OctTo1Nov'!$O:$O, '26OctTo1Nov'!$J:$J, $A131)</f>
        <v>0</v>
      </c>
      <c r="P131" s="121">
        <f>SUMIFS('26OctTo1Nov'!$P:$P, '26OctTo1Nov'!$J:$J, $A131)</f>
        <v>0</v>
      </c>
      <c r="Q131" s="122">
        <f t="shared" si="2"/>
        <v>0</v>
      </c>
      <c r="R131" s="121">
        <f>SUMIFS('19OctTo25Oct'!$L:$L, '19OctTo25Oct'!$J:$J, $A131)</f>
        <v>0</v>
      </c>
      <c r="S131" s="121">
        <f>SUMIFS('19OctTo25Oct'!$K:$K, '19OctTo25Oct'!$J:$J, $A131)</f>
        <v>0</v>
      </c>
      <c r="T131" s="121">
        <f>SUMIFS('19OctTo25Oct'!$O:$O, '19OctTo25Oct'!$J:$J, $A131)</f>
        <v>0</v>
      </c>
      <c r="U131" s="121">
        <f>SUMIFS('19OctTo25Oct'!$P:$P, '19OctTo25Oct'!$J:$J, $A131)</f>
        <v>0</v>
      </c>
      <c r="V131" s="122">
        <f t="shared" si="3"/>
        <v>0</v>
      </c>
      <c r="W131" s="121">
        <f>SUMIFS('12OctTo18Oct'!$L:$L, '12OctTo18Oct'!$J:$J, $A131)</f>
        <v>0</v>
      </c>
      <c r="X131" s="121">
        <f>SUMIFS('12OctTo18Oct'!$K:$K, '12OctTo18Oct'!$J:$J, $A131)</f>
        <v>0</v>
      </c>
      <c r="Y131" s="121">
        <f>SUMIFS('12OctTo18Oct'!$O:$O, '12OctTo18Oct'!$J:$J, $A131)</f>
        <v>0</v>
      </c>
      <c r="Z131" s="121">
        <f>SUMIFS('12OctTo18Oct'!$P:$P, '12OctTo18Oct'!$J:$J, $A131)</f>
        <v>0</v>
      </c>
      <c r="AA131" s="122">
        <f t="shared" si="4"/>
        <v>0</v>
      </c>
      <c r="AB131" s="121">
        <f>SUMIFS('5OctTo11Oct'!$L:$L, '5OctTo11Oct'!$J:$J, $A131)</f>
        <v>0</v>
      </c>
      <c r="AC131" s="121">
        <f>SUMIFS('5OctTo11Oct'!$K:$K, '5OctTo11Oct'!$J:$J, $A131)</f>
        <v>0</v>
      </c>
      <c r="AD131" s="121">
        <f>SUMIFS('5OctTo11Oct'!$O:$O, '5OctTo11Oct'!$J:$J, $A131)</f>
        <v>0</v>
      </c>
      <c r="AE131" s="121">
        <f>SUMIFS('5OctTo11Oct'!$P:$P, '5OctTo11Oct'!$J:$J, $A131)</f>
        <v>0</v>
      </c>
      <c r="AF131" s="123">
        <f t="shared" si="5"/>
        <v>0</v>
      </c>
      <c r="AG131" s="121">
        <f>SUMIFS('28SepTo4Oct'!$L:$L, '28SepTo4Oct'!$J:$J, $A131)</f>
        <v>0</v>
      </c>
      <c r="AH131" s="121">
        <f>SUMIFS('28SepTo4Oct'!$K:$K, '28SepTo4Oct'!$J:$J, $A131)</f>
        <v>0</v>
      </c>
      <c r="AI131" s="121">
        <f>SUMIFS('28SepTo4Oct'!$O:$O, '28SepTo4Oct'!$J:$J, $A131)</f>
        <v>0</v>
      </c>
      <c r="AJ131" s="121">
        <f>SUMIFS('28SepTo4Oct'!$P:$P, '28SepTo4Oct'!$J:$J, $A131)</f>
        <v>0</v>
      </c>
      <c r="AK131" s="123">
        <f t="shared" si="6"/>
        <v>0</v>
      </c>
      <c r="AL131" s="121">
        <f>SUMIFS('21SepTo27Sep'!$L:$L, '21SepTo27Sep'!$J:$J, $A131)</f>
        <v>0</v>
      </c>
      <c r="AM131" s="121">
        <f>SUMIFS('21SepTo27Sep'!$K:$K, '21SepTo27Sep'!$J:$J, $A131)</f>
        <v>0</v>
      </c>
      <c r="AN131" s="121">
        <f>SUMIFS('21SepTo27Sep'!$O:$O, '21SepTo27Sep'!$J:$J, $A131)</f>
        <v>0</v>
      </c>
      <c r="AO131" s="121">
        <f>SUMIFS('21SepTo27Sep'!$P:$P, '21SepTo27Sep'!$J:$J, $A131)</f>
        <v>0</v>
      </c>
      <c r="AP131" s="123">
        <f t="shared" si="7"/>
        <v>0</v>
      </c>
      <c r="AQ131" s="121">
        <f>SUMIFS('14SepTo20Sep'!$L:$L, '14SepTo20Sep'!$J:$J, $A131)</f>
        <v>0</v>
      </c>
      <c r="AR131" s="121">
        <f>SUMIFS('14SepTo20Sep'!$K:$K, '14SepTo20Sep'!$J:$J, $A131)</f>
        <v>0</v>
      </c>
      <c r="AS131" s="121">
        <f>SUMIFS('14SepTo20Sep'!$O:$O, '14SepTo20Sep'!$J:$J, $A131)</f>
        <v>0</v>
      </c>
      <c r="AT131" s="121">
        <f>SUMIFS('14SepTo20Sep'!$P:$P, '14SepTo20Sep'!$J:$J, $A131)</f>
        <v>0</v>
      </c>
      <c r="AU131" s="123">
        <f t="shared" si="8"/>
        <v>0</v>
      </c>
      <c r="AV131" s="121">
        <f>SUMIFS('7SepTo13Sep'!$L:$L, '7SepTo13Sep'!$J:$J, $A131)</f>
        <v>0</v>
      </c>
      <c r="AW131" s="121">
        <f>SUMIFS('7SepTo13Sep'!$K:$K, '7SepTo13Sep'!$J:$J, $A131)</f>
        <v>0</v>
      </c>
      <c r="AX131" s="121">
        <f>SUMIFS('7SepTo13Sep'!$O:$O, '7SepTo13Sep'!$J:$J, $A131)</f>
        <v>0</v>
      </c>
      <c r="AY131" s="121">
        <f>SUMIFS('7SepTo13Sep'!$P:$P, '7SepTo13Sep'!$J:$J, $A131)</f>
        <v>0</v>
      </c>
      <c r="AZ131" s="123">
        <f t="shared" si="9"/>
        <v>0</v>
      </c>
      <c r="BA131" s="121">
        <f>SUMIFS('31AugTo6Sep'!$L:$L, '31AugTo6Sep'!$J:$J, $A131)</f>
        <v>0</v>
      </c>
      <c r="BB131" s="121">
        <f>SUMIFS('31AugTo6Sep'!$K:$K, '31AugTo6Sep'!$J:$J, $A131)</f>
        <v>0</v>
      </c>
      <c r="BC131" s="121">
        <f>SUMIFS('31AugTo6Sep'!$O:$O, '31AugTo6Sep'!$J:$J, $A131)</f>
        <v>0</v>
      </c>
      <c r="BD131" s="121">
        <f>SUMIFS('31AugTo6Sep'!$P:$P, '31AugTo6Sep'!$J:$J, $A131)</f>
        <v>0</v>
      </c>
      <c r="BE131" s="123">
        <f t="shared" si="10"/>
        <v>0</v>
      </c>
      <c r="BF131" s="121">
        <f>SUMIFS('24AugTo29Aug'!$L:$L, '24AugTo29Aug'!$J:$J, $A131)</f>
        <v>0</v>
      </c>
      <c r="BG131" s="121">
        <f>SUMIFS('24AugTo29Aug'!$K:$K, '24AugTo29Aug'!$J:$J, $A131)</f>
        <v>0</v>
      </c>
      <c r="BH131" s="121">
        <f>SUMIFS('24AugTo29Aug'!$O:$O, '24AugTo29Aug'!$J:$J, $A131)</f>
        <v>0</v>
      </c>
      <c r="BI131" s="121">
        <f>SUMIFS('24AugTo29Aug'!$P:$P, '24AugTo29Aug'!$J:$J, $A131)</f>
        <v>0</v>
      </c>
      <c r="BJ131" s="123">
        <f t="shared" si="11"/>
        <v>0</v>
      </c>
      <c r="BK131" s="121">
        <f>SUMIFS('17AugTo21Aug'!$L:$L, '17AugTo21Aug'!$J:$J, $A131)</f>
        <v>1</v>
      </c>
      <c r="BL131" s="121">
        <f>SUMIFS('17AugTo21Aug'!$K:$K, '17AugTo21Aug'!$J:$J, $A131)</f>
        <v>1</v>
      </c>
      <c r="BM131" s="121">
        <f>SUMIFS('17AugTo21Aug'!$O:$O, '17AugTo21Aug'!$J:$J, $A131)</f>
        <v>2</v>
      </c>
      <c r="BN131" s="121">
        <f>SUMIFS('17AugTo21Aug'!$P:$P, '17AugTo21Aug'!$J:$J, $A131)</f>
        <v>21.95</v>
      </c>
      <c r="BO131" s="123">
        <f t="shared" si="12"/>
        <v>9.1116173120728927</v>
      </c>
      <c r="BP131" s="121">
        <f>SUMIFS('10AugTo16Aug'!$L:$L, '10AugTo16Aug'!$J:$J, $A131)</f>
        <v>0</v>
      </c>
      <c r="BQ131" s="121">
        <f>SUMIFS('10AugTo16Aug'!$K:$K, '10AugTo16Aug'!$J:$J, $A131)</f>
        <v>0</v>
      </c>
      <c r="BR131" s="121">
        <f>SUMIFS('10AugTo16Aug'!$O:$O, '10AugTo16Aug'!$J:$J, $A131)</f>
        <v>0</v>
      </c>
      <c r="BS131" s="121">
        <f>SUMIFS('10AugTo16Aug'!$P:$P, '10AugTo16Aug'!$J:$J, $A131)</f>
        <v>0</v>
      </c>
      <c r="BT131" s="123">
        <f t="shared" si="13"/>
        <v>0</v>
      </c>
      <c r="BU131" s="121">
        <f>SUMIFS('3AugTo9Aug'!$L:$L, '3AugTo9Aug'!$J:$J, $A131)</f>
        <v>0</v>
      </c>
      <c r="BV131" s="121">
        <f>SUMIFS('3AugTo9Aug'!$K:$K, '3AugTo9Aug'!$J:$J, $A131)</f>
        <v>0</v>
      </c>
      <c r="BW131" s="121">
        <f>SUMIFS('3AugTo9Aug'!$O:$O, '3AugTo9Aug'!$J:$J, $A131)</f>
        <v>0</v>
      </c>
      <c r="BX131" s="121">
        <f>SUMIFS('3AugTo9Aug'!$P:$P, '3AugTo9Aug'!$J:$J, $A131)</f>
        <v>0</v>
      </c>
      <c r="BY131" s="123">
        <f t="shared" si="14"/>
        <v>0</v>
      </c>
      <c r="BZ131" s="121">
        <f>SUMIFS('27JulyTo2Aug'!$L:$L, '27JulyTo2Aug'!$J:$J, $A131)</f>
        <v>0</v>
      </c>
      <c r="CA131" s="121">
        <f>SUMIFS('27JulyTo2Aug'!$K:$K, '27JulyTo2Aug'!$J:$J, $A131)</f>
        <v>0</v>
      </c>
      <c r="CB131" s="121">
        <f>SUMIFS('27JulyTo2Aug'!$O:$O, '27JulyTo2Aug'!$J:$J, $A131)</f>
        <v>0</v>
      </c>
      <c r="CC131" s="121">
        <f>SUMIFS('27JulyTo2Aug'!$P:$P, '27JulyTo2Aug'!$J:$J, $A131)</f>
        <v>0</v>
      </c>
      <c r="CD131" s="123">
        <f t="shared" si="15"/>
        <v>0</v>
      </c>
    </row>
    <row r="132" spans="1:82" ht="14.25" customHeight="1" x14ac:dyDescent="0.3">
      <c r="A132" s="124" t="s">
        <v>645</v>
      </c>
      <c r="B132" s="120" t="str">
        <f t="shared" ref="B132:B195" si="18">IF(
    (E132+J132+O132+T132+Y132)=0,
    "NO TRAFFIC",
    IF(
        (F132+K132+P132+U132+Z132)=0,
        "CLICKS NO SALES",
        IF(
            ((E132+J132+O132+T132+Y132)/(F132+K132+P132+U132+Z132)*100)&lt;=35,
            "WINNER",
            "HIGH ACOS"
        )
    )
)</f>
        <v>NO TRAFFIC</v>
      </c>
      <c r="C132" s="121">
        <f>SUMIFS('9NovTo15Nov'!$L:$L, '9NovTo15Nov'!$J:$J, $A132)</f>
        <v>0</v>
      </c>
      <c r="D132" s="121">
        <f>SUMIFS('9NovTo15Nov'!$K:$K, '9NovTo15Nov'!$J:$J, $A132)</f>
        <v>0</v>
      </c>
      <c r="E132" s="121">
        <f>SUMIFS('9NovTo15Nov'!$O:$O, '9NovTo15Nov'!$J:$J, $A132)</f>
        <v>0</v>
      </c>
      <c r="F132" s="121">
        <f>SUMIFS('9NovTo15Nov'!$P:$P, '9NovTo15Nov'!$J:$J, $A132)</f>
        <v>0</v>
      </c>
      <c r="G132" s="122">
        <f t="shared" si="0"/>
        <v>0</v>
      </c>
      <c r="H132" s="121">
        <f>SUMIFS('2NovTo8Nov'!$L:$L, '2NovTo8Nov'!$J:$J, $A132)</f>
        <v>0</v>
      </c>
      <c r="I132" s="121">
        <f>SUMIFS('2NovTo8Nov'!$K:$K, '2NovTo8Nov'!$J:$J, $A132)</f>
        <v>0</v>
      </c>
      <c r="J132" s="121">
        <f>SUMIFS('2NovTo8Nov'!$O:$O, '2NovTo8Nov'!$J:$J, $A132)</f>
        <v>0</v>
      </c>
      <c r="K132" s="121">
        <f>SUMIFS('2NovTo8Nov'!$P:$P, '2NovTo8Nov'!$J:$J, $A132)</f>
        <v>0</v>
      </c>
      <c r="L132" s="122">
        <f t="shared" si="1"/>
        <v>0</v>
      </c>
      <c r="M132" s="121">
        <f>SUMIFS('26OctTo1Nov'!$L:$L, '26OctTo1Nov'!$J:$J, $A132)</f>
        <v>0</v>
      </c>
      <c r="N132" s="121">
        <f>SUMIFS('26OctTo1Nov'!$K:$K, '26OctTo1Nov'!$J:$J, $A132)</f>
        <v>0</v>
      </c>
      <c r="O132" s="121">
        <f>SUMIFS('26OctTo1Nov'!$O:$O, '26OctTo1Nov'!$J:$J, $A132)</f>
        <v>0</v>
      </c>
      <c r="P132" s="121">
        <f>SUMIFS('26OctTo1Nov'!$P:$P, '26OctTo1Nov'!$J:$J, $A132)</f>
        <v>0</v>
      </c>
      <c r="Q132" s="122">
        <f t="shared" si="2"/>
        <v>0</v>
      </c>
      <c r="R132" s="121">
        <f>SUMIFS('19OctTo25Oct'!$L:$L, '19OctTo25Oct'!$J:$J, $A132)</f>
        <v>0</v>
      </c>
      <c r="S132" s="121">
        <f>SUMIFS('19OctTo25Oct'!$K:$K, '19OctTo25Oct'!$J:$J, $A132)</f>
        <v>0</v>
      </c>
      <c r="T132" s="121">
        <f>SUMIFS('19OctTo25Oct'!$O:$O, '19OctTo25Oct'!$J:$J, $A132)</f>
        <v>0</v>
      </c>
      <c r="U132" s="121">
        <f>SUMIFS('19OctTo25Oct'!$P:$P, '19OctTo25Oct'!$J:$J, $A132)</f>
        <v>0</v>
      </c>
      <c r="V132" s="122">
        <f t="shared" si="3"/>
        <v>0</v>
      </c>
      <c r="W132" s="121">
        <f>SUMIFS('12OctTo18Oct'!$L:$L, '12OctTo18Oct'!$J:$J, $A132)</f>
        <v>0</v>
      </c>
      <c r="X132" s="121">
        <f>SUMIFS('12OctTo18Oct'!$K:$K, '12OctTo18Oct'!$J:$J, $A132)</f>
        <v>0</v>
      </c>
      <c r="Y132" s="121">
        <f>SUMIFS('12OctTo18Oct'!$O:$O, '12OctTo18Oct'!$J:$J, $A132)</f>
        <v>0</v>
      </c>
      <c r="Z132" s="121">
        <f>SUMIFS('12OctTo18Oct'!$P:$P, '12OctTo18Oct'!$J:$J, $A132)</f>
        <v>0</v>
      </c>
      <c r="AA132" s="122">
        <f t="shared" si="4"/>
        <v>0</v>
      </c>
      <c r="AB132" s="121">
        <f>SUMIFS('5OctTo11Oct'!$L:$L, '5OctTo11Oct'!$J:$J, $A132)</f>
        <v>0</v>
      </c>
      <c r="AC132" s="121">
        <f>SUMIFS('5OctTo11Oct'!$K:$K, '5OctTo11Oct'!$J:$J, $A132)</f>
        <v>0</v>
      </c>
      <c r="AD132" s="121">
        <f>SUMIFS('5OctTo11Oct'!$O:$O, '5OctTo11Oct'!$J:$J, $A132)</f>
        <v>0</v>
      </c>
      <c r="AE132" s="121">
        <f>SUMIFS('5OctTo11Oct'!$P:$P, '5OctTo11Oct'!$J:$J, $A132)</f>
        <v>0</v>
      </c>
      <c r="AF132" s="123">
        <f t="shared" si="5"/>
        <v>0</v>
      </c>
      <c r="AG132" s="121">
        <f>SUMIFS('28SepTo4Oct'!$L:$L, '28SepTo4Oct'!$J:$J, $A132)</f>
        <v>0</v>
      </c>
      <c r="AH132" s="121">
        <f>SUMIFS('28SepTo4Oct'!$K:$K, '28SepTo4Oct'!$J:$J, $A132)</f>
        <v>0</v>
      </c>
      <c r="AI132" s="121">
        <f>SUMIFS('28SepTo4Oct'!$O:$O, '28SepTo4Oct'!$J:$J, $A132)</f>
        <v>0</v>
      </c>
      <c r="AJ132" s="121">
        <f>SUMIFS('28SepTo4Oct'!$P:$P, '28SepTo4Oct'!$J:$J, $A132)</f>
        <v>0</v>
      </c>
      <c r="AK132" s="123">
        <f t="shared" si="6"/>
        <v>0</v>
      </c>
      <c r="AL132" s="121">
        <f>SUMIFS('21SepTo27Sep'!$L:$L, '21SepTo27Sep'!$J:$J, $A132)</f>
        <v>0</v>
      </c>
      <c r="AM132" s="121">
        <f>SUMIFS('21SepTo27Sep'!$K:$K, '21SepTo27Sep'!$J:$J, $A132)</f>
        <v>0</v>
      </c>
      <c r="AN132" s="121">
        <f>SUMIFS('21SepTo27Sep'!$O:$O, '21SepTo27Sep'!$J:$J, $A132)</f>
        <v>0</v>
      </c>
      <c r="AO132" s="121">
        <f>SUMIFS('21SepTo27Sep'!$P:$P, '21SepTo27Sep'!$J:$J, $A132)</f>
        <v>0</v>
      </c>
      <c r="AP132" s="123">
        <f t="shared" si="7"/>
        <v>0</v>
      </c>
      <c r="AQ132" s="121">
        <f>SUMIFS('14SepTo20Sep'!$L:$L, '14SepTo20Sep'!$J:$J, $A132)</f>
        <v>0</v>
      </c>
      <c r="AR132" s="121">
        <f>SUMIFS('14SepTo20Sep'!$K:$K, '14SepTo20Sep'!$J:$J, $A132)</f>
        <v>0</v>
      </c>
      <c r="AS132" s="121">
        <f>SUMIFS('14SepTo20Sep'!$O:$O, '14SepTo20Sep'!$J:$J, $A132)</f>
        <v>0</v>
      </c>
      <c r="AT132" s="121">
        <f>SUMIFS('14SepTo20Sep'!$P:$P, '14SepTo20Sep'!$J:$J, $A132)</f>
        <v>0</v>
      </c>
      <c r="AU132" s="123">
        <f t="shared" si="8"/>
        <v>0</v>
      </c>
      <c r="AV132" s="121">
        <f>SUMIFS('7SepTo13Sep'!$L:$L, '7SepTo13Sep'!$J:$J, $A132)</f>
        <v>0</v>
      </c>
      <c r="AW132" s="121">
        <f>SUMIFS('7SepTo13Sep'!$K:$K, '7SepTo13Sep'!$J:$J, $A132)</f>
        <v>0</v>
      </c>
      <c r="AX132" s="121">
        <f>SUMIFS('7SepTo13Sep'!$O:$O, '7SepTo13Sep'!$J:$J, $A132)</f>
        <v>0</v>
      </c>
      <c r="AY132" s="121">
        <f>SUMIFS('7SepTo13Sep'!$P:$P, '7SepTo13Sep'!$J:$J, $A132)</f>
        <v>0</v>
      </c>
      <c r="AZ132" s="123">
        <f t="shared" si="9"/>
        <v>0</v>
      </c>
      <c r="BA132" s="121">
        <f>SUMIFS('31AugTo6Sep'!$L:$L, '31AugTo6Sep'!$J:$J, $A132)</f>
        <v>0</v>
      </c>
      <c r="BB132" s="121">
        <f>SUMIFS('31AugTo6Sep'!$K:$K, '31AugTo6Sep'!$J:$J, $A132)</f>
        <v>0</v>
      </c>
      <c r="BC132" s="121">
        <f>SUMIFS('31AugTo6Sep'!$O:$O, '31AugTo6Sep'!$J:$J, $A132)</f>
        <v>0</v>
      </c>
      <c r="BD132" s="121">
        <f>SUMIFS('31AugTo6Sep'!$P:$P, '31AugTo6Sep'!$J:$J, $A132)</f>
        <v>0</v>
      </c>
      <c r="BE132" s="123">
        <f t="shared" si="10"/>
        <v>0</v>
      </c>
      <c r="BF132" s="121">
        <f>SUMIFS('24AugTo29Aug'!$L:$L, '24AugTo29Aug'!$J:$J, $A132)</f>
        <v>0</v>
      </c>
      <c r="BG132" s="121">
        <f>SUMIFS('24AugTo29Aug'!$K:$K, '24AugTo29Aug'!$J:$J, $A132)</f>
        <v>0</v>
      </c>
      <c r="BH132" s="121">
        <f>SUMIFS('24AugTo29Aug'!$O:$O, '24AugTo29Aug'!$J:$J, $A132)</f>
        <v>0</v>
      </c>
      <c r="BI132" s="121">
        <f>SUMIFS('24AugTo29Aug'!$P:$P, '24AugTo29Aug'!$J:$J, $A132)</f>
        <v>0</v>
      </c>
      <c r="BJ132" s="123">
        <f t="shared" si="11"/>
        <v>0</v>
      </c>
      <c r="BK132" s="121">
        <f>SUMIFS('17AugTo21Aug'!$L:$L, '17AugTo21Aug'!$J:$J, $A132)</f>
        <v>1</v>
      </c>
      <c r="BL132" s="121">
        <f>SUMIFS('17AugTo21Aug'!$K:$K, '17AugTo21Aug'!$J:$J, $A132)</f>
        <v>8</v>
      </c>
      <c r="BM132" s="121">
        <f>SUMIFS('17AugTo21Aug'!$O:$O, '17AugTo21Aug'!$J:$J, $A132)</f>
        <v>2.5499999999999998</v>
      </c>
      <c r="BN132" s="121">
        <f>SUMIFS('17AugTo21Aug'!$P:$P, '17AugTo21Aug'!$J:$J, $A132)</f>
        <v>24.94</v>
      </c>
      <c r="BO132" s="123">
        <f t="shared" si="12"/>
        <v>10.224538893344025</v>
      </c>
      <c r="BP132" s="121">
        <f>SUMIFS('10AugTo16Aug'!$L:$L, '10AugTo16Aug'!$J:$J, $A132)</f>
        <v>0</v>
      </c>
      <c r="BQ132" s="121">
        <f>SUMIFS('10AugTo16Aug'!$K:$K, '10AugTo16Aug'!$J:$J, $A132)</f>
        <v>0</v>
      </c>
      <c r="BR132" s="121">
        <f>SUMIFS('10AugTo16Aug'!$O:$O, '10AugTo16Aug'!$J:$J, $A132)</f>
        <v>0</v>
      </c>
      <c r="BS132" s="121">
        <f>SUMIFS('10AugTo16Aug'!$P:$P, '10AugTo16Aug'!$J:$J, $A132)</f>
        <v>0</v>
      </c>
      <c r="BT132" s="123">
        <f t="shared" si="13"/>
        <v>0</v>
      </c>
      <c r="BU132" s="121">
        <f>SUMIFS('3AugTo9Aug'!$L:$L, '3AugTo9Aug'!$J:$J, $A132)</f>
        <v>0</v>
      </c>
      <c r="BV132" s="121">
        <f>SUMIFS('3AugTo9Aug'!$K:$K, '3AugTo9Aug'!$J:$J, $A132)</f>
        <v>0</v>
      </c>
      <c r="BW132" s="121">
        <f>SUMIFS('3AugTo9Aug'!$O:$O, '3AugTo9Aug'!$J:$J, $A132)</f>
        <v>0</v>
      </c>
      <c r="BX132" s="121">
        <f>SUMIFS('3AugTo9Aug'!$P:$P, '3AugTo9Aug'!$J:$J, $A132)</f>
        <v>0</v>
      </c>
      <c r="BY132" s="123">
        <f t="shared" si="14"/>
        <v>0</v>
      </c>
      <c r="BZ132" s="121">
        <f>SUMIFS('27JulyTo2Aug'!$L:$L, '27JulyTo2Aug'!$J:$J, $A132)</f>
        <v>0</v>
      </c>
      <c r="CA132" s="121">
        <f>SUMIFS('27JulyTo2Aug'!$K:$K, '27JulyTo2Aug'!$J:$J, $A132)</f>
        <v>0</v>
      </c>
      <c r="CB132" s="121">
        <f>SUMIFS('27JulyTo2Aug'!$O:$O, '27JulyTo2Aug'!$J:$J, $A132)</f>
        <v>0</v>
      </c>
      <c r="CC132" s="121">
        <f>SUMIFS('27JulyTo2Aug'!$P:$P, '27JulyTo2Aug'!$J:$J, $A132)</f>
        <v>0</v>
      </c>
      <c r="CD132" s="123">
        <f t="shared" si="15"/>
        <v>0</v>
      </c>
    </row>
    <row r="133" spans="1:82" ht="14.25" customHeight="1" x14ac:dyDescent="0.3">
      <c r="A133" s="124" t="s">
        <v>650</v>
      </c>
      <c r="B133" s="120" t="str">
        <f t="shared" si="18"/>
        <v>NO TRAFFIC</v>
      </c>
      <c r="C133" s="121">
        <f>SUMIFS('9NovTo15Nov'!$L:$L, '9NovTo15Nov'!$J:$J, $A133)</f>
        <v>0</v>
      </c>
      <c r="D133" s="121">
        <f>SUMIFS('9NovTo15Nov'!$K:$K, '9NovTo15Nov'!$J:$J, $A133)</f>
        <v>0</v>
      </c>
      <c r="E133" s="121">
        <f>SUMIFS('9NovTo15Nov'!$O:$O, '9NovTo15Nov'!$J:$J, $A133)</f>
        <v>0</v>
      </c>
      <c r="F133" s="121">
        <f>SUMIFS('9NovTo15Nov'!$P:$P, '9NovTo15Nov'!$J:$J, $A133)</f>
        <v>0</v>
      </c>
      <c r="G133" s="122">
        <f t="shared" si="0"/>
        <v>0</v>
      </c>
      <c r="H133" s="121">
        <f>SUMIFS('2NovTo8Nov'!$L:$L, '2NovTo8Nov'!$J:$J, $A133)</f>
        <v>0</v>
      </c>
      <c r="I133" s="121">
        <f>SUMIFS('2NovTo8Nov'!$K:$K, '2NovTo8Nov'!$J:$J, $A133)</f>
        <v>0</v>
      </c>
      <c r="J133" s="121">
        <f>SUMIFS('2NovTo8Nov'!$O:$O, '2NovTo8Nov'!$J:$J, $A133)</f>
        <v>0</v>
      </c>
      <c r="K133" s="121">
        <f>SUMIFS('2NovTo8Nov'!$P:$P, '2NovTo8Nov'!$J:$J, $A133)</f>
        <v>0</v>
      </c>
      <c r="L133" s="122">
        <f t="shared" si="1"/>
        <v>0</v>
      </c>
      <c r="M133" s="121">
        <f>SUMIFS('26OctTo1Nov'!$L:$L, '26OctTo1Nov'!$J:$J, $A133)</f>
        <v>0</v>
      </c>
      <c r="N133" s="121">
        <f>SUMIFS('26OctTo1Nov'!$K:$K, '26OctTo1Nov'!$J:$J, $A133)</f>
        <v>0</v>
      </c>
      <c r="O133" s="121">
        <f>SUMIFS('26OctTo1Nov'!$O:$O, '26OctTo1Nov'!$J:$J, $A133)</f>
        <v>0</v>
      </c>
      <c r="P133" s="121">
        <f>SUMIFS('26OctTo1Nov'!$P:$P, '26OctTo1Nov'!$J:$J, $A133)</f>
        <v>0</v>
      </c>
      <c r="Q133" s="122">
        <f t="shared" si="2"/>
        <v>0</v>
      </c>
      <c r="R133" s="121">
        <f>SUMIFS('19OctTo25Oct'!$L:$L, '19OctTo25Oct'!$J:$J, $A133)</f>
        <v>0</v>
      </c>
      <c r="S133" s="121">
        <f>SUMIFS('19OctTo25Oct'!$K:$K, '19OctTo25Oct'!$J:$J, $A133)</f>
        <v>0</v>
      </c>
      <c r="T133" s="121">
        <f>SUMIFS('19OctTo25Oct'!$O:$O, '19OctTo25Oct'!$J:$J, $A133)</f>
        <v>0</v>
      </c>
      <c r="U133" s="121">
        <f>SUMIFS('19OctTo25Oct'!$P:$P, '19OctTo25Oct'!$J:$J, $A133)</f>
        <v>0</v>
      </c>
      <c r="V133" s="122">
        <f t="shared" si="3"/>
        <v>0</v>
      </c>
      <c r="W133" s="121">
        <f>SUMIFS('12OctTo18Oct'!$L:$L, '12OctTo18Oct'!$J:$J, $A133)</f>
        <v>0</v>
      </c>
      <c r="X133" s="121">
        <f>SUMIFS('12OctTo18Oct'!$K:$K, '12OctTo18Oct'!$J:$J, $A133)</f>
        <v>0</v>
      </c>
      <c r="Y133" s="121">
        <f>SUMIFS('12OctTo18Oct'!$O:$O, '12OctTo18Oct'!$J:$J, $A133)</f>
        <v>0</v>
      </c>
      <c r="Z133" s="121">
        <f>SUMIFS('12OctTo18Oct'!$P:$P, '12OctTo18Oct'!$J:$J, $A133)</f>
        <v>0</v>
      </c>
      <c r="AA133" s="122">
        <f t="shared" si="4"/>
        <v>0</v>
      </c>
      <c r="AB133" s="121">
        <f>SUMIFS('5OctTo11Oct'!$L:$L, '5OctTo11Oct'!$J:$J, $A133)</f>
        <v>0</v>
      </c>
      <c r="AC133" s="121">
        <f>SUMIFS('5OctTo11Oct'!$K:$K, '5OctTo11Oct'!$J:$J, $A133)</f>
        <v>0</v>
      </c>
      <c r="AD133" s="121">
        <f>SUMIFS('5OctTo11Oct'!$O:$O, '5OctTo11Oct'!$J:$J, $A133)</f>
        <v>0</v>
      </c>
      <c r="AE133" s="121">
        <f>SUMIFS('5OctTo11Oct'!$P:$P, '5OctTo11Oct'!$J:$J, $A133)</f>
        <v>0</v>
      </c>
      <c r="AF133" s="123">
        <f t="shared" si="5"/>
        <v>0</v>
      </c>
      <c r="AG133" s="121">
        <f>SUMIFS('28SepTo4Oct'!$L:$L, '28SepTo4Oct'!$J:$J, $A133)</f>
        <v>0</v>
      </c>
      <c r="AH133" s="121">
        <f>SUMIFS('28SepTo4Oct'!$K:$K, '28SepTo4Oct'!$J:$J, $A133)</f>
        <v>0</v>
      </c>
      <c r="AI133" s="121">
        <f>SUMIFS('28SepTo4Oct'!$O:$O, '28SepTo4Oct'!$J:$J, $A133)</f>
        <v>0</v>
      </c>
      <c r="AJ133" s="121">
        <f>SUMIFS('28SepTo4Oct'!$P:$P, '28SepTo4Oct'!$J:$J, $A133)</f>
        <v>0</v>
      </c>
      <c r="AK133" s="123">
        <f t="shared" si="6"/>
        <v>0</v>
      </c>
      <c r="AL133" s="121">
        <f>SUMIFS('21SepTo27Sep'!$L:$L, '21SepTo27Sep'!$J:$J, $A133)</f>
        <v>0</v>
      </c>
      <c r="AM133" s="121">
        <f>SUMIFS('21SepTo27Sep'!$K:$K, '21SepTo27Sep'!$J:$J, $A133)</f>
        <v>0</v>
      </c>
      <c r="AN133" s="121">
        <f>SUMIFS('21SepTo27Sep'!$O:$O, '21SepTo27Sep'!$J:$J, $A133)</f>
        <v>0</v>
      </c>
      <c r="AO133" s="121">
        <f>SUMIFS('21SepTo27Sep'!$P:$P, '21SepTo27Sep'!$J:$J, $A133)</f>
        <v>0</v>
      </c>
      <c r="AP133" s="123">
        <f t="shared" si="7"/>
        <v>0</v>
      </c>
      <c r="AQ133" s="121">
        <f>SUMIFS('14SepTo20Sep'!$L:$L, '14SepTo20Sep'!$J:$J, $A133)</f>
        <v>0</v>
      </c>
      <c r="AR133" s="121">
        <f>SUMIFS('14SepTo20Sep'!$K:$K, '14SepTo20Sep'!$J:$J, $A133)</f>
        <v>0</v>
      </c>
      <c r="AS133" s="121">
        <f>SUMIFS('14SepTo20Sep'!$O:$O, '14SepTo20Sep'!$J:$J, $A133)</f>
        <v>0</v>
      </c>
      <c r="AT133" s="121">
        <f>SUMIFS('14SepTo20Sep'!$P:$P, '14SepTo20Sep'!$J:$J, $A133)</f>
        <v>0</v>
      </c>
      <c r="AU133" s="123">
        <f t="shared" si="8"/>
        <v>0</v>
      </c>
      <c r="AV133" s="121">
        <f>SUMIFS('7SepTo13Sep'!$L:$L, '7SepTo13Sep'!$J:$J, $A133)</f>
        <v>0</v>
      </c>
      <c r="AW133" s="121">
        <f>SUMIFS('7SepTo13Sep'!$K:$K, '7SepTo13Sep'!$J:$J, $A133)</f>
        <v>0</v>
      </c>
      <c r="AX133" s="121">
        <f>SUMIFS('7SepTo13Sep'!$O:$O, '7SepTo13Sep'!$J:$J, $A133)</f>
        <v>0</v>
      </c>
      <c r="AY133" s="121">
        <f>SUMIFS('7SepTo13Sep'!$P:$P, '7SepTo13Sep'!$J:$J, $A133)</f>
        <v>0</v>
      </c>
      <c r="AZ133" s="123">
        <f t="shared" si="9"/>
        <v>0</v>
      </c>
      <c r="BA133" s="121">
        <f>SUMIFS('31AugTo6Sep'!$L:$L, '31AugTo6Sep'!$J:$J, $A133)</f>
        <v>0</v>
      </c>
      <c r="BB133" s="121">
        <f>SUMIFS('31AugTo6Sep'!$K:$K, '31AugTo6Sep'!$J:$J, $A133)</f>
        <v>0</v>
      </c>
      <c r="BC133" s="121">
        <f>SUMIFS('31AugTo6Sep'!$O:$O, '31AugTo6Sep'!$J:$J, $A133)</f>
        <v>0</v>
      </c>
      <c r="BD133" s="121">
        <f>SUMIFS('31AugTo6Sep'!$P:$P, '31AugTo6Sep'!$J:$J, $A133)</f>
        <v>0</v>
      </c>
      <c r="BE133" s="123">
        <f t="shared" si="10"/>
        <v>0</v>
      </c>
      <c r="BF133" s="121">
        <f>SUMIFS('24AugTo29Aug'!$L:$L, '24AugTo29Aug'!$J:$J, $A133)</f>
        <v>0</v>
      </c>
      <c r="BG133" s="121">
        <f>SUMIFS('24AugTo29Aug'!$K:$K, '24AugTo29Aug'!$J:$J, $A133)</f>
        <v>0</v>
      </c>
      <c r="BH133" s="121">
        <f>SUMIFS('24AugTo29Aug'!$O:$O, '24AugTo29Aug'!$J:$J, $A133)</f>
        <v>0</v>
      </c>
      <c r="BI133" s="121">
        <f>SUMIFS('24AugTo29Aug'!$P:$P, '24AugTo29Aug'!$J:$J, $A133)</f>
        <v>0</v>
      </c>
      <c r="BJ133" s="123">
        <f t="shared" si="11"/>
        <v>0</v>
      </c>
      <c r="BK133" s="121">
        <f>SUMIFS('17AugTo21Aug'!$L:$L, '17AugTo21Aug'!$J:$J, $A133)</f>
        <v>1</v>
      </c>
      <c r="BL133" s="121">
        <f>SUMIFS('17AugTo21Aug'!$K:$K, '17AugTo21Aug'!$J:$J, $A133)</f>
        <v>2</v>
      </c>
      <c r="BM133" s="121">
        <f>SUMIFS('17AugTo21Aug'!$O:$O, '17AugTo21Aug'!$J:$J, $A133)</f>
        <v>3.08</v>
      </c>
      <c r="BN133" s="121">
        <f>SUMIFS('17AugTo21Aug'!$P:$P, '17AugTo21Aug'!$J:$J, $A133)</f>
        <v>21.95</v>
      </c>
      <c r="BO133" s="123">
        <f t="shared" si="12"/>
        <v>14.031890660592255</v>
      </c>
      <c r="BP133" s="121">
        <f>SUMIFS('10AugTo16Aug'!$L:$L, '10AugTo16Aug'!$J:$J, $A133)</f>
        <v>0</v>
      </c>
      <c r="BQ133" s="121">
        <f>SUMIFS('10AugTo16Aug'!$K:$K, '10AugTo16Aug'!$J:$J, $A133)</f>
        <v>0</v>
      </c>
      <c r="BR133" s="121">
        <f>SUMIFS('10AugTo16Aug'!$O:$O, '10AugTo16Aug'!$J:$J, $A133)</f>
        <v>0</v>
      </c>
      <c r="BS133" s="121">
        <f>SUMIFS('10AugTo16Aug'!$P:$P, '10AugTo16Aug'!$J:$J, $A133)</f>
        <v>0</v>
      </c>
      <c r="BT133" s="123">
        <f t="shared" si="13"/>
        <v>0</v>
      </c>
      <c r="BU133" s="121">
        <f>SUMIFS('3AugTo9Aug'!$L:$L, '3AugTo9Aug'!$J:$J, $A133)</f>
        <v>0</v>
      </c>
      <c r="BV133" s="121">
        <f>SUMIFS('3AugTo9Aug'!$K:$K, '3AugTo9Aug'!$J:$J, $A133)</f>
        <v>0</v>
      </c>
      <c r="BW133" s="121">
        <f>SUMIFS('3AugTo9Aug'!$O:$O, '3AugTo9Aug'!$J:$J, $A133)</f>
        <v>0</v>
      </c>
      <c r="BX133" s="121">
        <f>SUMIFS('3AugTo9Aug'!$P:$P, '3AugTo9Aug'!$J:$J, $A133)</f>
        <v>0</v>
      </c>
      <c r="BY133" s="123">
        <f t="shared" si="14"/>
        <v>0</v>
      </c>
      <c r="BZ133" s="121">
        <f>SUMIFS('27JulyTo2Aug'!$L:$L, '27JulyTo2Aug'!$J:$J, $A133)</f>
        <v>0</v>
      </c>
      <c r="CA133" s="121">
        <f>SUMIFS('27JulyTo2Aug'!$K:$K, '27JulyTo2Aug'!$J:$J, $A133)</f>
        <v>0</v>
      </c>
      <c r="CB133" s="121">
        <f>SUMIFS('27JulyTo2Aug'!$O:$O, '27JulyTo2Aug'!$J:$J, $A133)</f>
        <v>0</v>
      </c>
      <c r="CC133" s="121">
        <f>SUMIFS('27JulyTo2Aug'!$P:$P, '27JulyTo2Aug'!$J:$J, $A133)</f>
        <v>0</v>
      </c>
      <c r="CD133" s="123">
        <f t="shared" si="15"/>
        <v>0</v>
      </c>
    </row>
    <row r="134" spans="1:82" ht="14.25" customHeight="1" x14ac:dyDescent="0.3">
      <c r="A134" s="124" t="s">
        <v>651</v>
      </c>
      <c r="B134" s="120" t="str">
        <f t="shared" si="18"/>
        <v>NO TRAFFIC</v>
      </c>
      <c r="C134" s="121">
        <f>SUMIFS('9NovTo15Nov'!$L:$L, '9NovTo15Nov'!$J:$J, $A134)</f>
        <v>0</v>
      </c>
      <c r="D134" s="121">
        <f>SUMIFS('9NovTo15Nov'!$K:$K, '9NovTo15Nov'!$J:$J, $A134)</f>
        <v>0</v>
      </c>
      <c r="E134" s="121">
        <f>SUMIFS('9NovTo15Nov'!$O:$O, '9NovTo15Nov'!$J:$J, $A134)</f>
        <v>0</v>
      </c>
      <c r="F134" s="121">
        <f>SUMIFS('9NovTo15Nov'!$P:$P, '9NovTo15Nov'!$J:$J, $A134)</f>
        <v>0</v>
      </c>
      <c r="G134" s="122">
        <f t="shared" si="0"/>
        <v>0</v>
      </c>
      <c r="H134" s="121">
        <f>SUMIFS('2NovTo8Nov'!$L:$L, '2NovTo8Nov'!$J:$J, $A134)</f>
        <v>0</v>
      </c>
      <c r="I134" s="121">
        <f>SUMIFS('2NovTo8Nov'!$K:$K, '2NovTo8Nov'!$J:$J, $A134)</f>
        <v>0</v>
      </c>
      <c r="J134" s="121">
        <f>SUMIFS('2NovTo8Nov'!$O:$O, '2NovTo8Nov'!$J:$J, $A134)</f>
        <v>0</v>
      </c>
      <c r="K134" s="121">
        <f>SUMIFS('2NovTo8Nov'!$P:$P, '2NovTo8Nov'!$J:$J, $A134)</f>
        <v>0</v>
      </c>
      <c r="L134" s="122">
        <f t="shared" si="1"/>
        <v>0</v>
      </c>
      <c r="M134" s="121">
        <f>SUMIFS('26OctTo1Nov'!$L:$L, '26OctTo1Nov'!$J:$J, $A134)</f>
        <v>0</v>
      </c>
      <c r="N134" s="121">
        <f>SUMIFS('26OctTo1Nov'!$K:$K, '26OctTo1Nov'!$J:$J, $A134)</f>
        <v>0</v>
      </c>
      <c r="O134" s="121">
        <f>SUMIFS('26OctTo1Nov'!$O:$O, '26OctTo1Nov'!$J:$J, $A134)</f>
        <v>0</v>
      </c>
      <c r="P134" s="121">
        <f>SUMIFS('26OctTo1Nov'!$P:$P, '26OctTo1Nov'!$J:$J, $A134)</f>
        <v>0</v>
      </c>
      <c r="Q134" s="122">
        <f t="shared" si="2"/>
        <v>0</v>
      </c>
      <c r="R134" s="121">
        <f>SUMIFS('19OctTo25Oct'!$L:$L, '19OctTo25Oct'!$J:$J, $A134)</f>
        <v>0</v>
      </c>
      <c r="S134" s="121">
        <f>SUMIFS('19OctTo25Oct'!$K:$K, '19OctTo25Oct'!$J:$J, $A134)</f>
        <v>0</v>
      </c>
      <c r="T134" s="121">
        <f>SUMIFS('19OctTo25Oct'!$O:$O, '19OctTo25Oct'!$J:$J, $A134)</f>
        <v>0</v>
      </c>
      <c r="U134" s="121">
        <f>SUMIFS('19OctTo25Oct'!$P:$P, '19OctTo25Oct'!$J:$J, $A134)</f>
        <v>0</v>
      </c>
      <c r="V134" s="122">
        <f t="shared" si="3"/>
        <v>0</v>
      </c>
      <c r="W134" s="121">
        <f>SUMIFS('12OctTo18Oct'!$L:$L, '12OctTo18Oct'!$J:$J, $A134)</f>
        <v>0</v>
      </c>
      <c r="X134" s="121">
        <f>SUMIFS('12OctTo18Oct'!$K:$K, '12OctTo18Oct'!$J:$J, $A134)</f>
        <v>0</v>
      </c>
      <c r="Y134" s="121">
        <f>SUMIFS('12OctTo18Oct'!$O:$O, '12OctTo18Oct'!$J:$J, $A134)</f>
        <v>0</v>
      </c>
      <c r="Z134" s="121">
        <f>SUMIFS('12OctTo18Oct'!$P:$P, '12OctTo18Oct'!$J:$J, $A134)</f>
        <v>0</v>
      </c>
      <c r="AA134" s="122">
        <f t="shared" si="4"/>
        <v>0</v>
      </c>
      <c r="AB134" s="121">
        <f>SUMIFS('5OctTo11Oct'!$L:$L, '5OctTo11Oct'!$J:$J, $A134)</f>
        <v>0</v>
      </c>
      <c r="AC134" s="121">
        <f>SUMIFS('5OctTo11Oct'!$K:$K, '5OctTo11Oct'!$J:$J, $A134)</f>
        <v>0</v>
      </c>
      <c r="AD134" s="121">
        <f>SUMIFS('5OctTo11Oct'!$O:$O, '5OctTo11Oct'!$J:$J, $A134)</f>
        <v>0</v>
      </c>
      <c r="AE134" s="121">
        <f>SUMIFS('5OctTo11Oct'!$P:$P, '5OctTo11Oct'!$J:$J, $A134)</f>
        <v>0</v>
      </c>
      <c r="AF134" s="123">
        <f t="shared" si="5"/>
        <v>0</v>
      </c>
      <c r="AG134" s="121">
        <f>SUMIFS('28SepTo4Oct'!$L:$L, '28SepTo4Oct'!$J:$J, $A134)</f>
        <v>0</v>
      </c>
      <c r="AH134" s="121">
        <f>SUMIFS('28SepTo4Oct'!$K:$K, '28SepTo4Oct'!$J:$J, $A134)</f>
        <v>0</v>
      </c>
      <c r="AI134" s="121">
        <f>SUMIFS('28SepTo4Oct'!$O:$O, '28SepTo4Oct'!$J:$J, $A134)</f>
        <v>0</v>
      </c>
      <c r="AJ134" s="121">
        <f>SUMIFS('28SepTo4Oct'!$P:$P, '28SepTo4Oct'!$J:$J, $A134)</f>
        <v>0</v>
      </c>
      <c r="AK134" s="123">
        <f t="shared" si="6"/>
        <v>0</v>
      </c>
      <c r="AL134" s="121">
        <f>SUMIFS('21SepTo27Sep'!$L:$L, '21SepTo27Sep'!$J:$J, $A134)</f>
        <v>0</v>
      </c>
      <c r="AM134" s="121">
        <f>SUMIFS('21SepTo27Sep'!$K:$K, '21SepTo27Sep'!$J:$J, $A134)</f>
        <v>0</v>
      </c>
      <c r="AN134" s="121">
        <f>SUMIFS('21SepTo27Sep'!$O:$O, '21SepTo27Sep'!$J:$J, $A134)</f>
        <v>0</v>
      </c>
      <c r="AO134" s="121">
        <f>SUMIFS('21SepTo27Sep'!$P:$P, '21SepTo27Sep'!$J:$J, $A134)</f>
        <v>0</v>
      </c>
      <c r="AP134" s="123">
        <f t="shared" si="7"/>
        <v>0</v>
      </c>
      <c r="AQ134" s="121">
        <f>SUMIFS('14SepTo20Sep'!$L:$L, '14SepTo20Sep'!$J:$J, $A134)</f>
        <v>0</v>
      </c>
      <c r="AR134" s="121">
        <f>SUMIFS('14SepTo20Sep'!$K:$K, '14SepTo20Sep'!$J:$J, $A134)</f>
        <v>0</v>
      </c>
      <c r="AS134" s="121">
        <f>SUMIFS('14SepTo20Sep'!$O:$O, '14SepTo20Sep'!$J:$J, $A134)</f>
        <v>0</v>
      </c>
      <c r="AT134" s="121">
        <f>SUMIFS('14SepTo20Sep'!$P:$P, '14SepTo20Sep'!$J:$J, $A134)</f>
        <v>0</v>
      </c>
      <c r="AU134" s="123">
        <f t="shared" si="8"/>
        <v>0</v>
      </c>
      <c r="AV134" s="121">
        <f>SUMIFS('7SepTo13Sep'!$L:$L, '7SepTo13Sep'!$J:$J, $A134)</f>
        <v>0</v>
      </c>
      <c r="AW134" s="121">
        <f>SUMIFS('7SepTo13Sep'!$K:$K, '7SepTo13Sep'!$J:$J, $A134)</f>
        <v>0</v>
      </c>
      <c r="AX134" s="121">
        <f>SUMIFS('7SepTo13Sep'!$O:$O, '7SepTo13Sep'!$J:$J, $A134)</f>
        <v>0</v>
      </c>
      <c r="AY134" s="121">
        <f>SUMIFS('7SepTo13Sep'!$P:$P, '7SepTo13Sep'!$J:$J, $A134)</f>
        <v>0</v>
      </c>
      <c r="AZ134" s="123">
        <f t="shared" si="9"/>
        <v>0</v>
      </c>
      <c r="BA134" s="121">
        <f>SUMIFS('31AugTo6Sep'!$L:$L, '31AugTo6Sep'!$J:$J, $A134)</f>
        <v>0</v>
      </c>
      <c r="BB134" s="121">
        <f>SUMIFS('31AugTo6Sep'!$K:$K, '31AugTo6Sep'!$J:$J, $A134)</f>
        <v>0</v>
      </c>
      <c r="BC134" s="121">
        <f>SUMIFS('31AugTo6Sep'!$O:$O, '31AugTo6Sep'!$J:$J, $A134)</f>
        <v>0</v>
      </c>
      <c r="BD134" s="121">
        <f>SUMIFS('31AugTo6Sep'!$P:$P, '31AugTo6Sep'!$J:$J, $A134)</f>
        <v>0</v>
      </c>
      <c r="BE134" s="123">
        <f t="shared" si="10"/>
        <v>0</v>
      </c>
      <c r="BF134" s="121">
        <f>SUMIFS('24AugTo29Aug'!$L:$L, '24AugTo29Aug'!$J:$J, $A134)</f>
        <v>0</v>
      </c>
      <c r="BG134" s="121">
        <f>SUMIFS('24AugTo29Aug'!$K:$K, '24AugTo29Aug'!$J:$J, $A134)</f>
        <v>0</v>
      </c>
      <c r="BH134" s="121">
        <f>SUMIFS('24AugTo29Aug'!$O:$O, '24AugTo29Aug'!$J:$J, $A134)</f>
        <v>0</v>
      </c>
      <c r="BI134" s="121">
        <f>SUMIFS('24AugTo29Aug'!$P:$P, '24AugTo29Aug'!$J:$J, $A134)</f>
        <v>0</v>
      </c>
      <c r="BJ134" s="123">
        <f t="shared" si="11"/>
        <v>0</v>
      </c>
      <c r="BK134" s="121">
        <f>SUMIFS('17AugTo21Aug'!$L:$L, '17AugTo21Aug'!$J:$J, $A134)</f>
        <v>1</v>
      </c>
      <c r="BL134" s="121">
        <f>SUMIFS('17AugTo21Aug'!$K:$K, '17AugTo21Aug'!$J:$J, $A134)</f>
        <v>1</v>
      </c>
      <c r="BM134" s="121">
        <f>SUMIFS('17AugTo21Aug'!$O:$O, '17AugTo21Aug'!$J:$J, $A134)</f>
        <v>3.72</v>
      </c>
      <c r="BN134" s="121">
        <f>SUMIFS('17AugTo21Aug'!$P:$P, '17AugTo21Aug'!$J:$J, $A134)</f>
        <v>29.99</v>
      </c>
      <c r="BO134" s="123">
        <f t="shared" si="12"/>
        <v>12.404134711570524</v>
      </c>
      <c r="BP134" s="121">
        <f>SUMIFS('10AugTo16Aug'!$L:$L, '10AugTo16Aug'!$J:$J, $A134)</f>
        <v>0</v>
      </c>
      <c r="BQ134" s="121">
        <f>SUMIFS('10AugTo16Aug'!$K:$K, '10AugTo16Aug'!$J:$J, $A134)</f>
        <v>0</v>
      </c>
      <c r="BR134" s="121">
        <f>SUMIFS('10AugTo16Aug'!$O:$O, '10AugTo16Aug'!$J:$J, $A134)</f>
        <v>0</v>
      </c>
      <c r="BS134" s="121">
        <f>SUMIFS('10AugTo16Aug'!$P:$P, '10AugTo16Aug'!$J:$J, $A134)</f>
        <v>0</v>
      </c>
      <c r="BT134" s="123">
        <f t="shared" si="13"/>
        <v>0</v>
      </c>
      <c r="BU134" s="121">
        <f>SUMIFS('3AugTo9Aug'!$L:$L, '3AugTo9Aug'!$J:$J, $A134)</f>
        <v>0</v>
      </c>
      <c r="BV134" s="121">
        <f>SUMIFS('3AugTo9Aug'!$K:$K, '3AugTo9Aug'!$J:$J, $A134)</f>
        <v>0</v>
      </c>
      <c r="BW134" s="121">
        <f>SUMIFS('3AugTo9Aug'!$O:$O, '3AugTo9Aug'!$J:$J, $A134)</f>
        <v>0</v>
      </c>
      <c r="BX134" s="121">
        <f>SUMIFS('3AugTo9Aug'!$P:$P, '3AugTo9Aug'!$J:$J, $A134)</f>
        <v>0</v>
      </c>
      <c r="BY134" s="123">
        <f t="shared" si="14"/>
        <v>0</v>
      </c>
      <c r="BZ134" s="121">
        <f>SUMIFS('27JulyTo2Aug'!$L:$L, '27JulyTo2Aug'!$J:$J, $A134)</f>
        <v>0</v>
      </c>
      <c r="CA134" s="121">
        <f>SUMIFS('27JulyTo2Aug'!$K:$K, '27JulyTo2Aug'!$J:$J, $A134)</f>
        <v>0</v>
      </c>
      <c r="CB134" s="121">
        <f>SUMIFS('27JulyTo2Aug'!$O:$O, '27JulyTo2Aug'!$J:$J, $A134)</f>
        <v>0</v>
      </c>
      <c r="CC134" s="121">
        <f>SUMIFS('27JulyTo2Aug'!$P:$P, '27JulyTo2Aug'!$J:$J, $A134)</f>
        <v>0</v>
      </c>
      <c r="CD134" s="123">
        <f t="shared" si="15"/>
        <v>0</v>
      </c>
    </row>
    <row r="135" spans="1:82" ht="14.25" customHeight="1" x14ac:dyDescent="0.3">
      <c r="A135" s="124" t="s">
        <v>652</v>
      </c>
      <c r="B135" s="120" t="str">
        <f t="shared" si="18"/>
        <v>NO TRAFFIC</v>
      </c>
      <c r="C135" s="121">
        <f>SUMIFS('9NovTo15Nov'!$L:$L, '9NovTo15Nov'!$J:$J, $A135)</f>
        <v>0</v>
      </c>
      <c r="D135" s="121">
        <f>SUMIFS('9NovTo15Nov'!$K:$K, '9NovTo15Nov'!$J:$J, $A135)</f>
        <v>0</v>
      </c>
      <c r="E135" s="121">
        <f>SUMIFS('9NovTo15Nov'!$O:$O, '9NovTo15Nov'!$J:$J, $A135)</f>
        <v>0</v>
      </c>
      <c r="F135" s="121">
        <f>SUMIFS('9NovTo15Nov'!$P:$P, '9NovTo15Nov'!$J:$J, $A135)</f>
        <v>0</v>
      </c>
      <c r="G135" s="122">
        <f t="shared" si="0"/>
        <v>0</v>
      </c>
      <c r="H135" s="121">
        <f>SUMIFS('2NovTo8Nov'!$L:$L, '2NovTo8Nov'!$J:$J, $A135)</f>
        <v>0</v>
      </c>
      <c r="I135" s="121">
        <f>SUMIFS('2NovTo8Nov'!$K:$K, '2NovTo8Nov'!$J:$J, $A135)</f>
        <v>0</v>
      </c>
      <c r="J135" s="121">
        <f>SUMIFS('2NovTo8Nov'!$O:$O, '2NovTo8Nov'!$J:$J, $A135)</f>
        <v>0</v>
      </c>
      <c r="K135" s="121">
        <f>SUMIFS('2NovTo8Nov'!$P:$P, '2NovTo8Nov'!$J:$J, $A135)</f>
        <v>0</v>
      </c>
      <c r="L135" s="122">
        <f t="shared" si="1"/>
        <v>0</v>
      </c>
      <c r="M135" s="121">
        <f>SUMIFS('26OctTo1Nov'!$L:$L, '26OctTo1Nov'!$J:$J, $A135)</f>
        <v>0</v>
      </c>
      <c r="N135" s="121">
        <f>SUMIFS('26OctTo1Nov'!$K:$K, '26OctTo1Nov'!$J:$J, $A135)</f>
        <v>0</v>
      </c>
      <c r="O135" s="121">
        <f>SUMIFS('26OctTo1Nov'!$O:$O, '26OctTo1Nov'!$J:$J, $A135)</f>
        <v>0</v>
      </c>
      <c r="P135" s="121">
        <f>SUMIFS('26OctTo1Nov'!$P:$P, '26OctTo1Nov'!$J:$J, $A135)</f>
        <v>0</v>
      </c>
      <c r="Q135" s="122">
        <f t="shared" si="2"/>
        <v>0</v>
      </c>
      <c r="R135" s="121">
        <f>SUMIFS('19OctTo25Oct'!$L:$L, '19OctTo25Oct'!$J:$J, $A135)</f>
        <v>0</v>
      </c>
      <c r="S135" s="121">
        <f>SUMIFS('19OctTo25Oct'!$K:$K, '19OctTo25Oct'!$J:$J, $A135)</f>
        <v>0</v>
      </c>
      <c r="T135" s="121">
        <f>SUMIFS('19OctTo25Oct'!$O:$O, '19OctTo25Oct'!$J:$J, $A135)</f>
        <v>0</v>
      </c>
      <c r="U135" s="121">
        <f>SUMIFS('19OctTo25Oct'!$P:$P, '19OctTo25Oct'!$J:$J, $A135)</f>
        <v>0</v>
      </c>
      <c r="V135" s="122">
        <f t="shared" si="3"/>
        <v>0</v>
      </c>
      <c r="W135" s="121">
        <f>SUMIFS('12OctTo18Oct'!$L:$L, '12OctTo18Oct'!$J:$J, $A135)</f>
        <v>0</v>
      </c>
      <c r="X135" s="121">
        <f>SUMIFS('12OctTo18Oct'!$K:$K, '12OctTo18Oct'!$J:$J, $A135)</f>
        <v>0</v>
      </c>
      <c r="Y135" s="121">
        <f>SUMIFS('12OctTo18Oct'!$O:$O, '12OctTo18Oct'!$J:$J, $A135)</f>
        <v>0</v>
      </c>
      <c r="Z135" s="121">
        <f>SUMIFS('12OctTo18Oct'!$P:$P, '12OctTo18Oct'!$J:$J, $A135)</f>
        <v>0</v>
      </c>
      <c r="AA135" s="122">
        <f t="shared" si="4"/>
        <v>0</v>
      </c>
      <c r="AB135" s="121">
        <f>SUMIFS('5OctTo11Oct'!$L:$L, '5OctTo11Oct'!$J:$J, $A135)</f>
        <v>0</v>
      </c>
      <c r="AC135" s="121">
        <f>SUMIFS('5OctTo11Oct'!$K:$K, '5OctTo11Oct'!$J:$J, $A135)</f>
        <v>0</v>
      </c>
      <c r="AD135" s="121">
        <f>SUMIFS('5OctTo11Oct'!$O:$O, '5OctTo11Oct'!$J:$J, $A135)</f>
        <v>0</v>
      </c>
      <c r="AE135" s="121">
        <f>SUMIFS('5OctTo11Oct'!$P:$P, '5OctTo11Oct'!$J:$J, $A135)</f>
        <v>0</v>
      </c>
      <c r="AF135" s="123">
        <f t="shared" si="5"/>
        <v>0</v>
      </c>
      <c r="AG135" s="121">
        <f>SUMIFS('28SepTo4Oct'!$L:$L, '28SepTo4Oct'!$J:$J, $A135)</f>
        <v>0</v>
      </c>
      <c r="AH135" s="121">
        <f>SUMIFS('28SepTo4Oct'!$K:$K, '28SepTo4Oct'!$J:$J, $A135)</f>
        <v>0</v>
      </c>
      <c r="AI135" s="121">
        <f>SUMIFS('28SepTo4Oct'!$O:$O, '28SepTo4Oct'!$J:$J, $A135)</f>
        <v>0</v>
      </c>
      <c r="AJ135" s="121">
        <f>SUMIFS('28SepTo4Oct'!$P:$P, '28SepTo4Oct'!$J:$J, $A135)</f>
        <v>0</v>
      </c>
      <c r="AK135" s="123">
        <f t="shared" si="6"/>
        <v>0</v>
      </c>
      <c r="AL135" s="121">
        <f>SUMIFS('21SepTo27Sep'!$L:$L, '21SepTo27Sep'!$J:$J, $A135)</f>
        <v>0</v>
      </c>
      <c r="AM135" s="121">
        <f>SUMIFS('21SepTo27Sep'!$K:$K, '21SepTo27Sep'!$J:$J, $A135)</f>
        <v>0</v>
      </c>
      <c r="AN135" s="121">
        <f>SUMIFS('21SepTo27Sep'!$O:$O, '21SepTo27Sep'!$J:$J, $A135)</f>
        <v>0</v>
      </c>
      <c r="AO135" s="121">
        <f>SUMIFS('21SepTo27Sep'!$P:$P, '21SepTo27Sep'!$J:$J, $A135)</f>
        <v>0</v>
      </c>
      <c r="AP135" s="123">
        <f t="shared" si="7"/>
        <v>0</v>
      </c>
      <c r="AQ135" s="121">
        <f>SUMIFS('14SepTo20Sep'!$L:$L, '14SepTo20Sep'!$J:$J, $A135)</f>
        <v>0</v>
      </c>
      <c r="AR135" s="121">
        <f>SUMIFS('14SepTo20Sep'!$K:$K, '14SepTo20Sep'!$J:$J, $A135)</f>
        <v>0</v>
      </c>
      <c r="AS135" s="121">
        <f>SUMIFS('14SepTo20Sep'!$O:$O, '14SepTo20Sep'!$J:$J, $A135)</f>
        <v>0</v>
      </c>
      <c r="AT135" s="121">
        <f>SUMIFS('14SepTo20Sep'!$P:$P, '14SepTo20Sep'!$J:$J, $A135)</f>
        <v>0</v>
      </c>
      <c r="AU135" s="123">
        <f t="shared" si="8"/>
        <v>0</v>
      </c>
      <c r="AV135" s="121">
        <f>SUMIFS('7SepTo13Sep'!$L:$L, '7SepTo13Sep'!$J:$J, $A135)</f>
        <v>0</v>
      </c>
      <c r="AW135" s="121">
        <f>SUMIFS('7SepTo13Sep'!$K:$K, '7SepTo13Sep'!$J:$J, $A135)</f>
        <v>0</v>
      </c>
      <c r="AX135" s="121">
        <f>SUMIFS('7SepTo13Sep'!$O:$O, '7SepTo13Sep'!$J:$J, $A135)</f>
        <v>0</v>
      </c>
      <c r="AY135" s="121">
        <f>SUMIFS('7SepTo13Sep'!$P:$P, '7SepTo13Sep'!$J:$J, $A135)</f>
        <v>0</v>
      </c>
      <c r="AZ135" s="123">
        <f t="shared" si="9"/>
        <v>0</v>
      </c>
      <c r="BA135" s="121">
        <f>SUMIFS('31AugTo6Sep'!$L:$L, '31AugTo6Sep'!$J:$J, $A135)</f>
        <v>0</v>
      </c>
      <c r="BB135" s="121">
        <f>SUMIFS('31AugTo6Sep'!$K:$K, '31AugTo6Sep'!$J:$J, $A135)</f>
        <v>0</v>
      </c>
      <c r="BC135" s="121">
        <f>SUMIFS('31AugTo6Sep'!$O:$O, '31AugTo6Sep'!$J:$J, $A135)</f>
        <v>0</v>
      </c>
      <c r="BD135" s="121">
        <f>SUMIFS('31AugTo6Sep'!$P:$P, '31AugTo6Sep'!$J:$J, $A135)</f>
        <v>0</v>
      </c>
      <c r="BE135" s="123">
        <f t="shared" si="10"/>
        <v>0</v>
      </c>
      <c r="BF135" s="121">
        <f>SUMIFS('24AugTo29Aug'!$L:$L, '24AugTo29Aug'!$J:$J, $A135)</f>
        <v>0</v>
      </c>
      <c r="BG135" s="121">
        <f>SUMIFS('24AugTo29Aug'!$K:$K, '24AugTo29Aug'!$J:$J, $A135)</f>
        <v>0</v>
      </c>
      <c r="BH135" s="121">
        <f>SUMIFS('24AugTo29Aug'!$O:$O, '24AugTo29Aug'!$J:$J, $A135)</f>
        <v>0</v>
      </c>
      <c r="BI135" s="121">
        <f>SUMIFS('24AugTo29Aug'!$P:$P, '24AugTo29Aug'!$J:$J, $A135)</f>
        <v>0</v>
      </c>
      <c r="BJ135" s="123">
        <f t="shared" si="11"/>
        <v>0</v>
      </c>
      <c r="BK135" s="121">
        <f>SUMIFS('17AugTo21Aug'!$L:$L, '17AugTo21Aug'!$J:$J, $A135)</f>
        <v>1</v>
      </c>
      <c r="BL135" s="121">
        <f>SUMIFS('17AugTo21Aug'!$K:$K, '17AugTo21Aug'!$J:$J, $A135)</f>
        <v>1</v>
      </c>
      <c r="BM135" s="121">
        <f>SUMIFS('17AugTo21Aug'!$O:$O, '17AugTo21Aug'!$J:$J, $A135)</f>
        <v>2.66</v>
      </c>
      <c r="BN135" s="121">
        <f>SUMIFS('17AugTo21Aug'!$P:$P, '17AugTo21Aug'!$J:$J, $A135)</f>
        <v>24.94</v>
      </c>
      <c r="BO135" s="123">
        <f t="shared" si="12"/>
        <v>10.665597433841219</v>
      </c>
      <c r="BP135" s="121">
        <f>SUMIFS('10AugTo16Aug'!$L:$L, '10AugTo16Aug'!$J:$J, $A135)</f>
        <v>0</v>
      </c>
      <c r="BQ135" s="121">
        <f>SUMIFS('10AugTo16Aug'!$K:$K, '10AugTo16Aug'!$J:$J, $A135)</f>
        <v>0</v>
      </c>
      <c r="BR135" s="121">
        <f>SUMIFS('10AugTo16Aug'!$O:$O, '10AugTo16Aug'!$J:$J, $A135)</f>
        <v>0</v>
      </c>
      <c r="BS135" s="121">
        <f>SUMIFS('10AugTo16Aug'!$P:$P, '10AugTo16Aug'!$J:$J, $A135)</f>
        <v>0</v>
      </c>
      <c r="BT135" s="123">
        <f t="shared" si="13"/>
        <v>0</v>
      </c>
      <c r="BU135" s="121">
        <f>SUMIFS('3AugTo9Aug'!$L:$L, '3AugTo9Aug'!$J:$J, $A135)</f>
        <v>0</v>
      </c>
      <c r="BV135" s="121">
        <f>SUMIFS('3AugTo9Aug'!$K:$K, '3AugTo9Aug'!$J:$J, $A135)</f>
        <v>0</v>
      </c>
      <c r="BW135" s="121">
        <f>SUMIFS('3AugTo9Aug'!$O:$O, '3AugTo9Aug'!$J:$J, $A135)</f>
        <v>0</v>
      </c>
      <c r="BX135" s="121">
        <f>SUMIFS('3AugTo9Aug'!$P:$P, '3AugTo9Aug'!$J:$J, $A135)</f>
        <v>0</v>
      </c>
      <c r="BY135" s="123">
        <f t="shared" si="14"/>
        <v>0</v>
      </c>
      <c r="BZ135" s="121">
        <f>SUMIFS('27JulyTo2Aug'!$L:$L, '27JulyTo2Aug'!$J:$J, $A135)</f>
        <v>0</v>
      </c>
      <c r="CA135" s="121">
        <f>SUMIFS('27JulyTo2Aug'!$K:$K, '27JulyTo2Aug'!$J:$J, $A135)</f>
        <v>0</v>
      </c>
      <c r="CB135" s="121">
        <f>SUMIFS('27JulyTo2Aug'!$O:$O, '27JulyTo2Aug'!$J:$J, $A135)</f>
        <v>0</v>
      </c>
      <c r="CC135" s="121">
        <f>SUMIFS('27JulyTo2Aug'!$P:$P, '27JulyTo2Aug'!$J:$J, $A135)</f>
        <v>0</v>
      </c>
      <c r="CD135" s="123">
        <f t="shared" si="15"/>
        <v>0</v>
      </c>
    </row>
    <row r="136" spans="1:82" ht="14.25" customHeight="1" x14ac:dyDescent="0.3">
      <c r="A136" s="124" t="s">
        <v>654</v>
      </c>
      <c r="B136" s="120" t="str">
        <f t="shared" si="18"/>
        <v>NO TRAFFIC</v>
      </c>
      <c r="C136" s="121">
        <f>SUMIFS('9NovTo15Nov'!$L:$L, '9NovTo15Nov'!$J:$J, $A136)</f>
        <v>0</v>
      </c>
      <c r="D136" s="121">
        <f>SUMIFS('9NovTo15Nov'!$K:$K, '9NovTo15Nov'!$J:$J, $A136)</f>
        <v>0</v>
      </c>
      <c r="E136" s="121">
        <f>SUMIFS('9NovTo15Nov'!$O:$O, '9NovTo15Nov'!$J:$J, $A136)</f>
        <v>0</v>
      </c>
      <c r="F136" s="121">
        <f>SUMIFS('9NovTo15Nov'!$P:$P, '9NovTo15Nov'!$J:$J, $A136)</f>
        <v>0</v>
      </c>
      <c r="G136" s="122">
        <f t="shared" si="0"/>
        <v>0</v>
      </c>
      <c r="H136" s="121">
        <f>SUMIFS('2NovTo8Nov'!$L:$L, '2NovTo8Nov'!$J:$J, $A136)</f>
        <v>0</v>
      </c>
      <c r="I136" s="121">
        <f>SUMIFS('2NovTo8Nov'!$K:$K, '2NovTo8Nov'!$J:$J, $A136)</f>
        <v>0</v>
      </c>
      <c r="J136" s="121">
        <f>SUMIFS('2NovTo8Nov'!$O:$O, '2NovTo8Nov'!$J:$J, $A136)</f>
        <v>0</v>
      </c>
      <c r="K136" s="121">
        <f>SUMIFS('2NovTo8Nov'!$P:$P, '2NovTo8Nov'!$J:$J, $A136)</f>
        <v>0</v>
      </c>
      <c r="L136" s="122">
        <f t="shared" si="1"/>
        <v>0</v>
      </c>
      <c r="M136" s="121">
        <f>SUMIFS('26OctTo1Nov'!$L:$L, '26OctTo1Nov'!$J:$J, $A136)</f>
        <v>0</v>
      </c>
      <c r="N136" s="121">
        <f>SUMIFS('26OctTo1Nov'!$K:$K, '26OctTo1Nov'!$J:$J, $A136)</f>
        <v>0</v>
      </c>
      <c r="O136" s="121">
        <f>SUMIFS('26OctTo1Nov'!$O:$O, '26OctTo1Nov'!$J:$J, $A136)</f>
        <v>0</v>
      </c>
      <c r="P136" s="121">
        <f>SUMIFS('26OctTo1Nov'!$P:$P, '26OctTo1Nov'!$J:$J, $A136)</f>
        <v>0</v>
      </c>
      <c r="Q136" s="122">
        <f t="shared" si="2"/>
        <v>0</v>
      </c>
      <c r="R136" s="121">
        <f>SUMIFS('19OctTo25Oct'!$L:$L, '19OctTo25Oct'!$J:$J, $A136)</f>
        <v>0</v>
      </c>
      <c r="S136" s="121">
        <f>SUMIFS('19OctTo25Oct'!$K:$K, '19OctTo25Oct'!$J:$J, $A136)</f>
        <v>0</v>
      </c>
      <c r="T136" s="121">
        <f>SUMIFS('19OctTo25Oct'!$O:$O, '19OctTo25Oct'!$J:$J, $A136)</f>
        <v>0</v>
      </c>
      <c r="U136" s="121">
        <f>SUMIFS('19OctTo25Oct'!$P:$P, '19OctTo25Oct'!$J:$J, $A136)</f>
        <v>0</v>
      </c>
      <c r="V136" s="122">
        <f t="shared" si="3"/>
        <v>0</v>
      </c>
      <c r="W136" s="121">
        <f>SUMIFS('12OctTo18Oct'!$L:$L, '12OctTo18Oct'!$J:$J, $A136)</f>
        <v>0</v>
      </c>
      <c r="X136" s="121">
        <f>SUMIFS('12OctTo18Oct'!$K:$K, '12OctTo18Oct'!$J:$J, $A136)</f>
        <v>0</v>
      </c>
      <c r="Y136" s="121">
        <f>SUMIFS('12OctTo18Oct'!$O:$O, '12OctTo18Oct'!$J:$J, $A136)</f>
        <v>0</v>
      </c>
      <c r="Z136" s="121">
        <f>SUMIFS('12OctTo18Oct'!$P:$P, '12OctTo18Oct'!$J:$J, $A136)</f>
        <v>0</v>
      </c>
      <c r="AA136" s="122">
        <f t="shared" si="4"/>
        <v>0</v>
      </c>
      <c r="AB136" s="121">
        <f>SUMIFS('5OctTo11Oct'!$L:$L, '5OctTo11Oct'!$J:$J, $A136)</f>
        <v>0</v>
      </c>
      <c r="AC136" s="121">
        <f>SUMIFS('5OctTo11Oct'!$K:$K, '5OctTo11Oct'!$J:$J, $A136)</f>
        <v>0</v>
      </c>
      <c r="AD136" s="121">
        <f>SUMIFS('5OctTo11Oct'!$O:$O, '5OctTo11Oct'!$J:$J, $A136)</f>
        <v>0</v>
      </c>
      <c r="AE136" s="121">
        <f>SUMIFS('5OctTo11Oct'!$P:$P, '5OctTo11Oct'!$J:$J, $A136)</f>
        <v>0</v>
      </c>
      <c r="AF136" s="123">
        <f t="shared" si="5"/>
        <v>0</v>
      </c>
      <c r="AG136" s="121">
        <f>SUMIFS('28SepTo4Oct'!$L:$L, '28SepTo4Oct'!$J:$J, $A136)</f>
        <v>0</v>
      </c>
      <c r="AH136" s="121">
        <f>SUMIFS('28SepTo4Oct'!$K:$K, '28SepTo4Oct'!$J:$J, $A136)</f>
        <v>0</v>
      </c>
      <c r="AI136" s="121">
        <f>SUMIFS('28SepTo4Oct'!$O:$O, '28SepTo4Oct'!$J:$J, $A136)</f>
        <v>0</v>
      </c>
      <c r="AJ136" s="121">
        <f>SUMIFS('28SepTo4Oct'!$P:$P, '28SepTo4Oct'!$J:$J, $A136)</f>
        <v>0</v>
      </c>
      <c r="AK136" s="123">
        <f t="shared" si="6"/>
        <v>0</v>
      </c>
      <c r="AL136" s="121">
        <f>SUMIFS('21SepTo27Sep'!$L:$L, '21SepTo27Sep'!$J:$J, $A136)</f>
        <v>0</v>
      </c>
      <c r="AM136" s="121">
        <f>SUMIFS('21SepTo27Sep'!$K:$K, '21SepTo27Sep'!$J:$J, $A136)</f>
        <v>0</v>
      </c>
      <c r="AN136" s="121">
        <f>SUMIFS('21SepTo27Sep'!$O:$O, '21SepTo27Sep'!$J:$J, $A136)</f>
        <v>0</v>
      </c>
      <c r="AO136" s="121">
        <f>SUMIFS('21SepTo27Sep'!$P:$P, '21SepTo27Sep'!$J:$J, $A136)</f>
        <v>0</v>
      </c>
      <c r="AP136" s="123">
        <f t="shared" si="7"/>
        <v>0</v>
      </c>
      <c r="AQ136" s="121">
        <f>SUMIFS('14SepTo20Sep'!$L:$L, '14SepTo20Sep'!$J:$J, $A136)</f>
        <v>0</v>
      </c>
      <c r="AR136" s="121">
        <f>SUMIFS('14SepTo20Sep'!$K:$K, '14SepTo20Sep'!$J:$J, $A136)</f>
        <v>0</v>
      </c>
      <c r="AS136" s="121">
        <f>SUMIFS('14SepTo20Sep'!$O:$O, '14SepTo20Sep'!$J:$J, $A136)</f>
        <v>0</v>
      </c>
      <c r="AT136" s="121">
        <f>SUMIFS('14SepTo20Sep'!$P:$P, '14SepTo20Sep'!$J:$J, $A136)</f>
        <v>0</v>
      </c>
      <c r="AU136" s="123">
        <f t="shared" si="8"/>
        <v>0</v>
      </c>
      <c r="AV136" s="121">
        <f>SUMIFS('7SepTo13Sep'!$L:$L, '7SepTo13Sep'!$J:$J, $A136)</f>
        <v>0</v>
      </c>
      <c r="AW136" s="121">
        <f>SUMIFS('7SepTo13Sep'!$K:$K, '7SepTo13Sep'!$J:$J, $A136)</f>
        <v>0</v>
      </c>
      <c r="AX136" s="121">
        <f>SUMIFS('7SepTo13Sep'!$O:$O, '7SepTo13Sep'!$J:$J, $A136)</f>
        <v>0</v>
      </c>
      <c r="AY136" s="121">
        <f>SUMIFS('7SepTo13Sep'!$P:$P, '7SepTo13Sep'!$J:$J, $A136)</f>
        <v>0</v>
      </c>
      <c r="AZ136" s="123">
        <f t="shared" si="9"/>
        <v>0</v>
      </c>
      <c r="BA136" s="121">
        <f>SUMIFS('31AugTo6Sep'!$L:$L, '31AugTo6Sep'!$J:$J, $A136)</f>
        <v>0</v>
      </c>
      <c r="BB136" s="121">
        <f>SUMIFS('31AugTo6Sep'!$K:$K, '31AugTo6Sep'!$J:$J, $A136)</f>
        <v>0</v>
      </c>
      <c r="BC136" s="121">
        <f>SUMIFS('31AugTo6Sep'!$O:$O, '31AugTo6Sep'!$J:$J, $A136)</f>
        <v>0</v>
      </c>
      <c r="BD136" s="121">
        <f>SUMIFS('31AugTo6Sep'!$P:$P, '31AugTo6Sep'!$J:$J, $A136)</f>
        <v>0</v>
      </c>
      <c r="BE136" s="123">
        <f t="shared" si="10"/>
        <v>0</v>
      </c>
      <c r="BF136" s="121">
        <f>SUMIFS('24AugTo29Aug'!$L:$L, '24AugTo29Aug'!$J:$J, $A136)</f>
        <v>0</v>
      </c>
      <c r="BG136" s="121">
        <f>SUMIFS('24AugTo29Aug'!$K:$K, '24AugTo29Aug'!$J:$J, $A136)</f>
        <v>0</v>
      </c>
      <c r="BH136" s="121">
        <f>SUMIFS('24AugTo29Aug'!$O:$O, '24AugTo29Aug'!$J:$J, $A136)</f>
        <v>0</v>
      </c>
      <c r="BI136" s="121">
        <f>SUMIFS('24AugTo29Aug'!$P:$P, '24AugTo29Aug'!$J:$J, $A136)</f>
        <v>0</v>
      </c>
      <c r="BJ136" s="123">
        <f t="shared" si="11"/>
        <v>0</v>
      </c>
      <c r="BK136" s="121">
        <f>SUMIFS('17AugTo21Aug'!$L:$L, '17AugTo21Aug'!$J:$J, $A136)</f>
        <v>1</v>
      </c>
      <c r="BL136" s="121">
        <f>SUMIFS('17AugTo21Aug'!$K:$K, '17AugTo21Aug'!$J:$J, $A136)</f>
        <v>2</v>
      </c>
      <c r="BM136" s="121">
        <f>SUMIFS('17AugTo21Aug'!$O:$O, '17AugTo21Aug'!$J:$J, $A136)</f>
        <v>3.33</v>
      </c>
      <c r="BN136" s="121">
        <f>SUMIFS('17AugTo21Aug'!$P:$P, '17AugTo21Aug'!$J:$J, $A136)</f>
        <v>24.94</v>
      </c>
      <c r="BO136" s="123">
        <f t="shared" si="12"/>
        <v>13.352044907778668</v>
      </c>
      <c r="BP136" s="121">
        <f>SUMIFS('10AugTo16Aug'!$L:$L, '10AugTo16Aug'!$J:$J, $A136)</f>
        <v>0</v>
      </c>
      <c r="BQ136" s="121">
        <f>SUMIFS('10AugTo16Aug'!$K:$K, '10AugTo16Aug'!$J:$J, $A136)</f>
        <v>0</v>
      </c>
      <c r="BR136" s="121">
        <f>SUMIFS('10AugTo16Aug'!$O:$O, '10AugTo16Aug'!$J:$J, $A136)</f>
        <v>0</v>
      </c>
      <c r="BS136" s="121">
        <f>SUMIFS('10AugTo16Aug'!$P:$P, '10AugTo16Aug'!$J:$J, $A136)</f>
        <v>0</v>
      </c>
      <c r="BT136" s="123">
        <f t="shared" si="13"/>
        <v>0</v>
      </c>
      <c r="BU136" s="121">
        <f>SUMIFS('3AugTo9Aug'!$L:$L, '3AugTo9Aug'!$J:$J, $A136)</f>
        <v>0</v>
      </c>
      <c r="BV136" s="121">
        <f>SUMIFS('3AugTo9Aug'!$K:$K, '3AugTo9Aug'!$J:$J, $A136)</f>
        <v>0</v>
      </c>
      <c r="BW136" s="121">
        <f>SUMIFS('3AugTo9Aug'!$O:$O, '3AugTo9Aug'!$J:$J, $A136)</f>
        <v>0</v>
      </c>
      <c r="BX136" s="121">
        <f>SUMIFS('3AugTo9Aug'!$P:$P, '3AugTo9Aug'!$J:$J, $A136)</f>
        <v>0</v>
      </c>
      <c r="BY136" s="123">
        <f t="shared" si="14"/>
        <v>0</v>
      </c>
      <c r="BZ136" s="121">
        <f>SUMIFS('27JulyTo2Aug'!$L:$L, '27JulyTo2Aug'!$J:$J, $A136)</f>
        <v>0</v>
      </c>
      <c r="CA136" s="121">
        <f>SUMIFS('27JulyTo2Aug'!$K:$K, '27JulyTo2Aug'!$J:$J, $A136)</f>
        <v>0</v>
      </c>
      <c r="CB136" s="121">
        <f>SUMIFS('27JulyTo2Aug'!$O:$O, '27JulyTo2Aug'!$J:$J, $A136)</f>
        <v>0</v>
      </c>
      <c r="CC136" s="121">
        <f>SUMIFS('27JulyTo2Aug'!$P:$P, '27JulyTo2Aug'!$J:$J, $A136)</f>
        <v>0</v>
      </c>
      <c r="CD136" s="123">
        <f t="shared" si="15"/>
        <v>0</v>
      </c>
    </row>
    <row r="137" spans="1:82" ht="14.25" customHeight="1" x14ac:dyDescent="0.3">
      <c r="A137" s="124" t="s">
        <v>655</v>
      </c>
      <c r="B137" s="120" t="str">
        <f t="shared" si="18"/>
        <v>NO TRAFFIC</v>
      </c>
      <c r="C137" s="121">
        <f>SUMIFS('9NovTo15Nov'!$L:$L, '9NovTo15Nov'!$J:$J, $A137)</f>
        <v>0</v>
      </c>
      <c r="D137" s="121">
        <f>SUMIFS('9NovTo15Nov'!$K:$K, '9NovTo15Nov'!$J:$J, $A137)</f>
        <v>0</v>
      </c>
      <c r="E137" s="121">
        <f>SUMIFS('9NovTo15Nov'!$O:$O, '9NovTo15Nov'!$J:$J, $A137)</f>
        <v>0</v>
      </c>
      <c r="F137" s="121">
        <f>SUMIFS('9NovTo15Nov'!$P:$P, '9NovTo15Nov'!$J:$J, $A137)</f>
        <v>0</v>
      </c>
      <c r="G137" s="122">
        <f t="shared" si="0"/>
        <v>0</v>
      </c>
      <c r="H137" s="121">
        <f>SUMIFS('2NovTo8Nov'!$L:$L, '2NovTo8Nov'!$J:$J, $A137)</f>
        <v>0</v>
      </c>
      <c r="I137" s="121">
        <f>SUMIFS('2NovTo8Nov'!$K:$K, '2NovTo8Nov'!$J:$J, $A137)</f>
        <v>0</v>
      </c>
      <c r="J137" s="121">
        <f>SUMIFS('2NovTo8Nov'!$O:$O, '2NovTo8Nov'!$J:$J, $A137)</f>
        <v>0</v>
      </c>
      <c r="K137" s="121">
        <f>SUMIFS('2NovTo8Nov'!$P:$P, '2NovTo8Nov'!$J:$J, $A137)</f>
        <v>0</v>
      </c>
      <c r="L137" s="122">
        <f t="shared" si="1"/>
        <v>0</v>
      </c>
      <c r="M137" s="121">
        <f>SUMIFS('26OctTo1Nov'!$L:$L, '26OctTo1Nov'!$J:$J, $A137)</f>
        <v>0</v>
      </c>
      <c r="N137" s="121">
        <f>SUMIFS('26OctTo1Nov'!$K:$K, '26OctTo1Nov'!$J:$J, $A137)</f>
        <v>0</v>
      </c>
      <c r="O137" s="121">
        <f>SUMIFS('26OctTo1Nov'!$O:$O, '26OctTo1Nov'!$J:$J, $A137)</f>
        <v>0</v>
      </c>
      <c r="P137" s="121">
        <f>SUMIFS('26OctTo1Nov'!$P:$P, '26OctTo1Nov'!$J:$J, $A137)</f>
        <v>0</v>
      </c>
      <c r="Q137" s="122">
        <f t="shared" si="2"/>
        <v>0</v>
      </c>
      <c r="R137" s="121">
        <f>SUMIFS('19OctTo25Oct'!$L:$L, '19OctTo25Oct'!$J:$J, $A137)</f>
        <v>0</v>
      </c>
      <c r="S137" s="121">
        <f>SUMIFS('19OctTo25Oct'!$K:$K, '19OctTo25Oct'!$J:$J, $A137)</f>
        <v>0</v>
      </c>
      <c r="T137" s="121">
        <f>SUMIFS('19OctTo25Oct'!$O:$O, '19OctTo25Oct'!$J:$J, $A137)</f>
        <v>0</v>
      </c>
      <c r="U137" s="121">
        <f>SUMIFS('19OctTo25Oct'!$P:$P, '19OctTo25Oct'!$J:$J, $A137)</f>
        <v>0</v>
      </c>
      <c r="V137" s="122">
        <f t="shared" si="3"/>
        <v>0</v>
      </c>
      <c r="W137" s="121">
        <f>SUMIFS('12OctTo18Oct'!$L:$L, '12OctTo18Oct'!$J:$J, $A137)</f>
        <v>0</v>
      </c>
      <c r="X137" s="121">
        <f>SUMIFS('12OctTo18Oct'!$K:$K, '12OctTo18Oct'!$J:$J, $A137)</f>
        <v>0</v>
      </c>
      <c r="Y137" s="121">
        <f>SUMIFS('12OctTo18Oct'!$O:$O, '12OctTo18Oct'!$J:$J, $A137)</f>
        <v>0</v>
      </c>
      <c r="Z137" s="121">
        <f>SUMIFS('12OctTo18Oct'!$P:$P, '12OctTo18Oct'!$J:$J, $A137)</f>
        <v>0</v>
      </c>
      <c r="AA137" s="122">
        <f t="shared" si="4"/>
        <v>0</v>
      </c>
      <c r="AB137" s="121">
        <f>SUMIFS('5OctTo11Oct'!$L:$L, '5OctTo11Oct'!$J:$J, $A137)</f>
        <v>0</v>
      </c>
      <c r="AC137" s="121">
        <f>SUMIFS('5OctTo11Oct'!$K:$K, '5OctTo11Oct'!$J:$J, $A137)</f>
        <v>0</v>
      </c>
      <c r="AD137" s="121">
        <f>SUMIFS('5OctTo11Oct'!$O:$O, '5OctTo11Oct'!$J:$J, $A137)</f>
        <v>0</v>
      </c>
      <c r="AE137" s="121">
        <f>SUMIFS('5OctTo11Oct'!$P:$P, '5OctTo11Oct'!$J:$J, $A137)</f>
        <v>0</v>
      </c>
      <c r="AF137" s="123">
        <f t="shared" si="5"/>
        <v>0</v>
      </c>
      <c r="AG137" s="121">
        <f>SUMIFS('28SepTo4Oct'!$L:$L, '28SepTo4Oct'!$J:$J, $A137)</f>
        <v>0</v>
      </c>
      <c r="AH137" s="121">
        <f>SUMIFS('28SepTo4Oct'!$K:$K, '28SepTo4Oct'!$J:$J, $A137)</f>
        <v>0</v>
      </c>
      <c r="AI137" s="121">
        <f>SUMIFS('28SepTo4Oct'!$O:$O, '28SepTo4Oct'!$J:$J, $A137)</f>
        <v>0</v>
      </c>
      <c r="AJ137" s="121">
        <f>SUMIFS('28SepTo4Oct'!$P:$P, '28SepTo4Oct'!$J:$J, $A137)</f>
        <v>0</v>
      </c>
      <c r="AK137" s="123">
        <f t="shared" si="6"/>
        <v>0</v>
      </c>
      <c r="AL137" s="121">
        <f>SUMIFS('21SepTo27Sep'!$L:$L, '21SepTo27Sep'!$J:$J, $A137)</f>
        <v>0</v>
      </c>
      <c r="AM137" s="121">
        <f>SUMIFS('21SepTo27Sep'!$K:$K, '21SepTo27Sep'!$J:$J, $A137)</f>
        <v>0</v>
      </c>
      <c r="AN137" s="121">
        <f>SUMIFS('21SepTo27Sep'!$O:$O, '21SepTo27Sep'!$J:$J, $A137)</f>
        <v>0</v>
      </c>
      <c r="AO137" s="121">
        <f>SUMIFS('21SepTo27Sep'!$P:$P, '21SepTo27Sep'!$J:$J, $A137)</f>
        <v>0</v>
      </c>
      <c r="AP137" s="123">
        <f t="shared" si="7"/>
        <v>0</v>
      </c>
      <c r="AQ137" s="121">
        <f>SUMIFS('14SepTo20Sep'!$L:$L, '14SepTo20Sep'!$J:$J, $A137)</f>
        <v>0</v>
      </c>
      <c r="AR137" s="121">
        <f>SUMIFS('14SepTo20Sep'!$K:$K, '14SepTo20Sep'!$J:$J, $A137)</f>
        <v>0</v>
      </c>
      <c r="AS137" s="121">
        <f>SUMIFS('14SepTo20Sep'!$O:$O, '14SepTo20Sep'!$J:$J, $A137)</f>
        <v>0</v>
      </c>
      <c r="AT137" s="121">
        <f>SUMIFS('14SepTo20Sep'!$P:$P, '14SepTo20Sep'!$J:$J, $A137)</f>
        <v>0</v>
      </c>
      <c r="AU137" s="123">
        <f t="shared" si="8"/>
        <v>0</v>
      </c>
      <c r="AV137" s="121">
        <f>SUMIFS('7SepTo13Sep'!$L:$L, '7SepTo13Sep'!$J:$J, $A137)</f>
        <v>0</v>
      </c>
      <c r="AW137" s="121">
        <f>SUMIFS('7SepTo13Sep'!$K:$K, '7SepTo13Sep'!$J:$J, $A137)</f>
        <v>0</v>
      </c>
      <c r="AX137" s="121">
        <f>SUMIFS('7SepTo13Sep'!$O:$O, '7SepTo13Sep'!$J:$J, $A137)</f>
        <v>0</v>
      </c>
      <c r="AY137" s="121">
        <f>SUMIFS('7SepTo13Sep'!$P:$P, '7SepTo13Sep'!$J:$J, $A137)</f>
        <v>0</v>
      </c>
      <c r="AZ137" s="123">
        <f t="shared" si="9"/>
        <v>0</v>
      </c>
      <c r="BA137" s="121">
        <f>SUMIFS('31AugTo6Sep'!$L:$L, '31AugTo6Sep'!$J:$J, $A137)</f>
        <v>0</v>
      </c>
      <c r="BB137" s="121">
        <f>SUMIFS('31AugTo6Sep'!$K:$K, '31AugTo6Sep'!$J:$J, $A137)</f>
        <v>0</v>
      </c>
      <c r="BC137" s="121">
        <f>SUMIFS('31AugTo6Sep'!$O:$O, '31AugTo6Sep'!$J:$J, $A137)</f>
        <v>0</v>
      </c>
      <c r="BD137" s="121">
        <f>SUMIFS('31AugTo6Sep'!$P:$P, '31AugTo6Sep'!$J:$J, $A137)</f>
        <v>0</v>
      </c>
      <c r="BE137" s="123">
        <f t="shared" si="10"/>
        <v>0</v>
      </c>
      <c r="BF137" s="121">
        <f>SUMIFS('24AugTo29Aug'!$L:$L, '24AugTo29Aug'!$J:$J, $A137)</f>
        <v>0</v>
      </c>
      <c r="BG137" s="121">
        <f>SUMIFS('24AugTo29Aug'!$K:$K, '24AugTo29Aug'!$J:$J, $A137)</f>
        <v>0</v>
      </c>
      <c r="BH137" s="121">
        <f>SUMIFS('24AugTo29Aug'!$O:$O, '24AugTo29Aug'!$J:$J, $A137)</f>
        <v>0</v>
      </c>
      <c r="BI137" s="121">
        <f>SUMIFS('24AugTo29Aug'!$P:$P, '24AugTo29Aug'!$J:$J, $A137)</f>
        <v>0</v>
      </c>
      <c r="BJ137" s="123">
        <f t="shared" si="11"/>
        <v>0</v>
      </c>
      <c r="BK137" s="121">
        <f>SUMIFS('17AugTo21Aug'!$L:$L, '17AugTo21Aug'!$J:$J, $A137)</f>
        <v>1</v>
      </c>
      <c r="BL137" s="121">
        <f>SUMIFS('17AugTo21Aug'!$K:$K, '17AugTo21Aug'!$J:$J, $A137)</f>
        <v>5</v>
      </c>
      <c r="BM137" s="121">
        <f>SUMIFS('17AugTo21Aug'!$O:$O, '17AugTo21Aug'!$J:$J, $A137)</f>
        <v>2.17</v>
      </c>
      <c r="BN137" s="121">
        <f>SUMIFS('17AugTo21Aug'!$P:$P, '17AugTo21Aug'!$J:$J, $A137)</f>
        <v>24.94</v>
      </c>
      <c r="BO137" s="123">
        <f t="shared" si="12"/>
        <v>8.7008821170809938</v>
      </c>
      <c r="BP137" s="121">
        <f>SUMIFS('10AugTo16Aug'!$L:$L, '10AugTo16Aug'!$J:$J, $A137)</f>
        <v>0</v>
      </c>
      <c r="BQ137" s="121">
        <f>SUMIFS('10AugTo16Aug'!$K:$K, '10AugTo16Aug'!$J:$J, $A137)</f>
        <v>0</v>
      </c>
      <c r="BR137" s="121">
        <f>SUMIFS('10AugTo16Aug'!$O:$O, '10AugTo16Aug'!$J:$J, $A137)</f>
        <v>0</v>
      </c>
      <c r="BS137" s="121">
        <f>SUMIFS('10AugTo16Aug'!$P:$P, '10AugTo16Aug'!$J:$J, $A137)</f>
        <v>0</v>
      </c>
      <c r="BT137" s="123">
        <f t="shared" si="13"/>
        <v>0</v>
      </c>
      <c r="BU137" s="121">
        <f>SUMIFS('3AugTo9Aug'!$L:$L, '3AugTo9Aug'!$J:$J, $A137)</f>
        <v>0</v>
      </c>
      <c r="BV137" s="121">
        <f>SUMIFS('3AugTo9Aug'!$K:$K, '3AugTo9Aug'!$J:$J, $A137)</f>
        <v>0</v>
      </c>
      <c r="BW137" s="121">
        <f>SUMIFS('3AugTo9Aug'!$O:$O, '3AugTo9Aug'!$J:$J, $A137)</f>
        <v>0</v>
      </c>
      <c r="BX137" s="121">
        <f>SUMIFS('3AugTo9Aug'!$P:$P, '3AugTo9Aug'!$J:$J, $A137)</f>
        <v>0</v>
      </c>
      <c r="BY137" s="123">
        <f t="shared" si="14"/>
        <v>0</v>
      </c>
      <c r="BZ137" s="121">
        <f>SUMIFS('27JulyTo2Aug'!$L:$L, '27JulyTo2Aug'!$J:$J, $A137)</f>
        <v>0</v>
      </c>
      <c r="CA137" s="121">
        <f>SUMIFS('27JulyTo2Aug'!$K:$K, '27JulyTo2Aug'!$J:$J, $A137)</f>
        <v>0</v>
      </c>
      <c r="CB137" s="121">
        <f>SUMIFS('27JulyTo2Aug'!$O:$O, '27JulyTo2Aug'!$J:$J, $A137)</f>
        <v>0</v>
      </c>
      <c r="CC137" s="121">
        <f>SUMIFS('27JulyTo2Aug'!$P:$P, '27JulyTo2Aug'!$J:$J, $A137)</f>
        <v>0</v>
      </c>
      <c r="CD137" s="123">
        <f t="shared" si="15"/>
        <v>0</v>
      </c>
    </row>
    <row r="138" spans="1:82" ht="14.25" customHeight="1" x14ac:dyDescent="0.3">
      <c r="A138" s="124" t="s">
        <v>657</v>
      </c>
      <c r="B138" s="120" t="str">
        <f t="shared" si="18"/>
        <v>NO TRAFFIC</v>
      </c>
      <c r="C138" s="121">
        <f>SUMIFS('9NovTo15Nov'!$L:$L, '9NovTo15Nov'!$J:$J, $A138)</f>
        <v>0</v>
      </c>
      <c r="D138" s="121">
        <f>SUMIFS('9NovTo15Nov'!$K:$K, '9NovTo15Nov'!$J:$J, $A138)</f>
        <v>0</v>
      </c>
      <c r="E138" s="121">
        <f>SUMIFS('9NovTo15Nov'!$O:$O, '9NovTo15Nov'!$J:$J, $A138)</f>
        <v>0</v>
      </c>
      <c r="F138" s="121">
        <f>SUMIFS('9NovTo15Nov'!$P:$P, '9NovTo15Nov'!$J:$J, $A138)</f>
        <v>0</v>
      </c>
      <c r="G138" s="122">
        <f t="shared" si="0"/>
        <v>0</v>
      </c>
      <c r="H138" s="121">
        <f>SUMIFS('2NovTo8Nov'!$L:$L, '2NovTo8Nov'!$J:$J, $A138)</f>
        <v>0</v>
      </c>
      <c r="I138" s="121">
        <f>SUMIFS('2NovTo8Nov'!$K:$K, '2NovTo8Nov'!$J:$J, $A138)</f>
        <v>0</v>
      </c>
      <c r="J138" s="121">
        <f>SUMIFS('2NovTo8Nov'!$O:$O, '2NovTo8Nov'!$J:$J, $A138)</f>
        <v>0</v>
      </c>
      <c r="K138" s="121">
        <f>SUMIFS('2NovTo8Nov'!$P:$P, '2NovTo8Nov'!$J:$J, $A138)</f>
        <v>0</v>
      </c>
      <c r="L138" s="122">
        <f t="shared" si="1"/>
        <v>0</v>
      </c>
      <c r="M138" s="121">
        <f>SUMIFS('26OctTo1Nov'!$L:$L, '26OctTo1Nov'!$J:$J, $A138)</f>
        <v>0</v>
      </c>
      <c r="N138" s="121">
        <f>SUMIFS('26OctTo1Nov'!$K:$K, '26OctTo1Nov'!$J:$J, $A138)</f>
        <v>0</v>
      </c>
      <c r="O138" s="121">
        <f>SUMIFS('26OctTo1Nov'!$O:$O, '26OctTo1Nov'!$J:$J, $A138)</f>
        <v>0</v>
      </c>
      <c r="P138" s="121">
        <f>SUMIFS('26OctTo1Nov'!$P:$P, '26OctTo1Nov'!$J:$J, $A138)</f>
        <v>0</v>
      </c>
      <c r="Q138" s="122">
        <f t="shared" si="2"/>
        <v>0</v>
      </c>
      <c r="R138" s="121">
        <f>SUMIFS('19OctTo25Oct'!$L:$L, '19OctTo25Oct'!$J:$J, $A138)</f>
        <v>0</v>
      </c>
      <c r="S138" s="121">
        <f>SUMIFS('19OctTo25Oct'!$K:$K, '19OctTo25Oct'!$J:$J, $A138)</f>
        <v>0</v>
      </c>
      <c r="T138" s="121">
        <f>SUMIFS('19OctTo25Oct'!$O:$O, '19OctTo25Oct'!$J:$J, $A138)</f>
        <v>0</v>
      </c>
      <c r="U138" s="121">
        <f>SUMIFS('19OctTo25Oct'!$P:$P, '19OctTo25Oct'!$J:$J, $A138)</f>
        <v>0</v>
      </c>
      <c r="V138" s="122">
        <f t="shared" si="3"/>
        <v>0</v>
      </c>
      <c r="W138" s="121">
        <f>SUMIFS('12OctTo18Oct'!$L:$L, '12OctTo18Oct'!$J:$J, $A138)</f>
        <v>0</v>
      </c>
      <c r="X138" s="121">
        <f>SUMIFS('12OctTo18Oct'!$K:$K, '12OctTo18Oct'!$J:$J, $A138)</f>
        <v>0</v>
      </c>
      <c r="Y138" s="121">
        <f>SUMIFS('12OctTo18Oct'!$O:$O, '12OctTo18Oct'!$J:$J, $A138)</f>
        <v>0</v>
      </c>
      <c r="Z138" s="121">
        <f>SUMIFS('12OctTo18Oct'!$P:$P, '12OctTo18Oct'!$J:$J, $A138)</f>
        <v>0</v>
      </c>
      <c r="AA138" s="122">
        <f t="shared" si="4"/>
        <v>0</v>
      </c>
      <c r="AB138" s="121">
        <f>SUMIFS('5OctTo11Oct'!$L:$L, '5OctTo11Oct'!$J:$J, $A138)</f>
        <v>0</v>
      </c>
      <c r="AC138" s="121">
        <f>SUMIFS('5OctTo11Oct'!$K:$K, '5OctTo11Oct'!$J:$J, $A138)</f>
        <v>0</v>
      </c>
      <c r="AD138" s="121">
        <f>SUMIFS('5OctTo11Oct'!$O:$O, '5OctTo11Oct'!$J:$J, $A138)</f>
        <v>0</v>
      </c>
      <c r="AE138" s="121">
        <f>SUMIFS('5OctTo11Oct'!$P:$P, '5OctTo11Oct'!$J:$J, $A138)</f>
        <v>0</v>
      </c>
      <c r="AF138" s="123">
        <f t="shared" si="5"/>
        <v>0</v>
      </c>
      <c r="AG138" s="121">
        <f>SUMIFS('28SepTo4Oct'!$L:$L, '28SepTo4Oct'!$J:$J, $A138)</f>
        <v>0</v>
      </c>
      <c r="AH138" s="121">
        <f>SUMIFS('28SepTo4Oct'!$K:$K, '28SepTo4Oct'!$J:$J, $A138)</f>
        <v>0</v>
      </c>
      <c r="AI138" s="121">
        <f>SUMIFS('28SepTo4Oct'!$O:$O, '28SepTo4Oct'!$J:$J, $A138)</f>
        <v>0</v>
      </c>
      <c r="AJ138" s="121">
        <f>SUMIFS('28SepTo4Oct'!$P:$P, '28SepTo4Oct'!$J:$J, $A138)</f>
        <v>0</v>
      </c>
      <c r="AK138" s="123">
        <f t="shared" si="6"/>
        <v>0</v>
      </c>
      <c r="AL138" s="121">
        <f>SUMIFS('21SepTo27Sep'!$L:$L, '21SepTo27Sep'!$J:$J, $A138)</f>
        <v>0</v>
      </c>
      <c r="AM138" s="121">
        <f>SUMIFS('21SepTo27Sep'!$K:$K, '21SepTo27Sep'!$J:$J, $A138)</f>
        <v>0</v>
      </c>
      <c r="AN138" s="121">
        <f>SUMIFS('21SepTo27Sep'!$O:$O, '21SepTo27Sep'!$J:$J, $A138)</f>
        <v>0</v>
      </c>
      <c r="AO138" s="121">
        <f>SUMIFS('21SepTo27Sep'!$P:$P, '21SepTo27Sep'!$J:$J, $A138)</f>
        <v>0</v>
      </c>
      <c r="AP138" s="123">
        <f t="shared" si="7"/>
        <v>0</v>
      </c>
      <c r="AQ138" s="121">
        <f>SUMIFS('14SepTo20Sep'!$L:$L, '14SepTo20Sep'!$J:$J, $A138)</f>
        <v>0</v>
      </c>
      <c r="AR138" s="121">
        <f>SUMIFS('14SepTo20Sep'!$K:$K, '14SepTo20Sep'!$J:$J, $A138)</f>
        <v>0</v>
      </c>
      <c r="AS138" s="121">
        <f>SUMIFS('14SepTo20Sep'!$O:$O, '14SepTo20Sep'!$J:$J, $A138)</f>
        <v>0</v>
      </c>
      <c r="AT138" s="121">
        <f>SUMIFS('14SepTo20Sep'!$P:$P, '14SepTo20Sep'!$J:$J, $A138)</f>
        <v>0</v>
      </c>
      <c r="AU138" s="123">
        <f t="shared" si="8"/>
        <v>0</v>
      </c>
      <c r="AV138" s="121">
        <f>SUMIFS('7SepTo13Sep'!$L:$L, '7SepTo13Sep'!$J:$J, $A138)</f>
        <v>0</v>
      </c>
      <c r="AW138" s="121">
        <f>SUMIFS('7SepTo13Sep'!$K:$K, '7SepTo13Sep'!$J:$J, $A138)</f>
        <v>0</v>
      </c>
      <c r="AX138" s="121">
        <f>SUMIFS('7SepTo13Sep'!$O:$O, '7SepTo13Sep'!$J:$J, $A138)</f>
        <v>0</v>
      </c>
      <c r="AY138" s="121">
        <f>SUMIFS('7SepTo13Sep'!$P:$P, '7SepTo13Sep'!$J:$J, $A138)</f>
        <v>0</v>
      </c>
      <c r="AZ138" s="123">
        <f t="shared" si="9"/>
        <v>0</v>
      </c>
      <c r="BA138" s="121">
        <f>SUMIFS('31AugTo6Sep'!$L:$L, '31AugTo6Sep'!$J:$J, $A138)</f>
        <v>0</v>
      </c>
      <c r="BB138" s="121">
        <f>SUMIFS('31AugTo6Sep'!$K:$K, '31AugTo6Sep'!$J:$J, $A138)</f>
        <v>0</v>
      </c>
      <c r="BC138" s="121">
        <f>SUMIFS('31AugTo6Sep'!$O:$O, '31AugTo6Sep'!$J:$J, $A138)</f>
        <v>0</v>
      </c>
      <c r="BD138" s="121">
        <f>SUMIFS('31AugTo6Sep'!$P:$P, '31AugTo6Sep'!$J:$J, $A138)</f>
        <v>0</v>
      </c>
      <c r="BE138" s="123">
        <f t="shared" si="10"/>
        <v>0</v>
      </c>
      <c r="BF138" s="121">
        <f>SUMIFS('24AugTo29Aug'!$L:$L, '24AugTo29Aug'!$J:$J, $A138)</f>
        <v>0</v>
      </c>
      <c r="BG138" s="121">
        <f>SUMIFS('24AugTo29Aug'!$K:$K, '24AugTo29Aug'!$J:$J, $A138)</f>
        <v>0</v>
      </c>
      <c r="BH138" s="121">
        <f>SUMIFS('24AugTo29Aug'!$O:$O, '24AugTo29Aug'!$J:$J, $A138)</f>
        <v>0</v>
      </c>
      <c r="BI138" s="121">
        <f>SUMIFS('24AugTo29Aug'!$P:$P, '24AugTo29Aug'!$J:$J, $A138)</f>
        <v>0</v>
      </c>
      <c r="BJ138" s="123">
        <f t="shared" si="11"/>
        <v>0</v>
      </c>
      <c r="BK138" s="121">
        <f>SUMIFS('17AugTo21Aug'!$L:$L, '17AugTo21Aug'!$J:$J, $A138)</f>
        <v>1</v>
      </c>
      <c r="BL138" s="121">
        <f>SUMIFS('17AugTo21Aug'!$K:$K, '17AugTo21Aug'!$J:$J, $A138)</f>
        <v>1</v>
      </c>
      <c r="BM138" s="121">
        <f>SUMIFS('17AugTo21Aug'!$O:$O, '17AugTo21Aug'!$J:$J, $A138)</f>
        <v>0.76</v>
      </c>
      <c r="BN138" s="121">
        <f>SUMIFS('17AugTo21Aug'!$P:$P, '17AugTo21Aug'!$J:$J, $A138)</f>
        <v>24.94</v>
      </c>
      <c r="BO138" s="123">
        <f t="shared" si="12"/>
        <v>3.0473135525260626</v>
      </c>
      <c r="BP138" s="121">
        <f>SUMIFS('10AugTo16Aug'!$L:$L, '10AugTo16Aug'!$J:$J, $A138)</f>
        <v>0</v>
      </c>
      <c r="BQ138" s="121">
        <f>SUMIFS('10AugTo16Aug'!$K:$K, '10AugTo16Aug'!$J:$J, $A138)</f>
        <v>0</v>
      </c>
      <c r="BR138" s="121">
        <f>SUMIFS('10AugTo16Aug'!$O:$O, '10AugTo16Aug'!$J:$J, $A138)</f>
        <v>0</v>
      </c>
      <c r="BS138" s="121">
        <f>SUMIFS('10AugTo16Aug'!$P:$P, '10AugTo16Aug'!$J:$J, $A138)</f>
        <v>0</v>
      </c>
      <c r="BT138" s="123">
        <f t="shared" si="13"/>
        <v>0</v>
      </c>
      <c r="BU138" s="121">
        <f>SUMIFS('3AugTo9Aug'!$L:$L, '3AugTo9Aug'!$J:$J, $A138)</f>
        <v>0</v>
      </c>
      <c r="BV138" s="121">
        <f>SUMIFS('3AugTo9Aug'!$K:$K, '3AugTo9Aug'!$J:$J, $A138)</f>
        <v>0</v>
      </c>
      <c r="BW138" s="121">
        <f>SUMIFS('3AugTo9Aug'!$O:$O, '3AugTo9Aug'!$J:$J, $A138)</f>
        <v>0</v>
      </c>
      <c r="BX138" s="121">
        <f>SUMIFS('3AugTo9Aug'!$P:$P, '3AugTo9Aug'!$J:$J, $A138)</f>
        <v>0</v>
      </c>
      <c r="BY138" s="123">
        <f t="shared" si="14"/>
        <v>0</v>
      </c>
      <c r="BZ138" s="121">
        <f>SUMIFS('27JulyTo2Aug'!$L:$L, '27JulyTo2Aug'!$J:$J, $A138)</f>
        <v>0</v>
      </c>
      <c r="CA138" s="121">
        <f>SUMIFS('27JulyTo2Aug'!$K:$K, '27JulyTo2Aug'!$J:$J, $A138)</f>
        <v>0</v>
      </c>
      <c r="CB138" s="121">
        <f>SUMIFS('27JulyTo2Aug'!$O:$O, '27JulyTo2Aug'!$J:$J, $A138)</f>
        <v>0</v>
      </c>
      <c r="CC138" s="121">
        <f>SUMIFS('27JulyTo2Aug'!$P:$P, '27JulyTo2Aug'!$J:$J, $A138)</f>
        <v>0</v>
      </c>
      <c r="CD138" s="123">
        <f t="shared" si="15"/>
        <v>0</v>
      </c>
    </row>
    <row r="139" spans="1:82" ht="14.25" customHeight="1" x14ac:dyDescent="0.3">
      <c r="A139" s="124" t="s">
        <v>658</v>
      </c>
      <c r="B139" s="120" t="str">
        <f t="shared" si="18"/>
        <v>NO TRAFFIC</v>
      </c>
      <c r="C139" s="121">
        <f>SUMIFS('9NovTo15Nov'!$L:$L, '9NovTo15Nov'!$J:$J, $A139)</f>
        <v>0</v>
      </c>
      <c r="D139" s="121">
        <f>SUMIFS('9NovTo15Nov'!$K:$K, '9NovTo15Nov'!$J:$J, $A139)</f>
        <v>0</v>
      </c>
      <c r="E139" s="121">
        <f>SUMIFS('9NovTo15Nov'!$O:$O, '9NovTo15Nov'!$J:$J, $A139)</f>
        <v>0</v>
      </c>
      <c r="F139" s="121">
        <f>SUMIFS('9NovTo15Nov'!$P:$P, '9NovTo15Nov'!$J:$J, $A139)</f>
        <v>0</v>
      </c>
      <c r="G139" s="122">
        <f t="shared" si="0"/>
        <v>0</v>
      </c>
      <c r="H139" s="121">
        <f>SUMIFS('2NovTo8Nov'!$L:$L, '2NovTo8Nov'!$J:$J, $A139)</f>
        <v>0</v>
      </c>
      <c r="I139" s="121">
        <f>SUMIFS('2NovTo8Nov'!$K:$K, '2NovTo8Nov'!$J:$J, $A139)</f>
        <v>0</v>
      </c>
      <c r="J139" s="121">
        <f>SUMIFS('2NovTo8Nov'!$O:$O, '2NovTo8Nov'!$J:$J, $A139)</f>
        <v>0</v>
      </c>
      <c r="K139" s="121">
        <f>SUMIFS('2NovTo8Nov'!$P:$P, '2NovTo8Nov'!$J:$J, $A139)</f>
        <v>0</v>
      </c>
      <c r="L139" s="122">
        <f t="shared" si="1"/>
        <v>0</v>
      </c>
      <c r="M139" s="121">
        <f>SUMIFS('26OctTo1Nov'!$L:$L, '26OctTo1Nov'!$J:$J, $A139)</f>
        <v>0</v>
      </c>
      <c r="N139" s="121">
        <f>SUMIFS('26OctTo1Nov'!$K:$K, '26OctTo1Nov'!$J:$J, $A139)</f>
        <v>0</v>
      </c>
      <c r="O139" s="121">
        <f>SUMIFS('26OctTo1Nov'!$O:$O, '26OctTo1Nov'!$J:$J, $A139)</f>
        <v>0</v>
      </c>
      <c r="P139" s="121">
        <f>SUMIFS('26OctTo1Nov'!$P:$P, '26OctTo1Nov'!$J:$J, $A139)</f>
        <v>0</v>
      </c>
      <c r="Q139" s="122">
        <f t="shared" si="2"/>
        <v>0</v>
      </c>
      <c r="R139" s="121">
        <f>SUMIFS('19OctTo25Oct'!$L:$L, '19OctTo25Oct'!$J:$J, $A139)</f>
        <v>0</v>
      </c>
      <c r="S139" s="121">
        <f>SUMIFS('19OctTo25Oct'!$K:$K, '19OctTo25Oct'!$J:$J, $A139)</f>
        <v>0</v>
      </c>
      <c r="T139" s="121">
        <f>SUMIFS('19OctTo25Oct'!$O:$O, '19OctTo25Oct'!$J:$J, $A139)</f>
        <v>0</v>
      </c>
      <c r="U139" s="121">
        <f>SUMIFS('19OctTo25Oct'!$P:$P, '19OctTo25Oct'!$J:$J, $A139)</f>
        <v>0</v>
      </c>
      <c r="V139" s="122">
        <f t="shared" si="3"/>
        <v>0</v>
      </c>
      <c r="W139" s="121">
        <f>SUMIFS('12OctTo18Oct'!$L:$L, '12OctTo18Oct'!$J:$J, $A139)</f>
        <v>0</v>
      </c>
      <c r="X139" s="121">
        <f>SUMIFS('12OctTo18Oct'!$K:$K, '12OctTo18Oct'!$J:$J, $A139)</f>
        <v>0</v>
      </c>
      <c r="Y139" s="121">
        <f>SUMIFS('12OctTo18Oct'!$O:$O, '12OctTo18Oct'!$J:$J, $A139)</f>
        <v>0</v>
      </c>
      <c r="Z139" s="121">
        <f>SUMIFS('12OctTo18Oct'!$P:$P, '12OctTo18Oct'!$J:$J, $A139)</f>
        <v>0</v>
      </c>
      <c r="AA139" s="122">
        <f t="shared" si="4"/>
        <v>0</v>
      </c>
      <c r="AB139" s="121">
        <f>SUMIFS('5OctTo11Oct'!$L:$L, '5OctTo11Oct'!$J:$J, $A139)</f>
        <v>0</v>
      </c>
      <c r="AC139" s="121">
        <f>SUMIFS('5OctTo11Oct'!$K:$K, '5OctTo11Oct'!$J:$J, $A139)</f>
        <v>0</v>
      </c>
      <c r="AD139" s="121">
        <f>SUMIFS('5OctTo11Oct'!$O:$O, '5OctTo11Oct'!$J:$J, $A139)</f>
        <v>0</v>
      </c>
      <c r="AE139" s="121">
        <f>SUMIFS('5OctTo11Oct'!$P:$P, '5OctTo11Oct'!$J:$J, $A139)</f>
        <v>0</v>
      </c>
      <c r="AF139" s="123">
        <f t="shared" si="5"/>
        <v>0</v>
      </c>
      <c r="AG139" s="121">
        <f>SUMIFS('28SepTo4Oct'!$L:$L, '28SepTo4Oct'!$J:$J, $A139)</f>
        <v>0</v>
      </c>
      <c r="AH139" s="121">
        <f>SUMIFS('28SepTo4Oct'!$K:$K, '28SepTo4Oct'!$J:$J, $A139)</f>
        <v>0</v>
      </c>
      <c r="AI139" s="121">
        <f>SUMIFS('28SepTo4Oct'!$O:$O, '28SepTo4Oct'!$J:$J, $A139)</f>
        <v>0</v>
      </c>
      <c r="AJ139" s="121">
        <f>SUMIFS('28SepTo4Oct'!$P:$P, '28SepTo4Oct'!$J:$J, $A139)</f>
        <v>0</v>
      </c>
      <c r="AK139" s="123">
        <f t="shared" si="6"/>
        <v>0</v>
      </c>
      <c r="AL139" s="121">
        <f>SUMIFS('21SepTo27Sep'!$L:$L, '21SepTo27Sep'!$J:$J, $A139)</f>
        <v>0</v>
      </c>
      <c r="AM139" s="121">
        <f>SUMIFS('21SepTo27Sep'!$K:$K, '21SepTo27Sep'!$J:$J, $A139)</f>
        <v>0</v>
      </c>
      <c r="AN139" s="121">
        <f>SUMIFS('21SepTo27Sep'!$O:$O, '21SepTo27Sep'!$J:$J, $A139)</f>
        <v>0</v>
      </c>
      <c r="AO139" s="121">
        <f>SUMIFS('21SepTo27Sep'!$P:$P, '21SepTo27Sep'!$J:$J, $A139)</f>
        <v>0</v>
      </c>
      <c r="AP139" s="123">
        <f t="shared" si="7"/>
        <v>0</v>
      </c>
      <c r="AQ139" s="121">
        <f>SUMIFS('14SepTo20Sep'!$L:$L, '14SepTo20Sep'!$J:$J, $A139)</f>
        <v>0</v>
      </c>
      <c r="AR139" s="121">
        <f>SUMIFS('14SepTo20Sep'!$K:$K, '14SepTo20Sep'!$J:$J, $A139)</f>
        <v>0</v>
      </c>
      <c r="AS139" s="121">
        <f>SUMIFS('14SepTo20Sep'!$O:$O, '14SepTo20Sep'!$J:$J, $A139)</f>
        <v>0</v>
      </c>
      <c r="AT139" s="121">
        <f>SUMIFS('14SepTo20Sep'!$P:$P, '14SepTo20Sep'!$J:$J, $A139)</f>
        <v>0</v>
      </c>
      <c r="AU139" s="123">
        <f t="shared" si="8"/>
        <v>0</v>
      </c>
      <c r="AV139" s="121">
        <f>SUMIFS('7SepTo13Sep'!$L:$L, '7SepTo13Sep'!$J:$J, $A139)</f>
        <v>0</v>
      </c>
      <c r="AW139" s="121">
        <f>SUMIFS('7SepTo13Sep'!$K:$K, '7SepTo13Sep'!$J:$J, $A139)</f>
        <v>0</v>
      </c>
      <c r="AX139" s="121">
        <f>SUMIFS('7SepTo13Sep'!$O:$O, '7SepTo13Sep'!$J:$J, $A139)</f>
        <v>0</v>
      </c>
      <c r="AY139" s="121">
        <f>SUMIFS('7SepTo13Sep'!$P:$P, '7SepTo13Sep'!$J:$J, $A139)</f>
        <v>0</v>
      </c>
      <c r="AZ139" s="123">
        <f t="shared" si="9"/>
        <v>0</v>
      </c>
      <c r="BA139" s="121">
        <f>SUMIFS('31AugTo6Sep'!$L:$L, '31AugTo6Sep'!$J:$J, $A139)</f>
        <v>0</v>
      </c>
      <c r="BB139" s="121">
        <f>SUMIFS('31AugTo6Sep'!$K:$K, '31AugTo6Sep'!$J:$J, $A139)</f>
        <v>0</v>
      </c>
      <c r="BC139" s="121">
        <f>SUMIFS('31AugTo6Sep'!$O:$O, '31AugTo6Sep'!$J:$J, $A139)</f>
        <v>0</v>
      </c>
      <c r="BD139" s="121">
        <f>SUMIFS('31AugTo6Sep'!$P:$P, '31AugTo6Sep'!$J:$J, $A139)</f>
        <v>0</v>
      </c>
      <c r="BE139" s="123">
        <f t="shared" si="10"/>
        <v>0</v>
      </c>
      <c r="BF139" s="121">
        <f>SUMIFS('24AugTo29Aug'!$L:$L, '24AugTo29Aug'!$J:$J, $A139)</f>
        <v>0</v>
      </c>
      <c r="BG139" s="121">
        <f>SUMIFS('24AugTo29Aug'!$K:$K, '24AugTo29Aug'!$J:$J, $A139)</f>
        <v>0</v>
      </c>
      <c r="BH139" s="121">
        <f>SUMIFS('24AugTo29Aug'!$O:$O, '24AugTo29Aug'!$J:$J, $A139)</f>
        <v>0</v>
      </c>
      <c r="BI139" s="121">
        <f>SUMIFS('24AugTo29Aug'!$P:$P, '24AugTo29Aug'!$J:$J, $A139)</f>
        <v>0</v>
      </c>
      <c r="BJ139" s="123">
        <f t="shared" si="11"/>
        <v>0</v>
      </c>
      <c r="BK139" s="121">
        <f>SUMIFS('17AugTo21Aug'!$L:$L, '17AugTo21Aug'!$J:$J, $A139)</f>
        <v>1</v>
      </c>
      <c r="BL139" s="121">
        <f>SUMIFS('17AugTo21Aug'!$K:$K, '17AugTo21Aug'!$J:$J, $A139)</f>
        <v>1</v>
      </c>
      <c r="BM139" s="121">
        <f>SUMIFS('17AugTo21Aug'!$O:$O, '17AugTo21Aug'!$J:$J, $A139)</f>
        <v>3.5</v>
      </c>
      <c r="BN139" s="121">
        <f>SUMIFS('17AugTo21Aug'!$P:$P, '17AugTo21Aug'!$J:$J, $A139)</f>
        <v>24.94</v>
      </c>
      <c r="BO139" s="123">
        <f t="shared" si="12"/>
        <v>14.033680834001602</v>
      </c>
      <c r="BP139" s="121">
        <f>SUMIFS('10AugTo16Aug'!$L:$L, '10AugTo16Aug'!$J:$J, $A139)</f>
        <v>0</v>
      </c>
      <c r="BQ139" s="121">
        <f>SUMIFS('10AugTo16Aug'!$K:$K, '10AugTo16Aug'!$J:$J, $A139)</f>
        <v>0</v>
      </c>
      <c r="BR139" s="121">
        <f>SUMIFS('10AugTo16Aug'!$O:$O, '10AugTo16Aug'!$J:$J, $A139)</f>
        <v>0</v>
      </c>
      <c r="BS139" s="121">
        <f>SUMIFS('10AugTo16Aug'!$P:$P, '10AugTo16Aug'!$J:$J, $A139)</f>
        <v>0</v>
      </c>
      <c r="BT139" s="123">
        <f t="shared" si="13"/>
        <v>0</v>
      </c>
      <c r="BU139" s="121">
        <f>SUMIFS('3AugTo9Aug'!$L:$L, '3AugTo9Aug'!$J:$J, $A139)</f>
        <v>0</v>
      </c>
      <c r="BV139" s="121">
        <f>SUMIFS('3AugTo9Aug'!$K:$K, '3AugTo9Aug'!$J:$J, $A139)</f>
        <v>0</v>
      </c>
      <c r="BW139" s="121">
        <f>SUMIFS('3AugTo9Aug'!$O:$O, '3AugTo9Aug'!$J:$J, $A139)</f>
        <v>0</v>
      </c>
      <c r="BX139" s="121">
        <f>SUMIFS('3AugTo9Aug'!$P:$P, '3AugTo9Aug'!$J:$J, $A139)</f>
        <v>0</v>
      </c>
      <c r="BY139" s="123">
        <f t="shared" si="14"/>
        <v>0</v>
      </c>
      <c r="BZ139" s="121">
        <f>SUMIFS('27JulyTo2Aug'!$L:$L, '27JulyTo2Aug'!$J:$J, $A139)</f>
        <v>0</v>
      </c>
      <c r="CA139" s="121">
        <f>SUMIFS('27JulyTo2Aug'!$K:$K, '27JulyTo2Aug'!$J:$J, $A139)</f>
        <v>0</v>
      </c>
      <c r="CB139" s="121">
        <f>SUMIFS('27JulyTo2Aug'!$O:$O, '27JulyTo2Aug'!$J:$J, $A139)</f>
        <v>0</v>
      </c>
      <c r="CC139" s="121">
        <f>SUMIFS('27JulyTo2Aug'!$P:$P, '27JulyTo2Aug'!$J:$J, $A139)</f>
        <v>0</v>
      </c>
      <c r="CD139" s="123">
        <f t="shared" si="15"/>
        <v>0</v>
      </c>
    </row>
    <row r="140" spans="1:82" ht="14.25" customHeight="1" x14ac:dyDescent="0.3">
      <c r="A140" s="124" t="s">
        <v>660</v>
      </c>
      <c r="B140" s="120" t="str">
        <f t="shared" si="18"/>
        <v>NO TRAFFIC</v>
      </c>
      <c r="C140" s="121">
        <f>SUMIFS('9NovTo15Nov'!$L:$L, '9NovTo15Nov'!$J:$J, $A140)</f>
        <v>0</v>
      </c>
      <c r="D140" s="121">
        <f>SUMIFS('9NovTo15Nov'!$K:$K, '9NovTo15Nov'!$J:$J, $A140)</f>
        <v>0</v>
      </c>
      <c r="E140" s="121">
        <f>SUMIFS('9NovTo15Nov'!$O:$O, '9NovTo15Nov'!$J:$J, $A140)</f>
        <v>0</v>
      </c>
      <c r="F140" s="121">
        <f>SUMIFS('9NovTo15Nov'!$P:$P, '9NovTo15Nov'!$J:$J, $A140)</f>
        <v>0</v>
      </c>
      <c r="G140" s="122">
        <f t="shared" si="0"/>
        <v>0</v>
      </c>
      <c r="H140" s="121">
        <f>SUMIFS('2NovTo8Nov'!$L:$L, '2NovTo8Nov'!$J:$J, $A140)</f>
        <v>0</v>
      </c>
      <c r="I140" s="121">
        <f>SUMIFS('2NovTo8Nov'!$K:$K, '2NovTo8Nov'!$J:$J, $A140)</f>
        <v>0</v>
      </c>
      <c r="J140" s="121">
        <f>SUMIFS('2NovTo8Nov'!$O:$O, '2NovTo8Nov'!$J:$J, $A140)</f>
        <v>0</v>
      </c>
      <c r="K140" s="121">
        <f>SUMIFS('2NovTo8Nov'!$P:$P, '2NovTo8Nov'!$J:$J, $A140)</f>
        <v>0</v>
      </c>
      <c r="L140" s="122">
        <f t="shared" si="1"/>
        <v>0</v>
      </c>
      <c r="M140" s="121">
        <f>SUMIFS('26OctTo1Nov'!$L:$L, '26OctTo1Nov'!$J:$J, $A140)</f>
        <v>0</v>
      </c>
      <c r="N140" s="121">
        <f>SUMIFS('26OctTo1Nov'!$K:$K, '26OctTo1Nov'!$J:$J, $A140)</f>
        <v>0</v>
      </c>
      <c r="O140" s="121">
        <f>SUMIFS('26OctTo1Nov'!$O:$O, '26OctTo1Nov'!$J:$J, $A140)</f>
        <v>0</v>
      </c>
      <c r="P140" s="121">
        <f>SUMIFS('26OctTo1Nov'!$P:$P, '26OctTo1Nov'!$J:$J, $A140)</f>
        <v>0</v>
      </c>
      <c r="Q140" s="122">
        <f t="shared" si="2"/>
        <v>0</v>
      </c>
      <c r="R140" s="121">
        <f>SUMIFS('19OctTo25Oct'!$L:$L, '19OctTo25Oct'!$J:$J, $A140)</f>
        <v>0</v>
      </c>
      <c r="S140" s="121">
        <f>SUMIFS('19OctTo25Oct'!$K:$K, '19OctTo25Oct'!$J:$J, $A140)</f>
        <v>0</v>
      </c>
      <c r="T140" s="121">
        <f>SUMIFS('19OctTo25Oct'!$O:$O, '19OctTo25Oct'!$J:$J, $A140)</f>
        <v>0</v>
      </c>
      <c r="U140" s="121">
        <f>SUMIFS('19OctTo25Oct'!$P:$P, '19OctTo25Oct'!$J:$J, $A140)</f>
        <v>0</v>
      </c>
      <c r="V140" s="122">
        <f t="shared" si="3"/>
        <v>0</v>
      </c>
      <c r="W140" s="121">
        <f>SUMIFS('12OctTo18Oct'!$L:$L, '12OctTo18Oct'!$J:$J, $A140)</f>
        <v>0</v>
      </c>
      <c r="X140" s="121">
        <f>SUMIFS('12OctTo18Oct'!$K:$K, '12OctTo18Oct'!$J:$J, $A140)</f>
        <v>0</v>
      </c>
      <c r="Y140" s="121">
        <f>SUMIFS('12OctTo18Oct'!$O:$O, '12OctTo18Oct'!$J:$J, $A140)</f>
        <v>0</v>
      </c>
      <c r="Z140" s="121">
        <f>SUMIFS('12OctTo18Oct'!$P:$P, '12OctTo18Oct'!$J:$J, $A140)</f>
        <v>0</v>
      </c>
      <c r="AA140" s="122">
        <f t="shared" si="4"/>
        <v>0</v>
      </c>
      <c r="AB140" s="121">
        <f>SUMIFS('5OctTo11Oct'!$L:$L, '5OctTo11Oct'!$J:$J, $A140)</f>
        <v>0</v>
      </c>
      <c r="AC140" s="121">
        <f>SUMIFS('5OctTo11Oct'!$K:$K, '5OctTo11Oct'!$J:$J, $A140)</f>
        <v>0</v>
      </c>
      <c r="AD140" s="121">
        <f>SUMIFS('5OctTo11Oct'!$O:$O, '5OctTo11Oct'!$J:$J, $A140)</f>
        <v>0</v>
      </c>
      <c r="AE140" s="121">
        <f>SUMIFS('5OctTo11Oct'!$P:$P, '5OctTo11Oct'!$J:$J, $A140)</f>
        <v>0</v>
      </c>
      <c r="AF140" s="123">
        <f t="shared" si="5"/>
        <v>0</v>
      </c>
      <c r="AG140" s="121">
        <f>SUMIFS('28SepTo4Oct'!$L:$L, '28SepTo4Oct'!$J:$J, $A140)</f>
        <v>0</v>
      </c>
      <c r="AH140" s="121">
        <f>SUMIFS('28SepTo4Oct'!$K:$K, '28SepTo4Oct'!$J:$J, $A140)</f>
        <v>0</v>
      </c>
      <c r="AI140" s="121">
        <f>SUMIFS('28SepTo4Oct'!$O:$O, '28SepTo4Oct'!$J:$J, $A140)</f>
        <v>0</v>
      </c>
      <c r="AJ140" s="121">
        <f>SUMIFS('28SepTo4Oct'!$P:$P, '28SepTo4Oct'!$J:$J, $A140)</f>
        <v>0</v>
      </c>
      <c r="AK140" s="123">
        <f t="shared" si="6"/>
        <v>0</v>
      </c>
      <c r="AL140" s="121">
        <f>SUMIFS('21SepTo27Sep'!$L:$L, '21SepTo27Sep'!$J:$J, $A140)</f>
        <v>0</v>
      </c>
      <c r="AM140" s="121">
        <f>SUMIFS('21SepTo27Sep'!$K:$K, '21SepTo27Sep'!$J:$J, $A140)</f>
        <v>0</v>
      </c>
      <c r="AN140" s="121">
        <f>SUMIFS('21SepTo27Sep'!$O:$O, '21SepTo27Sep'!$J:$J, $A140)</f>
        <v>0</v>
      </c>
      <c r="AO140" s="121">
        <f>SUMIFS('21SepTo27Sep'!$P:$P, '21SepTo27Sep'!$J:$J, $A140)</f>
        <v>0</v>
      </c>
      <c r="AP140" s="123">
        <f t="shared" si="7"/>
        <v>0</v>
      </c>
      <c r="AQ140" s="121">
        <f>SUMIFS('14SepTo20Sep'!$L:$L, '14SepTo20Sep'!$J:$J, $A140)</f>
        <v>0</v>
      </c>
      <c r="AR140" s="121">
        <f>SUMIFS('14SepTo20Sep'!$K:$K, '14SepTo20Sep'!$J:$J, $A140)</f>
        <v>0</v>
      </c>
      <c r="AS140" s="121">
        <f>SUMIFS('14SepTo20Sep'!$O:$O, '14SepTo20Sep'!$J:$J, $A140)</f>
        <v>0</v>
      </c>
      <c r="AT140" s="121">
        <f>SUMIFS('14SepTo20Sep'!$P:$P, '14SepTo20Sep'!$J:$J, $A140)</f>
        <v>0</v>
      </c>
      <c r="AU140" s="123">
        <f t="shared" si="8"/>
        <v>0</v>
      </c>
      <c r="AV140" s="121">
        <f>SUMIFS('7SepTo13Sep'!$L:$L, '7SepTo13Sep'!$J:$J, $A140)</f>
        <v>0</v>
      </c>
      <c r="AW140" s="121">
        <f>SUMIFS('7SepTo13Sep'!$K:$K, '7SepTo13Sep'!$J:$J, $A140)</f>
        <v>0</v>
      </c>
      <c r="AX140" s="121">
        <f>SUMIFS('7SepTo13Sep'!$O:$O, '7SepTo13Sep'!$J:$J, $A140)</f>
        <v>0</v>
      </c>
      <c r="AY140" s="121">
        <f>SUMIFS('7SepTo13Sep'!$P:$P, '7SepTo13Sep'!$J:$J, $A140)</f>
        <v>0</v>
      </c>
      <c r="AZ140" s="123">
        <f t="shared" si="9"/>
        <v>0</v>
      </c>
      <c r="BA140" s="121">
        <f>SUMIFS('31AugTo6Sep'!$L:$L, '31AugTo6Sep'!$J:$J, $A140)</f>
        <v>0</v>
      </c>
      <c r="BB140" s="121">
        <f>SUMIFS('31AugTo6Sep'!$K:$K, '31AugTo6Sep'!$J:$J, $A140)</f>
        <v>0</v>
      </c>
      <c r="BC140" s="121">
        <f>SUMIFS('31AugTo6Sep'!$O:$O, '31AugTo6Sep'!$J:$J, $A140)</f>
        <v>0</v>
      </c>
      <c r="BD140" s="121">
        <f>SUMIFS('31AugTo6Sep'!$P:$P, '31AugTo6Sep'!$J:$J, $A140)</f>
        <v>0</v>
      </c>
      <c r="BE140" s="123">
        <f t="shared" si="10"/>
        <v>0</v>
      </c>
      <c r="BF140" s="121">
        <f>SUMIFS('24AugTo29Aug'!$L:$L, '24AugTo29Aug'!$J:$J, $A140)</f>
        <v>0</v>
      </c>
      <c r="BG140" s="121">
        <f>SUMIFS('24AugTo29Aug'!$K:$K, '24AugTo29Aug'!$J:$J, $A140)</f>
        <v>0</v>
      </c>
      <c r="BH140" s="121">
        <f>SUMIFS('24AugTo29Aug'!$O:$O, '24AugTo29Aug'!$J:$J, $A140)</f>
        <v>0</v>
      </c>
      <c r="BI140" s="121">
        <f>SUMIFS('24AugTo29Aug'!$P:$P, '24AugTo29Aug'!$J:$J, $A140)</f>
        <v>0</v>
      </c>
      <c r="BJ140" s="123">
        <f t="shared" si="11"/>
        <v>0</v>
      </c>
      <c r="BK140" s="121">
        <f>SUMIFS('17AugTo21Aug'!$L:$L, '17AugTo21Aug'!$J:$J, $A140)</f>
        <v>1</v>
      </c>
      <c r="BL140" s="121">
        <f>SUMIFS('17AugTo21Aug'!$K:$K, '17AugTo21Aug'!$J:$J, $A140)</f>
        <v>2</v>
      </c>
      <c r="BM140" s="121">
        <f>SUMIFS('17AugTo21Aug'!$O:$O, '17AugTo21Aug'!$J:$J, $A140)</f>
        <v>2.66</v>
      </c>
      <c r="BN140" s="121">
        <f>SUMIFS('17AugTo21Aug'!$P:$P, '17AugTo21Aug'!$J:$J, $A140)</f>
        <v>24.94</v>
      </c>
      <c r="BO140" s="123">
        <f t="shared" si="12"/>
        <v>10.665597433841219</v>
      </c>
      <c r="BP140" s="121">
        <f>SUMIFS('10AugTo16Aug'!$L:$L, '10AugTo16Aug'!$J:$J, $A140)</f>
        <v>0</v>
      </c>
      <c r="BQ140" s="121">
        <f>SUMIFS('10AugTo16Aug'!$K:$K, '10AugTo16Aug'!$J:$J, $A140)</f>
        <v>0</v>
      </c>
      <c r="BR140" s="121">
        <f>SUMIFS('10AugTo16Aug'!$O:$O, '10AugTo16Aug'!$J:$J, $A140)</f>
        <v>0</v>
      </c>
      <c r="BS140" s="121">
        <f>SUMIFS('10AugTo16Aug'!$P:$P, '10AugTo16Aug'!$J:$J, $A140)</f>
        <v>0</v>
      </c>
      <c r="BT140" s="123">
        <f t="shared" si="13"/>
        <v>0</v>
      </c>
      <c r="BU140" s="121">
        <f>SUMIFS('3AugTo9Aug'!$L:$L, '3AugTo9Aug'!$J:$J, $A140)</f>
        <v>0</v>
      </c>
      <c r="BV140" s="121">
        <f>SUMIFS('3AugTo9Aug'!$K:$K, '3AugTo9Aug'!$J:$J, $A140)</f>
        <v>0</v>
      </c>
      <c r="BW140" s="121">
        <f>SUMIFS('3AugTo9Aug'!$O:$O, '3AugTo9Aug'!$J:$J, $A140)</f>
        <v>0</v>
      </c>
      <c r="BX140" s="121">
        <f>SUMIFS('3AugTo9Aug'!$P:$P, '3AugTo9Aug'!$J:$J, $A140)</f>
        <v>0</v>
      </c>
      <c r="BY140" s="123">
        <f t="shared" si="14"/>
        <v>0</v>
      </c>
      <c r="BZ140" s="121">
        <f>SUMIFS('27JulyTo2Aug'!$L:$L, '27JulyTo2Aug'!$J:$J, $A140)</f>
        <v>0</v>
      </c>
      <c r="CA140" s="121">
        <f>SUMIFS('27JulyTo2Aug'!$K:$K, '27JulyTo2Aug'!$J:$J, $A140)</f>
        <v>0</v>
      </c>
      <c r="CB140" s="121">
        <f>SUMIFS('27JulyTo2Aug'!$O:$O, '27JulyTo2Aug'!$J:$J, $A140)</f>
        <v>0</v>
      </c>
      <c r="CC140" s="121">
        <f>SUMIFS('27JulyTo2Aug'!$P:$P, '27JulyTo2Aug'!$J:$J, $A140)</f>
        <v>0</v>
      </c>
      <c r="CD140" s="123">
        <f t="shared" si="15"/>
        <v>0</v>
      </c>
    </row>
    <row r="141" spans="1:82" ht="14.25" customHeight="1" x14ac:dyDescent="0.3">
      <c r="A141" s="124" t="s">
        <v>679</v>
      </c>
      <c r="B141" s="120" t="str">
        <f t="shared" si="18"/>
        <v>NO TRAFFIC</v>
      </c>
      <c r="C141" s="121">
        <f>SUMIFS('9NovTo15Nov'!$L:$L, '9NovTo15Nov'!$J:$J, $A141)</f>
        <v>0</v>
      </c>
      <c r="D141" s="121">
        <f>SUMIFS('9NovTo15Nov'!$K:$K, '9NovTo15Nov'!$J:$J, $A141)</f>
        <v>0</v>
      </c>
      <c r="E141" s="121">
        <f>SUMIFS('9NovTo15Nov'!$O:$O, '9NovTo15Nov'!$J:$J, $A141)</f>
        <v>0</v>
      </c>
      <c r="F141" s="121">
        <f>SUMIFS('9NovTo15Nov'!$P:$P, '9NovTo15Nov'!$J:$J, $A141)</f>
        <v>0</v>
      </c>
      <c r="G141" s="122">
        <f t="shared" si="0"/>
        <v>0</v>
      </c>
      <c r="H141" s="121">
        <f>SUMIFS('2NovTo8Nov'!$L:$L, '2NovTo8Nov'!$J:$J, $A141)</f>
        <v>0</v>
      </c>
      <c r="I141" s="121">
        <f>SUMIFS('2NovTo8Nov'!$K:$K, '2NovTo8Nov'!$J:$J, $A141)</f>
        <v>0</v>
      </c>
      <c r="J141" s="121">
        <f>SUMIFS('2NovTo8Nov'!$O:$O, '2NovTo8Nov'!$J:$J, $A141)</f>
        <v>0</v>
      </c>
      <c r="K141" s="121">
        <f>SUMIFS('2NovTo8Nov'!$P:$P, '2NovTo8Nov'!$J:$J, $A141)</f>
        <v>0</v>
      </c>
      <c r="L141" s="122">
        <f t="shared" si="1"/>
        <v>0</v>
      </c>
      <c r="M141" s="121">
        <f>SUMIFS('26OctTo1Nov'!$L:$L, '26OctTo1Nov'!$J:$J, $A141)</f>
        <v>0</v>
      </c>
      <c r="N141" s="121">
        <f>SUMIFS('26OctTo1Nov'!$K:$K, '26OctTo1Nov'!$J:$J, $A141)</f>
        <v>0</v>
      </c>
      <c r="O141" s="121">
        <f>SUMIFS('26OctTo1Nov'!$O:$O, '26OctTo1Nov'!$J:$J, $A141)</f>
        <v>0</v>
      </c>
      <c r="P141" s="121">
        <f>SUMIFS('26OctTo1Nov'!$P:$P, '26OctTo1Nov'!$J:$J, $A141)</f>
        <v>0</v>
      </c>
      <c r="Q141" s="122">
        <f t="shared" si="2"/>
        <v>0</v>
      </c>
      <c r="R141" s="121">
        <f>SUMIFS('19OctTo25Oct'!$L:$L, '19OctTo25Oct'!$J:$J, $A141)</f>
        <v>0</v>
      </c>
      <c r="S141" s="121">
        <f>SUMIFS('19OctTo25Oct'!$K:$K, '19OctTo25Oct'!$J:$J, $A141)</f>
        <v>0</v>
      </c>
      <c r="T141" s="121">
        <f>SUMIFS('19OctTo25Oct'!$O:$O, '19OctTo25Oct'!$J:$J, $A141)</f>
        <v>0</v>
      </c>
      <c r="U141" s="121">
        <f>SUMIFS('19OctTo25Oct'!$P:$P, '19OctTo25Oct'!$J:$J, $A141)</f>
        <v>0</v>
      </c>
      <c r="V141" s="122">
        <f t="shared" si="3"/>
        <v>0</v>
      </c>
      <c r="W141" s="121">
        <f>SUMIFS('12OctTo18Oct'!$L:$L, '12OctTo18Oct'!$J:$J, $A141)</f>
        <v>0</v>
      </c>
      <c r="X141" s="121">
        <f>SUMIFS('12OctTo18Oct'!$K:$K, '12OctTo18Oct'!$J:$J, $A141)</f>
        <v>0</v>
      </c>
      <c r="Y141" s="121">
        <f>SUMIFS('12OctTo18Oct'!$O:$O, '12OctTo18Oct'!$J:$J, $A141)</f>
        <v>0</v>
      </c>
      <c r="Z141" s="121">
        <f>SUMIFS('12OctTo18Oct'!$P:$P, '12OctTo18Oct'!$J:$J, $A141)</f>
        <v>0</v>
      </c>
      <c r="AA141" s="122">
        <f t="shared" si="4"/>
        <v>0</v>
      </c>
      <c r="AB141" s="121">
        <f>SUMIFS('5OctTo11Oct'!$L:$L, '5OctTo11Oct'!$J:$J, $A141)</f>
        <v>0</v>
      </c>
      <c r="AC141" s="121">
        <f>SUMIFS('5OctTo11Oct'!$K:$K, '5OctTo11Oct'!$J:$J, $A141)</f>
        <v>0</v>
      </c>
      <c r="AD141" s="121">
        <f>SUMIFS('5OctTo11Oct'!$O:$O, '5OctTo11Oct'!$J:$J, $A141)</f>
        <v>0</v>
      </c>
      <c r="AE141" s="121">
        <f>SUMIFS('5OctTo11Oct'!$P:$P, '5OctTo11Oct'!$J:$J, $A141)</f>
        <v>0</v>
      </c>
      <c r="AF141" s="123">
        <f t="shared" si="5"/>
        <v>0</v>
      </c>
      <c r="AG141" s="121">
        <f>SUMIFS('28SepTo4Oct'!$L:$L, '28SepTo4Oct'!$J:$J, $A141)</f>
        <v>0</v>
      </c>
      <c r="AH141" s="121">
        <f>SUMIFS('28SepTo4Oct'!$K:$K, '28SepTo4Oct'!$J:$J, $A141)</f>
        <v>0</v>
      </c>
      <c r="AI141" s="121">
        <f>SUMIFS('28SepTo4Oct'!$O:$O, '28SepTo4Oct'!$J:$J, $A141)</f>
        <v>0</v>
      </c>
      <c r="AJ141" s="121">
        <f>SUMIFS('28SepTo4Oct'!$P:$P, '28SepTo4Oct'!$J:$J, $A141)</f>
        <v>0</v>
      </c>
      <c r="AK141" s="123">
        <f t="shared" si="6"/>
        <v>0</v>
      </c>
      <c r="AL141" s="121">
        <f>SUMIFS('21SepTo27Sep'!$L:$L, '21SepTo27Sep'!$J:$J, $A141)</f>
        <v>0</v>
      </c>
      <c r="AM141" s="121">
        <f>SUMIFS('21SepTo27Sep'!$K:$K, '21SepTo27Sep'!$J:$J, $A141)</f>
        <v>0</v>
      </c>
      <c r="AN141" s="121">
        <f>SUMIFS('21SepTo27Sep'!$O:$O, '21SepTo27Sep'!$J:$J, $A141)</f>
        <v>0</v>
      </c>
      <c r="AO141" s="121">
        <f>SUMIFS('21SepTo27Sep'!$P:$P, '21SepTo27Sep'!$J:$J, $A141)</f>
        <v>0</v>
      </c>
      <c r="AP141" s="123">
        <f t="shared" si="7"/>
        <v>0</v>
      </c>
      <c r="AQ141" s="121">
        <f>SUMIFS('14SepTo20Sep'!$L:$L, '14SepTo20Sep'!$J:$J, $A141)</f>
        <v>0</v>
      </c>
      <c r="AR141" s="121">
        <f>SUMIFS('14SepTo20Sep'!$K:$K, '14SepTo20Sep'!$J:$J, $A141)</f>
        <v>0</v>
      </c>
      <c r="AS141" s="121">
        <f>SUMIFS('14SepTo20Sep'!$O:$O, '14SepTo20Sep'!$J:$J, $A141)</f>
        <v>0</v>
      </c>
      <c r="AT141" s="121">
        <f>SUMIFS('14SepTo20Sep'!$P:$P, '14SepTo20Sep'!$J:$J, $A141)</f>
        <v>0</v>
      </c>
      <c r="AU141" s="123">
        <f t="shared" si="8"/>
        <v>0</v>
      </c>
      <c r="AV141" s="121">
        <f>SUMIFS('7SepTo13Sep'!$L:$L, '7SepTo13Sep'!$J:$J, $A141)</f>
        <v>0</v>
      </c>
      <c r="AW141" s="121">
        <f>SUMIFS('7SepTo13Sep'!$K:$K, '7SepTo13Sep'!$J:$J, $A141)</f>
        <v>0</v>
      </c>
      <c r="AX141" s="121">
        <f>SUMIFS('7SepTo13Sep'!$O:$O, '7SepTo13Sep'!$J:$J, $A141)</f>
        <v>0</v>
      </c>
      <c r="AY141" s="121">
        <f>SUMIFS('7SepTo13Sep'!$P:$P, '7SepTo13Sep'!$J:$J, $A141)</f>
        <v>0</v>
      </c>
      <c r="AZ141" s="123">
        <f t="shared" si="9"/>
        <v>0</v>
      </c>
      <c r="BA141" s="121">
        <f>SUMIFS('31AugTo6Sep'!$L:$L, '31AugTo6Sep'!$J:$J, $A141)</f>
        <v>0</v>
      </c>
      <c r="BB141" s="121">
        <f>SUMIFS('31AugTo6Sep'!$K:$K, '31AugTo6Sep'!$J:$J, $A141)</f>
        <v>0</v>
      </c>
      <c r="BC141" s="121">
        <f>SUMIFS('31AugTo6Sep'!$O:$O, '31AugTo6Sep'!$J:$J, $A141)</f>
        <v>0</v>
      </c>
      <c r="BD141" s="121">
        <f>SUMIFS('31AugTo6Sep'!$P:$P, '31AugTo6Sep'!$J:$J, $A141)</f>
        <v>0</v>
      </c>
      <c r="BE141" s="123">
        <f t="shared" si="10"/>
        <v>0</v>
      </c>
      <c r="BF141" s="121">
        <f>SUMIFS('24AugTo29Aug'!$L:$L, '24AugTo29Aug'!$J:$J, $A141)</f>
        <v>0</v>
      </c>
      <c r="BG141" s="121">
        <f>SUMIFS('24AugTo29Aug'!$K:$K, '24AugTo29Aug'!$J:$J, $A141)</f>
        <v>0</v>
      </c>
      <c r="BH141" s="121">
        <f>SUMIFS('24AugTo29Aug'!$O:$O, '24AugTo29Aug'!$J:$J, $A141)</f>
        <v>0</v>
      </c>
      <c r="BI141" s="121">
        <f>SUMIFS('24AugTo29Aug'!$P:$P, '24AugTo29Aug'!$J:$J, $A141)</f>
        <v>0</v>
      </c>
      <c r="BJ141" s="123">
        <f t="shared" si="11"/>
        <v>0</v>
      </c>
      <c r="BK141" s="121">
        <f>SUMIFS('17AugTo21Aug'!$L:$L, '17AugTo21Aug'!$J:$J, $A141)</f>
        <v>1</v>
      </c>
      <c r="BL141" s="121">
        <f>SUMIFS('17AugTo21Aug'!$K:$K, '17AugTo21Aug'!$J:$J, $A141)</f>
        <v>33</v>
      </c>
      <c r="BM141" s="121">
        <f>SUMIFS('17AugTo21Aug'!$O:$O, '17AugTo21Aug'!$J:$J, $A141)</f>
        <v>1.36</v>
      </c>
      <c r="BN141" s="121">
        <f>SUMIFS('17AugTo21Aug'!$P:$P, '17AugTo21Aug'!$J:$J, $A141)</f>
        <v>24.94</v>
      </c>
      <c r="BO141" s="123">
        <f t="shared" si="12"/>
        <v>5.4530874097834801</v>
      </c>
      <c r="BP141" s="121">
        <f>SUMIFS('10AugTo16Aug'!$L:$L, '10AugTo16Aug'!$J:$J, $A141)</f>
        <v>0</v>
      </c>
      <c r="BQ141" s="121">
        <f>SUMIFS('10AugTo16Aug'!$K:$K, '10AugTo16Aug'!$J:$J, $A141)</f>
        <v>0</v>
      </c>
      <c r="BR141" s="121">
        <f>SUMIFS('10AugTo16Aug'!$O:$O, '10AugTo16Aug'!$J:$J, $A141)</f>
        <v>0</v>
      </c>
      <c r="BS141" s="121">
        <f>SUMIFS('10AugTo16Aug'!$P:$P, '10AugTo16Aug'!$J:$J, $A141)</f>
        <v>0</v>
      </c>
      <c r="BT141" s="123">
        <f t="shared" si="13"/>
        <v>0</v>
      </c>
      <c r="BU141" s="121">
        <f>SUMIFS('3AugTo9Aug'!$L:$L, '3AugTo9Aug'!$J:$J, $A141)</f>
        <v>0</v>
      </c>
      <c r="BV141" s="121">
        <f>SUMIFS('3AugTo9Aug'!$K:$K, '3AugTo9Aug'!$J:$J, $A141)</f>
        <v>0</v>
      </c>
      <c r="BW141" s="121">
        <f>SUMIFS('3AugTo9Aug'!$O:$O, '3AugTo9Aug'!$J:$J, $A141)</f>
        <v>0</v>
      </c>
      <c r="BX141" s="121">
        <f>SUMIFS('3AugTo9Aug'!$P:$P, '3AugTo9Aug'!$J:$J, $A141)</f>
        <v>0</v>
      </c>
      <c r="BY141" s="123">
        <f t="shared" si="14"/>
        <v>0</v>
      </c>
      <c r="BZ141" s="121">
        <f>SUMIFS('27JulyTo2Aug'!$L:$L, '27JulyTo2Aug'!$J:$J, $A141)</f>
        <v>0</v>
      </c>
      <c r="CA141" s="121">
        <f>SUMIFS('27JulyTo2Aug'!$K:$K, '27JulyTo2Aug'!$J:$J, $A141)</f>
        <v>0</v>
      </c>
      <c r="CB141" s="121">
        <f>SUMIFS('27JulyTo2Aug'!$O:$O, '27JulyTo2Aug'!$J:$J, $A141)</f>
        <v>0</v>
      </c>
      <c r="CC141" s="121">
        <f>SUMIFS('27JulyTo2Aug'!$P:$P, '27JulyTo2Aug'!$J:$J, $A141)</f>
        <v>0</v>
      </c>
      <c r="CD141" s="123">
        <f t="shared" si="15"/>
        <v>0</v>
      </c>
    </row>
    <row r="142" spans="1:82" ht="14.25" customHeight="1" x14ac:dyDescent="0.3">
      <c r="A142" s="124" t="s">
        <v>680</v>
      </c>
      <c r="B142" s="120" t="str">
        <f t="shared" si="18"/>
        <v>NO TRAFFIC</v>
      </c>
      <c r="C142" s="121">
        <f>SUMIFS('9NovTo15Nov'!$L:$L, '9NovTo15Nov'!$J:$J, $A142)</f>
        <v>0</v>
      </c>
      <c r="D142" s="121">
        <f>SUMIFS('9NovTo15Nov'!$K:$K, '9NovTo15Nov'!$J:$J, $A142)</f>
        <v>0</v>
      </c>
      <c r="E142" s="121">
        <f>SUMIFS('9NovTo15Nov'!$O:$O, '9NovTo15Nov'!$J:$J, $A142)</f>
        <v>0</v>
      </c>
      <c r="F142" s="121">
        <f>SUMIFS('9NovTo15Nov'!$P:$P, '9NovTo15Nov'!$J:$J, $A142)</f>
        <v>0</v>
      </c>
      <c r="G142" s="122">
        <f t="shared" si="0"/>
        <v>0</v>
      </c>
      <c r="H142" s="121">
        <f>SUMIFS('2NovTo8Nov'!$L:$L, '2NovTo8Nov'!$J:$J, $A142)</f>
        <v>0</v>
      </c>
      <c r="I142" s="121">
        <f>SUMIFS('2NovTo8Nov'!$K:$K, '2NovTo8Nov'!$J:$J, $A142)</f>
        <v>0</v>
      </c>
      <c r="J142" s="121">
        <f>SUMIFS('2NovTo8Nov'!$O:$O, '2NovTo8Nov'!$J:$J, $A142)</f>
        <v>0</v>
      </c>
      <c r="K142" s="121">
        <f>SUMIFS('2NovTo8Nov'!$P:$P, '2NovTo8Nov'!$J:$J, $A142)</f>
        <v>0</v>
      </c>
      <c r="L142" s="122">
        <f t="shared" si="1"/>
        <v>0</v>
      </c>
      <c r="M142" s="121">
        <f>SUMIFS('26OctTo1Nov'!$L:$L, '26OctTo1Nov'!$J:$J, $A142)</f>
        <v>0</v>
      </c>
      <c r="N142" s="121">
        <f>SUMIFS('26OctTo1Nov'!$K:$K, '26OctTo1Nov'!$J:$J, $A142)</f>
        <v>0</v>
      </c>
      <c r="O142" s="121">
        <f>SUMIFS('26OctTo1Nov'!$O:$O, '26OctTo1Nov'!$J:$J, $A142)</f>
        <v>0</v>
      </c>
      <c r="P142" s="121">
        <f>SUMIFS('26OctTo1Nov'!$P:$P, '26OctTo1Nov'!$J:$J, $A142)</f>
        <v>0</v>
      </c>
      <c r="Q142" s="122">
        <f t="shared" si="2"/>
        <v>0</v>
      </c>
      <c r="R142" s="121">
        <f>SUMIFS('19OctTo25Oct'!$L:$L, '19OctTo25Oct'!$J:$J, $A142)</f>
        <v>0</v>
      </c>
      <c r="S142" s="121">
        <f>SUMIFS('19OctTo25Oct'!$K:$K, '19OctTo25Oct'!$J:$J, $A142)</f>
        <v>0</v>
      </c>
      <c r="T142" s="121">
        <f>SUMIFS('19OctTo25Oct'!$O:$O, '19OctTo25Oct'!$J:$J, $A142)</f>
        <v>0</v>
      </c>
      <c r="U142" s="121">
        <f>SUMIFS('19OctTo25Oct'!$P:$P, '19OctTo25Oct'!$J:$J, $A142)</f>
        <v>0</v>
      </c>
      <c r="V142" s="122">
        <f t="shared" si="3"/>
        <v>0</v>
      </c>
      <c r="W142" s="121">
        <f>SUMIFS('12OctTo18Oct'!$L:$L, '12OctTo18Oct'!$J:$J, $A142)</f>
        <v>0</v>
      </c>
      <c r="X142" s="121">
        <f>SUMIFS('12OctTo18Oct'!$K:$K, '12OctTo18Oct'!$J:$J, $A142)</f>
        <v>0</v>
      </c>
      <c r="Y142" s="121">
        <f>SUMIFS('12OctTo18Oct'!$O:$O, '12OctTo18Oct'!$J:$J, $A142)</f>
        <v>0</v>
      </c>
      <c r="Z142" s="121">
        <f>SUMIFS('12OctTo18Oct'!$P:$P, '12OctTo18Oct'!$J:$J, $A142)</f>
        <v>0</v>
      </c>
      <c r="AA142" s="122">
        <f t="shared" si="4"/>
        <v>0</v>
      </c>
      <c r="AB142" s="121">
        <f>SUMIFS('5OctTo11Oct'!$L:$L, '5OctTo11Oct'!$J:$J, $A142)</f>
        <v>0</v>
      </c>
      <c r="AC142" s="121">
        <f>SUMIFS('5OctTo11Oct'!$K:$K, '5OctTo11Oct'!$J:$J, $A142)</f>
        <v>0</v>
      </c>
      <c r="AD142" s="121">
        <f>SUMIFS('5OctTo11Oct'!$O:$O, '5OctTo11Oct'!$J:$J, $A142)</f>
        <v>0</v>
      </c>
      <c r="AE142" s="121">
        <f>SUMIFS('5OctTo11Oct'!$P:$P, '5OctTo11Oct'!$J:$J, $A142)</f>
        <v>0</v>
      </c>
      <c r="AF142" s="123">
        <f t="shared" si="5"/>
        <v>0</v>
      </c>
      <c r="AG142" s="121">
        <f>SUMIFS('28SepTo4Oct'!$L:$L, '28SepTo4Oct'!$J:$J, $A142)</f>
        <v>0</v>
      </c>
      <c r="AH142" s="121">
        <f>SUMIFS('28SepTo4Oct'!$K:$K, '28SepTo4Oct'!$J:$J, $A142)</f>
        <v>0</v>
      </c>
      <c r="AI142" s="121">
        <f>SUMIFS('28SepTo4Oct'!$O:$O, '28SepTo4Oct'!$J:$J, $A142)</f>
        <v>0</v>
      </c>
      <c r="AJ142" s="121">
        <f>SUMIFS('28SepTo4Oct'!$P:$P, '28SepTo4Oct'!$J:$J, $A142)</f>
        <v>0</v>
      </c>
      <c r="AK142" s="123">
        <f t="shared" si="6"/>
        <v>0</v>
      </c>
      <c r="AL142" s="121">
        <f>SUMIFS('21SepTo27Sep'!$L:$L, '21SepTo27Sep'!$J:$J, $A142)</f>
        <v>0</v>
      </c>
      <c r="AM142" s="121">
        <f>SUMIFS('21SepTo27Sep'!$K:$K, '21SepTo27Sep'!$J:$J, $A142)</f>
        <v>0</v>
      </c>
      <c r="AN142" s="121">
        <f>SUMIFS('21SepTo27Sep'!$O:$O, '21SepTo27Sep'!$J:$J, $A142)</f>
        <v>0</v>
      </c>
      <c r="AO142" s="121">
        <f>SUMIFS('21SepTo27Sep'!$P:$P, '21SepTo27Sep'!$J:$J, $A142)</f>
        <v>0</v>
      </c>
      <c r="AP142" s="123">
        <f t="shared" si="7"/>
        <v>0</v>
      </c>
      <c r="AQ142" s="121">
        <f>SUMIFS('14SepTo20Sep'!$L:$L, '14SepTo20Sep'!$J:$J, $A142)</f>
        <v>0</v>
      </c>
      <c r="AR142" s="121">
        <f>SUMIFS('14SepTo20Sep'!$K:$K, '14SepTo20Sep'!$J:$J, $A142)</f>
        <v>0</v>
      </c>
      <c r="AS142" s="121">
        <f>SUMIFS('14SepTo20Sep'!$O:$O, '14SepTo20Sep'!$J:$J, $A142)</f>
        <v>0</v>
      </c>
      <c r="AT142" s="121">
        <f>SUMIFS('14SepTo20Sep'!$P:$P, '14SepTo20Sep'!$J:$J, $A142)</f>
        <v>0</v>
      </c>
      <c r="AU142" s="123">
        <f t="shared" si="8"/>
        <v>0</v>
      </c>
      <c r="AV142" s="121">
        <f>SUMIFS('7SepTo13Sep'!$L:$L, '7SepTo13Sep'!$J:$J, $A142)</f>
        <v>0</v>
      </c>
      <c r="AW142" s="121">
        <f>SUMIFS('7SepTo13Sep'!$K:$K, '7SepTo13Sep'!$J:$J, $A142)</f>
        <v>0</v>
      </c>
      <c r="AX142" s="121">
        <f>SUMIFS('7SepTo13Sep'!$O:$O, '7SepTo13Sep'!$J:$J, $A142)</f>
        <v>0</v>
      </c>
      <c r="AY142" s="121">
        <f>SUMIFS('7SepTo13Sep'!$P:$P, '7SepTo13Sep'!$J:$J, $A142)</f>
        <v>0</v>
      </c>
      <c r="AZ142" s="123">
        <f t="shared" si="9"/>
        <v>0</v>
      </c>
      <c r="BA142" s="121">
        <f>SUMIFS('31AugTo6Sep'!$L:$L, '31AugTo6Sep'!$J:$J, $A142)</f>
        <v>0</v>
      </c>
      <c r="BB142" s="121">
        <f>SUMIFS('31AugTo6Sep'!$K:$K, '31AugTo6Sep'!$J:$J, $A142)</f>
        <v>0</v>
      </c>
      <c r="BC142" s="121">
        <f>SUMIFS('31AugTo6Sep'!$O:$O, '31AugTo6Sep'!$J:$J, $A142)</f>
        <v>0</v>
      </c>
      <c r="BD142" s="121">
        <f>SUMIFS('31AugTo6Sep'!$P:$P, '31AugTo6Sep'!$J:$J, $A142)</f>
        <v>0</v>
      </c>
      <c r="BE142" s="123">
        <f t="shared" si="10"/>
        <v>0</v>
      </c>
      <c r="BF142" s="121">
        <f>SUMIFS('24AugTo29Aug'!$L:$L, '24AugTo29Aug'!$J:$J, $A142)</f>
        <v>0</v>
      </c>
      <c r="BG142" s="121">
        <f>SUMIFS('24AugTo29Aug'!$K:$K, '24AugTo29Aug'!$J:$J, $A142)</f>
        <v>0</v>
      </c>
      <c r="BH142" s="121">
        <f>SUMIFS('24AugTo29Aug'!$O:$O, '24AugTo29Aug'!$J:$J, $A142)</f>
        <v>0</v>
      </c>
      <c r="BI142" s="121">
        <f>SUMIFS('24AugTo29Aug'!$P:$P, '24AugTo29Aug'!$J:$J, $A142)</f>
        <v>0</v>
      </c>
      <c r="BJ142" s="123">
        <f t="shared" si="11"/>
        <v>0</v>
      </c>
      <c r="BK142" s="121">
        <f>SUMIFS('17AugTo21Aug'!$L:$L, '17AugTo21Aug'!$J:$J, $A142)</f>
        <v>1</v>
      </c>
      <c r="BL142" s="121">
        <f>SUMIFS('17AugTo21Aug'!$K:$K, '17AugTo21Aug'!$J:$J, $A142)</f>
        <v>1</v>
      </c>
      <c r="BM142" s="121">
        <f>SUMIFS('17AugTo21Aug'!$O:$O, '17AugTo21Aug'!$J:$J, $A142)</f>
        <v>2.5</v>
      </c>
      <c r="BN142" s="121">
        <f>SUMIFS('17AugTo21Aug'!$P:$P, '17AugTo21Aug'!$J:$J, $A142)</f>
        <v>49.88</v>
      </c>
      <c r="BO142" s="123">
        <f t="shared" si="12"/>
        <v>5.0120288692862873</v>
      </c>
      <c r="BP142" s="121">
        <f>SUMIFS('10AugTo16Aug'!$L:$L, '10AugTo16Aug'!$J:$J, $A142)</f>
        <v>0</v>
      </c>
      <c r="BQ142" s="121">
        <f>SUMIFS('10AugTo16Aug'!$K:$K, '10AugTo16Aug'!$J:$J, $A142)</f>
        <v>0</v>
      </c>
      <c r="BR142" s="121">
        <f>SUMIFS('10AugTo16Aug'!$O:$O, '10AugTo16Aug'!$J:$J, $A142)</f>
        <v>0</v>
      </c>
      <c r="BS142" s="121">
        <f>SUMIFS('10AugTo16Aug'!$P:$P, '10AugTo16Aug'!$J:$J, $A142)</f>
        <v>0</v>
      </c>
      <c r="BT142" s="123">
        <f t="shared" si="13"/>
        <v>0</v>
      </c>
      <c r="BU142" s="121">
        <f>SUMIFS('3AugTo9Aug'!$L:$L, '3AugTo9Aug'!$J:$J, $A142)</f>
        <v>0</v>
      </c>
      <c r="BV142" s="121">
        <f>SUMIFS('3AugTo9Aug'!$K:$K, '3AugTo9Aug'!$J:$J, $A142)</f>
        <v>0</v>
      </c>
      <c r="BW142" s="121">
        <f>SUMIFS('3AugTo9Aug'!$O:$O, '3AugTo9Aug'!$J:$J, $A142)</f>
        <v>0</v>
      </c>
      <c r="BX142" s="121">
        <f>SUMIFS('3AugTo9Aug'!$P:$P, '3AugTo9Aug'!$J:$J, $A142)</f>
        <v>0</v>
      </c>
      <c r="BY142" s="123">
        <f t="shared" si="14"/>
        <v>0</v>
      </c>
      <c r="BZ142" s="121">
        <f>SUMIFS('27JulyTo2Aug'!$L:$L, '27JulyTo2Aug'!$J:$J, $A142)</f>
        <v>0</v>
      </c>
      <c r="CA142" s="121">
        <f>SUMIFS('27JulyTo2Aug'!$K:$K, '27JulyTo2Aug'!$J:$J, $A142)</f>
        <v>0</v>
      </c>
      <c r="CB142" s="121">
        <f>SUMIFS('27JulyTo2Aug'!$O:$O, '27JulyTo2Aug'!$J:$J, $A142)</f>
        <v>0</v>
      </c>
      <c r="CC142" s="121">
        <f>SUMIFS('27JulyTo2Aug'!$P:$P, '27JulyTo2Aug'!$J:$J, $A142)</f>
        <v>0</v>
      </c>
      <c r="CD142" s="123">
        <f t="shared" si="15"/>
        <v>0</v>
      </c>
    </row>
    <row r="143" spans="1:82" ht="14.25" customHeight="1" x14ac:dyDescent="0.3">
      <c r="A143" s="124" t="s">
        <v>684</v>
      </c>
      <c r="B143" s="120" t="str">
        <f t="shared" si="18"/>
        <v>NO TRAFFIC</v>
      </c>
      <c r="C143" s="121">
        <f>SUMIFS('9NovTo15Nov'!$L:$L, '9NovTo15Nov'!$J:$J, $A143)</f>
        <v>0</v>
      </c>
      <c r="D143" s="121">
        <f>SUMIFS('9NovTo15Nov'!$K:$K, '9NovTo15Nov'!$J:$J, $A143)</f>
        <v>0</v>
      </c>
      <c r="E143" s="121">
        <f>SUMIFS('9NovTo15Nov'!$O:$O, '9NovTo15Nov'!$J:$J, $A143)</f>
        <v>0</v>
      </c>
      <c r="F143" s="121">
        <f>SUMIFS('9NovTo15Nov'!$P:$P, '9NovTo15Nov'!$J:$J, $A143)</f>
        <v>0</v>
      </c>
      <c r="G143" s="122">
        <f t="shared" si="0"/>
        <v>0</v>
      </c>
      <c r="H143" s="121">
        <f>SUMIFS('2NovTo8Nov'!$L:$L, '2NovTo8Nov'!$J:$J, $A143)</f>
        <v>0</v>
      </c>
      <c r="I143" s="121">
        <f>SUMIFS('2NovTo8Nov'!$K:$K, '2NovTo8Nov'!$J:$J, $A143)</f>
        <v>0</v>
      </c>
      <c r="J143" s="121">
        <f>SUMIFS('2NovTo8Nov'!$O:$O, '2NovTo8Nov'!$J:$J, $A143)</f>
        <v>0</v>
      </c>
      <c r="K143" s="121">
        <f>SUMIFS('2NovTo8Nov'!$P:$P, '2NovTo8Nov'!$J:$J, $A143)</f>
        <v>0</v>
      </c>
      <c r="L143" s="122">
        <f t="shared" si="1"/>
        <v>0</v>
      </c>
      <c r="M143" s="121">
        <f>SUMIFS('26OctTo1Nov'!$L:$L, '26OctTo1Nov'!$J:$J, $A143)</f>
        <v>0</v>
      </c>
      <c r="N143" s="121">
        <f>SUMIFS('26OctTo1Nov'!$K:$K, '26OctTo1Nov'!$J:$J, $A143)</f>
        <v>0</v>
      </c>
      <c r="O143" s="121">
        <f>SUMIFS('26OctTo1Nov'!$O:$O, '26OctTo1Nov'!$J:$J, $A143)</f>
        <v>0</v>
      </c>
      <c r="P143" s="121">
        <f>SUMIFS('26OctTo1Nov'!$P:$P, '26OctTo1Nov'!$J:$J, $A143)</f>
        <v>0</v>
      </c>
      <c r="Q143" s="122">
        <f t="shared" si="2"/>
        <v>0</v>
      </c>
      <c r="R143" s="121">
        <f>SUMIFS('19OctTo25Oct'!$L:$L, '19OctTo25Oct'!$J:$J, $A143)</f>
        <v>0</v>
      </c>
      <c r="S143" s="121">
        <f>SUMIFS('19OctTo25Oct'!$K:$K, '19OctTo25Oct'!$J:$J, $A143)</f>
        <v>0</v>
      </c>
      <c r="T143" s="121">
        <f>SUMIFS('19OctTo25Oct'!$O:$O, '19OctTo25Oct'!$J:$J, $A143)</f>
        <v>0</v>
      </c>
      <c r="U143" s="121">
        <f>SUMIFS('19OctTo25Oct'!$P:$P, '19OctTo25Oct'!$J:$J, $A143)</f>
        <v>0</v>
      </c>
      <c r="V143" s="122">
        <f t="shared" si="3"/>
        <v>0</v>
      </c>
      <c r="W143" s="121">
        <f>SUMIFS('12OctTo18Oct'!$L:$L, '12OctTo18Oct'!$J:$J, $A143)</f>
        <v>0</v>
      </c>
      <c r="X143" s="121">
        <f>SUMIFS('12OctTo18Oct'!$K:$K, '12OctTo18Oct'!$J:$J, $A143)</f>
        <v>0</v>
      </c>
      <c r="Y143" s="121">
        <f>SUMIFS('12OctTo18Oct'!$O:$O, '12OctTo18Oct'!$J:$J, $A143)</f>
        <v>0</v>
      </c>
      <c r="Z143" s="121">
        <f>SUMIFS('12OctTo18Oct'!$P:$P, '12OctTo18Oct'!$J:$J, $A143)</f>
        <v>0</v>
      </c>
      <c r="AA143" s="122">
        <f t="shared" si="4"/>
        <v>0</v>
      </c>
      <c r="AB143" s="121">
        <f>SUMIFS('5OctTo11Oct'!$L:$L, '5OctTo11Oct'!$J:$J, $A143)</f>
        <v>0</v>
      </c>
      <c r="AC143" s="121">
        <f>SUMIFS('5OctTo11Oct'!$K:$K, '5OctTo11Oct'!$J:$J, $A143)</f>
        <v>0</v>
      </c>
      <c r="AD143" s="121">
        <f>SUMIFS('5OctTo11Oct'!$O:$O, '5OctTo11Oct'!$J:$J, $A143)</f>
        <v>0</v>
      </c>
      <c r="AE143" s="121">
        <f>SUMIFS('5OctTo11Oct'!$P:$P, '5OctTo11Oct'!$J:$J, $A143)</f>
        <v>0</v>
      </c>
      <c r="AF143" s="123">
        <f t="shared" si="5"/>
        <v>0</v>
      </c>
      <c r="AG143" s="121">
        <f>SUMIFS('28SepTo4Oct'!$L:$L, '28SepTo4Oct'!$J:$J, $A143)</f>
        <v>0</v>
      </c>
      <c r="AH143" s="121">
        <f>SUMIFS('28SepTo4Oct'!$K:$K, '28SepTo4Oct'!$J:$J, $A143)</f>
        <v>0</v>
      </c>
      <c r="AI143" s="121">
        <f>SUMIFS('28SepTo4Oct'!$O:$O, '28SepTo4Oct'!$J:$J, $A143)</f>
        <v>0</v>
      </c>
      <c r="AJ143" s="121">
        <f>SUMIFS('28SepTo4Oct'!$P:$P, '28SepTo4Oct'!$J:$J, $A143)</f>
        <v>0</v>
      </c>
      <c r="AK143" s="123">
        <f t="shared" si="6"/>
        <v>0</v>
      </c>
      <c r="AL143" s="121">
        <f>SUMIFS('21SepTo27Sep'!$L:$L, '21SepTo27Sep'!$J:$J, $A143)</f>
        <v>0</v>
      </c>
      <c r="AM143" s="121">
        <f>SUMIFS('21SepTo27Sep'!$K:$K, '21SepTo27Sep'!$J:$J, $A143)</f>
        <v>0</v>
      </c>
      <c r="AN143" s="121">
        <f>SUMIFS('21SepTo27Sep'!$O:$O, '21SepTo27Sep'!$J:$J, $A143)</f>
        <v>0</v>
      </c>
      <c r="AO143" s="121">
        <f>SUMIFS('21SepTo27Sep'!$P:$P, '21SepTo27Sep'!$J:$J, $A143)</f>
        <v>0</v>
      </c>
      <c r="AP143" s="123">
        <f t="shared" si="7"/>
        <v>0</v>
      </c>
      <c r="AQ143" s="121">
        <f>SUMIFS('14SepTo20Sep'!$L:$L, '14SepTo20Sep'!$J:$J, $A143)</f>
        <v>0</v>
      </c>
      <c r="AR143" s="121">
        <f>SUMIFS('14SepTo20Sep'!$K:$K, '14SepTo20Sep'!$J:$J, $A143)</f>
        <v>0</v>
      </c>
      <c r="AS143" s="121">
        <f>SUMIFS('14SepTo20Sep'!$O:$O, '14SepTo20Sep'!$J:$J, $A143)</f>
        <v>0</v>
      </c>
      <c r="AT143" s="121">
        <f>SUMIFS('14SepTo20Sep'!$P:$P, '14SepTo20Sep'!$J:$J, $A143)</f>
        <v>0</v>
      </c>
      <c r="AU143" s="123">
        <f t="shared" si="8"/>
        <v>0</v>
      </c>
      <c r="AV143" s="121">
        <f>SUMIFS('7SepTo13Sep'!$L:$L, '7SepTo13Sep'!$J:$J, $A143)</f>
        <v>0</v>
      </c>
      <c r="AW143" s="121">
        <f>SUMIFS('7SepTo13Sep'!$K:$K, '7SepTo13Sep'!$J:$J, $A143)</f>
        <v>0</v>
      </c>
      <c r="AX143" s="121">
        <f>SUMIFS('7SepTo13Sep'!$O:$O, '7SepTo13Sep'!$J:$J, $A143)</f>
        <v>0</v>
      </c>
      <c r="AY143" s="121">
        <f>SUMIFS('7SepTo13Sep'!$P:$P, '7SepTo13Sep'!$J:$J, $A143)</f>
        <v>0</v>
      </c>
      <c r="AZ143" s="123">
        <f t="shared" si="9"/>
        <v>0</v>
      </c>
      <c r="BA143" s="121">
        <f>SUMIFS('31AugTo6Sep'!$L:$L, '31AugTo6Sep'!$J:$J, $A143)</f>
        <v>0</v>
      </c>
      <c r="BB143" s="121">
        <f>SUMIFS('31AugTo6Sep'!$K:$K, '31AugTo6Sep'!$J:$J, $A143)</f>
        <v>0</v>
      </c>
      <c r="BC143" s="121">
        <f>SUMIFS('31AugTo6Sep'!$O:$O, '31AugTo6Sep'!$J:$J, $A143)</f>
        <v>0</v>
      </c>
      <c r="BD143" s="121">
        <f>SUMIFS('31AugTo6Sep'!$P:$P, '31AugTo6Sep'!$J:$J, $A143)</f>
        <v>0</v>
      </c>
      <c r="BE143" s="123">
        <f t="shared" si="10"/>
        <v>0</v>
      </c>
      <c r="BF143" s="121">
        <f>SUMIFS('24AugTo29Aug'!$L:$L, '24AugTo29Aug'!$J:$J, $A143)</f>
        <v>0</v>
      </c>
      <c r="BG143" s="121">
        <f>SUMIFS('24AugTo29Aug'!$K:$K, '24AugTo29Aug'!$J:$J, $A143)</f>
        <v>0</v>
      </c>
      <c r="BH143" s="121">
        <f>SUMIFS('24AugTo29Aug'!$O:$O, '24AugTo29Aug'!$J:$J, $A143)</f>
        <v>0</v>
      </c>
      <c r="BI143" s="121">
        <f>SUMIFS('24AugTo29Aug'!$P:$P, '24AugTo29Aug'!$J:$J, $A143)</f>
        <v>0</v>
      </c>
      <c r="BJ143" s="123">
        <f t="shared" si="11"/>
        <v>0</v>
      </c>
      <c r="BK143" s="121">
        <f>SUMIFS('17AugTo21Aug'!$L:$L, '17AugTo21Aug'!$J:$J, $A143)</f>
        <v>0</v>
      </c>
      <c r="BL143" s="121">
        <f>SUMIFS('17AugTo21Aug'!$K:$K, '17AugTo21Aug'!$J:$J, $A143)</f>
        <v>0</v>
      </c>
      <c r="BM143" s="121">
        <f>SUMIFS('17AugTo21Aug'!$O:$O, '17AugTo21Aug'!$J:$J, $A143)</f>
        <v>0</v>
      </c>
      <c r="BN143" s="121">
        <f>SUMIFS('17AugTo21Aug'!$P:$P, '17AugTo21Aug'!$J:$J, $A143)</f>
        <v>0</v>
      </c>
      <c r="BO143" s="123">
        <f t="shared" si="12"/>
        <v>0</v>
      </c>
      <c r="BP143" s="121">
        <f>SUMIFS('10AugTo16Aug'!$L:$L, '10AugTo16Aug'!$J:$J, $A143)</f>
        <v>1</v>
      </c>
      <c r="BQ143" s="121">
        <f>SUMIFS('10AugTo16Aug'!$K:$K, '10AugTo16Aug'!$J:$J, $A143)</f>
        <v>2</v>
      </c>
      <c r="BR143" s="121">
        <f>SUMIFS('10AugTo16Aug'!$O:$O, '10AugTo16Aug'!$J:$J, $A143)</f>
        <v>2.16</v>
      </c>
      <c r="BS143" s="121">
        <f>SUMIFS('10AugTo16Aug'!$P:$P, '10AugTo16Aug'!$J:$J, $A143)</f>
        <v>24.94</v>
      </c>
      <c r="BT143" s="123">
        <f t="shared" si="13"/>
        <v>8.6607858861267033</v>
      </c>
      <c r="BU143" s="121">
        <f>SUMIFS('3AugTo9Aug'!$L:$L, '3AugTo9Aug'!$J:$J, $A143)</f>
        <v>0</v>
      </c>
      <c r="BV143" s="121">
        <f>SUMIFS('3AugTo9Aug'!$K:$K, '3AugTo9Aug'!$J:$J, $A143)</f>
        <v>0</v>
      </c>
      <c r="BW143" s="121">
        <f>SUMIFS('3AugTo9Aug'!$O:$O, '3AugTo9Aug'!$J:$J, $A143)</f>
        <v>0</v>
      </c>
      <c r="BX143" s="121">
        <f>SUMIFS('3AugTo9Aug'!$P:$P, '3AugTo9Aug'!$J:$J, $A143)</f>
        <v>0</v>
      </c>
      <c r="BY143" s="123">
        <f t="shared" si="14"/>
        <v>0</v>
      </c>
      <c r="BZ143" s="121">
        <f>SUMIFS('27JulyTo2Aug'!$L:$L, '27JulyTo2Aug'!$J:$J, $A143)</f>
        <v>0</v>
      </c>
      <c r="CA143" s="121">
        <f>SUMIFS('27JulyTo2Aug'!$K:$K, '27JulyTo2Aug'!$J:$J, $A143)</f>
        <v>0</v>
      </c>
      <c r="CB143" s="121">
        <f>SUMIFS('27JulyTo2Aug'!$O:$O, '27JulyTo2Aug'!$J:$J, $A143)</f>
        <v>0</v>
      </c>
      <c r="CC143" s="121">
        <f>SUMIFS('27JulyTo2Aug'!$P:$P, '27JulyTo2Aug'!$J:$J, $A143)</f>
        <v>0</v>
      </c>
      <c r="CD143" s="123">
        <f t="shared" si="15"/>
        <v>0</v>
      </c>
    </row>
    <row r="144" spans="1:82" ht="14.25" customHeight="1" x14ac:dyDescent="0.3">
      <c r="A144" s="124" t="s">
        <v>686</v>
      </c>
      <c r="B144" s="120" t="str">
        <f t="shared" si="18"/>
        <v>NO TRAFFIC</v>
      </c>
      <c r="C144" s="121">
        <f>SUMIFS('9NovTo15Nov'!$L:$L, '9NovTo15Nov'!$J:$J, $A144)</f>
        <v>0</v>
      </c>
      <c r="D144" s="121">
        <f>SUMIFS('9NovTo15Nov'!$K:$K, '9NovTo15Nov'!$J:$J, $A144)</f>
        <v>0</v>
      </c>
      <c r="E144" s="121">
        <f>SUMIFS('9NovTo15Nov'!$O:$O, '9NovTo15Nov'!$J:$J, $A144)</f>
        <v>0</v>
      </c>
      <c r="F144" s="121">
        <f>SUMIFS('9NovTo15Nov'!$P:$P, '9NovTo15Nov'!$J:$J, $A144)</f>
        <v>0</v>
      </c>
      <c r="G144" s="122">
        <f t="shared" si="0"/>
        <v>0</v>
      </c>
      <c r="H144" s="121">
        <f>SUMIFS('2NovTo8Nov'!$L:$L, '2NovTo8Nov'!$J:$J, $A144)</f>
        <v>0</v>
      </c>
      <c r="I144" s="121">
        <f>SUMIFS('2NovTo8Nov'!$K:$K, '2NovTo8Nov'!$J:$J, $A144)</f>
        <v>0</v>
      </c>
      <c r="J144" s="121">
        <f>SUMIFS('2NovTo8Nov'!$O:$O, '2NovTo8Nov'!$J:$J, $A144)</f>
        <v>0</v>
      </c>
      <c r="K144" s="121">
        <f>SUMIFS('2NovTo8Nov'!$P:$P, '2NovTo8Nov'!$J:$J, $A144)</f>
        <v>0</v>
      </c>
      <c r="L144" s="122">
        <f t="shared" si="1"/>
        <v>0</v>
      </c>
      <c r="M144" s="121">
        <f>SUMIFS('26OctTo1Nov'!$L:$L, '26OctTo1Nov'!$J:$J, $A144)</f>
        <v>0</v>
      </c>
      <c r="N144" s="121">
        <f>SUMIFS('26OctTo1Nov'!$K:$K, '26OctTo1Nov'!$J:$J, $A144)</f>
        <v>0</v>
      </c>
      <c r="O144" s="121">
        <f>SUMIFS('26OctTo1Nov'!$O:$O, '26OctTo1Nov'!$J:$J, $A144)</f>
        <v>0</v>
      </c>
      <c r="P144" s="121">
        <f>SUMIFS('26OctTo1Nov'!$P:$P, '26OctTo1Nov'!$J:$J, $A144)</f>
        <v>0</v>
      </c>
      <c r="Q144" s="122">
        <f t="shared" si="2"/>
        <v>0</v>
      </c>
      <c r="R144" s="121">
        <f>SUMIFS('19OctTo25Oct'!$L:$L, '19OctTo25Oct'!$J:$J, $A144)</f>
        <v>0</v>
      </c>
      <c r="S144" s="121">
        <f>SUMIFS('19OctTo25Oct'!$K:$K, '19OctTo25Oct'!$J:$J, $A144)</f>
        <v>0</v>
      </c>
      <c r="T144" s="121">
        <f>SUMIFS('19OctTo25Oct'!$O:$O, '19OctTo25Oct'!$J:$J, $A144)</f>
        <v>0</v>
      </c>
      <c r="U144" s="121">
        <f>SUMIFS('19OctTo25Oct'!$P:$P, '19OctTo25Oct'!$J:$J, $A144)</f>
        <v>0</v>
      </c>
      <c r="V144" s="122">
        <f t="shared" si="3"/>
        <v>0</v>
      </c>
      <c r="W144" s="121">
        <f>SUMIFS('12OctTo18Oct'!$L:$L, '12OctTo18Oct'!$J:$J, $A144)</f>
        <v>0</v>
      </c>
      <c r="X144" s="121">
        <f>SUMIFS('12OctTo18Oct'!$K:$K, '12OctTo18Oct'!$J:$J, $A144)</f>
        <v>0</v>
      </c>
      <c r="Y144" s="121">
        <f>SUMIFS('12OctTo18Oct'!$O:$O, '12OctTo18Oct'!$J:$J, $A144)</f>
        <v>0</v>
      </c>
      <c r="Z144" s="121">
        <f>SUMIFS('12OctTo18Oct'!$P:$P, '12OctTo18Oct'!$J:$J, $A144)</f>
        <v>0</v>
      </c>
      <c r="AA144" s="122">
        <f t="shared" si="4"/>
        <v>0</v>
      </c>
      <c r="AB144" s="121">
        <f>SUMIFS('5OctTo11Oct'!$L:$L, '5OctTo11Oct'!$J:$J, $A144)</f>
        <v>0</v>
      </c>
      <c r="AC144" s="121">
        <f>SUMIFS('5OctTo11Oct'!$K:$K, '5OctTo11Oct'!$J:$J, $A144)</f>
        <v>0</v>
      </c>
      <c r="AD144" s="121">
        <f>SUMIFS('5OctTo11Oct'!$O:$O, '5OctTo11Oct'!$J:$J, $A144)</f>
        <v>0</v>
      </c>
      <c r="AE144" s="121">
        <f>SUMIFS('5OctTo11Oct'!$P:$P, '5OctTo11Oct'!$J:$J, $A144)</f>
        <v>0</v>
      </c>
      <c r="AF144" s="123">
        <f t="shared" si="5"/>
        <v>0</v>
      </c>
      <c r="AG144" s="121">
        <f>SUMIFS('28SepTo4Oct'!$L:$L, '28SepTo4Oct'!$J:$J, $A144)</f>
        <v>0</v>
      </c>
      <c r="AH144" s="121">
        <f>SUMIFS('28SepTo4Oct'!$K:$K, '28SepTo4Oct'!$J:$J, $A144)</f>
        <v>0</v>
      </c>
      <c r="AI144" s="121">
        <f>SUMIFS('28SepTo4Oct'!$O:$O, '28SepTo4Oct'!$J:$J, $A144)</f>
        <v>0</v>
      </c>
      <c r="AJ144" s="121">
        <f>SUMIFS('28SepTo4Oct'!$P:$P, '28SepTo4Oct'!$J:$J, $A144)</f>
        <v>0</v>
      </c>
      <c r="AK144" s="123">
        <f t="shared" si="6"/>
        <v>0</v>
      </c>
      <c r="AL144" s="121">
        <f>SUMIFS('21SepTo27Sep'!$L:$L, '21SepTo27Sep'!$J:$J, $A144)</f>
        <v>0</v>
      </c>
      <c r="AM144" s="121">
        <f>SUMIFS('21SepTo27Sep'!$K:$K, '21SepTo27Sep'!$J:$J, $A144)</f>
        <v>0</v>
      </c>
      <c r="AN144" s="121">
        <f>SUMIFS('21SepTo27Sep'!$O:$O, '21SepTo27Sep'!$J:$J, $A144)</f>
        <v>0</v>
      </c>
      <c r="AO144" s="121">
        <f>SUMIFS('21SepTo27Sep'!$P:$P, '21SepTo27Sep'!$J:$J, $A144)</f>
        <v>0</v>
      </c>
      <c r="AP144" s="123">
        <f t="shared" si="7"/>
        <v>0</v>
      </c>
      <c r="AQ144" s="121">
        <f>SUMIFS('14SepTo20Sep'!$L:$L, '14SepTo20Sep'!$J:$J, $A144)</f>
        <v>0</v>
      </c>
      <c r="AR144" s="121">
        <f>SUMIFS('14SepTo20Sep'!$K:$K, '14SepTo20Sep'!$J:$J, $A144)</f>
        <v>0</v>
      </c>
      <c r="AS144" s="121">
        <f>SUMIFS('14SepTo20Sep'!$O:$O, '14SepTo20Sep'!$J:$J, $A144)</f>
        <v>0</v>
      </c>
      <c r="AT144" s="121">
        <f>SUMIFS('14SepTo20Sep'!$P:$P, '14SepTo20Sep'!$J:$J, $A144)</f>
        <v>0</v>
      </c>
      <c r="AU144" s="123">
        <f t="shared" si="8"/>
        <v>0</v>
      </c>
      <c r="AV144" s="121">
        <f>SUMIFS('7SepTo13Sep'!$L:$L, '7SepTo13Sep'!$J:$J, $A144)</f>
        <v>0</v>
      </c>
      <c r="AW144" s="121">
        <f>SUMIFS('7SepTo13Sep'!$K:$K, '7SepTo13Sep'!$J:$J, $A144)</f>
        <v>0</v>
      </c>
      <c r="AX144" s="121">
        <f>SUMIFS('7SepTo13Sep'!$O:$O, '7SepTo13Sep'!$J:$J, $A144)</f>
        <v>0</v>
      </c>
      <c r="AY144" s="121">
        <f>SUMIFS('7SepTo13Sep'!$P:$P, '7SepTo13Sep'!$J:$J, $A144)</f>
        <v>0</v>
      </c>
      <c r="AZ144" s="123">
        <f t="shared" si="9"/>
        <v>0</v>
      </c>
      <c r="BA144" s="121">
        <f>SUMIFS('31AugTo6Sep'!$L:$L, '31AugTo6Sep'!$J:$J, $A144)</f>
        <v>0</v>
      </c>
      <c r="BB144" s="121">
        <f>SUMIFS('31AugTo6Sep'!$K:$K, '31AugTo6Sep'!$J:$J, $A144)</f>
        <v>0</v>
      </c>
      <c r="BC144" s="121">
        <f>SUMIFS('31AugTo6Sep'!$O:$O, '31AugTo6Sep'!$J:$J, $A144)</f>
        <v>0</v>
      </c>
      <c r="BD144" s="121">
        <f>SUMIFS('31AugTo6Sep'!$P:$P, '31AugTo6Sep'!$J:$J, $A144)</f>
        <v>0</v>
      </c>
      <c r="BE144" s="123">
        <f t="shared" si="10"/>
        <v>0</v>
      </c>
      <c r="BF144" s="121">
        <f>SUMIFS('24AugTo29Aug'!$L:$L, '24AugTo29Aug'!$J:$J, $A144)</f>
        <v>0</v>
      </c>
      <c r="BG144" s="121">
        <f>SUMIFS('24AugTo29Aug'!$K:$K, '24AugTo29Aug'!$J:$J, $A144)</f>
        <v>0</v>
      </c>
      <c r="BH144" s="121">
        <f>SUMIFS('24AugTo29Aug'!$O:$O, '24AugTo29Aug'!$J:$J, $A144)</f>
        <v>0</v>
      </c>
      <c r="BI144" s="121">
        <f>SUMIFS('24AugTo29Aug'!$P:$P, '24AugTo29Aug'!$J:$J, $A144)</f>
        <v>0</v>
      </c>
      <c r="BJ144" s="123">
        <f t="shared" si="11"/>
        <v>0</v>
      </c>
      <c r="BK144" s="121">
        <f>SUMIFS('17AugTo21Aug'!$L:$L, '17AugTo21Aug'!$J:$J, $A144)</f>
        <v>0</v>
      </c>
      <c r="BL144" s="121">
        <f>SUMIFS('17AugTo21Aug'!$K:$K, '17AugTo21Aug'!$J:$J, $A144)</f>
        <v>0</v>
      </c>
      <c r="BM144" s="121">
        <f>SUMIFS('17AugTo21Aug'!$O:$O, '17AugTo21Aug'!$J:$J, $A144)</f>
        <v>0</v>
      </c>
      <c r="BN144" s="121">
        <f>SUMIFS('17AugTo21Aug'!$P:$P, '17AugTo21Aug'!$J:$J, $A144)</f>
        <v>0</v>
      </c>
      <c r="BO144" s="123">
        <f t="shared" si="12"/>
        <v>0</v>
      </c>
      <c r="BP144" s="121">
        <f>SUMIFS('10AugTo16Aug'!$L:$L, '10AugTo16Aug'!$J:$J, $A144)</f>
        <v>1</v>
      </c>
      <c r="BQ144" s="121">
        <f>SUMIFS('10AugTo16Aug'!$K:$K, '10AugTo16Aug'!$J:$J, $A144)</f>
        <v>2</v>
      </c>
      <c r="BR144" s="121">
        <f>SUMIFS('10AugTo16Aug'!$O:$O, '10AugTo16Aug'!$J:$J, $A144)</f>
        <v>3.27</v>
      </c>
      <c r="BS144" s="121">
        <f>SUMIFS('10AugTo16Aug'!$P:$P, '10AugTo16Aug'!$J:$J, $A144)</f>
        <v>24.94</v>
      </c>
      <c r="BT144" s="123">
        <f t="shared" si="13"/>
        <v>13.111467522052928</v>
      </c>
      <c r="BU144" s="121">
        <f>SUMIFS('3AugTo9Aug'!$L:$L, '3AugTo9Aug'!$J:$J, $A144)</f>
        <v>0</v>
      </c>
      <c r="BV144" s="121">
        <f>SUMIFS('3AugTo9Aug'!$K:$K, '3AugTo9Aug'!$J:$J, $A144)</f>
        <v>0</v>
      </c>
      <c r="BW144" s="121">
        <f>SUMIFS('3AugTo9Aug'!$O:$O, '3AugTo9Aug'!$J:$J, $A144)</f>
        <v>0</v>
      </c>
      <c r="BX144" s="121">
        <f>SUMIFS('3AugTo9Aug'!$P:$P, '3AugTo9Aug'!$J:$J, $A144)</f>
        <v>0</v>
      </c>
      <c r="BY144" s="123">
        <f t="shared" si="14"/>
        <v>0</v>
      </c>
      <c r="BZ144" s="121">
        <f>SUMIFS('27JulyTo2Aug'!$L:$L, '27JulyTo2Aug'!$J:$J, $A144)</f>
        <v>0</v>
      </c>
      <c r="CA144" s="121">
        <f>SUMIFS('27JulyTo2Aug'!$K:$K, '27JulyTo2Aug'!$J:$J, $A144)</f>
        <v>0</v>
      </c>
      <c r="CB144" s="121">
        <f>SUMIFS('27JulyTo2Aug'!$O:$O, '27JulyTo2Aug'!$J:$J, $A144)</f>
        <v>0</v>
      </c>
      <c r="CC144" s="121">
        <f>SUMIFS('27JulyTo2Aug'!$P:$P, '27JulyTo2Aug'!$J:$J, $A144)</f>
        <v>0</v>
      </c>
      <c r="CD144" s="123">
        <f t="shared" si="15"/>
        <v>0</v>
      </c>
    </row>
    <row r="145" spans="1:82" ht="14.25" customHeight="1" x14ac:dyDescent="0.3">
      <c r="A145" s="124" t="s">
        <v>688</v>
      </c>
      <c r="B145" s="120" t="str">
        <f t="shared" si="18"/>
        <v>NO TRAFFIC</v>
      </c>
      <c r="C145" s="121">
        <f>SUMIFS('9NovTo15Nov'!$L:$L, '9NovTo15Nov'!$J:$J, $A145)</f>
        <v>0</v>
      </c>
      <c r="D145" s="121">
        <f>SUMIFS('9NovTo15Nov'!$K:$K, '9NovTo15Nov'!$J:$J, $A145)</f>
        <v>0</v>
      </c>
      <c r="E145" s="121">
        <f>SUMIFS('9NovTo15Nov'!$O:$O, '9NovTo15Nov'!$J:$J, $A145)</f>
        <v>0</v>
      </c>
      <c r="F145" s="121">
        <f>SUMIFS('9NovTo15Nov'!$P:$P, '9NovTo15Nov'!$J:$J, $A145)</f>
        <v>0</v>
      </c>
      <c r="G145" s="122">
        <f t="shared" si="0"/>
        <v>0</v>
      </c>
      <c r="H145" s="121">
        <f>SUMIFS('2NovTo8Nov'!$L:$L, '2NovTo8Nov'!$J:$J, $A145)</f>
        <v>0</v>
      </c>
      <c r="I145" s="121">
        <f>SUMIFS('2NovTo8Nov'!$K:$K, '2NovTo8Nov'!$J:$J, $A145)</f>
        <v>0</v>
      </c>
      <c r="J145" s="121">
        <f>SUMIFS('2NovTo8Nov'!$O:$O, '2NovTo8Nov'!$J:$J, $A145)</f>
        <v>0</v>
      </c>
      <c r="K145" s="121">
        <f>SUMIFS('2NovTo8Nov'!$P:$P, '2NovTo8Nov'!$J:$J, $A145)</f>
        <v>0</v>
      </c>
      <c r="L145" s="122">
        <f t="shared" si="1"/>
        <v>0</v>
      </c>
      <c r="M145" s="121">
        <f>SUMIFS('26OctTo1Nov'!$L:$L, '26OctTo1Nov'!$J:$J, $A145)</f>
        <v>0</v>
      </c>
      <c r="N145" s="121">
        <f>SUMIFS('26OctTo1Nov'!$K:$K, '26OctTo1Nov'!$J:$J, $A145)</f>
        <v>0</v>
      </c>
      <c r="O145" s="121">
        <f>SUMIFS('26OctTo1Nov'!$O:$O, '26OctTo1Nov'!$J:$J, $A145)</f>
        <v>0</v>
      </c>
      <c r="P145" s="121">
        <f>SUMIFS('26OctTo1Nov'!$P:$P, '26OctTo1Nov'!$J:$J, $A145)</f>
        <v>0</v>
      </c>
      <c r="Q145" s="122">
        <f t="shared" si="2"/>
        <v>0</v>
      </c>
      <c r="R145" s="121">
        <f>SUMIFS('19OctTo25Oct'!$L:$L, '19OctTo25Oct'!$J:$J, $A145)</f>
        <v>0</v>
      </c>
      <c r="S145" s="121">
        <f>SUMIFS('19OctTo25Oct'!$K:$K, '19OctTo25Oct'!$J:$J, $A145)</f>
        <v>0</v>
      </c>
      <c r="T145" s="121">
        <f>SUMIFS('19OctTo25Oct'!$O:$O, '19OctTo25Oct'!$J:$J, $A145)</f>
        <v>0</v>
      </c>
      <c r="U145" s="121">
        <f>SUMIFS('19OctTo25Oct'!$P:$P, '19OctTo25Oct'!$J:$J, $A145)</f>
        <v>0</v>
      </c>
      <c r="V145" s="122">
        <f t="shared" si="3"/>
        <v>0</v>
      </c>
      <c r="W145" s="121">
        <f>SUMIFS('12OctTo18Oct'!$L:$L, '12OctTo18Oct'!$J:$J, $A145)</f>
        <v>0</v>
      </c>
      <c r="X145" s="121">
        <f>SUMIFS('12OctTo18Oct'!$K:$K, '12OctTo18Oct'!$J:$J, $A145)</f>
        <v>0</v>
      </c>
      <c r="Y145" s="121">
        <f>SUMIFS('12OctTo18Oct'!$O:$O, '12OctTo18Oct'!$J:$J, $A145)</f>
        <v>0</v>
      </c>
      <c r="Z145" s="121">
        <f>SUMIFS('12OctTo18Oct'!$P:$P, '12OctTo18Oct'!$J:$J, $A145)</f>
        <v>0</v>
      </c>
      <c r="AA145" s="122">
        <f t="shared" si="4"/>
        <v>0</v>
      </c>
      <c r="AB145" s="121">
        <f>SUMIFS('5OctTo11Oct'!$L:$L, '5OctTo11Oct'!$J:$J, $A145)</f>
        <v>0</v>
      </c>
      <c r="AC145" s="121">
        <f>SUMIFS('5OctTo11Oct'!$K:$K, '5OctTo11Oct'!$J:$J, $A145)</f>
        <v>0</v>
      </c>
      <c r="AD145" s="121">
        <f>SUMIFS('5OctTo11Oct'!$O:$O, '5OctTo11Oct'!$J:$J, $A145)</f>
        <v>0</v>
      </c>
      <c r="AE145" s="121">
        <f>SUMIFS('5OctTo11Oct'!$P:$P, '5OctTo11Oct'!$J:$J, $A145)</f>
        <v>0</v>
      </c>
      <c r="AF145" s="123">
        <f t="shared" si="5"/>
        <v>0</v>
      </c>
      <c r="AG145" s="121">
        <f>SUMIFS('28SepTo4Oct'!$L:$L, '28SepTo4Oct'!$J:$J, $A145)</f>
        <v>0</v>
      </c>
      <c r="AH145" s="121">
        <f>SUMIFS('28SepTo4Oct'!$K:$K, '28SepTo4Oct'!$J:$J, $A145)</f>
        <v>0</v>
      </c>
      <c r="AI145" s="121">
        <f>SUMIFS('28SepTo4Oct'!$O:$O, '28SepTo4Oct'!$J:$J, $A145)</f>
        <v>0</v>
      </c>
      <c r="AJ145" s="121">
        <f>SUMIFS('28SepTo4Oct'!$P:$P, '28SepTo4Oct'!$J:$J, $A145)</f>
        <v>0</v>
      </c>
      <c r="AK145" s="123">
        <f t="shared" si="6"/>
        <v>0</v>
      </c>
      <c r="AL145" s="121">
        <f>SUMIFS('21SepTo27Sep'!$L:$L, '21SepTo27Sep'!$J:$J, $A145)</f>
        <v>0</v>
      </c>
      <c r="AM145" s="121">
        <f>SUMIFS('21SepTo27Sep'!$K:$K, '21SepTo27Sep'!$J:$J, $A145)</f>
        <v>0</v>
      </c>
      <c r="AN145" s="121">
        <f>SUMIFS('21SepTo27Sep'!$O:$O, '21SepTo27Sep'!$J:$J, $A145)</f>
        <v>0</v>
      </c>
      <c r="AO145" s="121">
        <f>SUMIFS('21SepTo27Sep'!$P:$P, '21SepTo27Sep'!$J:$J, $A145)</f>
        <v>0</v>
      </c>
      <c r="AP145" s="123">
        <f t="shared" si="7"/>
        <v>0</v>
      </c>
      <c r="AQ145" s="121">
        <f>SUMIFS('14SepTo20Sep'!$L:$L, '14SepTo20Sep'!$J:$J, $A145)</f>
        <v>0</v>
      </c>
      <c r="AR145" s="121">
        <f>SUMIFS('14SepTo20Sep'!$K:$K, '14SepTo20Sep'!$J:$J, $A145)</f>
        <v>0</v>
      </c>
      <c r="AS145" s="121">
        <f>SUMIFS('14SepTo20Sep'!$O:$O, '14SepTo20Sep'!$J:$J, $A145)</f>
        <v>0</v>
      </c>
      <c r="AT145" s="121">
        <f>SUMIFS('14SepTo20Sep'!$P:$P, '14SepTo20Sep'!$J:$J, $A145)</f>
        <v>0</v>
      </c>
      <c r="AU145" s="123">
        <f t="shared" si="8"/>
        <v>0</v>
      </c>
      <c r="AV145" s="121">
        <f>SUMIFS('7SepTo13Sep'!$L:$L, '7SepTo13Sep'!$J:$J, $A145)</f>
        <v>0</v>
      </c>
      <c r="AW145" s="121">
        <f>SUMIFS('7SepTo13Sep'!$K:$K, '7SepTo13Sep'!$J:$J, $A145)</f>
        <v>0</v>
      </c>
      <c r="AX145" s="121">
        <f>SUMIFS('7SepTo13Sep'!$O:$O, '7SepTo13Sep'!$J:$J, $A145)</f>
        <v>0</v>
      </c>
      <c r="AY145" s="121">
        <f>SUMIFS('7SepTo13Sep'!$P:$P, '7SepTo13Sep'!$J:$J, $A145)</f>
        <v>0</v>
      </c>
      <c r="AZ145" s="123">
        <f t="shared" si="9"/>
        <v>0</v>
      </c>
      <c r="BA145" s="121">
        <f>SUMIFS('31AugTo6Sep'!$L:$L, '31AugTo6Sep'!$J:$J, $A145)</f>
        <v>0</v>
      </c>
      <c r="BB145" s="121">
        <f>SUMIFS('31AugTo6Sep'!$K:$K, '31AugTo6Sep'!$J:$J, $A145)</f>
        <v>0</v>
      </c>
      <c r="BC145" s="121">
        <f>SUMIFS('31AugTo6Sep'!$O:$O, '31AugTo6Sep'!$J:$J, $A145)</f>
        <v>0</v>
      </c>
      <c r="BD145" s="121">
        <f>SUMIFS('31AugTo6Sep'!$P:$P, '31AugTo6Sep'!$J:$J, $A145)</f>
        <v>0</v>
      </c>
      <c r="BE145" s="123">
        <f t="shared" si="10"/>
        <v>0</v>
      </c>
      <c r="BF145" s="121">
        <f>SUMIFS('24AugTo29Aug'!$L:$L, '24AugTo29Aug'!$J:$J, $A145)</f>
        <v>0</v>
      </c>
      <c r="BG145" s="121">
        <f>SUMIFS('24AugTo29Aug'!$K:$K, '24AugTo29Aug'!$J:$J, $A145)</f>
        <v>0</v>
      </c>
      <c r="BH145" s="121">
        <f>SUMIFS('24AugTo29Aug'!$O:$O, '24AugTo29Aug'!$J:$J, $A145)</f>
        <v>0</v>
      </c>
      <c r="BI145" s="121">
        <f>SUMIFS('24AugTo29Aug'!$P:$P, '24AugTo29Aug'!$J:$J, $A145)</f>
        <v>0</v>
      </c>
      <c r="BJ145" s="123">
        <f t="shared" si="11"/>
        <v>0</v>
      </c>
      <c r="BK145" s="121">
        <f>SUMIFS('17AugTo21Aug'!$L:$L, '17AugTo21Aug'!$J:$J, $A145)</f>
        <v>0</v>
      </c>
      <c r="BL145" s="121">
        <f>SUMIFS('17AugTo21Aug'!$K:$K, '17AugTo21Aug'!$J:$J, $A145)</f>
        <v>0</v>
      </c>
      <c r="BM145" s="121">
        <f>SUMIFS('17AugTo21Aug'!$O:$O, '17AugTo21Aug'!$J:$J, $A145)</f>
        <v>0</v>
      </c>
      <c r="BN145" s="121">
        <f>SUMIFS('17AugTo21Aug'!$P:$P, '17AugTo21Aug'!$J:$J, $A145)</f>
        <v>0</v>
      </c>
      <c r="BO145" s="123">
        <f t="shared" si="12"/>
        <v>0</v>
      </c>
      <c r="BP145" s="121">
        <f>SUMIFS('10AugTo16Aug'!$L:$L, '10AugTo16Aug'!$J:$J, $A145)</f>
        <v>1</v>
      </c>
      <c r="BQ145" s="121">
        <f>SUMIFS('10AugTo16Aug'!$K:$K, '10AugTo16Aug'!$J:$J, $A145)</f>
        <v>3</v>
      </c>
      <c r="BR145" s="121">
        <f>SUMIFS('10AugTo16Aug'!$O:$O, '10AugTo16Aug'!$J:$J, $A145)</f>
        <v>2.5499999999999998</v>
      </c>
      <c r="BS145" s="121">
        <f>SUMIFS('10AugTo16Aug'!$P:$P, '10AugTo16Aug'!$J:$J, $A145)</f>
        <v>24.94</v>
      </c>
      <c r="BT145" s="123">
        <f t="shared" si="13"/>
        <v>10.224538893344025</v>
      </c>
      <c r="BU145" s="121">
        <f>SUMIFS('3AugTo9Aug'!$L:$L, '3AugTo9Aug'!$J:$J, $A145)</f>
        <v>0</v>
      </c>
      <c r="BV145" s="121">
        <f>SUMIFS('3AugTo9Aug'!$K:$K, '3AugTo9Aug'!$J:$J, $A145)</f>
        <v>0</v>
      </c>
      <c r="BW145" s="121">
        <f>SUMIFS('3AugTo9Aug'!$O:$O, '3AugTo9Aug'!$J:$J, $A145)</f>
        <v>0</v>
      </c>
      <c r="BX145" s="121">
        <f>SUMIFS('3AugTo9Aug'!$P:$P, '3AugTo9Aug'!$J:$J, $A145)</f>
        <v>0</v>
      </c>
      <c r="BY145" s="123">
        <f t="shared" si="14"/>
        <v>0</v>
      </c>
      <c r="BZ145" s="121">
        <f>SUMIFS('27JulyTo2Aug'!$L:$L, '27JulyTo2Aug'!$J:$J, $A145)</f>
        <v>0</v>
      </c>
      <c r="CA145" s="121">
        <f>SUMIFS('27JulyTo2Aug'!$K:$K, '27JulyTo2Aug'!$J:$J, $A145)</f>
        <v>0</v>
      </c>
      <c r="CB145" s="121">
        <f>SUMIFS('27JulyTo2Aug'!$O:$O, '27JulyTo2Aug'!$J:$J, $A145)</f>
        <v>0</v>
      </c>
      <c r="CC145" s="121">
        <f>SUMIFS('27JulyTo2Aug'!$P:$P, '27JulyTo2Aug'!$J:$J, $A145)</f>
        <v>0</v>
      </c>
      <c r="CD145" s="123">
        <f t="shared" si="15"/>
        <v>0</v>
      </c>
    </row>
    <row r="146" spans="1:82" ht="14.25" customHeight="1" x14ac:dyDescent="0.3">
      <c r="A146" s="124" t="s">
        <v>690</v>
      </c>
      <c r="B146" s="120" t="str">
        <f t="shared" si="18"/>
        <v>NO TRAFFIC</v>
      </c>
      <c r="C146" s="121">
        <f>SUMIFS('9NovTo15Nov'!$L:$L, '9NovTo15Nov'!$J:$J, $A146)</f>
        <v>0</v>
      </c>
      <c r="D146" s="121">
        <f>SUMIFS('9NovTo15Nov'!$K:$K, '9NovTo15Nov'!$J:$J, $A146)</f>
        <v>0</v>
      </c>
      <c r="E146" s="121">
        <f>SUMIFS('9NovTo15Nov'!$O:$O, '9NovTo15Nov'!$J:$J, $A146)</f>
        <v>0</v>
      </c>
      <c r="F146" s="121">
        <f>SUMIFS('9NovTo15Nov'!$P:$P, '9NovTo15Nov'!$J:$J, $A146)</f>
        <v>0</v>
      </c>
      <c r="G146" s="122">
        <f t="shared" si="0"/>
        <v>0</v>
      </c>
      <c r="H146" s="121">
        <f>SUMIFS('2NovTo8Nov'!$L:$L, '2NovTo8Nov'!$J:$J, $A146)</f>
        <v>0</v>
      </c>
      <c r="I146" s="121">
        <f>SUMIFS('2NovTo8Nov'!$K:$K, '2NovTo8Nov'!$J:$J, $A146)</f>
        <v>0</v>
      </c>
      <c r="J146" s="121">
        <f>SUMIFS('2NovTo8Nov'!$O:$O, '2NovTo8Nov'!$J:$J, $A146)</f>
        <v>0</v>
      </c>
      <c r="K146" s="121">
        <f>SUMIFS('2NovTo8Nov'!$P:$P, '2NovTo8Nov'!$J:$J, $A146)</f>
        <v>0</v>
      </c>
      <c r="L146" s="122">
        <f t="shared" si="1"/>
        <v>0</v>
      </c>
      <c r="M146" s="121">
        <f>SUMIFS('26OctTo1Nov'!$L:$L, '26OctTo1Nov'!$J:$J, $A146)</f>
        <v>0</v>
      </c>
      <c r="N146" s="121">
        <f>SUMIFS('26OctTo1Nov'!$K:$K, '26OctTo1Nov'!$J:$J, $A146)</f>
        <v>0</v>
      </c>
      <c r="O146" s="121">
        <f>SUMIFS('26OctTo1Nov'!$O:$O, '26OctTo1Nov'!$J:$J, $A146)</f>
        <v>0</v>
      </c>
      <c r="P146" s="121">
        <f>SUMIFS('26OctTo1Nov'!$P:$P, '26OctTo1Nov'!$J:$J, $A146)</f>
        <v>0</v>
      </c>
      <c r="Q146" s="122">
        <f t="shared" si="2"/>
        <v>0</v>
      </c>
      <c r="R146" s="121">
        <f>SUMIFS('19OctTo25Oct'!$L:$L, '19OctTo25Oct'!$J:$J, $A146)</f>
        <v>0</v>
      </c>
      <c r="S146" s="121">
        <f>SUMIFS('19OctTo25Oct'!$K:$K, '19OctTo25Oct'!$J:$J, $A146)</f>
        <v>0</v>
      </c>
      <c r="T146" s="121">
        <f>SUMIFS('19OctTo25Oct'!$O:$O, '19OctTo25Oct'!$J:$J, $A146)</f>
        <v>0</v>
      </c>
      <c r="U146" s="121">
        <f>SUMIFS('19OctTo25Oct'!$P:$P, '19OctTo25Oct'!$J:$J, $A146)</f>
        <v>0</v>
      </c>
      <c r="V146" s="122">
        <f t="shared" si="3"/>
        <v>0</v>
      </c>
      <c r="W146" s="121">
        <f>SUMIFS('12OctTo18Oct'!$L:$L, '12OctTo18Oct'!$J:$J, $A146)</f>
        <v>0</v>
      </c>
      <c r="X146" s="121">
        <f>SUMIFS('12OctTo18Oct'!$K:$K, '12OctTo18Oct'!$J:$J, $A146)</f>
        <v>0</v>
      </c>
      <c r="Y146" s="121">
        <f>SUMIFS('12OctTo18Oct'!$O:$O, '12OctTo18Oct'!$J:$J, $A146)</f>
        <v>0</v>
      </c>
      <c r="Z146" s="121">
        <f>SUMIFS('12OctTo18Oct'!$P:$P, '12OctTo18Oct'!$J:$J, $A146)</f>
        <v>0</v>
      </c>
      <c r="AA146" s="122">
        <f t="shared" si="4"/>
        <v>0</v>
      </c>
      <c r="AB146" s="121">
        <f>SUMIFS('5OctTo11Oct'!$L:$L, '5OctTo11Oct'!$J:$J, $A146)</f>
        <v>0</v>
      </c>
      <c r="AC146" s="121">
        <f>SUMIFS('5OctTo11Oct'!$K:$K, '5OctTo11Oct'!$J:$J, $A146)</f>
        <v>0</v>
      </c>
      <c r="AD146" s="121">
        <f>SUMIFS('5OctTo11Oct'!$O:$O, '5OctTo11Oct'!$J:$J, $A146)</f>
        <v>0</v>
      </c>
      <c r="AE146" s="121">
        <f>SUMIFS('5OctTo11Oct'!$P:$P, '5OctTo11Oct'!$J:$J, $A146)</f>
        <v>0</v>
      </c>
      <c r="AF146" s="123">
        <f t="shared" si="5"/>
        <v>0</v>
      </c>
      <c r="AG146" s="121">
        <f>SUMIFS('28SepTo4Oct'!$L:$L, '28SepTo4Oct'!$J:$J, $A146)</f>
        <v>0</v>
      </c>
      <c r="AH146" s="121">
        <f>SUMIFS('28SepTo4Oct'!$K:$K, '28SepTo4Oct'!$J:$J, $A146)</f>
        <v>0</v>
      </c>
      <c r="AI146" s="121">
        <f>SUMIFS('28SepTo4Oct'!$O:$O, '28SepTo4Oct'!$J:$J, $A146)</f>
        <v>0</v>
      </c>
      <c r="AJ146" s="121">
        <f>SUMIFS('28SepTo4Oct'!$P:$P, '28SepTo4Oct'!$J:$J, $A146)</f>
        <v>0</v>
      </c>
      <c r="AK146" s="123">
        <f t="shared" si="6"/>
        <v>0</v>
      </c>
      <c r="AL146" s="121">
        <f>SUMIFS('21SepTo27Sep'!$L:$L, '21SepTo27Sep'!$J:$J, $A146)</f>
        <v>0</v>
      </c>
      <c r="AM146" s="121">
        <f>SUMIFS('21SepTo27Sep'!$K:$K, '21SepTo27Sep'!$J:$J, $A146)</f>
        <v>0</v>
      </c>
      <c r="AN146" s="121">
        <f>SUMIFS('21SepTo27Sep'!$O:$O, '21SepTo27Sep'!$J:$J, $A146)</f>
        <v>0</v>
      </c>
      <c r="AO146" s="121">
        <f>SUMIFS('21SepTo27Sep'!$P:$P, '21SepTo27Sep'!$J:$J, $A146)</f>
        <v>0</v>
      </c>
      <c r="AP146" s="123">
        <f t="shared" si="7"/>
        <v>0</v>
      </c>
      <c r="AQ146" s="121">
        <f>SUMIFS('14SepTo20Sep'!$L:$L, '14SepTo20Sep'!$J:$J, $A146)</f>
        <v>0</v>
      </c>
      <c r="AR146" s="121">
        <f>SUMIFS('14SepTo20Sep'!$K:$K, '14SepTo20Sep'!$J:$J, $A146)</f>
        <v>0</v>
      </c>
      <c r="AS146" s="121">
        <f>SUMIFS('14SepTo20Sep'!$O:$O, '14SepTo20Sep'!$J:$J, $A146)</f>
        <v>0</v>
      </c>
      <c r="AT146" s="121">
        <f>SUMIFS('14SepTo20Sep'!$P:$P, '14SepTo20Sep'!$J:$J, $A146)</f>
        <v>0</v>
      </c>
      <c r="AU146" s="123">
        <f t="shared" si="8"/>
        <v>0</v>
      </c>
      <c r="AV146" s="121">
        <f>SUMIFS('7SepTo13Sep'!$L:$L, '7SepTo13Sep'!$J:$J, $A146)</f>
        <v>0</v>
      </c>
      <c r="AW146" s="121">
        <f>SUMIFS('7SepTo13Sep'!$K:$K, '7SepTo13Sep'!$J:$J, $A146)</f>
        <v>0</v>
      </c>
      <c r="AX146" s="121">
        <f>SUMIFS('7SepTo13Sep'!$O:$O, '7SepTo13Sep'!$J:$J, $A146)</f>
        <v>0</v>
      </c>
      <c r="AY146" s="121">
        <f>SUMIFS('7SepTo13Sep'!$P:$P, '7SepTo13Sep'!$J:$J, $A146)</f>
        <v>0</v>
      </c>
      <c r="AZ146" s="123">
        <f t="shared" si="9"/>
        <v>0</v>
      </c>
      <c r="BA146" s="121">
        <f>SUMIFS('31AugTo6Sep'!$L:$L, '31AugTo6Sep'!$J:$J, $A146)</f>
        <v>0</v>
      </c>
      <c r="BB146" s="121">
        <f>SUMIFS('31AugTo6Sep'!$K:$K, '31AugTo6Sep'!$J:$J, $A146)</f>
        <v>0</v>
      </c>
      <c r="BC146" s="121">
        <f>SUMIFS('31AugTo6Sep'!$O:$O, '31AugTo6Sep'!$J:$J, $A146)</f>
        <v>0</v>
      </c>
      <c r="BD146" s="121">
        <f>SUMIFS('31AugTo6Sep'!$P:$P, '31AugTo6Sep'!$J:$J, $A146)</f>
        <v>0</v>
      </c>
      <c r="BE146" s="123">
        <f t="shared" si="10"/>
        <v>0</v>
      </c>
      <c r="BF146" s="121">
        <f>SUMIFS('24AugTo29Aug'!$L:$L, '24AugTo29Aug'!$J:$J, $A146)</f>
        <v>0</v>
      </c>
      <c r="BG146" s="121">
        <f>SUMIFS('24AugTo29Aug'!$K:$K, '24AugTo29Aug'!$J:$J, $A146)</f>
        <v>0</v>
      </c>
      <c r="BH146" s="121">
        <f>SUMIFS('24AugTo29Aug'!$O:$O, '24AugTo29Aug'!$J:$J, $A146)</f>
        <v>0</v>
      </c>
      <c r="BI146" s="121">
        <f>SUMIFS('24AugTo29Aug'!$P:$P, '24AugTo29Aug'!$J:$J, $A146)</f>
        <v>0</v>
      </c>
      <c r="BJ146" s="123">
        <f t="shared" si="11"/>
        <v>0</v>
      </c>
      <c r="BK146" s="121">
        <f>SUMIFS('17AugTo21Aug'!$L:$L, '17AugTo21Aug'!$J:$J, $A146)</f>
        <v>0</v>
      </c>
      <c r="BL146" s="121">
        <f>SUMIFS('17AugTo21Aug'!$K:$K, '17AugTo21Aug'!$J:$J, $A146)</f>
        <v>0</v>
      </c>
      <c r="BM146" s="121">
        <f>SUMIFS('17AugTo21Aug'!$O:$O, '17AugTo21Aug'!$J:$J, $A146)</f>
        <v>0</v>
      </c>
      <c r="BN146" s="121">
        <f>SUMIFS('17AugTo21Aug'!$P:$P, '17AugTo21Aug'!$J:$J, $A146)</f>
        <v>0</v>
      </c>
      <c r="BO146" s="123">
        <f t="shared" si="12"/>
        <v>0</v>
      </c>
      <c r="BP146" s="121">
        <f>SUMIFS('10AugTo16Aug'!$L:$L, '10AugTo16Aug'!$J:$J, $A146)</f>
        <v>1</v>
      </c>
      <c r="BQ146" s="121">
        <f>SUMIFS('10AugTo16Aug'!$K:$K, '10AugTo16Aug'!$J:$J, $A146)</f>
        <v>1</v>
      </c>
      <c r="BR146" s="121">
        <f>SUMIFS('10AugTo16Aug'!$O:$O, '10AugTo16Aug'!$J:$J, $A146)</f>
        <v>3.24</v>
      </c>
      <c r="BS146" s="121">
        <f>SUMIFS('10AugTo16Aug'!$P:$P, '10AugTo16Aug'!$J:$J, $A146)</f>
        <v>29.99</v>
      </c>
      <c r="BT146" s="123">
        <f t="shared" si="13"/>
        <v>10.803601200400134</v>
      </c>
      <c r="BU146" s="121">
        <f>SUMIFS('3AugTo9Aug'!$L:$L, '3AugTo9Aug'!$J:$J, $A146)</f>
        <v>0</v>
      </c>
      <c r="BV146" s="121">
        <f>SUMIFS('3AugTo9Aug'!$K:$K, '3AugTo9Aug'!$J:$J, $A146)</f>
        <v>0</v>
      </c>
      <c r="BW146" s="121">
        <f>SUMIFS('3AugTo9Aug'!$O:$O, '3AugTo9Aug'!$J:$J, $A146)</f>
        <v>0</v>
      </c>
      <c r="BX146" s="121">
        <f>SUMIFS('3AugTo9Aug'!$P:$P, '3AugTo9Aug'!$J:$J, $A146)</f>
        <v>0</v>
      </c>
      <c r="BY146" s="123">
        <f t="shared" si="14"/>
        <v>0</v>
      </c>
      <c r="BZ146" s="121">
        <f>SUMIFS('27JulyTo2Aug'!$L:$L, '27JulyTo2Aug'!$J:$J, $A146)</f>
        <v>0</v>
      </c>
      <c r="CA146" s="121">
        <f>SUMIFS('27JulyTo2Aug'!$K:$K, '27JulyTo2Aug'!$J:$J, $A146)</f>
        <v>0</v>
      </c>
      <c r="CB146" s="121">
        <f>SUMIFS('27JulyTo2Aug'!$O:$O, '27JulyTo2Aug'!$J:$J, $A146)</f>
        <v>0</v>
      </c>
      <c r="CC146" s="121">
        <f>SUMIFS('27JulyTo2Aug'!$P:$P, '27JulyTo2Aug'!$J:$J, $A146)</f>
        <v>0</v>
      </c>
      <c r="CD146" s="123">
        <f t="shared" si="15"/>
        <v>0</v>
      </c>
    </row>
    <row r="147" spans="1:82" ht="14.25" customHeight="1" x14ac:dyDescent="0.3">
      <c r="A147" s="124" t="s">
        <v>691</v>
      </c>
      <c r="B147" s="120" t="str">
        <f t="shared" si="18"/>
        <v>NO TRAFFIC</v>
      </c>
      <c r="C147" s="121">
        <f>SUMIFS('9NovTo15Nov'!$L:$L, '9NovTo15Nov'!$J:$J, $A147)</f>
        <v>0</v>
      </c>
      <c r="D147" s="121">
        <f>SUMIFS('9NovTo15Nov'!$K:$K, '9NovTo15Nov'!$J:$J, $A147)</f>
        <v>0</v>
      </c>
      <c r="E147" s="121">
        <f>SUMIFS('9NovTo15Nov'!$O:$O, '9NovTo15Nov'!$J:$J, $A147)</f>
        <v>0</v>
      </c>
      <c r="F147" s="121">
        <f>SUMIFS('9NovTo15Nov'!$P:$P, '9NovTo15Nov'!$J:$J, $A147)</f>
        <v>0</v>
      </c>
      <c r="G147" s="122">
        <f t="shared" si="0"/>
        <v>0</v>
      </c>
      <c r="H147" s="121">
        <f>SUMIFS('2NovTo8Nov'!$L:$L, '2NovTo8Nov'!$J:$J, $A147)</f>
        <v>0</v>
      </c>
      <c r="I147" s="121">
        <f>SUMIFS('2NovTo8Nov'!$K:$K, '2NovTo8Nov'!$J:$J, $A147)</f>
        <v>0</v>
      </c>
      <c r="J147" s="121">
        <f>SUMIFS('2NovTo8Nov'!$O:$O, '2NovTo8Nov'!$J:$J, $A147)</f>
        <v>0</v>
      </c>
      <c r="K147" s="121">
        <f>SUMIFS('2NovTo8Nov'!$P:$P, '2NovTo8Nov'!$J:$J, $A147)</f>
        <v>0</v>
      </c>
      <c r="L147" s="122">
        <f t="shared" si="1"/>
        <v>0</v>
      </c>
      <c r="M147" s="121">
        <f>SUMIFS('26OctTo1Nov'!$L:$L, '26OctTo1Nov'!$J:$J, $A147)</f>
        <v>0</v>
      </c>
      <c r="N147" s="121">
        <f>SUMIFS('26OctTo1Nov'!$K:$K, '26OctTo1Nov'!$J:$J, $A147)</f>
        <v>0</v>
      </c>
      <c r="O147" s="121">
        <f>SUMIFS('26OctTo1Nov'!$O:$O, '26OctTo1Nov'!$J:$J, $A147)</f>
        <v>0</v>
      </c>
      <c r="P147" s="121">
        <f>SUMIFS('26OctTo1Nov'!$P:$P, '26OctTo1Nov'!$J:$J, $A147)</f>
        <v>0</v>
      </c>
      <c r="Q147" s="122">
        <f t="shared" si="2"/>
        <v>0</v>
      </c>
      <c r="R147" s="121">
        <f>SUMIFS('19OctTo25Oct'!$L:$L, '19OctTo25Oct'!$J:$J, $A147)</f>
        <v>0</v>
      </c>
      <c r="S147" s="121">
        <f>SUMIFS('19OctTo25Oct'!$K:$K, '19OctTo25Oct'!$J:$J, $A147)</f>
        <v>0</v>
      </c>
      <c r="T147" s="121">
        <f>SUMIFS('19OctTo25Oct'!$O:$O, '19OctTo25Oct'!$J:$J, $A147)</f>
        <v>0</v>
      </c>
      <c r="U147" s="121">
        <f>SUMIFS('19OctTo25Oct'!$P:$P, '19OctTo25Oct'!$J:$J, $A147)</f>
        <v>0</v>
      </c>
      <c r="V147" s="122">
        <f t="shared" si="3"/>
        <v>0</v>
      </c>
      <c r="W147" s="121">
        <f>SUMIFS('12OctTo18Oct'!$L:$L, '12OctTo18Oct'!$J:$J, $A147)</f>
        <v>0</v>
      </c>
      <c r="X147" s="121">
        <f>SUMIFS('12OctTo18Oct'!$K:$K, '12OctTo18Oct'!$J:$J, $A147)</f>
        <v>0</v>
      </c>
      <c r="Y147" s="121">
        <f>SUMIFS('12OctTo18Oct'!$O:$O, '12OctTo18Oct'!$J:$J, $A147)</f>
        <v>0</v>
      </c>
      <c r="Z147" s="121">
        <f>SUMIFS('12OctTo18Oct'!$P:$P, '12OctTo18Oct'!$J:$J, $A147)</f>
        <v>0</v>
      </c>
      <c r="AA147" s="122">
        <f t="shared" si="4"/>
        <v>0</v>
      </c>
      <c r="AB147" s="121">
        <f>SUMIFS('5OctTo11Oct'!$L:$L, '5OctTo11Oct'!$J:$J, $A147)</f>
        <v>0</v>
      </c>
      <c r="AC147" s="121">
        <f>SUMIFS('5OctTo11Oct'!$K:$K, '5OctTo11Oct'!$J:$J, $A147)</f>
        <v>0</v>
      </c>
      <c r="AD147" s="121">
        <f>SUMIFS('5OctTo11Oct'!$O:$O, '5OctTo11Oct'!$J:$J, $A147)</f>
        <v>0</v>
      </c>
      <c r="AE147" s="121">
        <f>SUMIFS('5OctTo11Oct'!$P:$P, '5OctTo11Oct'!$J:$J, $A147)</f>
        <v>0</v>
      </c>
      <c r="AF147" s="123">
        <f t="shared" si="5"/>
        <v>0</v>
      </c>
      <c r="AG147" s="121">
        <f>SUMIFS('28SepTo4Oct'!$L:$L, '28SepTo4Oct'!$J:$J, $A147)</f>
        <v>0</v>
      </c>
      <c r="AH147" s="121">
        <f>SUMIFS('28SepTo4Oct'!$K:$K, '28SepTo4Oct'!$J:$J, $A147)</f>
        <v>0</v>
      </c>
      <c r="AI147" s="121">
        <f>SUMIFS('28SepTo4Oct'!$O:$O, '28SepTo4Oct'!$J:$J, $A147)</f>
        <v>0</v>
      </c>
      <c r="AJ147" s="121">
        <f>SUMIFS('28SepTo4Oct'!$P:$P, '28SepTo4Oct'!$J:$J, $A147)</f>
        <v>0</v>
      </c>
      <c r="AK147" s="123">
        <f t="shared" si="6"/>
        <v>0</v>
      </c>
      <c r="AL147" s="121">
        <f>SUMIFS('21SepTo27Sep'!$L:$L, '21SepTo27Sep'!$J:$J, $A147)</f>
        <v>0</v>
      </c>
      <c r="AM147" s="121">
        <f>SUMIFS('21SepTo27Sep'!$K:$K, '21SepTo27Sep'!$J:$J, $A147)</f>
        <v>0</v>
      </c>
      <c r="AN147" s="121">
        <f>SUMIFS('21SepTo27Sep'!$O:$O, '21SepTo27Sep'!$J:$J, $A147)</f>
        <v>0</v>
      </c>
      <c r="AO147" s="121">
        <f>SUMIFS('21SepTo27Sep'!$P:$P, '21SepTo27Sep'!$J:$J, $A147)</f>
        <v>0</v>
      </c>
      <c r="AP147" s="123">
        <f t="shared" si="7"/>
        <v>0</v>
      </c>
      <c r="AQ147" s="121">
        <f>SUMIFS('14SepTo20Sep'!$L:$L, '14SepTo20Sep'!$J:$J, $A147)</f>
        <v>0</v>
      </c>
      <c r="AR147" s="121">
        <f>SUMIFS('14SepTo20Sep'!$K:$K, '14SepTo20Sep'!$J:$J, $A147)</f>
        <v>0</v>
      </c>
      <c r="AS147" s="121">
        <f>SUMIFS('14SepTo20Sep'!$O:$O, '14SepTo20Sep'!$J:$J, $A147)</f>
        <v>0</v>
      </c>
      <c r="AT147" s="121">
        <f>SUMIFS('14SepTo20Sep'!$P:$P, '14SepTo20Sep'!$J:$J, $A147)</f>
        <v>0</v>
      </c>
      <c r="AU147" s="123">
        <f t="shared" si="8"/>
        <v>0</v>
      </c>
      <c r="AV147" s="121">
        <f>SUMIFS('7SepTo13Sep'!$L:$L, '7SepTo13Sep'!$J:$J, $A147)</f>
        <v>0</v>
      </c>
      <c r="AW147" s="121">
        <f>SUMIFS('7SepTo13Sep'!$K:$K, '7SepTo13Sep'!$J:$J, $A147)</f>
        <v>0</v>
      </c>
      <c r="AX147" s="121">
        <f>SUMIFS('7SepTo13Sep'!$O:$O, '7SepTo13Sep'!$J:$J, $A147)</f>
        <v>0</v>
      </c>
      <c r="AY147" s="121">
        <f>SUMIFS('7SepTo13Sep'!$P:$P, '7SepTo13Sep'!$J:$J, $A147)</f>
        <v>0</v>
      </c>
      <c r="AZ147" s="123">
        <f t="shared" si="9"/>
        <v>0</v>
      </c>
      <c r="BA147" s="121">
        <f>SUMIFS('31AugTo6Sep'!$L:$L, '31AugTo6Sep'!$J:$J, $A147)</f>
        <v>0</v>
      </c>
      <c r="BB147" s="121">
        <f>SUMIFS('31AugTo6Sep'!$K:$K, '31AugTo6Sep'!$J:$J, $A147)</f>
        <v>0</v>
      </c>
      <c r="BC147" s="121">
        <f>SUMIFS('31AugTo6Sep'!$O:$O, '31AugTo6Sep'!$J:$J, $A147)</f>
        <v>0</v>
      </c>
      <c r="BD147" s="121">
        <f>SUMIFS('31AugTo6Sep'!$P:$P, '31AugTo6Sep'!$J:$J, $A147)</f>
        <v>0</v>
      </c>
      <c r="BE147" s="123">
        <f t="shared" si="10"/>
        <v>0</v>
      </c>
      <c r="BF147" s="121">
        <f>SUMIFS('24AugTo29Aug'!$L:$L, '24AugTo29Aug'!$J:$J, $A147)</f>
        <v>0</v>
      </c>
      <c r="BG147" s="121">
        <f>SUMIFS('24AugTo29Aug'!$K:$K, '24AugTo29Aug'!$J:$J, $A147)</f>
        <v>0</v>
      </c>
      <c r="BH147" s="121">
        <f>SUMIFS('24AugTo29Aug'!$O:$O, '24AugTo29Aug'!$J:$J, $A147)</f>
        <v>0</v>
      </c>
      <c r="BI147" s="121">
        <f>SUMIFS('24AugTo29Aug'!$P:$P, '24AugTo29Aug'!$J:$J, $A147)</f>
        <v>0</v>
      </c>
      <c r="BJ147" s="123">
        <f t="shared" si="11"/>
        <v>0</v>
      </c>
      <c r="BK147" s="121">
        <f>SUMIFS('17AugTo21Aug'!$L:$L, '17AugTo21Aug'!$J:$J, $A147)</f>
        <v>0</v>
      </c>
      <c r="BL147" s="121">
        <f>SUMIFS('17AugTo21Aug'!$K:$K, '17AugTo21Aug'!$J:$J, $A147)</f>
        <v>0</v>
      </c>
      <c r="BM147" s="121">
        <f>SUMIFS('17AugTo21Aug'!$O:$O, '17AugTo21Aug'!$J:$J, $A147)</f>
        <v>0</v>
      </c>
      <c r="BN147" s="121">
        <f>SUMIFS('17AugTo21Aug'!$P:$P, '17AugTo21Aug'!$J:$J, $A147)</f>
        <v>0</v>
      </c>
      <c r="BO147" s="123">
        <f t="shared" si="12"/>
        <v>0</v>
      </c>
      <c r="BP147" s="121">
        <f>SUMIFS('10AugTo16Aug'!$L:$L, '10AugTo16Aug'!$J:$J, $A147)</f>
        <v>1</v>
      </c>
      <c r="BQ147" s="121">
        <f>SUMIFS('10AugTo16Aug'!$K:$K, '10AugTo16Aug'!$J:$J, $A147)</f>
        <v>3</v>
      </c>
      <c r="BR147" s="121">
        <f>SUMIFS('10AugTo16Aug'!$O:$O, '10AugTo16Aug'!$J:$J, $A147)</f>
        <v>2.1800000000000002</v>
      </c>
      <c r="BS147" s="121">
        <f>SUMIFS('10AugTo16Aug'!$P:$P, '10AugTo16Aug'!$J:$J, $A147)</f>
        <v>24.94</v>
      </c>
      <c r="BT147" s="123">
        <f t="shared" si="13"/>
        <v>8.7409783480352843</v>
      </c>
      <c r="BU147" s="121">
        <f>SUMIFS('3AugTo9Aug'!$L:$L, '3AugTo9Aug'!$J:$J, $A147)</f>
        <v>0</v>
      </c>
      <c r="BV147" s="121">
        <f>SUMIFS('3AugTo9Aug'!$K:$K, '3AugTo9Aug'!$J:$J, $A147)</f>
        <v>0</v>
      </c>
      <c r="BW147" s="121">
        <f>SUMIFS('3AugTo9Aug'!$O:$O, '3AugTo9Aug'!$J:$J, $A147)</f>
        <v>0</v>
      </c>
      <c r="BX147" s="121">
        <f>SUMIFS('3AugTo9Aug'!$P:$P, '3AugTo9Aug'!$J:$J, $A147)</f>
        <v>0</v>
      </c>
      <c r="BY147" s="123">
        <f t="shared" si="14"/>
        <v>0</v>
      </c>
      <c r="BZ147" s="121">
        <f>SUMIFS('27JulyTo2Aug'!$L:$L, '27JulyTo2Aug'!$J:$J, $A147)</f>
        <v>0</v>
      </c>
      <c r="CA147" s="121">
        <f>SUMIFS('27JulyTo2Aug'!$K:$K, '27JulyTo2Aug'!$J:$J, $A147)</f>
        <v>0</v>
      </c>
      <c r="CB147" s="121">
        <f>SUMIFS('27JulyTo2Aug'!$O:$O, '27JulyTo2Aug'!$J:$J, $A147)</f>
        <v>0</v>
      </c>
      <c r="CC147" s="121">
        <f>SUMIFS('27JulyTo2Aug'!$P:$P, '27JulyTo2Aug'!$J:$J, $A147)</f>
        <v>0</v>
      </c>
      <c r="CD147" s="123">
        <f t="shared" si="15"/>
        <v>0</v>
      </c>
    </row>
    <row r="148" spans="1:82" ht="14.25" customHeight="1" x14ac:dyDescent="0.3">
      <c r="A148" s="124" t="s">
        <v>693</v>
      </c>
      <c r="B148" s="120" t="str">
        <f t="shared" si="18"/>
        <v>NO TRAFFIC</v>
      </c>
      <c r="C148" s="121">
        <f>SUMIFS('9NovTo15Nov'!$L:$L, '9NovTo15Nov'!$J:$J, $A148)</f>
        <v>0</v>
      </c>
      <c r="D148" s="121">
        <f>SUMIFS('9NovTo15Nov'!$K:$K, '9NovTo15Nov'!$J:$J, $A148)</f>
        <v>0</v>
      </c>
      <c r="E148" s="121">
        <f>SUMIFS('9NovTo15Nov'!$O:$O, '9NovTo15Nov'!$J:$J, $A148)</f>
        <v>0</v>
      </c>
      <c r="F148" s="121">
        <f>SUMIFS('9NovTo15Nov'!$P:$P, '9NovTo15Nov'!$J:$J, $A148)</f>
        <v>0</v>
      </c>
      <c r="G148" s="122">
        <f t="shared" si="0"/>
        <v>0</v>
      </c>
      <c r="H148" s="121">
        <f>SUMIFS('2NovTo8Nov'!$L:$L, '2NovTo8Nov'!$J:$J, $A148)</f>
        <v>0</v>
      </c>
      <c r="I148" s="121">
        <f>SUMIFS('2NovTo8Nov'!$K:$K, '2NovTo8Nov'!$J:$J, $A148)</f>
        <v>0</v>
      </c>
      <c r="J148" s="121">
        <f>SUMIFS('2NovTo8Nov'!$O:$O, '2NovTo8Nov'!$J:$J, $A148)</f>
        <v>0</v>
      </c>
      <c r="K148" s="121">
        <f>SUMIFS('2NovTo8Nov'!$P:$P, '2NovTo8Nov'!$J:$J, $A148)</f>
        <v>0</v>
      </c>
      <c r="L148" s="122">
        <f t="shared" si="1"/>
        <v>0</v>
      </c>
      <c r="M148" s="121">
        <f>SUMIFS('26OctTo1Nov'!$L:$L, '26OctTo1Nov'!$J:$J, $A148)</f>
        <v>0</v>
      </c>
      <c r="N148" s="121">
        <f>SUMIFS('26OctTo1Nov'!$K:$K, '26OctTo1Nov'!$J:$J, $A148)</f>
        <v>0</v>
      </c>
      <c r="O148" s="121">
        <f>SUMIFS('26OctTo1Nov'!$O:$O, '26OctTo1Nov'!$J:$J, $A148)</f>
        <v>0</v>
      </c>
      <c r="P148" s="121">
        <f>SUMIFS('26OctTo1Nov'!$P:$P, '26OctTo1Nov'!$J:$J, $A148)</f>
        <v>0</v>
      </c>
      <c r="Q148" s="122">
        <f t="shared" si="2"/>
        <v>0</v>
      </c>
      <c r="R148" s="121">
        <f>SUMIFS('19OctTo25Oct'!$L:$L, '19OctTo25Oct'!$J:$J, $A148)</f>
        <v>0</v>
      </c>
      <c r="S148" s="121">
        <f>SUMIFS('19OctTo25Oct'!$K:$K, '19OctTo25Oct'!$J:$J, $A148)</f>
        <v>0</v>
      </c>
      <c r="T148" s="121">
        <f>SUMIFS('19OctTo25Oct'!$O:$O, '19OctTo25Oct'!$J:$J, $A148)</f>
        <v>0</v>
      </c>
      <c r="U148" s="121">
        <f>SUMIFS('19OctTo25Oct'!$P:$P, '19OctTo25Oct'!$J:$J, $A148)</f>
        <v>0</v>
      </c>
      <c r="V148" s="122">
        <f t="shared" si="3"/>
        <v>0</v>
      </c>
      <c r="W148" s="121">
        <f>SUMIFS('12OctTo18Oct'!$L:$L, '12OctTo18Oct'!$J:$J, $A148)</f>
        <v>0</v>
      </c>
      <c r="X148" s="121">
        <f>SUMIFS('12OctTo18Oct'!$K:$K, '12OctTo18Oct'!$J:$J, $A148)</f>
        <v>0</v>
      </c>
      <c r="Y148" s="121">
        <f>SUMIFS('12OctTo18Oct'!$O:$O, '12OctTo18Oct'!$J:$J, $A148)</f>
        <v>0</v>
      </c>
      <c r="Z148" s="121">
        <f>SUMIFS('12OctTo18Oct'!$P:$P, '12OctTo18Oct'!$J:$J, $A148)</f>
        <v>0</v>
      </c>
      <c r="AA148" s="122">
        <f t="shared" si="4"/>
        <v>0</v>
      </c>
      <c r="AB148" s="121">
        <f>SUMIFS('5OctTo11Oct'!$L:$L, '5OctTo11Oct'!$J:$J, $A148)</f>
        <v>0</v>
      </c>
      <c r="AC148" s="121">
        <f>SUMIFS('5OctTo11Oct'!$K:$K, '5OctTo11Oct'!$J:$J, $A148)</f>
        <v>0</v>
      </c>
      <c r="AD148" s="121">
        <f>SUMIFS('5OctTo11Oct'!$O:$O, '5OctTo11Oct'!$J:$J, $A148)</f>
        <v>0</v>
      </c>
      <c r="AE148" s="121">
        <f>SUMIFS('5OctTo11Oct'!$P:$P, '5OctTo11Oct'!$J:$J, $A148)</f>
        <v>0</v>
      </c>
      <c r="AF148" s="123">
        <f t="shared" si="5"/>
        <v>0</v>
      </c>
      <c r="AG148" s="121">
        <f>SUMIFS('28SepTo4Oct'!$L:$L, '28SepTo4Oct'!$J:$J, $A148)</f>
        <v>0</v>
      </c>
      <c r="AH148" s="121">
        <f>SUMIFS('28SepTo4Oct'!$K:$K, '28SepTo4Oct'!$J:$J, $A148)</f>
        <v>0</v>
      </c>
      <c r="AI148" s="121">
        <f>SUMIFS('28SepTo4Oct'!$O:$O, '28SepTo4Oct'!$J:$J, $A148)</f>
        <v>0</v>
      </c>
      <c r="AJ148" s="121">
        <f>SUMIFS('28SepTo4Oct'!$P:$P, '28SepTo4Oct'!$J:$J, $A148)</f>
        <v>0</v>
      </c>
      <c r="AK148" s="123">
        <f t="shared" si="6"/>
        <v>0</v>
      </c>
      <c r="AL148" s="121">
        <f>SUMIFS('21SepTo27Sep'!$L:$L, '21SepTo27Sep'!$J:$J, $A148)</f>
        <v>0</v>
      </c>
      <c r="AM148" s="121">
        <f>SUMIFS('21SepTo27Sep'!$K:$K, '21SepTo27Sep'!$J:$J, $A148)</f>
        <v>0</v>
      </c>
      <c r="AN148" s="121">
        <f>SUMIFS('21SepTo27Sep'!$O:$O, '21SepTo27Sep'!$J:$J, $A148)</f>
        <v>0</v>
      </c>
      <c r="AO148" s="121">
        <f>SUMIFS('21SepTo27Sep'!$P:$P, '21SepTo27Sep'!$J:$J, $A148)</f>
        <v>0</v>
      </c>
      <c r="AP148" s="123">
        <f t="shared" si="7"/>
        <v>0</v>
      </c>
      <c r="AQ148" s="121">
        <f>SUMIFS('14SepTo20Sep'!$L:$L, '14SepTo20Sep'!$J:$J, $A148)</f>
        <v>0</v>
      </c>
      <c r="AR148" s="121">
        <f>SUMIFS('14SepTo20Sep'!$K:$K, '14SepTo20Sep'!$J:$J, $A148)</f>
        <v>0</v>
      </c>
      <c r="AS148" s="121">
        <f>SUMIFS('14SepTo20Sep'!$O:$O, '14SepTo20Sep'!$J:$J, $A148)</f>
        <v>0</v>
      </c>
      <c r="AT148" s="121">
        <f>SUMIFS('14SepTo20Sep'!$P:$P, '14SepTo20Sep'!$J:$J, $A148)</f>
        <v>0</v>
      </c>
      <c r="AU148" s="123">
        <f t="shared" si="8"/>
        <v>0</v>
      </c>
      <c r="AV148" s="121">
        <f>SUMIFS('7SepTo13Sep'!$L:$L, '7SepTo13Sep'!$J:$J, $A148)</f>
        <v>0</v>
      </c>
      <c r="AW148" s="121">
        <f>SUMIFS('7SepTo13Sep'!$K:$K, '7SepTo13Sep'!$J:$J, $A148)</f>
        <v>0</v>
      </c>
      <c r="AX148" s="121">
        <f>SUMIFS('7SepTo13Sep'!$O:$O, '7SepTo13Sep'!$J:$J, $A148)</f>
        <v>0</v>
      </c>
      <c r="AY148" s="121">
        <f>SUMIFS('7SepTo13Sep'!$P:$P, '7SepTo13Sep'!$J:$J, $A148)</f>
        <v>0</v>
      </c>
      <c r="AZ148" s="123">
        <f t="shared" si="9"/>
        <v>0</v>
      </c>
      <c r="BA148" s="121">
        <f>SUMIFS('31AugTo6Sep'!$L:$L, '31AugTo6Sep'!$J:$J, $A148)</f>
        <v>0</v>
      </c>
      <c r="BB148" s="121">
        <f>SUMIFS('31AugTo6Sep'!$K:$K, '31AugTo6Sep'!$J:$J, $A148)</f>
        <v>0</v>
      </c>
      <c r="BC148" s="121">
        <f>SUMIFS('31AugTo6Sep'!$O:$O, '31AugTo6Sep'!$J:$J, $A148)</f>
        <v>0</v>
      </c>
      <c r="BD148" s="121">
        <f>SUMIFS('31AugTo6Sep'!$P:$P, '31AugTo6Sep'!$J:$J, $A148)</f>
        <v>0</v>
      </c>
      <c r="BE148" s="123">
        <f t="shared" si="10"/>
        <v>0</v>
      </c>
      <c r="BF148" s="121">
        <f>SUMIFS('24AugTo29Aug'!$L:$L, '24AugTo29Aug'!$J:$J, $A148)</f>
        <v>0</v>
      </c>
      <c r="BG148" s="121">
        <f>SUMIFS('24AugTo29Aug'!$K:$K, '24AugTo29Aug'!$J:$J, $A148)</f>
        <v>0</v>
      </c>
      <c r="BH148" s="121">
        <f>SUMIFS('24AugTo29Aug'!$O:$O, '24AugTo29Aug'!$J:$J, $A148)</f>
        <v>0</v>
      </c>
      <c r="BI148" s="121">
        <f>SUMIFS('24AugTo29Aug'!$P:$P, '24AugTo29Aug'!$J:$J, $A148)</f>
        <v>0</v>
      </c>
      <c r="BJ148" s="123">
        <f t="shared" si="11"/>
        <v>0</v>
      </c>
      <c r="BK148" s="121">
        <f>SUMIFS('17AugTo21Aug'!$L:$L, '17AugTo21Aug'!$J:$J, $A148)</f>
        <v>0</v>
      </c>
      <c r="BL148" s="121">
        <f>SUMIFS('17AugTo21Aug'!$K:$K, '17AugTo21Aug'!$J:$J, $A148)</f>
        <v>0</v>
      </c>
      <c r="BM148" s="121">
        <f>SUMIFS('17AugTo21Aug'!$O:$O, '17AugTo21Aug'!$J:$J, $A148)</f>
        <v>0</v>
      </c>
      <c r="BN148" s="121">
        <f>SUMIFS('17AugTo21Aug'!$P:$P, '17AugTo21Aug'!$J:$J, $A148)</f>
        <v>0</v>
      </c>
      <c r="BO148" s="123">
        <f t="shared" si="12"/>
        <v>0</v>
      </c>
      <c r="BP148" s="121">
        <f>SUMIFS('10AugTo16Aug'!$L:$L, '10AugTo16Aug'!$J:$J, $A148)</f>
        <v>1</v>
      </c>
      <c r="BQ148" s="121">
        <f>SUMIFS('10AugTo16Aug'!$K:$K, '10AugTo16Aug'!$J:$J, $A148)</f>
        <v>3</v>
      </c>
      <c r="BR148" s="121">
        <f>SUMIFS('10AugTo16Aug'!$O:$O, '10AugTo16Aug'!$J:$J, $A148)</f>
        <v>2</v>
      </c>
      <c r="BS148" s="121">
        <f>SUMIFS('10AugTo16Aug'!$P:$P, '10AugTo16Aug'!$J:$J, $A148)</f>
        <v>21.95</v>
      </c>
      <c r="BT148" s="123">
        <f t="shared" si="13"/>
        <v>9.1116173120728927</v>
      </c>
      <c r="BU148" s="121">
        <f>SUMIFS('3AugTo9Aug'!$L:$L, '3AugTo9Aug'!$J:$J, $A148)</f>
        <v>0</v>
      </c>
      <c r="BV148" s="121">
        <f>SUMIFS('3AugTo9Aug'!$K:$K, '3AugTo9Aug'!$J:$J, $A148)</f>
        <v>0</v>
      </c>
      <c r="BW148" s="121">
        <f>SUMIFS('3AugTo9Aug'!$O:$O, '3AugTo9Aug'!$J:$J, $A148)</f>
        <v>0</v>
      </c>
      <c r="BX148" s="121">
        <f>SUMIFS('3AugTo9Aug'!$P:$P, '3AugTo9Aug'!$J:$J, $A148)</f>
        <v>0</v>
      </c>
      <c r="BY148" s="123">
        <f t="shared" si="14"/>
        <v>0</v>
      </c>
      <c r="BZ148" s="121">
        <f>SUMIFS('27JulyTo2Aug'!$L:$L, '27JulyTo2Aug'!$J:$J, $A148)</f>
        <v>0</v>
      </c>
      <c r="CA148" s="121">
        <f>SUMIFS('27JulyTo2Aug'!$K:$K, '27JulyTo2Aug'!$J:$J, $A148)</f>
        <v>0</v>
      </c>
      <c r="CB148" s="121">
        <f>SUMIFS('27JulyTo2Aug'!$O:$O, '27JulyTo2Aug'!$J:$J, $A148)</f>
        <v>0</v>
      </c>
      <c r="CC148" s="121">
        <f>SUMIFS('27JulyTo2Aug'!$P:$P, '27JulyTo2Aug'!$J:$J, $A148)</f>
        <v>0</v>
      </c>
      <c r="CD148" s="123">
        <f t="shared" si="15"/>
        <v>0</v>
      </c>
    </row>
    <row r="149" spans="1:82" ht="14.25" customHeight="1" x14ac:dyDescent="0.3">
      <c r="A149" s="130" t="s">
        <v>694</v>
      </c>
      <c r="B149" s="120" t="str">
        <f t="shared" si="18"/>
        <v>NO TRAFFIC</v>
      </c>
      <c r="C149" s="121">
        <f>SUMIFS('9NovTo15Nov'!$L:$L, '9NovTo15Nov'!$J:$J, $A149)</f>
        <v>0</v>
      </c>
      <c r="D149" s="121">
        <f>SUMIFS('9NovTo15Nov'!$K:$K, '9NovTo15Nov'!$J:$J, $A149)</f>
        <v>0</v>
      </c>
      <c r="E149" s="121">
        <f>SUMIFS('9NovTo15Nov'!$O:$O, '9NovTo15Nov'!$J:$J, $A149)</f>
        <v>0</v>
      </c>
      <c r="F149" s="121">
        <f>SUMIFS('9NovTo15Nov'!$P:$P, '9NovTo15Nov'!$J:$J, $A149)</f>
        <v>0</v>
      </c>
      <c r="G149" s="122">
        <f t="shared" si="0"/>
        <v>0</v>
      </c>
      <c r="H149" s="121">
        <f>SUMIFS('2NovTo8Nov'!$L:$L, '2NovTo8Nov'!$J:$J, $A149)</f>
        <v>0</v>
      </c>
      <c r="I149" s="121">
        <f>SUMIFS('2NovTo8Nov'!$K:$K, '2NovTo8Nov'!$J:$J, $A149)</f>
        <v>0</v>
      </c>
      <c r="J149" s="121">
        <f>SUMIFS('2NovTo8Nov'!$O:$O, '2NovTo8Nov'!$J:$J, $A149)</f>
        <v>0</v>
      </c>
      <c r="K149" s="121">
        <f>SUMIFS('2NovTo8Nov'!$P:$P, '2NovTo8Nov'!$J:$J, $A149)</f>
        <v>0</v>
      </c>
      <c r="L149" s="122">
        <f t="shared" si="1"/>
        <v>0</v>
      </c>
      <c r="M149" s="121">
        <f>SUMIFS('26OctTo1Nov'!$L:$L, '26OctTo1Nov'!$J:$J, $A149)</f>
        <v>0</v>
      </c>
      <c r="N149" s="121">
        <f>SUMIFS('26OctTo1Nov'!$K:$K, '26OctTo1Nov'!$J:$J, $A149)</f>
        <v>0</v>
      </c>
      <c r="O149" s="121">
        <f>SUMIFS('26OctTo1Nov'!$O:$O, '26OctTo1Nov'!$J:$J, $A149)</f>
        <v>0</v>
      </c>
      <c r="P149" s="121">
        <f>SUMIFS('26OctTo1Nov'!$P:$P, '26OctTo1Nov'!$J:$J, $A149)</f>
        <v>0</v>
      </c>
      <c r="Q149" s="122">
        <f t="shared" si="2"/>
        <v>0</v>
      </c>
      <c r="R149" s="121">
        <f>SUMIFS('19OctTo25Oct'!$L:$L, '19OctTo25Oct'!$J:$J, $A149)</f>
        <v>0</v>
      </c>
      <c r="S149" s="121">
        <f>SUMIFS('19OctTo25Oct'!$K:$K, '19OctTo25Oct'!$J:$J, $A149)</f>
        <v>0</v>
      </c>
      <c r="T149" s="121">
        <f>SUMIFS('19OctTo25Oct'!$O:$O, '19OctTo25Oct'!$J:$J, $A149)</f>
        <v>0</v>
      </c>
      <c r="U149" s="121">
        <f>SUMIFS('19OctTo25Oct'!$P:$P, '19OctTo25Oct'!$J:$J, $A149)</f>
        <v>0</v>
      </c>
      <c r="V149" s="122">
        <f t="shared" si="3"/>
        <v>0</v>
      </c>
      <c r="W149" s="121">
        <f>SUMIFS('12OctTo18Oct'!$L:$L, '12OctTo18Oct'!$J:$J, $A149)</f>
        <v>0</v>
      </c>
      <c r="X149" s="121">
        <f>SUMIFS('12OctTo18Oct'!$K:$K, '12OctTo18Oct'!$J:$J, $A149)</f>
        <v>0</v>
      </c>
      <c r="Y149" s="121">
        <f>SUMIFS('12OctTo18Oct'!$O:$O, '12OctTo18Oct'!$J:$J, $A149)</f>
        <v>0</v>
      </c>
      <c r="Z149" s="121">
        <f>SUMIFS('12OctTo18Oct'!$P:$P, '12OctTo18Oct'!$J:$J, $A149)</f>
        <v>0</v>
      </c>
      <c r="AA149" s="122">
        <f t="shared" si="4"/>
        <v>0</v>
      </c>
      <c r="AB149" s="121">
        <f>SUMIFS('5OctTo11Oct'!$L:$L, '5OctTo11Oct'!$J:$J, $A149)</f>
        <v>0</v>
      </c>
      <c r="AC149" s="121">
        <f>SUMIFS('5OctTo11Oct'!$K:$K, '5OctTo11Oct'!$J:$J, $A149)</f>
        <v>0</v>
      </c>
      <c r="AD149" s="121">
        <f>SUMIFS('5OctTo11Oct'!$O:$O, '5OctTo11Oct'!$J:$J, $A149)</f>
        <v>0</v>
      </c>
      <c r="AE149" s="121">
        <f>SUMIFS('5OctTo11Oct'!$P:$P, '5OctTo11Oct'!$J:$J, $A149)</f>
        <v>0</v>
      </c>
      <c r="AF149" s="123">
        <f t="shared" si="5"/>
        <v>0</v>
      </c>
      <c r="AG149" s="129">
        <f>SUMIFS('28SepTo4Oct'!$L:$L, '28SepTo4Oct'!$J:$J, $A149)</f>
        <v>0</v>
      </c>
      <c r="AH149" s="129">
        <f>SUMIFS('28SepTo4Oct'!$K:$K, '28SepTo4Oct'!$J:$J, $A149)</f>
        <v>0</v>
      </c>
      <c r="AI149" s="121">
        <f>SUMIFS('28SepTo4Oct'!$O:$O, '28SepTo4Oct'!$J:$J, $A149)</f>
        <v>0</v>
      </c>
      <c r="AJ149" s="129">
        <f>SUMIFS('28SepTo4Oct'!$P:$P, '28SepTo4Oct'!$J:$J, $A149)</f>
        <v>0</v>
      </c>
      <c r="AK149" s="123">
        <f t="shared" si="6"/>
        <v>0</v>
      </c>
      <c r="AL149" s="129">
        <f>SUMIFS('21SepTo27Sep'!$L:$L, '21SepTo27Sep'!$J:$J, $A149)</f>
        <v>0</v>
      </c>
      <c r="AM149" s="129">
        <f>SUMIFS('21SepTo27Sep'!$K:$K, '21SepTo27Sep'!$J:$J, $A149)</f>
        <v>0</v>
      </c>
      <c r="AN149" s="121">
        <f>SUMIFS('21SepTo27Sep'!$O:$O, '21SepTo27Sep'!$J:$J, $A149)</f>
        <v>0</v>
      </c>
      <c r="AO149" s="129">
        <f>SUMIFS('21SepTo27Sep'!$P:$P, '21SepTo27Sep'!$J:$J, $A149)</f>
        <v>0</v>
      </c>
      <c r="AP149" s="123">
        <f t="shared" si="7"/>
        <v>0</v>
      </c>
      <c r="AQ149" s="129">
        <f>SUMIFS('14SepTo20Sep'!$L:$L, '14SepTo20Sep'!$J:$J, $A149)</f>
        <v>0</v>
      </c>
      <c r="AR149" s="129">
        <f>SUMIFS('14SepTo20Sep'!$K:$K, '14SepTo20Sep'!$J:$J, $A149)</f>
        <v>0</v>
      </c>
      <c r="AS149" s="121">
        <f>SUMIFS('14SepTo20Sep'!$O:$O, '14SepTo20Sep'!$J:$J, $A149)</f>
        <v>0</v>
      </c>
      <c r="AT149" s="129">
        <f>SUMIFS('14SepTo20Sep'!$P:$P, '14SepTo20Sep'!$J:$J, $A149)</f>
        <v>0</v>
      </c>
      <c r="AU149" s="123">
        <f t="shared" si="8"/>
        <v>0</v>
      </c>
      <c r="AV149" s="129">
        <f>SUMIFS('7SepTo13Sep'!$L:$L, '7SepTo13Sep'!$J:$J, $A149)</f>
        <v>0</v>
      </c>
      <c r="AW149" s="129">
        <f>SUMIFS('7SepTo13Sep'!$K:$K, '7SepTo13Sep'!$J:$J, $A149)</f>
        <v>0</v>
      </c>
      <c r="AX149" s="121">
        <f>SUMIFS('7SepTo13Sep'!$O:$O, '7SepTo13Sep'!$J:$J, $A149)</f>
        <v>0</v>
      </c>
      <c r="AY149" s="129">
        <f>SUMIFS('7SepTo13Sep'!$P:$P, '7SepTo13Sep'!$J:$J, $A149)</f>
        <v>0</v>
      </c>
      <c r="AZ149" s="123">
        <f t="shared" si="9"/>
        <v>0</v>
      </c>
      <c r="BA149" s="129">
        <f>SUMIFS('31AugTo6Sep'!$L:$L, '31AugTo6Sep'!$J:$J, $A149)</f>
        <v>0</v>
      </c>
      <c r="BB149" s="129">
        <f>SUMIFS('31AugTo6Sep'!$K:$K, '31AugTo6Sep'!$J:$J, $A149)</f>
        <v>0</v>
      </c>
      <c r="BC149" s="121">
        <f>SUMIFS('31AugTo6Sep'!$O:$O, '31AugTo6Sep'!$J:$J, $A149)</f>
        <v>0</v>
      </c>
      <c r="BD149" s="129">
        <f>SUMIFS('31AugTo6Sep'!$P:$P, '31AugTo6Sep'!$J:$J, $A149)</f>
        <v>0</v>
      </c>
      <c r="BE149" s="123">
        <f t="shared" si="10"/>
        <v>0</v>
      </c>
      <c r="BF149" s="129">
        <f>SUMIFS('24AugTo29Aug'!$L:$L, '24AugTo29Aug'!$J:$J, $A149)</f>
        <v>0</v>
      </c>
      <c r="BG149" s="129">
        <f>SUMIFS('24AugTo29Aug'!$K:$K, '24AugTo29Aug'!$J:$J, $A149)</f>
        <v>0</v>
      </c>
      <c r="BH149" s="121">
        <f>SUMIFS('24AugTo29Aug'!$O:$O, '24AugTo29Aug'!$J:$J, $A149)</f>
        <v>0</v>
      </c>
      <c r="BI149" s="129">
        <f>SUMIFS('24AugTo29Aug'!$P:$P, '24AugTo29Aug'!$J:$J, $A149)</f>
        <v>0</v>
      </c>
      <c r="BJ149" s="123">
        <f t="shared" si="11"/>
        <v>0</v>
      </c>
      <c r="BK149" s="129">
        <f>SUMIFS('17AugTo21Aug'!$L:$L, '17AugTo21Aug'!$J:$J, $A149)</f>
        <v>0</v>
      </c>
      <c r="BL149" s="129">
        <f>SUMIFS('17AugTo21Aug'!$K:$K, '17AugTo21Aug'!$J:$J, $A149)</f>
        <v>0</v>
      </c>
      <c r="BM149" s="121">
        <f>SUMIFS('17AugTo21Aug'!$O:$O, '17AugTo21Aug'!$J:$J, $A149)</f>
        <v>0</v>
      </c>
      <c r="BN149" s="129">
        <f>SUMIFS('17AugTo21Aug'!$P:$P, '17AugTo21Aug'!$J:$J, $A149)</f>
        <v>0</v>
      </c>
      <c r="BO149" s="123">
        <f t="shared" si="12"/>
        <v>0</v>
      </c>
      <c r="BP149" s="129">
        <f>SUMIFS('10AugTo16Aug'!$L:$L, '10AugTo16Aug'!$J:$J, $A149)</f>
        <v>1</v>
      </c>
      <c r="BQ149" s="129">
        <f>SUMIFS('10AugTo16Aug'!$K:$K, '10AugTo16Aug'!$J:$J, $A149)</f>
        <v>1</v>
      </c>
      <c r="BR149" s="121">
        <f>SUMIFS('10AugTo16Aug'!$O:$O, '10AugTo16Aug'!$J:$J, $A149)</f>
        <v>3.16</v>
      </c>
      <c r="BS149" s="129">
        <f>SUMIFS('10AugTo16Aug'!$P:$P, '10AugTo16Aug'!$J:$J, $A149)</f>
        <v>29.99</v>
      </c>
      <c r="BT149" s="123">
        <f t="shared" si="13"/>
        <v>10.536845615205069</v>
      </c>
      <c r="BU149" s="129">
        <f>SUMIFS('3AugTo9Aug'!$L:$L, '3AugTo9Aug'!$J:$J, $A149)</f>
        <v>0</v>
      </c>
      <c r="BV149" s="129">
        <f>SUMIFS('3AugTo9Aug'!$K:$K, '3AugTo9Aug'!$J:$J, $A149)</f>
        <v>0</v>
      </c>
      <c r="BW149" s="121">
        <f>SUMIFS('3AugTo9Aug'!$O:$O, '3AugTo9Aug'!$J:$J, $A149)</f>
        <v>0</v>
      </c>
      <c r="BX149" s="129">
        <f>SUMIFS('3AugTo9Aug'!$P:$P, '3AugTo9Aug'!$J:$J, $A149)</f>
        <v>0</v>
      </c>
      <c r="BY149" s="123">
        <f t="shared" si="14"/>
        <v>0</v>
      </c>
      <c r="BZ149" s="129">
        <f>SUMIFS('27JulyTo2Aug'!$L:$L, '27JulyTo2Aug'!$J:$J, $A149)</f>
        <v>0</v>
      </c>
      <c r="CA149" s="129">
        <f>SUMIFS('27JulyTo2Aug'!$K:$K, '27JulyTo2Aug'!$J:$J, $A149)</f>
        <v>0</v>
      </c>
      <c r="CB149" s="121">
        <f>SUMIFS('27JulyTo2Aug'!$O:$O, '27JulyTo2Aug'!$J:$J, $A149)</f>
        <v>0</v>
      </c>
      <c r="CC149" s="129">
        <f>SUMIFS('27JulyTo2Aug'!$P:$P, '27JulyTo2Aug'!$J:$J, $A149)</f>
        <v>0</v>
      </c>
      <c r="CD149" s="123">
        <f t="shared" si="15"/>
        <v>0</v>
      </c>
    </row>
    <row r="150" spans="1:82" ht="14.25" customHeight="1" x14ac:dyDescent="0.3">
      <c r="A150" s="124" t="s">
        <v>695</v>
      </c>
      <c r="B150" s="120" t="str">
        <f t="shared" si="18"/>
        <v>NO TRAFFIC</v>
      </c>
      <c r="C150" s="121">
        <f>SUMIFS('9NovTo15Nov'!$L:$L, '9NovTo15Nov'!$J:$J, $A150)</f>
        <v>0</v>
      </c>
      <c r="D150" s="121">
        <f>SUMIFS('9NovTo15Nov'!$K:$K, '9NovTo15Nov'!$J:$J, $A150)</f>
        <v>0</v>
      </c>
      <c r="E150" s="121">
        <f>SUMIFS('9NovTo15Nov'!$O:$O, '9NovTo15Nov'!$J:$J, $A150)</f>
        <v>0</v>
      </c>
      <c r="F150" s="121">
        <f>SUMIFS('9NovTo15Nov'!$P:$P, '9NovTo15Nov'!$J:$J, $A150)</f>
        <v>0</v>
      </c>
      <c r="G150" s="122">
        <f t="shared" si="0"/>
        <v>0</v>
      </c>
      <c r="H150" s="121">
        <f>SUMIFS('2NovTo8Nov'!$L:$L, '2NovTo8Nov'!$J:$J, $A150)</f>
        <v>0</v>
      </c>
      <c r="I150" s="121">
        <f>SUMIFS('2NovTo8Nov'!$K:$K, '2NovTo8Nov'!$J:$J, $A150)</f>
        <v>0</v>
      </c>
      <c r="J150" s="121">
        <f>SUMIFS('2NovTo8Nov'!$O:$O, '2NovTo8Nov'!$J:$J, $A150)</f>
        <v>0</v>
      </c>
      <c r="K150" s="121">
        <f>SUMIFS('2NovTo8Nov'!$P:$P, '2NovTo8Nov'!$J:$J, $A150)</f>
        <v>0</v>
      </c>
      <c r="L150" s="122">
        <f t="shared" si="1"/>
        <v>0</v>
      </c>
      <c r="M150" s="121">
        <f>SUMIFS('26OctTo1Nov'!$L:$L, '26OctTo1Nov'!$J:$J, $A150)</f>
        <v>0</v>
      </c>
      <c r="N150" s="121">
        <f>SUMIFS('26OctTo1Nov'!$K:$K, '26OctTo1Nov'!$J:$J, $A150)</f>
        <v>0</v>
      </c>
      <c r="O150" s="121">
        <f>SUMIFS('26OctTo1Nov'!$O:$O, '26OctTo1Nov'!$J:$J, $A150)</f>
        <v>0</v>
      </c>
      <c r="P150" s="121">
        <f>SUMIFS('26OctTo1Nov'!$P:$P, '26OctTo1Nov'!$J:$J, $A150)</f>
        <v>0</v>
      </c>
      <c r="Q150" s="122">
        <f t="shared" si="2"/>
        <v>0</v>
      </c>
      <c r="R150" s="121">
        <f>SUMIFS('19OctTo25Oct'!$L:$L, '19OctTo25Oct'!$J:$J, $A150)</f>
        <v>0</v>
      </c>
      <c r="S150" s="121">
        <f>SUMIFS('19OctTo25Oct'!$K:$K, '19OctTo25Oct'!$J:$J, $A150)</f>
        <v>0</v>
      </c>
      <c r="T150" s="121">
        <f>SUMIFS('19OctTo25Oct'!$O:$O, '19OctTo25Oct'!$J:$J, $A150)</f>
        <v>0</v>
      </c>
      <c r="U150" s="121">
        <f>SUMIFS('19OctTo25Oct'!$P:$P, '19OctTo25Oct'!$J:$J, $A150)</f>
        <v>0</v>
      </c>
      <c r="V150" s="122">
        <f t="shared" si="3"/>
        <v>0</v>
      </c>
      <c r="W150" s="121">
        <f>SUMIFS('12OctTo18Oct'!$L:$L, '12OctTo18Oct'!$J:$J, $A150)</f>
        <v>0</v>
      </c>
      <c r="X150" s="121">
        <f>SUMIFS('12OctTo18Oct'!$K:$K, '12OctTo18Oct'!$J:$J, $A150)</f>
        <v>0</v>
      </c>
      <c r="Y150" s="121">
        <f>SUMIFS('12OctTo18Oct'!$O:$O, '12OctTo18Oct'!$J:$J, $A150)</f>
        <v>0</v>
      </c>
      <c r="Z150" s="121">
        <f>SUMIFS('12OctTo18Oct'!$P:$P, '12OctTo18Oct'!$J:$J, $A150)</f>
        <v>0</v>
      </c>
      <c r="AA150" s="122">
        <f t="shared" si="4"/>
        <v>0</v>
      </c>
      <c r="AB150" s="121">
        <f>SUMIFS('5OctTo11Oct'!$L:$L, '5OctTo11Oct'!$J:$J, $A150)</f>
        <v>0</v>
      </c>
      <c r="AC150" s="121">
        <f>SUMIFS('5OctTo11Oct'!$K:$K, '5OctTo11Oct'!$J:$J, $A150)</f>
        <v>0</v>
      </c>
      <c r="AD150" s="121">
        <f>SUMIFS('5OctTo11Oct'!$O:$O, '5OctTo11Oct'!$J:$J, $A150)</f>
        <v>0</v>
      </c>
      <c r="AE150" s="121">
        <f>SUMIFS('5OctTo11Oct'!$P:$P, '5OctTo11Oct'!$J:$J, $A150)</f>
        <v>0</v>
      </c>
      <c r="AF150" s="123">
        <f t="shared" si="5"/>
        <v>0</v>
      </c>
      <c r="AG150" s="121">
        <f>SUMIFS('28SepTo4Oct'!$L:$L, '28SepTo4Oct'!$J:$J, $A150)</f>
        <v>0</v>
      </c>
      <c r="AH150" s="121">
        <f>SUMIFS('28SepTo4Oct'!$K:$K, '28SepTo4Oct'!$J:$J, $A150)</f>
        <v>0</v>
      </c>
      <c r="AI150" s="121">
        <f>SUMIFS('28SepTo4Oct'!$O:$O, '28SepTo4Oct'!$J:$J, $A150)</f>
        <v>0</v>
      </c>
      <c r="AJ150" s="121">
        <f>SUMIFS('28SepTo4Oct'!$P:$P, '28SepTo4Oct'!$J:$J, $A150)</f>
        <v>0</v>
      </c>
      <c r="AK150" s="123">
        <f t="shared" si="6"/>
        <v>0</v>
      </c>
      <c r="AL150" s="121">
        <f>SUMIFS('21SepTo27Sep'!$L:$L, '21SepTo27Sep'!$J:$J, $A150)</f>
        <v>0</v>
      </c>
      <c r="AM150" s="121">
        <f>SUMIFS('21SepTo27Sep'!$K:$K, '21SepTo27Sep'!$J:$J, $A150)</f>
        <v>0</v>
      </c>
      <c r="AN150" s="121">
        <f>SUMIFS('21SepTo27Sep'!$O:$O, '21SepTo27Sep'!$J:$J, $A150)</f>
        <v>0</v>
      </c>
      <c r="AO150" s="121">
        <f>SUMIFS('21SepTo27Sep'!$P:$P, '21SepTo27Sep'!$J:$J, $A150)</f>
        <v>0</v>
      </c>
      <c r="AP150" s="123">
        <f t="shared" si="7"/>
        <v>0</v>
      </c>
      <c r="AQ150" s="121">
        <f>SUMIFS('14SepTo20Sep'!$L:$L, '14SepTo20Sep'!$J:$J, $A150)</f>
        <v>0</v>
      </c>
      <c r="AR150" s="121">
        <f>SUMIFS('14SepTo20Sep'!$K:$K, '14SepTo20Sep'!$J:$J, $A150)</f>
        <v>0</v>
      </c>
      <c r="AS150" s="121">
        <f>SUMIFS('14SepTo20Sep'!$O:$O, '14SepTo20Sep'!$J:$J, $A150)</f>
        <v>0</v>
      </c>
      <c r="AT150" s="121">
        <f>SUMIFS('14SepTo20Sep'!$P:$P, '14SepTo20Sep'!$J:$J, $A150)</f>
        <v>0</v>
      </c>
      <c r="AU150" s="123">
        <f t="shared" si="8"/>
        <v>0</v>
      </c>
      <c r="AV150" s="121">
        <f>SUMIFS('7SepTo13Sep'!$L:$L, '7SepTo13Sep'!$J:$J, $A150)</f>
        <v>0</v>
      </c>
      <c r="AW150" s="121">
        <f>SUMIFS('7SepTo13Sep'!$K:$K, '7SepTo13Sep'!$J:$J, $A150)</f>
        <v>0</v>
      </c>
      <c r="AX150" s="121">
        <f>SUMIFS('7SepTo13Sep'!$O:$O, '7SepTo13Sep'!$J:$J, $A150)</f>
        <v>0</v>
      </c>
      <c r="AY150" s="121">
        <f>SUMIFS('7SepTo13Sep'!$P:$P, '7SepTo13Sep'!$J:$J, $A150)</f>
        <v>0</v>
      </c>
      <c r="AZ150" s="123">
        <f t="shared" si="9"/>
        <v>0</v>
      </c>
      <c r="BA150" s="121">
        <f>SUMIFS('31AugTo6Sep'!$L:$L, '31AugTo6Sep'!$J:$J, $A150)</f>
        <v>0</v>
      </c>
      <c r="BB150" s="121">
        <f>SUMIFS('31AugTo6Sep'!$K:$K, '31AugTo6Sep'!$J:$J, $A150)</f>
        <v>0</v>
      </c>
      <c r="BC150" s="121">
        <f>SUMIFS('31AugTo6Sep'!$O:$O, '31AugTo6Sep'!$J:$J, $A150)</f>
        <v>0</v>
      </c>
      <c r="BD150" s="121">
        <f>SUMIFS('31AugTo6Sep'!$P:$P, '31AugTo6Sep'!$J:$J, $A150)</f>
        <v>0</v>
      </c>
      <c r="BE150" s="123">
        <f t="shared" si="10"/>
        <v>0</v>
      </c>
      <c r="BF150" s="121">
        <f>SUMIFS('24AugTo29Aug'!$L:$L, '24AugTo29Aug'!$J:$J, $A150)</f>
        <v>0</v>
      </c>
      <c r="BG150" s="121">
        <f>SUMIFS('24AugTo29Aug'!$K:$K, '24AugTo29Aug'!$J:$J, $A150)</f>
        <v>0</v>
      </c>
      <c r="BH150" s="121">
        <f>SUMIFS('24AugTo29Aug'!$O:$O, '24AugTo29Aug'!$J:$J, $A150)</f>
        <v>0</v>
      </c>
      <c r="BI150" s="121">
        <f>SUMIFS('24AugTo29Aug'!$P:$P, '24AugTo29Aug'!$J:$J, $A150)</f>
        <v>0</v>
      </c>
      <c r="BJ150" s="123">
        <f t="shared" si="11"/>
        <v>0</v>
      </c>
      <c r="BK150" s="121">
        <f>SUMIFS('17AugTo21Aug'!$L:$L, '17AugTo21Aug'!$J:$J, $A150)</f>
        <v>0</v>
      </c>
      <c r="BL150" s="121">
        <f>SUMIFS('17AugTo21Aug'!$K:$K, '17AugTo21Aug'!$J:$J, $A150)</f>
        <v>0</v>
      </c>
      <c r="BM150" s="121">
        <f>SUMIFS('17AugTo21Aug'!$O:$O, '17AugTo21Aug'!$J:$J, $A150)</f>
        <v>0</v>
      </c>
      <c r="BN150" s="121">
        <f>SUMIFS('17AugTo21Aug'!$P:$P, '17AugTo21Aug'!$J:$J, $A150)</f>
        <v>0</v>
      </c>
      <c r="BO150" s="123">
        <f t="shared" si="12"/>
        <v>0</v>
      </c>
      <c r="BP150" s="121">
        <f>SUMIFS('10AugTo16Aug'!$L:$L, '10AugTo16Aug'!$J:$J, $A150)</f>
        <v>1</v>
      </c>
      <c r="BQ150" s="121">
        <f>SUMIFS('10AugTo16Aug'!$K:$K, '10AugTo16Aug'!$J:$J, $A150)</f>
        <v>1</v>
      </c>
      <c r="BR150" s="121">
        <f>SUMIFS('10AugTo16Aug'!$O:$O, '10AugTo16Aug'!$J:$J, $A150)</f>
        <v>3.3</v>
      </c>
      <c r="BS150" s="121">
        <f>SUMIFS('10AugTo16Aug'!$P:$P, '10AugTo16Aug'!$J:$J, $A150)</f>
        <v>24.94</v>
      </c>
      <c r="BT150" s="123">
        <f t="shared" si="13"/>
        <v>13.231756214915796</v>
      </c>
      <c r="BU150" s="121">
        <f>SUMIFS('3AugTo9Aug'!$L:$L, '3AugTo9Aug'!$J:$J, $A150)</f>
        <v>2</v>
      </c>
      <c r="BV150" s="121">
        <f>SUMIFS('3AugTo9Aug'!$K:$K, '3AugTo9Aug'!$J:$J, $A150)</f>
        <v>11</v>
      </c>
      <c r="BW150" s="121">
        <f>SUMIFS('3AugTo9Aug'!$O:$O, '3AugTo9Aug'!$J:$J, $A150)</f>
        <v>6.6</v>
      </c>
      <c r="BX150" s="121">
        <f>SUMIFS('3AugTo9Aug'!$P:$P, '3AugTo9Aug'!$J:$J, $A150)</f>
        <v>49.88</v>
      </c>
      <c r="BY150" s="123">
        <f t="shared" si="14"/>
        <v>13.231756214915796</v>
      </c>
      <c r="BZ150" s="121">
        <f>SUMIFS('27JulyTo2Aug'!$L:$L, '27JulyTo2Aug'!$J:$J, $A150)</f>
        <v>0</v>
      </c>
      <c r="CA150" s="121">
        <f>SUMIFS('27JulyTo2Aug'!$K:$K, '27JulyTo2Aug'!$J:$J, $A150)</f>
        <v>0</v>
      </c>
      <c r="CB150" s="121">
        <f>SUMIFS('27JulyTo2Aug'!$O:$O, '27JulyTo2Aug'!$J:$J, $A150)</f>
        <v>0</v>
      </c>
      <c r="CC150" s="121">
        <f>SUMIFS('27JulyTo2Aug'!$P:$P, '27JulyTo2Aug'!$J:$J, $A150)</f>
        <v>0</v>
      </c>
      <c r="CD150" s="123">
        <f t="shared" si="15"/>
        <v>0</v>
      </c>
    </row>
    <row r="151" spans="1:82" ht="14.25" customHeight="1" x14ac:dyDescent="0.3">
      <c r="A151" s="124" t="s">
        <v>696</v>
      </c>
      <c r="B151" s="120" t="str">
        <f t="shared" si="18"/>
        <v>NO TRAFFIC</v>
      </c>
      <c r="C151" s="121">
        <f>SUMIFS('9NovTo15Nov'!$L:$L, '9NovTo15Nov'!$J:$J, $A151)</f>
        <v>0</v>
      </c>
      <c r="D151" s="121">
        <f>SUMIFS('9NovTo15Nov'!$K:$K, '9NovTo15Nov'!$J:$J, $A151)</f>
        <v>0</v>
      </c>
      <c r="E151" s="121">
        <f>SUMIFS('9NovTo15Nov'!$O:$O, '9NovTo15Nov'!$J:$J, $A151)</f>
        <v>0</v>
      </c>
      <c r="F151" s="121">
        <f>SUMIFS('9NovTo15Nov'!$P:$P, '9NovTo15Nov'!$J:$J, $A151)</f>
        <v>0</v>
      </c>
      <c r="G151" s="122">
        <f t="shared" si="0"/>
        <v>0</v>
      </c>
      <c r="H151" s="121">
        <f>SUMIFS('2NovTo8Nov'!$L:$L, '2NovTo8Nov'!$J:$J, $A151)</f>
        <v>0</v>
      </c>
      <c r="I151" s="121">
        <f>SUMIFS('2NovTo8Nov'!$K:$K, '2NovTo8Nov'!$J:$J, $A151)</f>
        <v>0</v>
      </c>
      <c r="J151" s="121">
        <f>SUMIFS('2NovTo8Nov'!$O:$O, '2NovTo8Nov'!$J:$J, $A151)</f>
        <v>0</v>
      </c>
      <c r="K151" s="121">
        <f>SUMIFS('2NovTo8Nov'!$P:$P, '2NovTo8Nov'!$J:$J, $A151)</f>
        <v>0</v>
      </c>
      <c r="L151" s="122">
        <f t="shared" si="1"/>
        <v>0</v>
      </c>
      <c r="M151" s="121">
        <f>SUMIFS('26OctTo1Nov'!$L:$L, '26OctTo1Nov'!$J:$J, $A151)</f>
        <v>0</v>
      </c>
      <c r="N151" s="121">
        <f>SUMIFS('26OctTo1Nov'!$K:$K, '26OctTo1Nov'!$J:$J, $A151)</f>
        <v>0</v>
      </c>
      <c r="O151" s="121">
        <f>SUMIFS('26OctTo1Nov'!$O:$O, '26OctTo1Nov'!$J:$J, $A151)</f>
        <v>0</v>
      </c>
      <c r="P151" s="121">
        <f>SUMIFS('26OctTo1Nov'!$P:$P, '26OctTo1Nov'!$J:$J, $A151)</f>
        <v>0</v>
      </c>
      <c r="Q151" s="122">
        <f t="shared" si="2"/>
        <v>0</v>
      </c>
      <c r="R151" s="121">
        <f>SUMIFS('19OctTo25Oct'!$L:$L, '19OctTo25Oct'!$J:$J, $A151)</f>
        <v>0</v>
      </c>
      <c r="S151" s="121">
        <f>SUMIFS('19OctTo25Oct'!$K:$K, '19OctTo25Oct'!$J:$J, $A151)</f>
        <v>0</v>
      </c>
      <c r="T151" s="121">
        <f>SUMIFS('19OctTo25Oct'!$O:$O, '19OctTo25Oct'!$J:$J, $A151)</f>
        <v>0</v>
      </c>
      <c r="U151" s="121">
        <f>SUMIFS('19OctTo25Oct'!$P:$P, '19OctTo25Oct'!$J:$J, $A151)</f>
        <v>0</v>
      </c>
      <c r="V151" s="122">
        <f t="shared" si="3"/>
        <v>0</v>
      </c>
      <c r="W151" s="121">
        <f>SUMIFS('12OctTo18Oct'!$L:$L, '12OctTo18Oct'!$J:$J, $A151)</f>
        <v>0</v>
      </c>
      <c r="X151" s="121">
        <f>SUMIFS('12OctTo18Oct'!$K:$K, '12OctTo18Oct'!$J:$J, $A151)</f>
        <v>0</v>
      </c>
      <c r="Y151" s="121">
        <f>SUMIFS('12OctTo18Oct'!$O:$O, '12OctTo18Oct'!$J:$J, $A151)</f>
        <v>0</v>
      </c>
      <c r="Z151" s="121">
        <f>SUMIFS('12OctTo18Oct'!$P:$P, '12OctTo18Oct'!$J:$J, $A151)</f>
        <v>0</v>
      </c>
      <c r="AA151" s="122">
        <f t="shared" si="4"/>
        <v>0</v>
      </c>
      <c r="AB151" s="121">
        <f>SUMIFS('5OctTo11Oct'!$L:$L, '5OctTo11Oct'!$J:$J, $A151)</f>
        <v>0</v>
      </c>
      <c r="AC151" s="121">
        <f>SUMIFS('5OctTo11Oct'!$K:$K, '5OctTo11Oct'!$J:$J, $A151)</f>
        <v>0</v>
      </c>
      <c r="AD151" s="121">
        <f>SUMIFS('5OctTo11Oct'!$O:$O, '5OctTo11Oct'!$J:$J, $A151)</f>
        <v>0</v>
      </c>
      <c r="AE151" s="121">
        <f>SUMIFS('5OctTo11Oct'!$P:$P, '5OctTo11Oct'!$J:$J, $A151)</f>
        <v>0</v>
      </c>
      <c r="AF151" s="123">
        <f t="shared" si="5"/>
        <v>0</v>
      </c>
      <c r="AG151" s="121">
        <f>SUMIFS('28SepTo4Oct'!$L:$L, '28SepTo4Oct'!$J:$J, $A151)</f>
        <v>0</v>
      </c>
      <c r="AH151" s="121">
        <f>SUMIFS('28SepTo4Oct'!$K:$K, '28SepTo4Oct'!$J:$J, $A151)</f>
        <v>0</v>
      </c>
      <c r="AI151" s="121">
        <f>SUMIFS('28SepTo4Oct'!$O:$O, '28SepTo4Oct'!$J:$J, $A151)</f>
        <v>0</v>
      </c>
      <c r="AJ151" s="121">
        <f>SUMIFS('28SepTo4Oct'!$P:$P, '28SepTo4Oct'!$J:$J, $A151)</f>
        <v>0</v>
      </c>
      <c r="AK151" s="123">
        <f t="shared" si="6"/>
        <v>0</v>
      </c>
      <c r="AL151" s="121">
        <f>SUMIFS('21SepTo27Sep'!$L:$L, '21SepTo27Sep'!$J:$J, $A151)</f>
        <v>0</v>
      </c>
      <c r="AM151" s="121">
        <f>SUMIFS('21SepTo27Sep'!$K:$K, '21SepTo27Sep'!$J:$J, $A151)</f>
        <v>0</v>
      </c>
      <c r="AN151" s="121">
        <f>SUMIFS('21SepTo27Sep'!$O:$O, '21SepTo27Sep'!$J:$J, $A151)</f>
        <v>0</v>
      </c>
      <c r="AO151" s="121">
        <f>SUMIFS('21SepTo27Sep'!$P:$P, '21SepTo27Sep'!$J:$J, $A151)</f>
        <v>0</v>
      </c>
      <c r="AP151" s="123">
        <f t="shared" si="7"/>
        <v>0</v>
      </c>
      <c r="AQ151" s="121">
        <f>SUMIFS('14SepTo20Sep'!$L:$L, '14SepTo20Sep'!$J:$J, $A151)</f>
        <v>0</v>
      </c>
      <c r="AR151" s="121">
        <f>SUMIFS('14SepTo20Sep'!$K:$K, '14SepTo20Sep'!$J:$J, $A151)</f>
        <v>0</v>
      </c>
      <c r="AS151" s="121">
        <f>SUMIFS('14SepTo20Sep'!$O:$O, '14SepTo20Sep'!$J:$J, $A151)</f>
        <v>0</v>
      </c>
      <c r="AT151" s="121">
        <f>SUMIFS('14SepTo20Sep'!$P:$P, '14SepTo20Sep'!$J:$J, $A151)</f>
        <v>0</v>
      </c>
      <c r="AU151" s="123">
        <f t="shared" si="8"/>
        <v>0</v>
      </c>
      <c r="AV151" s="121">
        <f>SUMIFS('7SepTo13Sep'!$L:$L, '7SepTo13Sep'!$J:$J, $A151)</f>
        <v>0</v>
      </c>
      <c r="AW151" s="121">
        <f>SUMIFS('7SepTo13Sep'!$K:$K, '7SepTo13Sep'!$J:$J, $A151)</f>
        <v>0</v>
      </c>
      <c r="AX151" s="121">
        <f>SUMIFS('7SepTo13Sep'!$O:$O, '7SepTo13Sep'!$J:$J, $A151)</f>
        <v>0</v>
      </c>
      <c r="AY151" s="121">
        <f>SUMIFS('7SepTo13Sep'!$P:$P, '7SepTo13Sep'!$J:$J, $A151)</f>
        <v>0</v>
      </c>
      <c r="AZ151" s="123">
        <f t="shared" si="9"/>
        <v>0</v>
      </c>
      <c r="BA151" s="121">
        <f>SUMIFS('31AugTo6Sep'!$L:$L, '31AugTo6Sep'!$J:$J, $A151)</f>
        <v>0</v>
      </c>
      <c r="BB151" s="121">
        <f>SUMIFS('31AugTo6Sep'!$K:$K, '31AugTo6Sep'!$J:$J, $A151)</f>
        <v>0</v>
      </c>
      <c r="BC151" s="121">
        <f>SUMIFS('31AugTo6Sep'!$O:$O, '31AugTo6Sep'!$J:$J, $A151)</f>
        <v>0</v>
      </c>
      <c r="BD151" s="121">
        <f>SUMIFS('31AugTo6Sep'!$P:$P, '31AugTo6Sep'!$J:$J, $A151)</f>
        <v>0</v>
      </c>
      <c r="BE151" s="123">
        <f t="shared" si="10"/>
        <v>0</v>
      </c>
      <c r="BF151" s="121">
        <f>SUMIFS('24AugTo29Aug'!$L:$L, '24AugTo29Aug'!$J:$J, $A151)</f>
        <v>0</v>
      </c>
      <c r="BG151" s="121">
        <f>SUMIFS('24AugTo29Aug'!$K:$K, '24AugTo29Aug'!$J:$J, $A151)</f>
        <v>0</v>
      </c>
      <c r="BH151" s="121">
        <f>SUMIFS('24AugTo29Aug'!$O:$O, '24AugTo29Aug'!$J:$J, $A151)</f>
        <v>0</v>
      </c>
      <c r="BI151" s="121">
        <f>SUMIFS('24AugTo29Aug'!$P:$P, '24AugTo29Aug'!$J:$J, $A151)</f>
        <v>0</v>
      </c>
      <c r="BJ151" s="123">
        <f t="shared" si="11"/>
        <v>0</v>
      </c>
      <c r="BK151" s="121">
        <f>SUMIFS('17AugTo21Aug'!$L:$L, '17AugTo21Aug'!$J:$J, $A151)</f>
        <v>0</v>
      </c>
      <c r="BL151" s="121">
        <f>SUMIFS('17AugTo21Aug'!$K:$K, '17AugTo21Aug'!$J:$J, $A151)</f>
        <v>0</v>
      </c>
      <c r="BM151" s="121">
        <f>SUMIFS('17AugTo21Aug'!$O:$O, '17AugTo21Aug'!$J:$J, $A151)</f>
        <v>0</v>
      </c>
      <c r="BN151" s="121">
        <f>SUMIFS('17AugTo21Aug'!$P:$P, '17AugTo21Aug'!$J:$J, $A151)</f>
        <v>0</v>
      </c>
      <c r="BO151" s="123">
        <f t="shared" si="12"/>
        <v>0</v>
      </c>
      <c r="BP151" s="121">
        <f>SUMIFS('10AugTo16Aug'!$L:$L, '10AugTo16Aug'!$J:$J, $A151)</f>
        <v>1</v>
      </c>
      <c r="BQ151" s="121">
        <f>SUMIFS('10AugTo16Aug'!$K:$K, '10AugTo16Aug'!$J:$J, $A151)</f>
        <v>1</v>
      </c>
      <c r="BR151" s="121">
        <f>SUMIFS('10AugTo16Aug'!$O:$O, '10AugTo16Aug'!$J:$J, $A151)</f>
        <v>1.8</v>
      </c>
      <c r="BS151" s="121">
        <f>SUMIFS('10AugTo16Aug'!$P:$P, '10AugTo16Aug'!$J:$J, $A151)</f>
        <v>59.98</v>
      </c>
      <c r="BT151" s="123">
        <f t="shared" si="13"/>
        <v>3.0010003334444817</v>
      </c>
      <c r="BU151" s="121">
        <f>SUMIFS('3AugTo9Aug'!$L:$L, '3AugTo9Aug'!$J:$J, $A151)</f>
        <v>0</v>
      </c>
      <c r="BV151" s="121">
        <f>SUMIFS('3AugTo9Aug'!$K:$K, '3AugTo9Aug'!$J:$J, $A151)</f>
        <v>0</v>
      </c>
      <c r="BW151" s="121">
        <f>SUMIFS('3AugTo9Aug'!$O:$O, '3AugTo9Aug'!$J:$J, $A151)</f>
        <v>0</v>
      </c>
      <c r="BX151" s="121">
        <f>SUMIFS('3AugTo9Aug'!$P:$P, '3AugTo9Aug'!$J:$J, $A151)</f>
        <v>0</v>
      </c>
      <c r="BY151" s="123">
        <f t="shared" si="14"/>
        <v>0</v>
      </c>
      <c r="BZ151" s="121">
        <f>SUMIFS('27JulyTo2Aug'!$L:$L, '27JulyTo2Aug'!$J:$J, $A151)</f>
        <v>0</v>
      </c>
      <c r="CA151" s="121">
        <f>SUMIFS('27JulyTo2Aug'!$K:$K, '27JulyTo2Aug'!$J:$J, $A151)</f>
        <v>0</v>
      </c>
      <c r="CB151" s="121">
        <f>SUMIFS('27JulyTo2Aug'!$O:$O, '27JulyTo2Aug'!$J:$J, $A151)</f>
        <v>0</v>
      </c>
      <c r="CC151" s="121">
        <f>SUMIFS('27JulyTo2Aug'!$P:$P, '27JulyTo2Aug'!$J:$J, $A151)</f>
        <v>0</v>
      </c>
      <c r="CD151" s="123">
        <f t="shared" si="15"/>
        <v>0</v>
      </c>
    </row>
    <row r="152" spans="1:82" ht="14.25" customHeight="1" x14ac:dyDescent="0.3">
      <c r="A152" s="124" t="s">
        <v>698</v>
      </c>
      <c r="B152" s="120" t="str">
        <f t="shared" si="18"/>
        <v>NO TRAFFIC</v>
      </c>
      <c r="C152" s="121">
        <f>SUMIFS('9NovTo15Nov'!$L:$L, '9NovTo15Nov'!$J:$J, $A152)</f>
        <v>0</v>
      </c>
      <c r="D152" s="121">
        <f>SUMIFS('9NovTo15Nov'!$K:$K, '9NovTo15Nov'!$J:$J, $A152)</f>
        <v>0</v>
      </c>
      <c r="E152" s="121">
        <f>SUMIFS('9NovTo15Nov'!$O:$O, '9NovTo15Nov'!$J:$J, $A152)</f>
        <v>0</v>
      </c>
      <c r="F152" s="121">
        <f>SUMIFS('9NovTo15Nov'!$P:$P, '9NovTo15Nov'!$J:$J, $A152)</f>
        <v>0</v>
      </c>
      <c r="G152" s="122">
        <f t="shared" si="0"/>
        <v>0</v>
      </c>
      <c r="H152" s="121">
        <f>SUMIFS('2NovTo8Nov'!$L:$L, '2NovTo8Nov'!$J:$J, $A152)</f>
        <v>0</v>
      </c>
      <c r="I152" s="121">
        <f>SUMIFS('2NovTo8Nov'!$K:$K, '2NovTo8Nov'!$J:$J, $A152)</f>
        <v>0</v>
      </c>
      <c r="J152" s="121">
        <f>SUMIFS('2NovTo8Nov'!$O:$O, '2NovTo8Nov'!$J:$J, $A152)</f>
        <v>0</v>
      </c>
      <c r="K152" s="121">
        <f>SUMIFS('2NovTo8Nov'!$P:$P, '2NovTo8Nov'!$J:$J, $A152)</f>
        <v>0</v>
      </c>
      <c r="L152" s="122">
        <f t="shared" si="1"/>
        <v>0</v>
      </c>
      <c r="M152" s="121">
        <f>SUMIFS('26OctTo1Nov'!$L:$L, '26OctTo1Nov'!$J:$J, $A152)</f>
        <v>0</v>
      </c>
      <c r="N152" s="121">
        <f>SUMIFS('26OctTo1Nov'!$K:$K, '26OctTo1Nov'!$J:$J, $A152)</f>
        <v>0</v>
      </c>
      <c r="O152" s="121">
        <f>SUMIFS('26OctTo1Nov'!$O:$O, '26OctTo1Nov'!$J:$J, $A152)</f>
        <v>0</v>
      </c>
      <c r="P152" s="121">
        <f>SUMIFS('26OctTo1Nov'!$P:$P, '26OctTo1Nov'!$J:$J, $A152)</f>
        <v>0</v>
      </c>
      <c r="Q152" s="122">
        <f t="shared" si="2"/>
        <v>0</v>
      </c>
      <c r="R152" s="121">
        <f>SUMIFS('19OctTo25Oct'!$L:$L, '19OctTo25Oct'!$J:$J, $A152)</f>
        <v>0</v>
      </c>
      <c r="S152" s="121">
        <f>SUMIFS('19OctTo25Oct'!$K:$K, '19OctTo25Oct'!$J:$J, $A152)</f>
        <v>0</v>
      </c>
      <c r="T152" s="121">
        <f>SUMIFS('19OctTo25Oct'!$O:$O, '19OctTo25Oct'!$J:$J, $A152)</f>
        <v>0</v>
      </c>
      <c r="U152" s="121">
        <f>SUMIFS('19OctTo25Oct'!$P:$P, '19OctTo25Oct'!$J:$J, $A152)</f>
        <v>0</v>
      </c>
      <c r="V152" s="122">
        <f t="shared" si="3"/>
        <v>0</v>
      </c>
      <c r="W152" s="121">
        <f>SUMIFS('12OctTo18Oct'!$L:$L, '12OctTo18Oct'!$J:$J, $A152)</f>
        <v>0</v>
      </c>
      <c r="X152" s="121">
        <f>SUMIFS('12OctTo18Oct'!$K:$K, '12OctTo18Oct'!$J:$J, $A152)</f>
        <v>0</v>
      </c>
      <c r="Y152" s="121">
        <f>SUMIFS('12OctTo18Oct'!$O:$O, '12OctTo18Oct'!$J:$J, $A152)</f>
        <v>0</v>
      </c>
      <c r="Z152" s="121">
        <f>SUMIFS('12OctTo18Oct'!$P:$P, '12OctTo18Oct'!$J:$J, $A152)</f>
        <v>0</v>
      </c>
      <c r="AA152" s="122">
        <f t="shared" si="4"/>
        <v>0</v>
      </c>
      <c r="AB152" s="121">
        <f>SUMIFS('5OctTo11Oct'!$L:$L, '5OctTo11Oct'!$J:$J, $A152)</f>
        <v>0</v>
      </c>
      <c r="AC152" s="121">
        <f>SUMIFS('5OctTo11Oct'!$K:$K, '5OctTo11Oct'!$J:$J, $A152)</f>
        <v>0</v>
      </c>
      <c r="AD152" s="121">
        <f>SUMIFS('5OctTo11Oct'!$O:$O, '5OctTo11Oct'!$J:$J, $A152)</f>
        <v>0</v>
      </c>
      <c r="AE152" s="121">
        <f>SUMIFS('5OctTo11Oct'!$P:$P, '5OctTo11Oct'!$J:$J, $A152)</f>
        <v>0</v>
      </c>
      <c r="AF152" s="123">
        <f t="shared" si="5"/>
        <v>0</v>
      </c>
      <c r="AG152" s="121">
        <f>SUMIFS('28SepTo4Oct'!$L:$L, '28SepTo4Oct'!$J:$J, $A152)</f>
        <v>0</v>
      </c>
      <c r="AH152" s="121">
        <f>SUMIFS('28SepTo4Oct'!$K:$K, '28SepTo4Oct'!$J:$J, $A152)</f>
        <v>0</v>
      </c>
      <c r="AI152" s="121">
        <f>SUMIFS('28SepTo4Oct'!$O:$O, '28SepTo4Oct'!$J:$J, $A152)</f>
        <v>0</v>
      </c>
      <c r="AJ152" s="121">
        <f>SUMIFS('28SepTo4Oct'!$P:$P, '28SepTo4Oct'!$J:$J, $A152)</f>
        <v>0</v>
      </c>
      <c r="AK152" s="123">
        <f t="shared" si="6"/>
        <v>0</v>
      </c>
      <c r="AL152" s="121">
        <f>SUMIFS('21SepTo27Sep'!$L:$L, '21SepTo27Sep'!$J:$J, $A152)</f>
        <v>0</v>
      </c>
      <c r="AM152" s="121">
        <f>SUMIFS('21SepTo27Sep'!$K:$K, '21SepTo27Sep'!$J:$J, $A152)</f>
        <v>0</v>
      </c>
      <c r="AN152" s="121">
        <f>SUMIFS('21SepTo27Sep'!$O:$O, '21SepTo27Sep'!$J:$J, $A152)</f>
        <v>0</v>
      </c>
      <c r="AO152" s="121">
        <f>SUMIFS('21SepTo27Sep'!$P:$P, '21SepTo27Sep'!$J:$J, $A152)</f>
        <v>0</v>
      </c>
      <c r="AP152" s="123">
        <f t="shared" si="7"/>
        <v>0</v>
      </c>
      <c r="AQ152" s="121">
        <f>SUMIFS('14SepTo20Sep'!$L:$L, '14SepTo20Sep'!$J:$J, $A152)</f>
        <v>0</v>
      </c>
      <c r="AR152" s="121">
        <f>SUMIFS('14SepTo20Sep'!$K:$K, '14SepTo20Sep'!$J:$J, $A152)</f>
        <v>0</v>
      </c>
      <c r="AS152" s="121">
        <f>SUMIFS('14SepTo20Sep'!$O:$O, '14SepTo20Sep'!$J:$J, $A152)</f>
        <v>0</v>
      </c>
      <c r="AT152" s="121">
        <f>SUMIFS('14SepTo20Sep'!$P:$P, '14SepTo20Sep'!$J:$J, $A152)</f>
        <v>0</v>
      </c>
      <c r="AU152" s="123">
        <f t="shared" si="8"/>
        <v>0</v>
      </c>
      <c r="AV152" s="121">
        <f>SUMIFS('7SepTo13Sep'!$L:$L, '7SepTo13Sep'!$J:$J, $A152)</f>
        <v>0</v>
      </c>
      <c r="AW152" s="121">
        <f>SUMIFS('7SepTo13Sep'!$K:$K, '7SepTo13Sep'!$J:$J, $A152)</f>
        <v>0</v>
      </c>
      <c r="AX152" s="121">
        <f>SUMIFS('7SepTo13Sep'!$O:$O, '7SepTo13Sep'!$J:$J, $A152)</f>
        <v>0</v>
      </c>
      <c r="AY152" s="121">
        <f>SUMIFS('7SepTo13Sep'!$P:$P, '7SepTo13Sep'!$J:$J, $A152)</f>
        <v>0</v>
      </c>
      <c r="AZ152" s="123">
        <f t="shared" si="9"/>
        <v>0</v>
      </c>
      <c r="BA152" s="121">
        <f>SUMIFS('31AugTo6Sep'!$L:$L, '31AugTo6Sep'!$J:$J, $A152)</f>
        <v>0</v>
      </c>
      <c r="BB152" s="121">
        <f>SUMIFS('31AugTo6Sep'!$K:$K, '31AugTo6Sep'!$J:$J, $A152)</f>
        <v>0</v>
      </c>
      <c r="BC152" s="121">
        <f>SUMIFS('31AugTo6Sep'!$O:$O, '31AugTo6Sep'!$J:$J, $A152)</f>
        <v>0</v>
      </c>
      <c r="BD152" s="121">
        <f>SUMIFS('31AugTo6Sep'!$P:$P, '31AugTo6Sep'!$J:$J, $A152)</f>
        <v>0</v>
      </c>
      <c r="BE152" s="123">
        <f t="shared" si="10"/>
        <v>0</v>
      </c>
      <c r="BF152" s="121">
        <f>SUMIFS('24AugTo29Aug'!$L:$L, '24AugTo29Aug'!$J:$J, $A152)</f>
        <v>0</v>
      </c>
      <c r="BG152" s="121">
        <f>SUMIFS('24AugTo29Aug'!$K:$K, '24AugTo29Aug'!$J:$J, $A152)</f>
        <v>0</v>
      </c>
      <c r="BH152" s="121">
        <f>SUMIFS('24AugTo29Aug'!$O:$O, '24AugTo29Aug'!$J:$J, $A152)</f>
        <v>0</v>
      </c>
      <c r="BI152" s="121">
        <f>SUMIFS('24AugTo29Aug'!$P:$P, '24AugTo29Aug'!$J:$J, $A152)</f>
        <v>0</v>
      </c>
      <c r="BJ152" s="123">
        <f t="shared" si="11"/>
        <v>0</v>
      </c>
      <c r="BK152" s="121">
        <f>SUMIFS('17AugTo21Aug'!$L:$L, '17AugTo21Aug'!$J:$J, $A152)</f>
        <v>0</v>
      </c>
      <c r="BL152" s="121">
        <f>SUMIFS('17AugTo21Aug'!$K:$K, '17AugTo21Aug'!$J:$J, $A152)</f>
        <v>0</v>
      </c>
      <c r="BM152" s="121">
        <f>SUMIFS('17AugTo21Aug'!$O:$O, '17AugTo21Aug'!$J:$J, $A152)</f>
        <v>0</v>
      </c>
      <c r="BN152" s="121">
        <f>SUMIFS('17AugTo21Aug'!$P:$P, '17AugTo21Aug'!$J:$J, $A152)</f>
        <v>0</v>
      </c>
      <c r="BO152" s="123">
        <f t="shared" si="12"/>
        <v>0</v>
      </c>
      <c r="BP152" s="121">
        <f>SUMIFS('10AugTo16Aug'!$L:$L, '10AugTo16Aug'!$J:$J, $A152)</f>
        <v>1</v>
      </c>
      <c r="BQ152" s="121">
        <f>SUMIFS('10AugTo16Aug'!$K:$K, '10AugTo16Aug'!$J:$J, $A152)</f>
        <v>2</v>
      </c>
      <c r="BR152" s="121">
        <f>SUMIFS('10AugTo16Aug'!$O:$O, '10AugTo16Aug'!$J:$J, $A152)</f>
        <v>0.92</v>
      </c>
      <c r="BS152" s="121">
        <f>SUMIFS('10AugTo16Aug'!$P:$P, '10AugTo16Aug'!$J:$J, $A152)</f>
        <v>29.99</v>
      </c>
      <c r="BT152" s="123">
        <f t="shared" si="13"/>
        <v>3.0676892297432481</v>
      </c>
      <c r="BU152" s="121">
        <f>SUMIFS('3AugTo9Aug'!$L:$L, '3AugTo9Aug'!$J:$J, $A152)</f>
        <v>2</v>
      </c>
      <c r="BV152" s="121">
        <f>SUMIFS('3AugTo9Aug'!$K:$K, '3AugTo9Aug'!$J:$J, $A152)</f>
        <v>3</v>
      </c>
      <c r="BW152" s="121">
        <f>SUMIFS('3AugTo9Aug'!$O:$O, '3AugTo9Aug'!$J:$J, $A152)</f>
        <v>2.4</v>
      </c>
      <c r="BX152" s="121">
        <f>SUMIFS('3AugTo9Aug'!$P:$P, '3AugTo9Aug'!$J:$J, $A152)</f>
        <v>29.99</v>
      </c>
      <c r="BY152" s="123">
        <f t="shared" si="14"/>
        <v>8.0026675558519518</v>
      </c>
      <c r="BZ152" s="121">
        <f>SUMIFS('27JulyTo2Aug'!$L:$L, '27JulyTo2Aug'!$J:$J, $A152)</f>
        <v>0</v>
      </c>
      <c r="CA152" s="121">
        <f>SUMIFS('27JulyTo2Aug'!$K:$K, '27JulyTo2Aug'!$J:$J, $A152)</f>
        <v>0</v>
      </c>
      <c r="CB152" s="121">
        <f>SUMIFS('27JulyTo2Aug'!$O:$O, '27JulyTo2Aug'!$J:$J, $A152)</f>
        <v>0</v>
      </c>
      <c r="CC152" s="121">
        <f>SUMIFS('27JulyTo2Aug'!$P:$P, '27JulyTo2Aug'!$J:$J, $A152)</f>
        <v>0</v>
      </c>
      <c r="CD152" s="123">
        <f t="shared" si="15"/>
        <v>0</v>
      </c>
    </row>
    <row r="153" spans="1:82" ht="14.25" customHeight="1" x14ac:dyDescent="0.3">
      <c r="A153" s="124" t="s">
        <v>700</v>
      </c>
      <c r="B153" s="120" t="str">
        <f t="shared" si="18"/>
        <v>NO TRAFFIC</v>
      </c>
      <c r="C153" s="121">
        <f>SUMIFS('9NovTo15Nov'!$L:$L, '9NovTo15Nov'!$J:$J, $A153)</f>
        <v>0</v>
      </c>
      <c r="D153" s="121">
        <f>SUMIFS('9NovTo15Nov'!$K:$K, '9NovTo15Nov'!$J:$J, $A153)</f>
        <v>0</v>
      </c>
      <c r="E153" s="121">
        <f>SUMIFS('9NovTo15Nov'!$O:$O, '9NovTo15Nov'!$J:$J, $A153)</f>
        <v>0</v>
      </c>
      <c r="F153" s="121">
        <f>SUMIFS('9NovTo15Nov'!$P:$P, '9NovTo15Nov'!$J:$J, $A153)</f>
        <v>0</v>
      </c>
      <c r="G153" s="122">
        <f t="shared" si="0"/>
        <v>0</v>
      </c>
      <c r="H153" s="121">
        <f>SUMIFS('2NovTo8Nov'!$L:$L, '2NovTo8Nov'!$J:$J, $A153)</f>
        <v>0</v>
      </c>
      <c r="I153" s="121">
        <f>SUMIFS('2NovTo8Nov'!$K:$K, '2NovTo8Nov'!$J:$J, $A153)</f>
        <v>0</v>
      </c>
      <c r="J153" s="121">
        <f>SUMIFS('2NovTo8Nov'!$O:$O, '2NovTo8Nov'!$J:$J, $A153)</f>
        <v>0</v>
      </c>
      <c r="K153" s="121">
        <f>SUMIFS('2NovTo8Nov'!$P:$P, '2NovTo8Nov'!$J:$J, $A153)</f>
        <v>0</v>
      </c>
      <c r="L153" s="122">
        <f t="shared" si="1"/>
        <v>0</v>
      </c>
      <c r="M153" s="121">
        <f>SUMIFS('26OctTo1Nov'!$L:$L, '26OctTo1Nov'!$J:$J, $A153)</f>
        <v>0</v>
      </c>
      <c r="N153" s="121">
        <f>SUMIFS('26OctTo1Nov'!$K:$K, '26OctTo1Nov'!$J:$J, $A153)</f>
        <v>0</v>
      </c>
      <c r="O153" s="121">
        <f>SUMIFS('26OctTo1Nov'!$O:$O, '26OctTo1Nov'!$J:$J, $A153)</f>
        <v>0</v>
      </c>
      <c r="P153" s="121">
        <f>SUMIFS('26OctTo1Nov'!$P:$P, '26OctTo1Nov'!$J:$J, $A153)</f>
        <v>0</v>
      </c>
      <c r="Q153" s="122">
        <f t="shared" si="2"/>
        <v>0</v>
      </c>
      <c r="R153" s="121">
        <f>SUMIFS('19OctTo25Oct'!$L:$L, '19OctTo25Oct'!$J:$J, $A153)</f>
        <v>0</v>
      </c>
      <c r="S153" s="121">
        <f>SUMIFS('19OctTo25Oct'!$K:$K, '19OctTo25Oct'!$J:$J, $A153)</f>
        <v>0</v>
      </c>
      <c r="T153" s="121">
        <f>SUMIFS('19OctTo25Oct'!$O:$O, '19OctTo25Oct'!$J:$J, $A153)</f>
        <v>0</v>
      </c>
      <c r="U153" s="121">
        <f>SUMIFS('19OctTo25Oct'!$P:$P, '19OctTo25Oct'!$J:$J, $A153)</f>
        <v>0</v>
      </c>
      <c r="V153" s="122">
        <f t="shared" si="3"/>
        <v>0</v>
      </c>
      <c r="W153" s="121">
        <f>SUMIFS('12OctTo18Oct'!$L:$L, '12OctTo18Oct'!$J:$J, $A153)</f>
        <v>0</v>
      </c>
      <c r="X153" s="121">
        <f>SUMIFS('12OctTo18Oct'!$K:$K, '12OctTo18Oct'!$J:$J, $A153)</f>
        <v>0</v>
      </c>
      <c r="Y153" s="121">
        <f>SUMIFS('12OctTo18Oct'!$O:$O, '12OctTo18Oct'!$J:$J, $A153)</f>
        <v>0</v>
      </c>
      <c r="Z153" s="121">
        <f>SUMIFS('12OctTo18Oct'!$P:$P, '12OctTo18Oct'!$J:$J, $A153)</f>
        <v>0</v>
      </c>
      <c r="AA153" s="122">
        <f t="shared" si="4"/>
        <v>0</v>
      </c>
      <c r="AB153" s="121">
        <f>SUMIFS('5OctTo11Oct'!$L:$L, '5OctTo11Oct'!$J:$J, $A153)</f>
        <v>0</v>
      </c>
      <c r="AC153" s="121">
        <f>SUMIFS('5OctTo11Oct'!$K:$K, '5OctTo11Oct'!$J:$J, $A153)</f>
        <v>0</v>
      </c>
      <c r="AD153" s="121">
        <f>SUMIFS('5OctTo11Oct'!$O:$O, '5OctTo11Oct'!$J:$J, $A153)</f>
        <v>0</v>
      </c>
      <c r="AE153" s="121">
        <f>SUMIFS('5OctTo11Oct'!$P:$P, '5OctTo11Oct'!$J:$J, $A153)</f>
        <v>0</v>
      </c>
      <c r="AF153" s="123">
        <f t="shared" si="5"/>
        <v>0</v>
      </c>
      <c r="AG153" s="121">
        <f>SUMIFS('28SepTo4Oct'!$L:$L, '28SepTo4Oct'!$J:$J, $A153)</f>
        <v>0</v>
      </c>
      <c r="AH153" s="121">
        <f>SUMIFS('28SepTo4Oct'!$K:$K, '28SepTo4Oct'!$J:$J, $A153)</f>
        <v>0</v>
      </c>
      <c r="AI153" s="121">
        <f>SUMIFS('28SepTo4Oct'!$O:$O, '28SepTo4Oct'!$J:$J, $A153)</f>
        <v>0</v>
      </c>
      <c r="AJ153" s="121">
        <f>SUMIFS('28SepTo4Oct'!$P:$P, '28SepTo4Oct'!$J:$J, $A153)</f>
        <v>0</v>
      </c>
      <c r="AK153" s="123">
        <f t="shared" si="6"/>
        <v>0</v>
      </c>
      <c r="AL153" s="121">
        <f>SUMIFS('21SepTo27Sep'!$L:$L, '21SepTo27Sep'!$J:$J, $A153)</f>
        <v>0</v>
      </c>
      <c r="AM153" s="121">
        <f>SUMIFS('21SepTo27Sep'!$K:$K, '21SepTo27Sep'!$J:$J, $A153)</f>
        <v>0</v>
      </c>
      <c r="AN153" s="121">
        <f>SUMIFS('21SepTo27Sep'!$O:$O, '21SepTo27Sep'!$J:$J, $A153)</f>
        <v>0</v>
      </c>
      <c r="AO153" s="121">
        <f>SUMIFS('21SepTo27Sep'!$P:$P, '21SepTo27Sep'!$J:$J, $A153)</f>
        <v>0</v>
      </c>
      <c r="AP153" s="123">
        <f t="shared" si="7"/>
        <v>0</v>
      </c>
      <c r="AQ153" s="121">
        <f>SUMIFS('14SepTo20Sep'!$L:$L, '14SepTo20Sep'!$J:$J, $A153)</f>
        <v>0</v>
      </c>
      <c r="AR153" s="121">
        <f>SUMIFS('14SepTo20Sep'!$K:$K, '14SepTo20Sep'!$J:$J, $A153)</f>
        <v>0</v>
      </c>
      <c r="AS153" s="121">
        <f>SUMIFS('14SepTo20Sep'!$O:$O, '14SepTo20Sep'!$J:$J, $A153)</f>
        <v>0</v>
      </c>
      <c r="AT153" s="121">
        <f>SUMIFS('14SepTo20Sep'!$P:$P, '14SepTo20Sep'!$J:$J, $A153)</f>
        <v>0</v>
      </c>
      <c r="AU153" s="123">
        <f t="shared" si="8"/>
        <v>0</v>
      </c>
      <c r="AV153" s="121">
        <f>SUMIFS('7SepTo13Sep'!$L:$L, '7SepTo13Sep'!$J:$J, $A153)</f>
        <v>0</v>
      </c>
      <c r="AW153" s="121">
        <f>SUMIFS('7SepTo13Sep'!$K:$K, '7SepTo13Sep'!$J:$J, $A153)</f>
        <v>0</v>
      </c>
      <c r="AX153" s="121">
        <f>SUMIFS('7SepTo13Sep'!$O:$O, '7SepTo13Sep'!$J:$J, $A153)</f>
        <v>0</v>
      </c>
      <c r="AY153" s="121">
        <f>SUMIFS('7SepTo13Sep'!$P:$P, '7SepTo13Sep'!$J:$J, $A153)</f>
        <v>0</v>
      </c>
      <c r="AZ153" s="123">
        <f t="shared" si="9"/>
        <v>0</v>
      </c>
      <c r="BA153" s="121">
        <f>SUMIFS('31AugTo6Sep'!$L:$L, '31AugTo6Sep'!$J:$J, $A153)</f>
        <v>0</v>
      </c>
      <c r="BB153" s="121">
        <f>SUMIFS('31AugTo6Sep'!$K:$K, '31AugTo6Sep'!$J:$J, $A153)</f>
        <v>0</v>
      </c>
      <c r="BC153" s="121">
        <f>SUMIFS('31AugTo6Sep'!$O:$O, '31AugTo6Sep'!$J:$J, $A153)</f>
        <v>0</v>
      </c>
      <c r="BD153" s="121">
        <f>SUMIFS('31AugTo6Sep'!$P:$P, '31AugTo6Sep'!$J:$J, $A153)</f>
        <v>0</v>
      </c>
      <c r="BE153" s="123">
        <f t="shared" si="10"/>
        <v>0</v>
      </c>
      <c r="BF153" s="121">
        <f>SUMIFS('24AugTo29Aug'!$L:$L, '24AugTo29Aug'!$J:$J, $A153)</f>
        <v>0</v>
      </c>
      <c r="BG153" s="121">
        <f>SUMIFS('24AugTo29Aug'!$K:$K, '24AugTo29Aug'!$J:$J, $A153)</f>
        <v>0</v>
      </c>
      <c r="BH153" s="121">
        <f>SUMIFS('24AugTo29Aug'!$O:$O, '24AugTo29Aug'!$J:$J, $A153)</f>
        <v>0</v>
      </c>
      <c r="BI153" s="121">
        <f>SUMIFS('24AugTo29Aug'!$P:$P, '24AugTo29Aug'!$J:$J, $A153)</f>
        <v>0</v>
      </c>
      <c r="BJ153" s="123">
        <f t="shared" si="11"/>
        <v>0</v>
      </c>
      <c r="BK153" s="121">
        <f>SUMIFS('17AugTo21Aug'!$L:$L, '17AugTo21Aug'!$J:$J, $A153)</f>
        <v>0</v>
      </c>
      <c r="BL153" s="121">
        <f>SUMIFS('17AugTo21Aug'!$K:$K, '17AugTo21Aug'!$J:$J, $A153)</f>
        <v>0</v>
      </c>
      <c r="BM153" s="121">
        <f>SUMIFS('17AugTo21Aug'!$O:$O, '17AugTo21Aug'!$J:$J, $A153)</f>
        <v>0</v>
      </c>
      <c r="BN153" s="121">
        <f>SUMIFS('17AugTo21Aug'!$P:$P, '17AugTo21Aug'!$J:$J, $A153)</f>
        <v>0</v>
      </c>
      <c r="BO153" s="123">
        <f t="shared" si="12"/>
        <v>0</v>
      </c>
      <c r="BP153" s="121">
        <f>SUMIFS('10AugTo16Aug'!$L:$L, '10AugTo16Aug'!$J:$J, $A153)</f>
        <v>1</v>
      </c>
      <c r="BQ153" s="121">
        <f>SUMIFS('10AugTo16Aug'!$K:$K, '10AugTo16Aug'!$J:$J, $A153)</f>
        <v>2</v>
      </c>
      <c r="BR153" s="121">
        <f>SUMIFS('10AugTo16Aug'!$O:$O, '10AugTo16Aug'!$J:$J, $A153)</f>
        <v>2.5499999999999998</v>
      </c>
      <c r="BS153" s="121">
        <f>SUMIFS('10AugTo16Aug'!$P:$P, '10AugTo16Aug'!$J:$J, $A153)</f>
        <v>24.94</v>
      </c>
      <c r="BT153" s="123">
        <f t="shared" si="13"/>
        <v>10.224538893344025</v>
      </c>
      <c r="BU153" s="121">
        <f>SUMIFS('3AugTo9Aug'!$L:$L, '3AugTo9Aug'!$J:$J, $A153)</f>
        <v>0</v>
      </c>
      <c r="BV153" s="121">
        <f>SUMIFS('3AugTo9Aug'!$K:$K, '3AugTo9Aug'!$J:$J, $A153)</f>
        <v>0</v>
      </c>
      <c r="BW153" s="121">
        <f>SUMIFS('3AugTo9Aug'!$O:$O, '3AugTo9Aug'!$J:$J, $A153)</f>
        <v>0</v>
      </c>
      <c r="BX153" s="121">
        <f>SUMIFS('3AugTo9Aug'!$P:$P, '3AugTo9Aug'!$J:$J, $A153)</f>
        <v>0</v>
      </c>
      <c r="BY153" s="123">
        <f t="shared" si="14"/>
        <v>0</v>
      </c>
      <c r="BZ153" s="121">
        <f>SUMIFS('27JulyTo2Aug'!$L:$L, '27JulyTo2Aug'!$J:$J, $A153)</f>
        <v>0</v>
      </c>
      <c r="CA153" s="121">
        <f>SUMIFS('27JulyTo2Aug'!$K:$K, '27JulyTo2Aug'!$J:$J, $A153)</f>
        <v>0</v>
      </c>
      <c r="CB153" s="121">
        <f>SUMIFS('27JulyTo2Aug'!$O:$O, '27JulyTo2Aug'!$J:$J, $A153)</f>
        <v>0</v>
      </c>
      <c r="CC153" s="121">
        <f>SUMIFS('27JulyTo2Aug'!$P:$P, '27JulyTo2Aug'!$J:$J, $A153)</f>
        <v>0</v>
      </c>
      <c r="CD153" s="123">
        <f t="shared" si="15"/>
        <v>0</v>
      </c>
    </row>
    <row r="154" spans="1:82" ht="14.25" customHeight="1" x14ac:dyDescent="0.3">
      <c r="A154" s="124" t="s">
        <v>701</v>
      </c>
      <c r="B154" s="120" t="str">
        <f t="shared" si="18"/>
        <v>NO TRAFFIC</v>
      </c>
      <c r="C154" s="121">
        <f>SUMIFS('9NovTo15Nov'!$L:$L, '9NovTo15Nov'!$J:$J, $A154)</f>
        <v>0</v>
      </c>
      <c r="D154" s="121">
        <f>SUMIFS('9NovTo15Nov'!$K:$K, '9NovTo15Nov'!$J:$J, $A154)</f>
        <v>0</v>
      </c>
      <c r="E154" s="121">
        <f>SUMIFS('9NovTo15Nov'!$O:$O, '9NovTo15Nov'!$J:$J, $A154)</f>
        <v>0</v>
      </c>
      <c r="F154" s="121">
        <f>SUMIFS('9NovTo15Nov'!$P:$P, '9NovTo15Nov'!$J:$J, $A154)</f>
        <v>0</v>
      </c>
      <c r="G154" s="122">
        <f t="shared" si="0"/>
        <v>0</v>
      </c>
      <c r="H154" s="121">
        <f>SUMIFS('2NovTo8Nov'!$L:$L, '2NovTo8Nov'!$J:$J, $A154)</f>
        <v>0</v>
      </c>
      <c r="I154" s="121">
        <f>SUMIFS('2NovTo8Nov'!$K:$K, '2NovTo8Nov'!$J:$J, $A154)</f>
        <v>0</v>
      </c>
      <c r="J154" s="121">
        <f>SUMIFS('2NovTo8Nov'!$O:$O, '2NovTo8Nov'!$J:$J, $A154)</f>
        <v>0</v>
      </c>
      <c r="K154" s="121">
        <f>SUMIFS('2NovTo8Nov'!$P:$P, '2NovTo8Nov'!$J:$J, $A154)</f>
        <v>0</v>
      </c>
      <c r="L154" s="122">
        <f t="shared" si="1"/>
        <v>0</v>
      </c>
      <c r="M154" s="121">
        <f>SUMIFS('26OctTo1Nov'!$L:$L, '26OctTo1Nov'!$J:$J, $A154)</f>
        <v>0</v>
      </c>
      <c r="N154" s="121">
        <f>SUMIFS('26OctTo1Nov'!$K:$K, '26OctTo1Nov'!$J:$J, $A154)</f>
        <v>0</v>
      </c>
      <c r="O154" s="121">
        <f>SUMIFS('26OctTo1Nov'!$O:$O, '26OctTo1Nov'!$J:$J, $A154)</f>
        <v>0</v>
      </c>
      <c r="P154" s="121">
        <f>SUMIFS('26OctTo1Nov'!$P:$P, '26OctTo1Nov'!$J:$J, $A154)</f>
        <v>0</v>
      </c>
      <c r="Q154" s="122">
        <f t="shared" si="2"/>
        <v>0</v>
      </c>
      <c r="R154" s="121">
        <f>SUMIFS('19OctTo25Oct'!$L:$L, '19OctTo25Oct'!$J:$J, $A154)</f>
        <v>0</v>
      </c>
      <c r="S154" s="121">
        <f>SUMIFS('19OctTo25Oct'!$K:$K, '19OctTo25Oct'!$J:$J, $A154)</f>
        <v>0</v>
      </c>
      <c r="T154" s="121">
        <f>SUMIFS('19OctTo25Oct'!$O:$O, '19OctTo25Oct'!$J:$J, $A154)</f>
        <v>0</v>
      </c>
      <c r="U154" s="121">
        <f>SUMIFS('19OctTo25Oct'!$P:$P, '19OctTo25Oct'!$J:$J, $A154)</f>
        <v>0</v>
      </c>
      <c r="V154" s="122">
        <f t="shared" si="3"/>
        <v>0</v>
      </c>
      <c r="W154" s="121">
        <f>SUMIFS('12OctTo18Oct'!$L:$L, '12OctTo18Oct'!$J:$J, $A154)</f>
        <v>0</v>
      </c>
      <c r="X154" s="121">
        <f>SUMIFS('12OctTo18Oct'!$K:$K, '12OctTo18Oct'!$J:$J, $A154)</f>
        <v>0</v>
      </c>
      <c r="Y154" s="121">
        <f>SUMIFS('12OctTo18Oct'!$O:$O, '12OctTo18Oct'!$J:$J, $A154)</f>
        <v>0</v>
      </c>
      <c r="Z154" s="121">
        <f>SUMIFS('12OctTo18Oct'!$P:$P, '12OctTo18Oct'!$J:$J, $A154)</f>
        <v>0</v>
      </c>
      <c r="AA154" s="122">
        <f t="shared" si="4"/>
        <v>0</v>
      </c>
      <c r="AB154" s="121">
        <f>SUMIFS('5OctTo11Oct'!$L:$L, '5OctTo11Oct'!$J:$J, $A154)</f>
        <v>0</v>
      </c>
      <c r="AC154" s="121">
        <f>SUMIFS('5OctTo11Oct'!$K:$K, '5OctTo11Oct'!$J:$J, $A154)</f>
        <v>0</v>
      </c>
      <c r="AD154" s="121">
        <f>SUMIFS('5OctTo11Oct'!$O:$O, '5OctTo11Oct'!$J:$J, $A154)</f>
        <v>0</v>
      </c>
      <c r="AE154" s="121">
        <f>SUMIFS('5OctTo11Oct'!$P:$P, '5OctTo11Oct'!$J:$J, $A154)</f>
        <v>0</v>
      </c>
      <c r="AF154" s="123">
        <f t="shared" si="5"/>
        <v>0</v>
      </c>
      <c r="AG154" s="121">
        <f>SUMIFS('28SepTo4Oct'!$L:$L, '28SepTo4Oct'!$J:$J, $A154)</f>
        <v>0</v>
      </c>
      <c r="AH154" s="121">
        <f>SUMIFS('28SepTo4Oct'!$K:$K, '28SepTo4Oct'!$J:$J, $A154)</f>
        <v>0</v>
      </c>
      <c r="AI154" s="121">
        <f>SUMIFS('28SepTo4Oct'!$O:$O, '28SepTo4Oct'!$J:$J, $A154)</f>
        <v>0</v>
      </c>
      <c r="AJ154" s="121">
        <f>SUMIFS('28SepTo4Oct'!$P:$P, '28SepTo4Oct'!$J:$J, $A154)</f>
        <v>0</v>
      </c>
      <c r="AK154" s="123">
        <f t="shared" si="6"/>
        <v>0</v>
      </c>
      <c r="AL154" s="121">
        <f>SUMIFS('21SepTo27Sep'!$L:$L, '21SepTo27Sep'!$J:$J, $A154)</f>
        <v>0</v>
      </c>
      <c r="AM154" s="121">
        <f>SUMIFS('21SepTo27Sep'!$K:$K, '21SepTo27Sep'!$J:$J, $A154)</f>
        <v>0</v>
      </c>
      <c r="AN154" s="121">
        <f>SUMIFS('21SepTo27Sep'!$O:$O, '21SepTo27Sep'!$J:$J, $A154)</f>
        <v>0</v>
      </c>
      <c r="AO154" s="121">
        <f>SUMIFS('21SepTo27Sep'!$P:$P, '21SepTo27Sep'!$J:$J, $A154)</f>
        <v>0</v>
      </c>
      <c r="AP154" s="123">
        <f t="shared" si="7"/>
        <v>0</v>
      </c>
      <c r="AQ154" s="121">
        <f>SUMIFS('14SepTo20Sep'!$L:$L, '14SepTo20Sep'!$J:$J, $A154)</f>
        <v>0</v>
      </c>
      <c r="AR154" s="121">
        <f>SUMIFS('14SepTo20Sep'!$K:$K, '14SepTo20Sep'!$J:$J, $A154)</f>
        <v>0</v>
      </c>
      <c r="AS154" s="121">
        <f>SUMIFS('14SepTo20Sep'!$O:$O, '14SepTo20Sep'!$J:$J, $A154)</f>
        <v>0</v>
      </c>
      <c r="AT154" s="121">
        <f>SUMIFS('14SepTo20Sep'!$P:$P, '14SepTo20Sep'!$J:$J, $A154)</f>
        <v>0</v>
      </c>
      <c r="AU154" s="123">
        <f t="shared" si="8"/>
        <v>0</v>
      </c>
      <c r="AV154" s="121">
        <f>SUMIFS('7SepTo13Sep'!$L:$L, '7SepTo13Sep'!$J:$J, $A154)</f>
        <v>0</v>
      </c>
      <c r="AW154" s="121">
        <f>SUMIFS('7SepTo13Sep'!$K:$K, '7SepTo13Sep'!$J:$J, $A154)</f>
        <v>0</v>
      </c>
      <c r="AX154" s="121">
        <f>SUMIFS('7SepTo13Sep'!$O:$O, '7SepTo13Sep'!$J:$J, $A154)</f>
        <v>0</v>
      </c>
      <c r="AY154" s="121">
        <f>SUMIFS('7SepTo13Sep'!$P:$P, '7SepTo13Sep'!$J:$J, $A154)</f>
        <v>0</v>
      </c>
      <c r="AZ154" s="123">
        <f t="shared" si="9"/>
        <v>0</v>
      </c>
      <c r="BA154" s="121">
        <f>SUMIFS('31AugTo6Sep'!$L:$L, '31AugTo6Sep'!$J:$J, $A154)</f>
        <v>0</v>
      </c>
      <c r="BB154" s="121">
        <f>SUMIFS('31AugTo6Sep'!$K:$K, '31AugTo6Sep'!$J:$J, $A154)</f>
        <v>0</v>
      </c>
      <c r="BC154" s="121">
        <f>SUMIFS('31AugTo6Sep'!$O:$O, '31AugTo6Sep'!$J:$J, $A154)</f>
        <v>0</v>
      </c>
      <c r="BD154" s="121">
        <f>SUMIFS('31AugTo6Sep'!$P:$P, '31AugTo6Sep'!$J:$J, $A154)</f>
        <v>0</v>
      </c>
      <c r="BE154" s="123">
        <f t="shared" si="10"/>
        <v>0</v>
      </c>
      <c r="BF154" s="121">
        <f>SUMIFS('24AugTo29Aug'!$L:$L, '24AugTo29Aug'!$J:$J, $A154)</f>
        <v>0</v>
      </c>
      <c r="BG154" s="121">
        <f>SUMIFS('24AugTo29Aug'!$K:$K, '24AugTo29Aug'!$J:$J, $A154)</f>
        <v>0</v>
      </c>
      <c r="BH154" s="121">
        <f>SUMIFS('24AugTo29Aug'!$O:$O, '24AugTo29Aug'!$J:$J, $A154)</f>
        <v>0</v>
      </c>
      <c r="BI154" s="121">
        <f>SUMIFS('24AugTo29Aug'!$P:$P, '24AugTo29Aug'!$J:$J, $A154)</f>
        <v>0</v>
      </c>
      <c r="BJ154" s="123">
        <f t="shared" si="11"/>
        <v>0</v>
      </c>
      <c r="BK154" s="121">
        <f>SUMIFS('17AugTo21Aug'!$L:$L, '17AugTo21Aug'!$J:$J, $A154)</f>
        <v>0</v>
      </c>
      <c r="BL154" s="121">
        <f>SUMIFS('17AugTo21Aug'!$K:$K, '17AugTo21Aug'!$J:$J, $A154)</f>
        <v>0</v>
      </c>
      <c r="BM154" s="121">
        <f>SUMIFS('17AugTo21Aug'!$O:$O, '17AugTo21Aug'!$J:$J, $A154)</f>
        <v>0</v>
      </c>
      <c r="BN154" s="121">
        <f>SUMIFS('17AugTo21Aug'!$P:$P, '17AugTo21Aug'!$J:$J, $A154)</f>
        <v>0</v>
      </c>
      <c r="BO154" s="123">
        <f t="shared" si="12"/>
        <v>0</v>
      </c>
      <c r="BP154" s="121">
        <f>SUMIFS('10AugTo16Aug'!$L:$L, '10AugTo16Aug'!$J:$J, $A154)</f>
        <v>1</v>
      </c>
      <c r="BQ154" s="121">
        <f>SUMIFS('10AugTo16Aug'!$K:$K, '10AugTo16Aug'!$J:$J, $A154)</f>
        <v>3</v>
      </c>
      <c r="BR154" s="121">
        <f>SUMIFS('10AugTo16Aug'!$O:$O, '10AugTo16Aug'!$J:$J, $A154)</f>
        <v>3.2</v>
      </c>
      <c r="BS154" s="121">
        <f>SUMIFS('10AugTo16Aug'!$P:$P, '10AugTo16Aug'!$J:$J, $A154)</f>
        <v>24.94</v>
      </c>
      <c r="BT154" s="123">
        <f t="shared" si="13"/>
        <v>12.830793905372895</v>
      </c>
      <c r="BU154" s="121">
        <f>SUMIFS('3AugTo9Aug'!$L:$L, '3AugTo9Aug'!$J:$J, $A154)</f>
        <v>0</v>
      </c>
      <c r="BV154" s="121">
        <f>SUMIFS('3AugTo9Aug'!$K:$K, '3AugTo9Aug'!$J:$J, $A154)</f>
        <v>0</v>
      </c>
      <c r="BW154" s="121">
        <f>SUMIFS('3AugTo9Aug'!$O:$O, '3AugTo9Aug'!$J:$J, $A154)</f>
        <v>0</v>
      </c>
      <c r="BX154" s="121">
        <f>SUMIFS('3AugTo9Aug'!$P:$P, '3AugTo9Aug'!$J:$J, $A154)</f>
        <v>0</v>
      </c>
      <c r="BY154" s="123">
        <f t="shared" si="14"/>
        <v>0</v>
      </c>
      <c r="BZ154" s="121">
        <f>SUMIFS('27JulyTo2Aug'!$L:$L, '27JulyTo2Aug'!$J:$J, $A154)</f>
        <v>0</v>
      </c>
      <c r="CA154" s="121">
        <f>SUMIFS('27JulyTo2Aug'!$K:$K, '27JulyTo2Aug'!$J:$J, $A154)</f>
        <v>0</v>
      </c>
      <c r="CB154" s="121">
        <f>SUMIFS('27JulyTo2Aug'!$O:$O, '27JulyTo2Aug'!$J:$J, $A154)</f>
        <v>0</v>
      </c>
      <c r="CC154" s="121">
        <f>SUMIFS('27JulyTo2Aug'!$P:$P, '27JulyTo2Aug'!$J:$J, $A154)</f>
        <v>0</v>
      </c>
      <c r="CD154" s="123">
        <f t="shared" si="15"/>
        <v>0</v>
      </c>
    </row>
    <row r="155" spans="1:82" ht="14.25" customHeight="1" x14ac:dyDescent="0.3">
      <c r="A155" s="124" t="s">
        <v>703</v>
      </c>
      <c r="B155" s="120" t="str">
        <f t="shared" si="18"/>
        <v>NO TRAFFIC</v>
      </c>
      <c r="C155" s="121">
        <f>SUMIFS('9NovTo15Nov'!$L:$L, '9NovTo15Nov'!$J:$J, $A155)</f>
        <v>0</v>
      </c>
      <c r="D155" s="121">
        <f>SUMIFS('9NovTo15Nov'!$K:$K, '9NovTo15Nov'!$J:$J, $A155)</f>
        <v>0</v>
      </c>
      <c r="E155" s="121">
        <f>SUMIFS('9NovTo15Nov'!$O:$O, '9NovTo15Nov'!$J:$J, $A155)</f>
        <v>0</v>
      </c>
      <c r="F155" s="121">
        <f>SUMIFS('9NovTo15Nov'!$P:$P, '9NovTo15Nov'!$J:$J, $A155)</f>
        <v>0</v>
      </c>
      <c r="G155" s="122">
        <f t="shared" si="0"/>
        <v>0</v>
      </c>
      <c r="H155" s="121">
        <f>SUMIFS('2NovTo8Nov'!$L:$L, '2NovTo8Nov'!$J:$J, $A155)</f>
        <v>0</v>
      </c>
      <c r="I155" s="121">
        <f>SUMIFS('2NovTo8Nov'!$K:$K, '2NovTo8Nov'!$J:$J, $A155)</f>
        <v>0</v>
      </c>
      <c r="J155" s="121">
        <f>SUMIFS('2NovTo8Nov'!$O:$O, '2NovTo8Nov'!$J:$J, $A155)</f>
        <v>0</v>
      </c>
      <c r="K155" s="121">
        <f>SUMIFS('2NovTo8Nov'!$P:$P, '2NovTo8Nov'!$J:$J, $A155)</f>
        <v>0</v>
      </c>
      <c r="L155" s="122">
        <f t="shared" si="1"/>
        <v>0</v>
      </c>
      <c r="M155" s="121">
        <f>SUMIFS('26OctTo1Nov'!$L:$L, '26OctTo1Nov'!$J:$J, $A155)</f>
        <v>0</v>
      </c>
      <c r="N155" s="121">
        <f>SUMIFS('26OctTo1Nov'!$K:$K, '26OctTo1Nov'!$J:$J, $A155)</f>
        <v>0</v>
      </c>
      <c r="O155" s="121">
        <f>SUMIFS('26OctTo1Nov'!$O:$O, '26OctTo1Nov'!$J:$J, $A155)</f>
        <v>0</v>
      </c>
      <c r="P155" s="121">
        <f>SUMIFS('26OctTo1Nov'!$P:$P, '26OctTo1Nov'!$J:$J, $A155)</f>
        <v>0</v>
      </c>
      <c r="Q155" s="122">
        <f t="shared" si="2"/>
        <v>0</v>
      </c>
      <c r="R155" s="121">
        <f>SUMIFS('19OctTo25Oct'!$L:$L, '19OctTo25Oct'!$J:$J, $A155)</f>
        <v>0</v>
      </c>
      <c r="S155" s="121">
        <f>SUMIFS('19OctTo25Oct'!$K:$K, '19OctTo25Oct'!$J:$J, $A155)</f>
        <v>0</v>
      </c>
      <c r="T155" s="121">
        <f>SUMIFS('19OctTo25Oct'!$O:$O, '19OctTo25Oct'!$J:$J, $A155)</f>
        <v>0</v>
      </c>
      <c r="U155" s="121">
        <f>SUMIFS('19OctTo25Oct'!$P:$P, '19OctTo25Oct'!$J:$J, $A155)</f>
        <v>0</v>
      </c>
      <c r="V155" s="122">
        <f t="shared" si="3"/>
        <v>0</v>
      </c>
      <c r="W155" s="121">
        <f>SUMIFS('12OctTo18Oct'!$L:$L, '12OctTo18Oct'!$J:$J, $A155)</f>
        <v>0</v>
      </c>
      <c r="X155" s="121">
        <f>SUMIFS('12OctTo18Oct'!$K:$K, '12OctTo18Oct'!$J:$J, $A155)</f>
        <v>0</v>
      </c>
      <c r="Y155" s="121">
        <f>SUMIFS('12OctTo18Oct'!$O:$O, '12OctTo18Oct'!$J:$J, $A155)</f>
        <v>0</v>
      </c>
      <c r="Z155" s="121">
        <f>SUMIFS('12OctTo18Oct'!$P:$P, '12OctTo18Oct'!$J:$J, $A155)</f>
        <v>0</v>
      </c>
      <c r="AA155" s="122">
        <f t="shared" si="4"/>
        <v>0</v>
      </c>
      <c r="AB155" s="121">
        <f>SUMIFS('5OctTo11Oct'!$L:$L, '5OctTo11Oct'!$J:$J, $A155)</f>
        <v>0</v>
      </c>
      <c r="AC155" s="121">
        <f>SUMIFS('5OctTo11Oct'!$K:$K, '5OctTo11Oct'!$J:$J, $A155)</f>
        <v>0</v>
      </c>
      <c r="AD155" s="121">
        <f>SUMIFS('5OctTo11Oct'!$O:$O, '5OctTo11Oct'!$J:$J, $A155)</f>
        <v>0</v>
      </c>
      <c r="AE155" s="121">
        <f>SUMIFS('5OctTo11Oct'!$P:$P, '5OctTo11Oct'!$J:$J, $A155)</f>
        <v>0</v>
      </c>
      <c r="AF155" s="123">
        <f t="shared" si="5"/>
        <v>0</v>
      </c>
      <c r="AG155" s="121">
        <f>SUMIFS('28SepTo4Oct'!$L:$L, '28SepTo4Oct'!$J:$J, $A155)</f>
        <v>0</v>
      </c>
      <c r="AH155" s="121">
        <f>SUMIFS('28SepTo4Oct'!$K:$K, '28SepTo4Oct'!$J:$J, $A155)</f>
        <v>0</v>
      </c>
      <c r="AI155" s="121">
        <f>SUMIFS('28SepTo4Oct'!$O:$O, '28SepTo4Oct'!$J:$J, $A155)</f>
        <v>0</v>
      </c>
      <c r="AJ155" s="121">
        <f>SUMIFS('28SepTo4Oct'!$P:$P, '28SepTo4Oct'!$J:$J, $A155)</f>
        <v>0</v>
      </c>
      <c r="AK155" s="123">
        <f t="shared" si="6"/>
        <v>0</v>
      </c>
      <c r="AL155" s="121">
        <f>SUMIFS('21SepTo27Sep'!$L:$L, '21SepTo27Sep'!$J:$J, $A155)</f>
        <v>0</v>
      </c>
      <c r="AM155" s="121">
        <f>SUMIFS('21SepTo27Sep'!$K:$K, '21SepTo27Sep'!$J:$J, $A155)</f>
        <v>0</v>
      </c>
      <c r="AN155" s="121">
        <f>SUMIFS('21SepTo27Sep'!$O:$O, '21SepTo27Sep'!$J:$J, $A155)</f>
        <v>0</v>
      </c>
      <c r="AO155" s="121">
        <f>SUMIFS('21SepTo27Sep'!$P:$P, '21SepTo27Sep'!$J:$J, $A155)</f>
        <v>0</v>
      </c>
      <c r="AP155" s="123">
        <f t="shared" si="7"/>
        <v>0</v>
      </c>
      <c r="AQ155" s="121">
        <f>SUMIFS('14SepTo20Sep'!$L:$L, '14SepTo20Sep'!$J:$J, $A155)</f>
        <v>0</v>
      </c>
      <c r="AR155" s="121">
        <f>SUMIFS('14SepTo20Sep'!$K:$K, '14SepTo20Sep'!$J:$J, $A155)</f>
        <v>0</v>
      </c>
      <c r="AS155" s="121">
        <f>SUMIFS('14SepTo20Sep'!$O:$O, '14SepTo20Sep'!$J:$J, $A155)</f>
        <v>0</v>
      </c>
      <c r="AT155" s="121">
        <f>SUMIFS('14SepTo20Sep'!$P:$P, '14SepTo20Sep'!$J:$J, $A155)</f>
        <v>0</v>
      </c>
      <c r="AU155" s="123">
        <f t="shared" si="8"/>
        <v>0</v>
      </c>
      <c r="AV155" s="121">
        <f>SUMIFS('7SepTo13Sep'!$L:$L, '7SepTo13Sep'!$J:$J, $A155)</f>
        <v>0</v>
      </c>
      <c r="AW155" s="121">
        <f>SUMIFS('7SepTo13Sep'!$K:$K, '7SepTo13Sep'!$J:$J, $A155)</f>
        <v>0</v>
      </c>
      <c r="AX155" s="121">
        <f>SUMIFS('7SepTo13Sep'!$O:$O, '7SepTo13Sep'!$J:$J, $A155)</f>
        <v>0</v>
      </c>
      <c r="AY155" s="121">
        <f>SUMIFS('7SepTo13Sep'!$P:$P, '7SepTo13Sep'!$J:$J, $A155)</f>
        <v>0</v>
      </c>
      <c r="AZ155" s="123">
        <f t="shared" si="9"/>
        <v>0</v>
      </c>
      <c r="BA155" s="121">
        <f>SUMIFS('31AugTo6Sep'!$L:$L, '31AugTo6Sep'!$J:$J, $A155)</f>
        <v>0</v>
      </c>
      <c r="BB155" s="121">
        <f>SUMIFS('31AugTo6Sep'!$K:$K, '31AugTo6Sep'!$J:$J, $A155)</f>
        <v>0</v>
      </c>
      <c r="BC155" s="121">
        <f>SUMIFS('31AugTo6Sep'!$O:$O, '31AugTo6Sep'!$J:$J, $A155)</f>
        <v>0</v>
      </c>
      <c r="BD155" s="121">
        <f>SUMIFS('31AugTo6Sep'!$P:$P, '31AugTo6Sep'!$J:$J, $A155)</f>
        <v>0</v>
      </c>
      <c r="BE155" s="123">
        <f t="shared" si="10"/>
        <v>0</v>
      </c>
      <c r="BF155" s="121">
        <f>SUMIFS('24AugTo29Aug'!$L:$L, '24AugTo29Aug'!$J:$J, $A155)</f>
        <v>0</v>
      </c>
      <c r="BG155" s="121">
        <f>SUMIFS('24AugTo29Aug'!$K:$K, '24AugTo29Aug'!$J:$J, $A155)</f>
        <v>0</v>
      </c>
      <c r="BH155" s="121">
        <f>SUMIFS('24AugTo29Aug'!$O:$O, '24AugTo29Aug'!$J:$J, $A155)</f>
        <v>0</v>
      </c>
      <c r="BI155" s="121">
        <f>SUMIFS('24AugTo29Aug'!$P:$P, '24AugTo29Aug'!$J:$J, $A155)</f>
        <v>0</v>
      </c>
      <c r="BJ155" s="123">
        <f t="shared" si="11"/>
        <v>0</v>
      </c>
      <c r="BK155" s="121">
        <f>SUMIFS('17AugTo21Aug'!$L:$L, '17AugTo21Aug'!$J:$J, $A155)</f>
        <v>0</v>
      </c>
      <c r="BL155" s="121">
        <f>SUMIFS('17AugTo21Aug'!$K:$K, '17AugTo21Aug'!$J:$J, $A155)</f>
        <v>0</v>
      </c>
      <c r="BM155" s="121">
        <f>SUMIFS('17AugTo21Aug'!$O:$O, '17AugTo21Aug'!$J:$J, $A155)</f>
        <v>0</v>
      </c>
      <c r="BN155" s="121">
        <f>SUMIFS('17AugTo21Aug'!$P:$P, '17AugTo21Aug'!$J:$J, $A155)</f>
        <v>0</v>
      </c>
      <c r="BO155" s="123">
        <f t="shared" si="12"/>
        <v>0</v>
      </c>
      <c r="BP155" s="121">
        <f>SUMIFS('10AugTo16Aug'!$L:$L, '10AugTo16Aug'!$J:$J, $A155)</f>
        <v>1</v>
      </c>
      <c r="BQ155" s="121">
        <f>SUMIFS('10AugTo16Aug'!$K:$K, '10AugTo16Aug'!$J:$J, $A155)</f>
        <v>4</v>
      </c>
      <c r="BR155" s="121">
        <f>SUMIFS('10AugTo16Aug'!$O:$O, '10AugTo16Aug'!$J:$J, $A155)</f>
        <v>3.02</v>
      </c>
      <c r="BS155" s="121">
        <f>SUMIFS('10AugTo16Aug'!$P:$P, '10AugTo16Aug'!$J:$J, $A155)</f>
        <v>24.94</v>
      </c>
      <c r="BT155" s="123">
        <f t="shared" si="13"/>
        <v>12.109061748195669</v>
      </c>
      <c r="BU155" s="121">
        <f>SUMIFS('3AugTo9Aug'!$L:$L, '3AugTo9Aug'!$J:$J, $A155)</f>
        <v>0</v>
      </c>
      <c r="BV155" s="121">
        <f>SUMIFS('3AugTo9Aug'!$K:$K, '3AugTo9Aug'!$J:$J, $A155)</f>
        <v>0</v>
      </c>
      <c r="BW155" s="121">
        <f>SUMIFS('3AugTo9Aug'!$O:$O, '3AugTo9Aug'!$J:$J, $A155)</f>
        <v>0</v>
      </c>
      <c r="BX155" s="121">
        <f>SUMIFS('3AugTo9Aug'!$P:$P, '3AugTo9Aug'!$J:$J, $A155)</f>
        <v>0</v>
      </c>
      <c r="BY155" s="123">
        <f t="shared" si="14"/>
        <v>0</v>
      </c>
      <c r="BZ155" s="121">
        <f>SUMIFS('27JulyTo2Aug'!$L:$L, '27JulyTo2Aug'!$J:$J, $A155)</f>
        <v>0</v>
      </c>
      <c r="CA155" s="121">
        <f>SUMIFS('27JulyTo2Aug'!$K:$K, '27JulyTo2Aug'!$J:$J, $A155)</f>
        <v>0</v>
      </c>
      <c r="CB155" s="121">
        <f>SUMIFS('27JulyTo2Aug'!$O:$O, '27JulyTo2Aug'!$J:$J, $A155)</f>
        <v>0</v>
      </c>
      <c r="CC155" s="121">
        <f>SUMIFS('27JulyTo2Aug'!$P:$P, '27JulyTo2Aug'!$J:$J, $A155)</f>
        <v>0</v>
      </c>
      <c r="CD155" s="123">
        <f t="shared" si="15"/>
        <v>0</v>
      </c>
    </row>
    <row r="156" spans="1:82" ht="14.25" customHeight="1" x14ac:dyDescent="0.3">
      <c r="A156" s="124" t="s">
        <v>705</v>
      </c>
      <c r="B156" s="120" t="str">
        <f t="shared" si="18"/>
        <v>NO TRAFFIC</v>
      </c>
      <c r="C156" s="121">
        <f>SUMIFS('9NovTo15Nov'!$L:$L, '9NovTo15Nov'!$J:$J, $A156)</f>
        <v>0</v>
      </c>
      <c r="D156" s="121">
        <f>SUMIFS('9NovTo15Nov'!$K:$K, '9NovTo15Nov'!$J:$J, $A156)</f>
        <v>0</v>
      </c>
      <c r="E156" s="121">
        <f>SUMIFS('9NovTo15Nov'!$O:$O, '9NovTo15Nov'!$J:$J, $A156)</f>
        <v>0</v>
      </c>
      <c r="F156" s="121">
        <f>SUMIFS('9NovTo15Nov'!$P:$P, '9NovTo15Nov'!$J:$J, $A156)</f>
        <v>0</v>
      </c>
      <c r="G156" s="122">
        <f t="shared" si="0"/>
        <v>0</v>
      </c>
      <c r="H156" s="121">
        <f>SUMIFS('2NovTo8Nov'!$L:$L, '2NovTo8Nov'!$J:$J, $A156)</f>
        <v>0</v>
      </c>
      <c r="I156" s="121">
        <f>SUMIFS('2NovTo8Nov'!$K:$K, '2NovTo8Nov'!$J:$J, $A156)</f>
        <v>0</v>
      </c>
      <c r="J156" s="121">
        <f>SUMIFS('2NovTo8Nov'!$O:$O, '2NovTo8Nov'!$J:$J, $A156)</f>
        <v>0</v>
      </c>
      <c r="K156" s="121">
        <f>SUMIFS('2NovTo8Nov'!$P:$P, '2NovTo8Nov'!$J:$J, $A156)</f>
        <v>0</v>
      </c>
      <c r="L156" s="122">
        <f t="shared" si="1"/>
        <v>0</v>
      </c>
      <c r="M156" s="121">
        <f>SUMIFS('26OctTo1Nov'!$L:$L, '26OctTo1Nov'!$J:$J, $A156)</f>
        <v>0</v>
      </c>
      <c r="N156" s="121">
        <f>SUMIFS('26OctTo1Nov'!$K:$K, '26OctTo1Nov'!$J:$J, $A156)</f>
        <v>0</v>
      </c>
      <c r="O156" s="121">
        <f>SUMIFS('26OctTo1Nov'!$O:$O, '26OctTo1Nov'!$J:$J, $A156)</f>
        <v>0</v>
      </c>
      <c r="P156" s="121">
        <f>SUMIFS('26OctTo1Nov'!$P:$P, '26OctTo1Nov'!$J:$J, $A156)</f>
        <v>0</v>
      </c>
      <c r="Q156" s="122">
        <f t="shared" si="2"/>
        <v>0</v>
      </c>
      <c r="R156" s="121">
        <f>SUMIFS('19OctTo25Oct'!$L:$L, '19OctTo25Oct'!$J:$J, $A156)</f>
        <v>0</v>
      </c>
      <c r="S156" s="121">
        <f>SUMIFS('19OctTo25Oct'!$K:$K, '19OctTo25Oct'!$J:$J, $A156)</f>
        <v>0</v>
      </c>
      <c r="T156" s="121">
        <f>SUMIFS('19OctTo25Oct'!$O:$O, '19OctTo25Oct'!$J:$J, $A156)</f>
        <v>0</v>
      </c>
      <c r="U156" s="121">
        <f>SUMIFS('19OctTo25Oct'!$P:$P, '19OctTo25Oct'!$J:$J, $A156)</f>
        <v>0</v>
      </c>
      <c r="V156" s="122">
        <f t="shared" si="3"/>
        <v>0</v>
      </c>
      <c r="W156" s="121">
        <f>SUMIFS('12OctTo18Oct'!$L:$L, '12OctTo18Oct'!$J:$J, $A156)</f>
        <v>0</v>
      </c>
      <c r="X156" s="121">
        <f>SUMIFS('12OctTo18Oct'!$K:$K, '12OctTo18Oct'!$J:$J, $A156)</f>
        <v>0</v>
      </c>
      <c r="Y156" s="121">
        <f>SUMIFS('12OctTo18Oct'!$O:$O, '12OctTo18Oct'!$J:$J, $A156)</f>
        <v>0</v>
      </c>
      <c r="Z156" s="121">
        <f>SUMIFS('12OctTo18Oct'!$P:$P, '12OctTo18Oct'!$J:$J, $A156)</f>
        <v>0</v>
      </c>
      <c r="AA156" s="122">
        <f t="shared" si="4"/>
        <v>0</v>
      </c>
      <c r="AB156" s="121">
        <f>SUMIFS('5OctTo11Oct'!$L:$L, '5OctTo11Oct'!$J:$J, $A156)</f>
        <v>0</v>
      </c>
      <c r="AC156" s="121">
        <f>SUMIFS('5OctTo11Oct'!$K:$K, '5OctTo11Oct'!$J:$J, $A156)</f>
        <v>0</v>
      </c>
      <c r="AD156" s="121">
        <f>SUMIFS('5OctTo11Oct'!$O:$O, '5OctTo11Oct'!$J:$J, $A156)</f>
        <v>0</v>
      </c>
      <c r="AE156" s="121">
        <f>SUMIFS('5OctTo11Oct'!$P:$P, '5OctTo11Oct'!$J:$J, $A156)</f>
        <v>0</v>
      </c>
      <c r="AF156" s="123">
        <f t="shared" si="5"/>
        <v>0</v>
      </c>
      <c r="AG156" s="121">
        <f>SUMIFS('28SepTo4Oct'!$L:$L, '28SepTo4Oct'!$J:$J, $A156)</f>
        <v>0</v>
      </c>
      <c r="AH156" s="121">
        <f>SUMIFS('28SepTo4Oct'!$K:$K, '28SepTo4Oct'!$J:$J, $A156)</f>
        <v>0</v>
      </c>
      <c r="AI156" s="121">
        <f>SUMIFS('28SepTo4Oct'!$O:$O, '28SepTo4Oct'!$J:$J, $A156)</f>
        <v>0</v>
      </c>
      <c r="AJ156" s="121">
        <f>SUMIFS('28SepTo4Oct'!$P:$P, '28SepTo4Oct'!$J:$J, $A156)</f>
        <v>0</v>
      </c>
      <c r="AK156" s="123">
        <f t="shared" si="6"/>
        <v>0</v>
      </c>
      <c r="AL156" s="121">
        <f>SUMIFS('21SepTo27Sep'!$L:$L, '21SepTo27Sep'!$J:$J, $A156)</f>
        <v>0</v>
      </c>
      <c r="AM156" s="121">
        <f>SUMIFS('21SepTo27Sep'!$K:$K, '21SepTo27Sep'!$J:$J, $A156)</f>
        <v>0</v>
      </c>
      <c r="AN156" s="121">
        <f>SUMIFS('21SepTo27Sep'!$O:$O, '21SepTo27Sep'!$J:$J, $A156)</f>
        <v>0</v>
      </c>
      <c r="AO156" s="121">
        <f>SUMIFS('21SepTo27Sep'!$P:$P, '21SepTo27Sep'!$J:$J, $A156)</f>
        <v>0</v>
      </c>
      <c r="AP156" s="123">
        <f t="shared" si="7"/>
        <v>0</v>
      </c>
      <c r="AQ156" s="121">
        <f>SUMIFS('14SepTo20Sep'!$L:$L, '14SepTo20Sep'!$J:$J, $A156)</f>
        <v>0</v>
      </c>
      <c r="AR156" s="121">
        <f>SUMIFS('14SepTo20Sep'!$K:$K, '14SepTo20Sep'!$J:$J, $A156)</f>
        <v>0</v>
      </c>
      <c r="AS156" s="121">
        <f>SUMIFS('14SepTo20Sep'!$O:$O, '14SepTo20Sep'!$J:$J, $A156)</f>
        <v>0</v>
      </c>
      <c r="AT156" s="121">
        <f>SUMIFS('14SepTo20Sep'!$P:$P, '14SepTo20Sep'!$J:$J, $A156)</f>
        <v>0</v>
      </c>
      <c r="AU156" s="123">
        <f t="shared" si="8"/>
        <v>0</v>
      </c>
      <c r="AV156" s="121">
        <f>SUMIFS('7SepTo13Sep'!$L:$L, '7SepTo13Sep'!$J:$J, $A156)</f>
        <v>0</v>
      </c>
      <c r="AW156" s="121">
        <f>SUMIFS('7SepTo13Sep'!$K:$K, '7SepTo13Sep'!$J:$J, $A156)</f>
        <v>0</v>
      </c>
      <c r="AX156" s="121">
        <f>SUMIFS('7SepTo13Sep'!$O:$O, '7SepTo13Sep'!$J:$J, $A156)</f>
        <v>0</v>
      </c>
      <c r="AY156" s="121">
        <f>SUMIFS('7SepTo13Sep'!$P:$P, '7SepTo13Sep'!$J:$J, $A156)</f>
        <v>0</v>
      </c>
      <c r="AZ156" s="123">
        <f t="shared" si="9"/>
        <v>0</v>
      </c>
      <c r="BA156" s="121">
        <f>SUMIFS('31AugTo6Sep'!$L:$L, '31AugTo6Sep'!$J:$J, $A156)</f>
        <v>0</v>
      </c>
      <c r="BB156" s="121">
        <f>SUMIFS('31AugTo6Sep'!$K:$K, '31AugTo6Sep'!$J:$J, $A156)</f>
        <v>0</v>
      </c>
      <c r="BC156" s="121">
        <f>SUMIFS('31AugTo6Sep'!$O:$O, '31AugTo6Sep'!$J:$J, $A156)</f>
        <v>0</v>
      </c>
      <c r="BD156" s="121">
        <f>SUMIFS('31AugTo6Sep'!$P:$P, '31AugTo6Sep'!$J:$J, $A156)</f>
        <v>0</v>
      </c>
      <c r="BE156" s="123">
        <f t="shared" si="10"/>
        <v>0</v>
      </c>
      <c r="BF156" s="121">
        <f>SUMIFS('24AugTo29Aug'!$L:$L, '24AugTo29Aug'!$J:$J, $A156)</f>
        <v>0</v>
      </c>
      <c r="BG156" s="121">
        <f>SUMIFS('24AugTo29Aug'!$K:$K, '24AugTo29Aug'!$J:$J, $A156)</f>
        <v>0</v>
      </c>
      <c r="BH156" s="121">
        <f>SUMIFS('24AugTo29Aug'!$O:$O, '24AugTo29Aug'!$J:$J, $A156)</f>
        <v>0</v>
      </c>
      <c r="BI156" s="121">
        <f>SUMIFS('24AugTo29Aug'!$P:$P, '24AugTo29Aug'!$J:$J, $A156)</f>
        <v>0</v>
      </c>
      <c r="BJ156" s="123">
        <f t="shared" si="11"/>
        <v>0</v>
      </c>
      <c r="BK156" s="121">
        <f>SUMIFS('17AugTo21Aug'!$L:$L, '17AugTo21Aug'!$J:$J, $A156)</f>
        <v>0</v>
      </c>
      <c r="BL156" s="121">
        <f>SUMIFS('17AugTo21Aug'!$K:$K, '17AugTo21Aug'!$J:$J, $A156)</f>
        <v>0</v>
      </c>
      <c r="BM156" s="121">
        <f>SUMIFS('17AugTo21Aug'!$O:$O, '17AugTo21Aug'!$J:$J, $A156)</f>
        <v>0</v>
      </c>
      <c r="BN156" s="121">
        <f>SUMIFS('17AugTo21Aug'!$P:$P, '17AugTo21Aug'!$J:$J, $A156)</f>
        <v>0</v>
      </c>
      <c r="BO156" s="123">
        <f t="shared" si="12"/>
        <v>0</v>
      </c>
      <c r="BP156" s="121">
        <f>SUMIFS('10AugTo16Aug'!$L:$L, '10AugTo16Aug'!$J:$J, $A156)</f>
        <v>1</v>
      </c>
      <c r="BQ156" s="121">
        <f>SUMIFS('10AugTo16Aug'!$K:$K, '10AugTo16Aug'!$J:$J, $A156)</f>
        <v>3</v>
      </c>
      <c r="BR156" s="121">
        <f>SUMIFS('10AugTo16Aug'!$O:$O, '10AugTo16Aug'!$J:$J, $A156)</f>
        <v>2</v>
      </c>
      <c r="BS156" s="121">
        <f>SUMIFS('10AugTo16Aug'!$P:$P, '10AugTo16Aug'!$J:$J, $A156)</f>
        <v>21.95</v>
      </c>
      <c r="BT156" s="123">
        <f t="shared" si="13"/>
        <v>9.1116173120728927</v>
      </c>
      <c r="BU156" s="121">
        <f>SUMIFS('3AugTo9Aug'!$L:$L, '3AugTo9Aug'!$J:$J, $A156)</f>
        <v>0</v>
      </c>
      <c r="BV156" s="121">
        <f>SUMIFS('3AugTo9Aug'!$K:$K, '3AugTo9Aug'!$J:$J, $A156)</f>
        <v>0</v>
      </c>
      <c r="BW156" s="121">
        <f>SUMIFS('3AugTo9Aug'!$O:$O, '3AugTo9Aug'!$J:$J, $A156)</f>
        <v>0</v>
      </c>
      <c r="BX156" s="121">
        <f>SUMIFS('3AugTo9Aug'!$P:$P, '3AugTo9Aug'!$J:$J, $A156)</f>
        <v>0</v>
      </c>
      <c r="BY156" s="123">
        <f t="shared" si="14"/>
        <v>0</v>
      </c>
      <c r="BZ156" s="121">
        <f>SUMIFS('27JulyTo2Aug'!$L:$L, '27JulyTo2Aug'!$J:$J, $A156)</f>
        <v>0</v>
      </c>
      <c r="CA156" s="121">
        <f>SUMIFS('27JulyTo2Aug'!$K:$K, '27JulyTo2Aug'!$J:$J, $A156)</f>
        <v>0</v>
      </c>
      <c r="CB156" s="121">
        <f>SUMIFS('27JulyTo2Aug'!$O:$O, '27JulyTo2Aug'!$J:$J, $A156)</f>
        <v>0</v>
      </c>
      <c r="CC156" s="121">
        <f>SUMIFS('27JulyTo2Aug'!$P:$P, '27JulyTo2Aug'!$J:$J, $A156)</f>
        <v>0</v>
      </c>
      <c r="CD156" s="123">
        <f t="shared" si="15"/>
        <v>0</v>
      </c>
    </row>
    <row r="157" spans="1:82" ht="14.25" customHeight="1" x14ac:dyDescent="0.3">
      <c r="A157" s="124" t="s">
        <v>706</v>
      </c>
      <c r="B157" s="120" t="str">
        <f t="shared" si="18"/>
        <v>NO TRAFFIC</v>
      </c>
      <c r="C157" s="121">
        <f>SUMIFS('9NovTo15Nov'!$L:$L, '9NovTo15Nov'!$J:$J, $A157)</f>
        <v>0</v>
      </c>
      <c r="D157" s="121">
        <f>SUMIFS('9NovTo15Nov'!$K:$K, '9NovTo15Nov'!$J:$J, $A157)</f>
        <v>0</v>
      </c>
      <c r="E157" s="121">
        <f>SUMIFS('9NovTo15Nov'!$O:$O, '9NovTo15Nov'!$J:$J, $A157)</f>
        <v>0</v>
      </c>
      <c r="F157" s="121">
        <f>SUMIFS('9NovTo15Nov'!$P:$P, '9NovTo15Nov'!$J:$J, $A157)</f>
        <v>0</v>
      </c>
      <c r="G157" s="122">
        <f t="shared" si="0"/>
        <v>0</v>
      </c>
      <c r="H157" s="121">
        <f>SUMIFS('2NovTo8Nov'!$L:$L, '2NovTo8Nov'!$J:$J, $A157)</f>
        <v>0</v>
      </c>
      <c r="I157" s="121">
        <f>SUMIFS('2NovTo8Nov'!$K:$K, '2NovTo8Nov'!$J:$J, $A157)</f>
        <v>0</v>
      </c>
      <c r="J157" s="121">
        <f>SUMIFS('2NovTo8Nov'!$O:$O, '2NovTo8Nov'!$J:$J, $A157)</f>
        <v>0</v>
      </c>
      <c r="K157" s="121">
        <f>SUMIFS('2NovTo8Nov'!$P:$P, '2NovTo8Nov'!$J:$J, $A157)</f>
        <v>0</v>
      </c>
      <c r="L157" s="122">
        <f t="shared" si="1"/>
        <v>0</v>
      </c>
      <c r="M157" s="121">
        <f>SUMIFS('26OctTo1Nov'!$L:$L, '26OctTo1Nov'!$J:$J, $A157)</f>
        <v>0</v>
      </c>
      <c r="N157" s="121">
        <f>SUMIFS('26OctTo1Nov'!$K:$K, '26OctTo1Nov'!$J:$J, $A157)</f>
        <v>0</v>
      </c>
      <c r="O157" s="121">
        <f>SUMIFS('26OctTo1Nov'!$O:$O, '26OctTo1Nov'!$J:$J, $A157)</f>
        <v>0</v>
      </c>
      <c r="P157" s="121">
        <f>SUMIFS('26OctTo1Nov'!$P:$P, '26OctTo1Nov'!$J:$J, $A157)</f>
        <v>0</v>
      </c>
      <c r="Q157" s="122">
        <f t="shared" si="2"/>
        <v>0</v>
      </c>
      <c r="R157" s="121">
        <f>SUMIFS('19OctTo25Oct'!$L:$L, '19OctTo25Oct'!$J:$J, $A157)</f>
        <v>0</v>
      </c>
      <c r="S157" s="121">
        <f>SUMIFS('19OctTo25Oct'!$K:$K, '19OctTo25Oct'!$J:$J, $A157)</f>
        <v>0</v>
      </c>
      <c r="T157" s="121">
        <f>SUMIFS('19OctTo25Oct'!$O:$O, '19OctTo25Oct'!$J:$J, $A157)</f>
        <v>0</v>
      </c>
      <c r="U157" s="121">
        <f>SUMIFS('19OctTo25Oct'!$P:$P, '19OctTo25Oct'!$J:$J, $A157)</f>
        <v>0</v>
      </c>
      <c r="V157" s="122">
        <f t="shared" si="3"/>
        <v>0</v>
      </c>
      <c r="W157" s="121">
        <f>SUMIFS('12OctTo18Oct'!$L:$L, '12OctTo18Oct'!$J:$J, $A157)</f>
        <v>0</v>
      </c>
      <c r="X157" s="121">
        <f>SUMIFS('12OctTo18Oct'!$K:$K, '12OctTo18Oct'!$J:$J, $A157)</f>
        <v>0</v>
      </c>
      <c r="Y157" s="121">
        <f>SUMIFS('12OctTo18Oct'!$O:$O, '12OctTo18Oct'!$J:$J, $A157)</f>
        <v>0</v>
      </c>
      <c r="Z157" s="121">
        <f>SUMIFS('12OctTo18Oct'!$P:$P, '12OctTo18Oct'!$J:$J, $A157)</f>
        <v>0</v>
      </c>
      <c r="AA157" s="122">
        <f t="shared" si="4"/>
        <v>0</v>
      </c>
      <c r="AB157" s="121">
        <f>SUMIFS('5OctTo11Oct'!$L:$L, '5OctTo11Oct'!$J:$J, $A157)</f>
        <v>0</v>
      </c>
      <c r="AC157" s="121">
        <f>SUMIFS('5OctTo11Oct'!$K:$K, '5OctTo11Oct'!$J:$J, $A157)</f>
        <v>0</v>
      </c>
      <c r="AD157" s="121">
        <f>SUMIFS('5OctTo11Oct'!$O:$O, '5OctTo11Oct'!$J:$J, $A157)</f>
        <v>0</v>
      </c>
      <c r="AE157" s="121">
        <f>SUMIFS('5OctTo11Oct'!$P:$P, '5OctTo11Oct'!$J:$J, $A157)</f>
        <v>0</v>
      </c>
      <c r="AF157" s="123">
        <f t="shared" si="5"/>
        <v>0</v>
      </c>
      <c r="AG157" s="121">
        <f>SUMIFS('28SepTo4Oct'!$L:$L, '28SepTo4Oct'!$J:$J, $A157)</f>
        <v>0</v>
      </c>
      <c r="AH157" s="121">
        <f>SUMIFS('28SepTo4Oct'!$K:$K, '28SepTo4Oct'!$J:$J, $A157)</f>
        <v>0</v>
      </c>
      <c r="AI157" s="121">
        <f>SUMIFS('28SepTo4Oct'!$O:$O, '28SepTo4Oct'!$J:$J, $A157)</f>
        <v>0</v>
      </c>
      <c r="AJ157" s="121">
        <f>SUMIFS('28SepTo4Oct'!$P:$P, '28SepTo4Oct'!$J:$J, $A157)</f>
        <v>0</v>
      </c>
      <c r="AK157" s="123">
        <f t="shared" si="6"/>
        <v>0</v>
      </c>
      <c r="AL157" s="121">
        <f>SUMIFS('21SepTo27Sep'!$L:$L, '21SepTo27Sep'!$J:$J, $A157)</f>
        <v>0</v>
      </c>
      <c r="AM157" s="121">
        <f>SUMIFS('21SepTo27Sep'!$K:$K, '21SepTo27Sep'!$J:$J, $A157)</f>
        <v>0</v>
      </c>
      <c r="AN157" s="121">
        <f>SUMIFS('21SepTo27Sep'!$O:$O, '21SepTo27Sep'!$J:$J, $A157)</f>
        <v>0</v>
      </c>
      <c r="AO157" s="121">
        <f>SUMIFS('21SepTo27Sep'!$P:$P, '21SepTo27Sep'!$J:$J, $A157)</f>
        <v>0</v>
      </c>
      <c r="AP157" s="123">
        <f t="shared" si="7"/>
        <v>0</v>
      </c>
      <c r="AQ157" s="121">
        <f>SUMIFS('14SepTo20Sep'!$L:$L, '14SepTo20Sep'!$J:$J, $A157)</f>
        <v>0</v>
      </c>
      <c r="AR157" s="121">
        <f>SUMIFS('14SepTo20Sep'!$K:$K, '14SepTo20Sep'!$J:$J, $A157)</f>
        <v>0</v>
      </c>
      <c r="AS157" s="121">
        <f>SUMIFS('14SepTo20Sep'!$O:$O, '14SepTo20Sep'!$J:$J, $A157)</f>
        <v>0</v>
      </c>
      <c r="AT157" s="121">
        <f>SUMIFS('14SepTo20Sep'!$P:$P, '14SepTo20Sep'!$J:$J, $A157)</f>
        <v>0</v>
      </c>
      <c r="AU157" s="123">
        <f t="shared" si="8"/>
        <v>0</v>
      </c>
      <c r="AV157" s="121">
        <f>SUMIFS('7SepTo13Sep'!$L:$L, '7SepTo13Sep'!$J:$J, $A157)</f>
        <v>0</v>
      </c>
      <c r="AW157" s="121">
        <f>SUMIFS('7SepTo13Sep'!$K:$K, '7SepTo13Sep'!$J:$J, $A157)</f>
        <v>0</v>
      </c>
      <c r="AX157" s="121">
        <f>SUMIFS('7SepTo13Sep'!$O:$O, '7SepTo13Sep'!$J:$J, $A157)</f>
        <v>0</v>
      </c>
      <c r="AY157" s="121">
        <f>SUMIFS('7SepTo13Sep'!$P:$P, '7SepTo13Sep'!$J:$J, $A157)</f>
        <v>0</v>
      </c>
      <c r="AZ157" s="123">
        <f t="shared" si="9"/>
        <v>0</v>
      </c>
      <c r="BA157" s="121">
        <f>SUMIFS('31AugTo6Sep'!$L:$L, '31AugTo6Sep'!$J:$J, $A157)</f>
        <v>0</v>
      </c>
      <c r="BB157" s="121">
        <f>SUMIFS('31AugTo6Sep'!$K:$K, '31AugTo6Sep'!$J:$J, $A157)</f>
        <v>0</v>
      </c>
      <c r="BC157" s="121">
        <f>SUMIFS('31AugTo6Sep'!$O:$O, '31AugTo6Sep'!$J:$J, $A157)</f>
        <v>0</v>
      </c>
      <c r="BD157" s="121">
        <f>SUMIFS('31AugTo6Sep'!$P:$P, '31AugTo6Sep'!$J:$J, $A157)</f>
        <v>0</v>
      </c>
      <c r="BE157" s="123">
        <f t="shared" si="10"/>
        <v>0</v>
      </c>
      <c r="BF157" s="121">
        <f>SUMIFS('24AugTo29Aug'!$L:$L, '24AugTo29Aug'!$J:$J, $A157)</f>
        <v>0</v>
      </c>
      <c r="BG157" s="121">
        <f>SUMIFS('24AugTo29Aug'!$K:$K, '24AugTo29Aug'!$J:$J, $A157)</f>
        <v>0</v>
      </c>
      <c r="BH157" s="121">
        <f>SUMIFS('24AugTo29Aug'!$O:$O, '24AugTo29Aug'!$J:$J, $A157)</f>
        <v>0</v>
      </c>
      <c r="BI157" s="121">
        <f>SUMIFS('24AugTo29Aug'!$P:$P, '24AugTo29Aug'!$J:$J, $A157)</f>
        <v>0</v>
      </c>
      <c r="BJ157" s="123">
        <f t="shared" si="11"/>
        <v>0</v>
      </c>
      <c r="BK157" s="121">
        <f>SUMIFS('17AugTo21Aug'!$L:$L, '17AugTo21Aug'!$J:$J, $A157)</f>
        <v>0</v>
      </c>
      <c r="BL157" s="121">
        <f>SUMIFS('17AugTo21Aug'!$K:$K, '17AugTo21Aug'!$J:$J, $A157)</f>
        <v>0</v>
      </c>
      <c r="BM157" s="121">
        <f>SUMIFS('17AugTo21Aug'!$O:$O, '17AugTo21Aug'!$J:$J, $A157)</f>
        <v>0</v>
      </c>
      <c r="BN157" s="121">
        <f>SUMIFS('17AugTo21Aug'!$P:$P, '17AugTo21Aug'!$J:$J, $A157)</f>
        <v>0</v>
      </c>
      <c r="BO157" s="123">
        <f t="shared" si="12"/>
        <v>0</v>
      </c>
      <c r="BP157" s="121">
        <f>SUMIFS('10AugTo16Aug'!$L:$L, '10AugTo16Aug'!$J:$J, $A157)</f>
        <v>1</v>
      </c>
      <c r="BQ157" s="121">
        <f>SUMIFS('10AugTo16Aug'!$K:$K, '10AugTo16Aug'!$J:$J, $A157)</f>
        <v>6</v>
      </c>
      <c r="BR157" s="121">
        <f>SUMIFS('10AugTo16Aug'!$O:$O, '10AugTo16Aug'!$J:$J, $A157)</f>
        <v>1.39</v>
      </c>
      <c r="BS157" s="121">
        <f>SUMIFS('10AugTo16Aug'!$P:$P, '10AugTo16Aug'!$J:$J, $A157)</f>
        <v>21.95</v>
      </c>
      <c r="BT157" s="123">
        <f t="shared" si="13"/>
        <v>6.33257403189066</v>
      </c>
      <c r="BU157" s="121">
        <f>SUMIFS('3AugTo9Aug'!$L:$L, '3AugTo9Aug'!$J:$J, $A157)</f>
        <v>0</v>
      </c>
      <c r="BV157" s="121">
        <f>SUMIFS('3AugTo9Aug'!$K:$K, '3AugTo9Aug'!$J:$J, $A157)</f>
        <v>0</v>
      </c>
      <c r="BW157" s="121">
        <f>SUMIFS('3AugTo9Aug'!$O:$O, '3AugTo9Aug'!$J:$J, $A157)</f>
        <v>0</v>
      </c>
      <c r="BX157" s="121">
        <f>SUMIFS('3AugTo9Aug'!$P:$P, '3AugTo9Aug'!$J:$J, $A157)</f>
        <v>0</v>
      </c>
      <c r="BY157" s="123">
        <f t="shared" si="14"/>
        <v>0</v>
      </c>
      <c r="BZ157" s="121">
        <f>SUMIFS('27JulyTo2Aug'!$L:$L, '27JulyTo2Aug'!$J:$J, $A157)</f>
        <v>0</v>
      </c>
      <c r="CA157" s="121">
        <f>SUMIFS('27JulyTo2Aug'!$K:$K, '27JulyTo2Aug'!$J:$J, $A157)</f>
        <v>0</v>
      </c>
      <c r="CB157" s="121">
        <f>SUMIFS('27JulyTo2Aug'!$O:$O, '27JulyTo2Aug'!$J:$J, $A157)</f>
        <v>0</v>
      </c>
      <c r="CC157" s="121">
        <f>SUMIFS('27JulyTo2Aug'!$P:$P, '27JulyTo2Aug'!$J:$J, $A157)</f>
        <v>0</v>
      </c>
      <c r="CD157" s="123">
        <f t="shared" si="15"/>
        <v>0</v>
      </c>
    </row>
    <row r="158" spans="1:82" ht="14.25" customHeight="1" x14ac:dyDescent="0.3">
      <c r="A158" s="124" t="s">
        <v>708</v>
      </c>
      <c r="B158" s="120" t="str">
        <f t="shared" si="18"/>
        <v>NO TRAFFIC</v>
      </c>
      <c r="C158" s="121">
        <f>SUMIFS('9NovTo15Nov'!$L:$L, '9NovTo15Nov'!$J:$J, $A158)</f>
        <v>0</v>
      </c>
      <c r="D158" s="121">
        <f>SUMIFS('9NovTo15Nov'!$K:$K, '9NovTo15Nov'!$J:$J, $A158)</f>
        <v>0</v>
      </c>
      <c r="E158" s="121">
        <f>SUMIFS('9NovTo15Nov'!$O:$O, '9NovTo15Nov'!$J:$J, $A158)</f>
        <v>0</v>
      </c>
      <c r="F158" s="121">
        <f>SUMIFS('9NovTo15Nov'!$P:$P, '9NovTo15Nov'!$J:$J, $A158)</f>
        <v>0</v>
      </c>
      <c r="G158" s="122">
        <f t="shared" si="0"/>
        <v>0</v>
      </c>
      <c r="H158" s="121">
        <f>SUMIFS('2NovTo8Nov'!$L:$L, '2NovTo8Nov'!$J:$J, $A158)</f>
        <v>0</v>
      </c>
      <c r="I158" s="121">
        <f>SUMIFS('2NovTo8Nov'!$K:$K, '2NovTo8Nov'!$J:$J, $A158)</f>
        <v>0</v>
      </c>
      <c r="J158" s="121">
        <f>SUMIFS('2NovTo8Nov'!$O:$O, '2NovTo8Nov'!$J:$J, $A158)</f>
        <v>0</v>
      </c>
      <c r="K158" s="121">
        <f>SUMIFS('2NovTo8Nov'!$P:$P, '2NovTo8Nov'!$J:$J, $A158)</f>
        <v>0</v>
      </c>
      <c r="L158" s="122">
        <f t="shared" si="1"/>
        <v>0</v>
      </c>
      <c r="M158" s="121">
        <f>SUMIFS('26OctTo1Nov'!$L:$L, '26OctTo1Nov'!$J:$J, $A158)</f>
        <v>0</v>
      </c>
      <c r="N158" s="121">
        <f>SUMIFS('26OctTo1Nov'!$K:$K, '26OctTo1Nov'!$J:$J, $A158)</f>
        <v>0</v>
      </c>
      <c r="O158" s="121">
        <f>SUMIFS('26OctTo1Nov'!$O:$O, '26OctTo1Nov'!$J:$J, $A158)</f>
        <v>0</v>
      </c>
      <c r="P158" s="121">
        <f>SUMIFS('26OctTo1Nov'!$P:$P, '26OctTo1Nov'!$J:$J, $A158)</f>
        <v>0</v>
      </c>
      <c r="Q158" s="122">
        <f t="shared" si="2"/>
        <v>0</v>
      </c>
      <c r="R158" s="121">
        <f>SUMIFS('19OctTo25Oct'!$L:$L, '19OctTo25Oct'!$J:$J, $A158)</f>
        <v>0</v>
      </c>
      <c r="S158" s="121">
        <f>SUMIFS('19OctTo25Oct'!$K:$K, '19OctTo25Oct'!$J:$J, $A158)</f>
        <v>0</v>
      </c>
      <c r="T158" s="121">
        <f>SUMIFS('19OctTo25Oct'!$O:$O, '19OctTo25Oct'!$J:$J, $A158)</f>
        <v>0</v>
      </c>
      <c r="U158" s="121">
        <f>SUMIFS('19OctTo25Oct'!$P:$P, '19OctTo25Oct'!$J:$J, $A158)</f>
        <v>0</v>
      </c>
      <c r="V158" s="122">
        <f t="shared" si="3"/>
        <v>0</v>
      </c>
      <c r="W158" s="121">
        <f>SUMIFS('12OctTo18Oct'!$L:$L, '12OctTo18Oct'!$J:$J, $A158)</f>
        <v>0</v>
      </c>
      <c r="X158" s="121">
        <f>SUMIFS('12OctTo18Oct'!$K:$K, '12OctTo18Oct'!$J:$J, $A158)</f>
        <v>0</v>
      </c>
      <c r="Y158" s="121">
        <f>SUMIFS('12OctTo18Oct'!$O:$O, '12OctTo18Oct'!$J:$J, $A158)</f>
        <v>0</v>
      </c>
      <c r="Z158" s="121">
        <f>SUMIFS('12OctTo18Oct'!$P:$P, '12OctTo18Oct'!$J:$J, $A158)</f>
        <v>0</v>
      </c>
      <c r="AA158" s="122">
        <f t="shared" si="4"/>
        <v>0</v>
      </c>
      <c r="AB158" s="121">
        <f>SUMIFS('5OctTo11Oct'!$L:$L, '5OctTo11Oct'!$J:$J, $A158)</f>
        <v>0</v>
      </c>
      <c r="AC158" s="121">
        <f>SUMIFS('5OctTo11Oct'!$K:$K, '5OctTo11Oct'!$J:$J, $A158)</f>
        <v>0</v>
      </c>
      <c r="AD158" s="121">
        <f>SUMIFS('5OctTo11Oct'!$O:$O, '5OctTo11Oct'!$J:$J, $A158)</f>
        <v>0</v>
      </c>
      <c r="AE158" s="121">
        <f>SUMIFS('5OctTo11Oct'!$P:$P, '5OctTo11Oct'!$J:$J, $A158)</f>
        <v>0</v>
      </c>
      <c r="AF158" s="123">
        <f t="shared" si="5"/>
        <v>0</v>
      </c>
      <c r="AG158" s="121">
        <f>SUMIFS('28SepTo4Oct'!$L:$L, '28SepTo4Oct'!$J:$J, $A158)</f>
        <v>0</v>
      </c>
      <c r="AH158" s="121">
        <f>SUMIFS('28SepTo4Oct'!$K:$K, '28SepTo4Oct'!$J:$J, $A158)</f>
        <v>0</v>
      </c>
      <c r="AI158" s="121">
        <f>SUMIFS('28SepTo4Oct'!$O:$O, '28SepTo4Oct'!$J:$J, $A158)</f>
        <v>0</v>
      </c>
      <c r="AJ158" s="121">
        <f>SUMIFS('28SepTo4Oct'!$P:$P, '28SepTo4Oct'!$J:$J, $A158)</f>
        <v>0</v>
      </c>
      <c r="AK158" s="123">
        <f t="shared" si="6"/>
        <v>0</v>
      </c>
      <c r="AL158" s="121">
        <f>SUMIFS('21SepTo27Sep'!$L:$L, '21SepTo27Sep'!$J:$J, $A158)</f>
        <v>0</v>
      </c>
      <c r="AM158" s="121">
        <f>SUMIFS('21SepTo27Sep'!$K:$K, '21SepTo27Sep'!$J:$J, $A158)</f>
        <v>0</v>
      </c>
      <c r="AN158" s="121">
        <f>SUMIFS('21SepTo27Sep'!$O:$O, '21SepTo27Sep'!$J:$J, $A158)</f>
        <v>0</v>
      </c>
      <c r="AO158" s="121">
        <f>SUMIFS('21SepTo27Sep'!$P:$P, '21SepTo27Sep'!$J:$J, $A158)</f>
        <v>0</v>
      </c>
      <c r="AP158" s="123">
        <f t="shared" si="7"/>
        <v>0</v>
      </c>
      <c r="AQ158" s="121">
        <f>SUMIFS('14SepTo20Sep'!$L:$L, '14SepTo20Sep'!$J:$J, $A158)</f>
        <v>0</v>
      </c>
      <c r="AR158" s="121">
        <f>SUMIFS('14SepTo20Sep'!$K:$K, '14SepTo20Sep'!$J:$J, $A158)</f>
        <v>0</v>
      </c>
      <c r="AS158" s="121">
        <f>SUMIFS('14SepTo20Sep'!$O:$O, '14SepTo20Sep'!$J:$J, $A158)</f>
        <v>0</v>
      </c>
      <c r="AT158" s="121">
        <f>SUMIFS('14SepTo20Sep'!$P:$P, '14SepTo20Sep'!$J:$J, $A158)</f>
        <v>0</v>
      </c>
      <c r="AU158" s="123">
        <f t="shared" si="8"/>
        <v>0</v>
      </c>
      <c r="AV158" s="121">
        <f>SUMIFS('7SepTo13Sep'!$L:$L, '7SepTo13Sep'!$J:$J, $A158)</f>
        <v>0</v>
      </c>
      <c r="AW158" s="121">
        <f>SUMIFS('7SepTo13Sep'!$K:$K, '7SepTo13Sep'!$J:$J, $A158)</f>
        <v>0</v>
      </c>
      <c r="AX158" s="121">
        <f>SUMIFS('7SepTo13Sep'!$O:$O, '7SepTo13Sep'!$J:$J, $A158)</f>
        <v>0</v>
      </c>
      <c r="AY158" s="121">
        <f>SUMIFS('7SepTo13Sep'!$P:$P, '7SepTo13Sep'!$J:$J, $A158)</f>
        <v>0</v>
      </c>
      <c r="AZ158" s="123">
        <f t="shared" si="9"/>
        <v>0</v>
      </c>
      <c r="BA158" s="121">
        <f>SUMIFS('31AugTo6Sep'!$L:$L, '31AugTo6Sep'!$J:$J, $A158)</f>
        <v>0</v>
      </c>
      <c r="BB158" s="121">
        <f>SUMIFS('31AugTo6Sep'!$K:$K, '31AugTo6Sep'!$J:$J, $A158)</f>
        <v>0</v>
      </c>
      <c r="BC158" s="121">
        <f>SUMIFS('31AugTo6Sep'!$O:$O, '31AugTo6Sep'!$J:$J, $A158)</f>
        <v>0</v>
      </c>
      <c r="BD158" s="121">
        <f>SUMIFS('31AugTo6Sep'!$P:$P, '31AugTo6Sep'!$J:$J, $A158)</f>
        <v>0</v>
      </c>
      <c r="BE158" s="123">
        <f t="shared" si="10"/>
        <v>0</v>
      </c>
      <c r="BF158" s="121">
        <f>SUMIFS('24AugTo29Aug'!$L:$L, '24AugTo29Aug'!$J:$J, $A158)</f>
        <v>0</v>
      </c>
      <c r="BG158" s="121">
        <f>SUMIFS('24AugTo29Aug'!$K:$K, '24AugTo29Aug'!$J:$J, $A158)</f>
        <v>0</v>
      </c>
      <c r="BH158" s="121">
        <f>SUMIFS('24AugTo29Aug'!$O:$O, '24AugTo29Aug'!$J:$J, $A158)</f>
        <v>0</v>
      </c>
      <c r="BI158" s="121">
        <f>SUMIFS('24AugTo29Aug'!$P:$P, '24AugTo29Aug'!$J:$J, $A158)</f>
        <v>0</v>
      </c>
      <c r="BJ158" s="123">
        <f t="shared" si="11"/>
        <v>0</v>
      </c>
      <c r="BK158" s="121">
        <f>SUMIFS('17AugTo21Aug'!$L:$L, '17AugTo21Aug'!$J:$J, $A158)</f>
        <v>0</v>
      </c>
      <c r="BL158" s="121">
        <f>SUMIFS('17AugTo21Aug'!$K:$K, '17AugTo21Aug'!$J:$J, $A158)</f>
        <v>0</v>
      </c>
      <c r="BM158" s="121">
        <f>SUMIFS('17AugTo21Aug'!$O:$O, '17AugTo21Aug'!$J:$J, $A158)</f>
        <v>0</v>
      </c>
      <c r="BN158" s="121">
        <f>SUMIFS('17AugTo21Aug'!$P:$P, '17AugTo21Aug'!$J:$J, $A158)</f>
        <v>0</v>
      </c>
      <c r="BO158" s="123">
        <f t="shared" si="12"/>
        <v>0</v>
      </c>
      <c r="BP158" s="121">
        <f>SUMIFS('10AugTo16Aug'!$L:$L, '10AugTo16Aug'!$J:$J, $A158)</f>
        <v>1</v>
      </c>
      <c r="BQ158" s="121">
        <f>SUMIFS('10AugTo16Aug'!$K:$K, '10AugTo16Aug'!$J:$J, $A158)</f>
        <v>14</v>
      </c>
      <c r="BR158" s="121">
        <f>SUMIFS('10AugTo16Aug'!$O:$O, '10AugTo16Aug'!$J:$J, $A158)</f>
        <v>0.65</v>
      </c>
      <c r="BS158" s="121">
        <f>SUMIFS('10AugTo16Aug'!$P:$P, '10AugTo16Aug'!$J:$J, $A158)</f>
        <v>24.94</v>
      </c>
      <c r="BT158" s="123">
        <f t="shared" si="13"/>
        <v>2.6062550120288694</v>
      </c>
      <c r="BU158" s="121">
        <f>SUMIFS('3AugTo9Aug'!$L:$L, '3AugTo9Aug'!$J:$J, $A158)</f>
        <v>0</v>
      </c>
      <c r="BV158" s="121">
        <f>SUMIFS('3AugTo9Aug'!$K:$K, '3AugTo9Aug'!$J:$J, $A158)</f>
        <v>0</v>
      </c>
      <c r="BW158" s="121">
        <f>SUMIFS('3AugTo9Aug'!$O:$O, '3AugTo9Aug'!$J:$J, $A158)</f>
        <v>0</v>
      </c>
      <c r="BX158" s="121">
        <f>SUMIFS('3AugTo9Aug'!$P:$P, '3AugTo9Aug'!$J:$J, $A158)</f>
        <v>0</v>
      </c>
      <c r="BY158" s="123">
        <f t="shared" si="14"/>
        <v>0</v>
      </c>
      <c r="BZ158" s="121">
        <f>SUMIFS('27JulyTo2Aug'!$L:$L, '27JulyTo2Aug'!$J:$J, $A158)</f>
        <v>0</v>
      </c>
      <c r="CA158" s="121">
        <f>SUMIFS('27JulyTo2Aug'!$K:$K, '27JulyTo2Aug'!$J:$J, $A158)</f>
        <v>0</v>
      </c>
      <c r="CB158" s="121">
        <f>SUMIFS('27JulyTo2Aug'!$O:$O, '27JulyTo2Aug'!$J:$J, $A158)</f>
        <v>0</v>
      </c>
      <c r="CC158" s="121">
        <f>SUMIFS('27JulyTo2Aug'!$P:$P, '27JulyTo2Aug'!$J:$J, $A158)</f>
        <v>0</v>
      </c>
      <c r="CD158" s="123">
        <f t="shared" si="15"/>
        <v>0</v>
      </c>
    </row>
    <row r="159" spans="1:82" ht="14.25" customHeight="1" x14ac:dyDescent="0.3">
      <c r="A159" s="124" t="s">
        <v>709</v>
      </c>
      <c r="B159" s="120" t="str">
        <f t="shared" si="18"/>
        <v>NO TRAFFIC</v>
      </c>
      <c r="C159" s="121">
        <f>SUMIFS('9NovTo15Nov'!$L:$L, '9NovTo15Nov'!$J:$J, $A159)</f>
        <v>0</v>
      </c>
      <c r="D159" s="121">
        <f>SUMIFS('9NovTo15Nov'!$K:$K, '9NovTo15Nov'!$J:$J, $A159)</f>
        <v>0</v>
      </c>
      <c r="E159" s="121">
        <f>SUMIFS('9NovTo15Nov'!$O:$O, '9NovTo15Nov'!$J:$J, $A159)</f>
        <v>0</v>
      </c>
      <c r="F159" s="121">
        <f>SUMIFS('9NovTo15Nov'!$P:$P, '9NovTo15Nov'!$J:$J, $A159)</f>
        <v>0</v>
      </c>
      <c r="G159" s="122">
        <f t="shared" si="0"/>
        <v>0</v>
      </c>
      <c r="H159" s="121">
        <f>SUMIFS('2NovTo8Nov'!$L:$L, '2NovTo8Nov'!$J:$J, $A159)</f>
        <v>0</v>
      </c>
      <c r="I159" s="121">
        <f>SUMIFS('2NovTo8Nov'!$K:$K, '2NovTo8Nov'!$J:$J, $A159)</f>
        <v>0</v>
      </c>
      <c r="J159" s="121">
        <f>SUMIFS('2NovTo8Nov'!$O:$O, '2NovTo8Nov'!$J:$J, $A159)</f>
        <v>0</v>
      </c>
      <c r="K159" s="121">
        <f>SUMIFS('2NovTo8Nov'!$P:$P, '2NovTo8Nov'!$J:$J, $A159)</f>
        <v>0</v>
      </c>
      <c r="L159" s="122">
        <f t="shared" si="1"/>
        <v>0</v>
      </c>
      <c r="M159" s="121">
        <f>SUMIFS('26OctTo1Nov'!$L:$L, '26OctTo1Nov'!$J:$J, $A159)</f>
        <v>0</v>
      </c>
      <c r="N159" s="121">
        <f>SUMIFS('26OctTo1Nov'!$K:$K, '26OctTo1Nov'!$J:$J, $A159)</f>
        <v>0</v>
      </c>
      <c r="O159" s="121">
        <f>SUMIFS('26OctTo1Nov'!$O:$O, '26OctTo1Nov'!$J:$J, $A159)</f>
        <v>0</v>
      </c>
      <c r="P159" s="121">
        <f>SUMIFS('26OctTo1Nov'!$P:$P, '26OctTo1Nov'!$J:$J, $A159)</f>
        <v>0</v>
      </c>
      <c r="Q159" s="122">
        <f t="shared" si="2"/>
        <v>0</v>
      </c>
      <c r="R159" s="121">
        <f>SUMIFS('19OctTo25Oct'!$L:$L, '19OctTo25Oct'!$J:$J, $A159)</f>
        <v>0</v>
      </c>
      <c r="S159" s="121">
        <f>SUMIFS('19OctTo25Oct'!$K:$K, '19OctTo25Oct'!$J:$J, $A159)</f>
        <v>0</v>
      </c>
      <c r="T159" s="121">
        <f>SUMIFS('19OctTo25Oct'!$O:$O, '19OctTo25Oct'!$J:$J, $A159)</f>
        <v>0</v>
      </c>
      <c r="U159" s="121">
        <f>SUMIFS('19OctTo25Oct'!$P:$P, '19OctTo25Oct'!$J:$J, $A159)</f>
        <v>0</v>
      </c>
      <c r="V159" s="122">
        <f t="shared" si="3"/>
        <v>0</v>
      </c>
      <c r="W159" s="121">
        <f>SUMIFS('12OctTo18Oct'!$L:$L, '12OctTo18Oct'!$J:$J, $A159)</f>
        <v>0</v>
      </c>
      <c r="X159" s="121">
        <f>SUMIFS('12OctTo18Oct'!$K:$K, '12OctTo18Oct'!$J:$J, $A159)</f>
        <v>0</v>
      </c>
      <c r="Y159" s="121">
        <f>SUMIFS('12OctTo18Oct'!$O:$O, '12OctTo18Oct'!$J:$J, $A159)</f>
        <v>0</v>
      </c>
      <c r="Z159" s="121">
        <f>SUMIFS('12OctTo18Oct'!$P:$P, '12OctTo18Oct'!$J:$J, $A159)</f>
        <v>0</v>
      </c>
      <c r="AA159" s="122">
        <f t="shared" si="4"/>
        <v>0</v>
      </c>
      <c r="AB159" s="121">
        <f>SUMIFS('5OctTo11Oct'!$L:$L, '5OctTo11Oct'!$J:$J, $A159)</f>
        <v>0</v>
      </c>
      <c r="AC159" s="121">
        <f>SUMIFS('5OctTo11Oct'!$K:$K, '5OctTo11Oct'!$J:$J, $A159)</f>
        <v>0</v>
      </c>
      <c r="AD159" s="121">
        <f>SUMIFS('5OctTo11Oct'!$O:$O, '5OctTo11Oct'!$J:$J, $A159)</f>
        <v>0</v>
      </c>
      <c r="AE159" s="121">
        <f>SUMIFS('5OctTo11Oct'!$P:$P, '5OctTo11Oct'!$J:$J, $A159)</f>
        <v>0</v>
      </c>
      <c r="AF159" s="123">
        <f t="shared" si="5"/>
        <v>0</v>
      </c>
      <c r="AG159" s="121">
        <f>SUMIFS('28SepTo4Oct'!$L:$L, '28SepTo4Oct'!$J:$J, $A159)</f>
        <v>0</v>
      </c>
      <c r="AH159" s="121">
        <f>SUMIFS('28SepTo4Oct'!$K:$K, '28SepTo4Oct'!$J:$J, $A159)</f>
        <v>0</v>
      </c>
      <c r="AI159" s="121">
        <f>SUMIFS('28SepTo4Oct'!$O:$O, '28SepTo4Oct'!$J:$J, $A159)</f>
        <v>0</v>
      </c>
      <c r="AJ159" s="121">
        <f>SUMIFS('28SepTo4Oct'!$P:$P, '28SepTo4Oct'!$J:$J, $A159)</f>
        <v>0</v>
      </c>
      <c r="AK159" s="123">
        <f t="shared" si="6"/>
        <v>0</v>
      </c>
      <c r="AL159" s="121">
        <f>SUMIFS('21SepTo27Sep'!$L:$L, '21SepTo27Sep'!$J:$J, $A159)</f>
        <v>0</v>
      </c>
      <c r="AM159" s="121">
        <f>SUMIFS('21SepTo27Sep'!$K:$K, '21SepTo27Sep'!$J:$J, $A159)</f>
        <v>0</v>
      </c>
      <c r="AN159" s="121">
        <f>SUMIFS('21SepTo27Sep'!$O:$O, '21SepTo27Sep'!$J:$J, $A159)</f>
        <v>0</v>
      </c>
      <c r="AO159" s="121">
        <f>SUMIFS('21SepTo27Sep'!$P:$P, '21SepTo27Sep'!$J:$J, $A159)</f>
        <v>0</v>
      </c>
      <c r="AP159" s="123">
        <f t="shared" si="7"/>
        <v>0</v>
      </c>
      <c r="AQ159" s="121">
        <f>SUMIFS('14SepTo20Sep'!$L:$L, '14SepTo20Sep'!$J:$J, $A159)</f>
        <v>0</v>
      </c>
      <c r="AR159" s="121">
        <f>SUMIFS('14SepTo20Sep'!$K:$K, '14SepTo20Sep'!$J:$J, $A159)</f>
        <v>0</v>
      </c>
      <c r="AS159" s="121">
        <f>SUMIFS('14SepTo20Sep'!$O:$O, '14SepTo20Sep'!$J:$J, $A159)</f>
        <v>0</v>
      </c>
      <c r="AT159" s="121">
        <f>SUMIFS('14SepTo20Sep'!$P:$P, '14SepTo20Sep'!$J:$J, $A159)</f>
        <v>0</v>
      </c>
      <c r="AU159" s="123">
        <f t="shared" si="8"/>
        <v>0</v>
      </c>
      <c r="AV159" s="121">
        <f>SUMIFS('7SepTo13Sep'!$L:$L, '7SepTo13Sep'!$J:$J, $A159)</f>
        <v>0</v>
      </c>
      <c r="AW159" s="121">
        <f>SUMIFS('7SepTo13Sep'!$K:$K, '7SepTo13Sep'!$J:$J, $A159)</f>
        <v>0</v>
      </c>
      <c r="AX159" s="121">
        <f>SUMIFS('7SepTo13Sep'!$O:$O, '7SepTo13Sep'!$J:$J, $A159)</f>
        <v>0</v>
      </c>
      <c r="AY159" s="121">
        <f>SUMIFS('7SepTo13Sep'!$P:$P, '7SepTo13Sep'!$J:$J, $A159)</f>
        <v>0</v>
      </c>
      <c r="AZ159" s="123">
        <f t="shared" si="9"/>
        <v>0</v>
      </c>
      <c r="BA159" s="121">
        <f>SUMIFS('31AugTo6Sep'!$L:$L, '31AugTo6Sep'!$J:$J, $A159)</f>
        <v>0</v>
      </c>
      <c r="BB159" s="121">
        <f>SUMIFS('31AugTo6Sep'!$K:$K, '31AugTo6Sep'!$J:$J, $A159)</f>
        <v>0</v>
      </c>
      <c r="BC159" s="121">
        <f>SUMIFS('31AugTo6Sep'!$O:$O, '31AugTo6Sep'!$J:$J, $A159)</f>
        <v>0</v>
      </c>
      <c r="BD159" s="121">
        <f>SUMIFS('31AugTo6Sep'!$P:$P, '31AugTo6Sep'!$J:$J, $A159)</f>
        <v>0</v>
      </c>
      <c r="BE159" s="123">
        <f t="shared" si="10"/>
        <v>0</v>
      </c>
      <c r="BF159" s="121">
        <f>SUMIFS('24AugTo29Aug'!$L:$L, '24AugTo29Aug'!$J:$J, $A159)</f>
        <v>0</v>
      </c>
      <c r="BG159" s="121">
        <f>SUMIFS('24AugTo29Aug'!$K:$K, '24AugTo29Aug'!$J:$J, $A159)</f>
        <v>0</v>
      </c>
      <c r="BH159" s="121">
        <f>SUMIFS('24AugTo29Aug'!$O:$O, '24AugTo29Aug'!$J:$J, $A159)</f>
        <v>0</v>
      </c>
      <c r="BI159" s="121">
        <f>SUMIFS('24AugTo29Aug'!$P:$P, '24AugTo29Aug'!$J:$J, $A159)</f>
        <v>0</v>
      </c>
      <c r="BJ159" s="123">
        <f t="shared" si="11"/>
        <v>0</v>
      </c>
      <c r="BK159" s="121">
        <f>SUMIFS('17AugTo21Aug'!$L:$L, '17AugTo21Aug'!$J:$J, $A159)</f>
        <v>0</v>
      </c>
      <c r="BL159" s="121">
        <f>SUMIFS('17AugTo21Aug'!$K:$K, '17AugTo21Aug'!$J:$J, $A159)</f>
        <v>0</v>
      </c>
      <c r="BM159" s="121">
        <f>SUMIFS('17AugTo21Aug'!$O:$O, '17AugTo21Aug'!$J:$J, $A159)</f>
        <v>0</v>
      </c>
      <c r="BN159" s="121">
        <f>SUMIFS('17AugTo21Aug'!$P:$P, '17AugTo21Aug'!$J:$J, $A159)</f>
        <v>0</v>
      </c>
      <c r="BO159" s="123">
        <f t="shared" si="12"/>
        <v>0</v>
      </c>
      <c r="BP159" s="121">
        <f>SUMIFS('10AugTo16Aug'!$L:$L, '10AugTo16Aug'!$J:$J, $A159)</f>
        <v>2</v>
      </c>
      <c r="BQ159" s="121">
        <f>SUMIFS('10AugTo16Aug'!$K:$K, '10AugTo16Aug'!$J:$J, $A159)</f>
        <v>6</v>
      </c>
      <c r="BR159" s="121">
        <f>SUMIFS('10AugTo16Aug'!$O:$O, '10AugTo16Aug'!$J:$J, $A159)</f>
        <v>4.96</v>
      </c>
      <c r="BS159" s="121">
        <f>SUMIFS('10AugTo16Aug'!$P:$P, '10AugTo16Aug'!$J:$J, $A159)</f>
        <v>24.94</v>
      </c>
      <c r="BT159" s="123">
        <f t="shared" si="13"/>
        <v>19.887730553327987</v>
      </c>
      <c r="BU159" s="121">
        <f>SUMIFS('3AugTo9Aug'!$L:$L, '3AugTo9Aug'!$J:$J, $A159)</f>
        <v>0</v>
      </c>
      <c r="BV159" s="121">
        <f>SUMIFS('3AugTo9Aug'!$K:$K, '3AugTo9Aug'!$J:$J, $A159)</f>
        <v>0</v>
      </c>
      <c r="BW159" s="121">
        <f>SUMIFS('3AugTo9Aug'!$O:$O, '3AugTo9Aug'!$J:$J, $A159)</f>
        <v>0</v>
      </c>
      <c r="BX159" s="121">
        <f>SUMIFS('3AugTo9Aug'!$P:$P, '3AugTo9Aug'!$J:$J, $A159)</f>
        <v>0</v>
      </c>
      <c r="BY159" s="123">
        <f t="shared" si="14"/>
        <v>0</v>
      </c>
      <c r="BZ159" s="121">
        <f>SUMIFS('27JulyTo2Aug'!$L:$L, '27JulyTo2Aug'!$J:$J, $A159)</f>
        <v>0</v>
      </c>
      <c r="CA159" s="121">
        <f>SUMIFS('27JulyTo2Aug'!$K:$K, '27JulyTo2Aug'!$J:$J, $A159)</f>
        <v>0</v>
      </c>
      <c r="CB159" s="121">
        <f>SUMIFS('27JulyTo2Aug'!$O:$O, '27JulyTo2Aug'!$J:$J, $A159)</f>
        <v>0</v>
      </c>
      <c r="CC159" s="121">
        <f>SUMIFS('27JulyTo2Aug'!$P:$P, '27JulyTo2Aug'!$J:$J, $A159)</f>
        <v>0</v>
      </c>
      <c r="CD159" s="123">
        <f t="shared" si="15"/>
        <v>0</v>
      </c>
    </row>
    <row r="160" spans="1:82" ht="14.25" customHeight="1" x14ac:dyDescent="0.3">
      <c r="A160" s="124" t="s">
        <v>712</v>
      </c>
      <c r="B160" s="120" t="str">
        <f t="shared" si="18"/>
        <v>NO TRAFFIC</v>
      </c>
      <c r="C160" s="121">
        <f>SUMIFS('9NovTo15Nov'!$L:$L, '9NovTo15Nov'!$J:$J, $A160)</f>
        <v>0</v>
      </c>
      <c r="D160" s="121">
        <f>SUMIFS('9NovTo15Nov'!$K:$K, '9NovTo15Nov'!$J:$J, $A160)</f>
        <v>0</v>
      </c>
      <c r="E160" s="121">
        <f>SUMIFS('9NovTo15Nov'!$O:$O, '9NovTo15Nov'!$J:$J, $A160)</f>
        <v>0</v>
      </c>
      <c r="F160" s="121">
        <f>SUMIFS('9NovTo15Nov'!$P:$P, '9NovTo15Nov'!$J:$J, $A160)</f>
        <v>0</v>
      </c>
      <c r="G160" s="122">
        <f t="shared" si="0"/>
        <v>0</v>
      </c>
      <c r="H160" s="121">
        <f>SUMIFS('2NovTo8Nov'!$L:$L, '2NovTo8Nov'!$J:$J, $A160)</f>
        <v>0</v>
      </c>
      <c r="I160" s="121">
        <f>SUMIFS('2NovTo8Nov'!$K:$K, '2NovTo8Nov'!$J:$J, $A160)</f>
        <v>0</v>
      </c>
      <c r="J160" s="121">
        <f>SUMIFS('2NovTo8Nov'!$O:$O, '2NovTo8Nov'!$J:$J, $A160)</f>
        <v>0</v>
      </c>
      <c r="K160" s="121">
        <f>SUMIFS('2NovTo8Nov'!$P:$P, '2NovTo8Nov'!$J:$J, $A160)</f>
        <v>0</v>
      </c>
      <c r="L160" s="122">
        <f t="shared" si="1"/>
        <v>0</v>
      </c>
      <c r="M160" s="121">
        <f>SUMIFS('26OctTo1Nov'!$L:$L, '26OctTo1Nov'!$J:$J, $A160)</f>
        <v>0</v>
      </c>
      <c r="N160" s="121">
        <f>SUMIFS('26OctTo1Nov'!$K:$K, '26OctTo1Nov'!$J:$J, $A160)</f>
        <v>0</v>
      </c>
      <c r="O160" s="121">
        <f>SUMIFS('26OctTo1Nov'!$O:$O, '26OctTo1Nov'!$J:$J, $A160)</f>
        <v>0</v>
      </c>
      <c r="P160" s="121">
        <f>SUMIFS('26OctTo1Nov'!$P:$P, '26OctTo1Nov'!$J:$J, $A160)</f>
        <v>0</v>
      </c>
      <c r="Q160" s="122">
        <f t="shared" si="2"/>
        <v>0</v>
      </c>
      <c r="R160" s="121">
        <f>SUMIFS('19OctTo25Oct'!$L:$L, '19OctTo25Oct'!$J:$J, $A160)</f>
        <v>0</v>
      </c>
      <c r="S160" s="121">
        <f>SUMIFS('19OctTo25Oct'!$K:$K, '19OctTo25Oct'!$J:$J, $A160)</f>
        <v>0</v>
      </c>
      <c r="T160" s="121">
        <f>SUMIFS('19OctTo25Oct'!$O:$O, '19OctTo25Oct'!$J:$J, $A160)</f>
        <v>0</v>
      </c>
      <c r="U160" s="121">
        <f>SUMIFS('19OctTo25Oct'!$P:$P, '19OctTo25Oct'!$J:$J, $A160)</f>
        <v>0</v>
      </c>
      <c r="V160" s="122">
        <f t="shared" si="3"/>
        <v>0</v>
      </c>
      <c r="W160" s="121">
        <f>SUMIFS('12OctTo18Oct'!$L:$L, '12OctTo18Oct'!$J:$J, $A160)</f>
        <v>0</v>
      </c>
      <c r="X160" s="121">
        <f>SUMIFS('12OctTo18Oct'!$K:$K, '12OctTo18Oct'!$J:$J, $A160)</f>
        <v>0</v>
      </c>
      <c r="Y160" s="121">
        <f>SUMIFS('12OctTo18Oct'!$O:$O, '12OctTo18Oct'!$J:$J, $A160)</f>
        <v>0</v>
      </c>
      <c r="Z160" s="121">
        <f>SUMIFS('12OctTo18Oct'!$P:$P, '12OctTo18Oct'!$J:$J, $A160)</f>
        <v>0</v>
      </c>
      <c r="AA160" s="122">
        <f t="shared" si="4"/>
        <v>0</v>
      </c>
      <c r="AB160" s="121">
        <f>SUMIFS('5OctTo11Oct'!$L:$L, '5OctTo11Oct'!$J:$J, $A160)</f>
        <v>0</v>
      </c>
      <c r="AC160" s="121">
        <f>SUMIFS('5OctTo11Oct'!$K:$K, '5OctTo11Oct'!$J:$J, $A160)</f>
        <v>0</v>
      </c>
      <c r="AD160" s="121">
        <f>SUMIFS('5OctTo11Oct'!$O:$O, '5OctTo11Oct'!$J:$J, $A160)</f>
        <v>0</v>
      </c>
      <c r="AE160" s="121">
        <f>SUMIFS('5OctTo11Oct'!$P:$P, '5OctTo11Oct'!$J:$J, $A160)</f>
        <v>0</v>
      </c>
      <c r="AF160" s="123">
        <f t="shared" si="5"/>
        <v>0</v>
      </c>
      <c r="AG160" s="121">
        <f>SUMIFS('28SepTo4Oct'!$L:$L, '28SepTo4Oct'!$J:$J, $A160)</f>
        <v>0</v>
      </c>
      <c r="AH160" s="121">
        <f>SUMIFS('28SepTo4Oct'!$K:$K, '28SepTo4Oct'!$J:$J, $A160)</f>
        <v>0</v>
      </c>
      <c r="AI160" s="121">
        <f>SUMIFS('28SepTo4Oct'!$O:$O, '28SepTo4Oct'!$J:$J, $A160)</f>
        <v>0</v>
      </c>
      <c r="AJ160" s="121">
        <f>SUMIFS('28SepTo4Oct'!$P:$P, '28SepTo4Oct'!$J:$J, $A160)</f>
        <v>0</v>
      </c>
      <c r="AK160" s="123">
        <f t="shared" si="6"/>
        <v>0</v>
      </c>
      <c r="AL160" s="121">
        <f>SUMIFS('21SepTo27Sep'!$L:$L, '21SepTo27Sep'!$J:$J, $A160)</f>
        <v>0</v>
      </c>
      <c r="AM160" s="121">
        <f>SUMIFS('21SepTo27Sep'!$K:$K, '21SepTo27Sep'!$J:$J, $A160)</f>
        <v>0</v>
      </c>
      <c r="AN160" s="121">
        <f>SUMIFS('21SepTo27Sep'!$O:$O, '21SepTo27Sep'!$J:$J, $A160)</f>
        <v>0</v>
      </c>
      <c r="AO160" s="121">
        <f>SUMIFS('21SepTo27Sep'!$P:$P, '21SepTo27Sep'!$J:$J, $A160)</f>
        <v>0</v>
      </c>
      <c r="AP160" s="123">
        <f t="shared" si="7"/>
        <v>0</v>
      </c>
      <c r="AQ160" s="121">
        <f>SUMIFS('14SepTo20Sep'!$L:$L, '14SepTo20Sep'!$J:$J, $A160)</f>
        <v>0</v>
      </c>
      <c r="AR160" s="121">
        <f>SUMIFS('14SepTo20Sep'!$K:$K, '14SepTo20Sep'!$J:$J, $A160)</f>
        <v>0</v>
      </c>
      <c r="AS160" s="121">
        <f>SUMIFS('14SepTo20Sep'!$O:$O, '14SepTo20Sep'!$J:$J, $A160)</f>
        <v>0</v>
      </c>
      <c r="AT160" s="121">
        <f>SUMIFS('14SepTo20Sep'!$P:$P, '14SepTo20Sep'!$J:$J, $A160)</f>
        <v>0</v>
      </c>
      <c r="AU160" s="123">
        <f t="shared" si="8"/>
        <v>0</v>
      </c>
      <c r="AV160" s="121">
        <f>SUMIFS('7SepTo13Sep'!$L:$L, '7SepTo13Sep'!$J:$J, $A160)</f>
        <v>0</v>
      </c>
      <c r="AW160" s="121">
        <f>SUMIFS('7SepTo13Sep'!$K:$K, '7SepTo13Sep'!$J:$J, $A160)</f>
        <v>0</v>
      </c>
      <c r="AX160" s="121">
        <f>SUMIFS('7SepTo13Sep'!$O:$O, '7SepTo13Sep'!$J:$J, $A160)</f>
        <v>0</v>
      </c>
      <c r="AY160" s="121">
        <f>SUMIFS('7SepTo13Sep'!$P:$P, '7SepTo13Sep'!$J:$J, $A160)</f>
        <v>0</v>
      </c>
      <c r="AZ160" s="123">
        <f t="shared" si="9"/>
        <v>0</v>
      </c>
      <c r="BA160" s="121">
        <f>SUMIFS('31AugTo6Sep'!$L:$L, '31AugTo6Sep'!$J:$J, $A160)</f>
        <v>0</v>
      </c>
      <c r="BB160" s="121">
        <f>SUMIFS('31AugTo6Sep'!$K:$K, '31AugTo6Sep'!$J:$J, $A160)</f>
        <v>0</v>
      </c>
      <c r="BC160" s="121">
        <f>SUMIFS('31AugTo6Sep'!$O:$O, '31AugTo6Sep'!$J:$J, $A160)</f>
        <v>0</v>
      </c>
      <c r="BD160" s="121">
        <f>SUMIFS('31AugTo6Sep'!$P:$P, '31AugTo6Sep'!$J:$J, $A160)</f>
        <v>0</v>
      </c>
      <c r="BE160" s="123">
        <f t="shared" si="10"/>
        <v>0</v>
      </c>
      <c r="BF160" s="121">
        <f>SUMIFS('24AugTo29Aug'!$L:$L, '24AugTo29Aug'!$J:$J, $A160)</f>
        <v>0</v>
      </c>
      <c r="BG160" s="121">
        <f>SUMIFS('24AugTo29Aug'!$K:$K, '24AugTo29Aug'!$J:$J, $A160)</f>
        <v>0</v>
      </c>
      <c r="BH160" s="121">
        <f>SUMIFS('24AugTo29Aug'!$O:$O, '24AugTo29Aug'!$J:$J, $A160)</f>
        <v>0</v>
      </c>
      <c r="BI160" s="121">
        <f>SUMIFS('24AugTo29Aug'!$P:$P, '24AugTo29Aug'!$J:$J, $A160)</f>
        <v>0</v>
      </c>
      <c r="BJ160" s="123">
        <f t="shared" si="11"/>
        <v>0</v>
      </c>
      <c r="BK160" s="121">
        <f>SUMIFS('17AugTo21Aug'!$L:$L, '17AugTo21Aug'!$J:$J, $A160)</f>
        <v>0</v>
      </c>
      <c r="BL160" s="121">
        <f>SUMIFS('17AugTo21Aug'!$K:$K, '17AugTo21Aug'!$J:$J, $A160)</f>
        <v>0</v>
      </c>
      <c r="BM160" s="121">
        <f>SUMIFS('17AugTo21Aug'!$O:$O, '17AugTo21Aug'!$J:$J, $A160)</f>
        <v>0</v>
      </c>
      <c r="BN160" s="121">
        <f>SUMIFS('17AugTo21Aug'!$P:$P, '17AugTo21Aug'!$J:$J, $A160)</f>
        <v>0</v>
      </c>
      <c r="BO160" s="123">
        <f t="shared" si="12"/>
        <v>0</v>
      </c>
      <c r="BP160" s="121">
        <f>SUMIFS('10AugTo16Aug'!$L:$L, '10AugTo16Aug'!$J:$J, $A160)</f>
        <v>1</v>
      </c>
      <c r="BQ160" s="121">
        <f>SUMIFS('10AugTo16Aug'!$K:$K, '10AugTo16Aug'!$J:$J, $A160)</f>
        <v>2</v>
      </c>
      <c r="BR160" s="121">
        <f>SUMIFS('10AugTo16Aug'!$O:$O, '10AugTo16Aug'!$J:$J, $A160)</f>
        <v>1.62</v>
      </c>
      <c r="BS160" s="121">
        <f>SUMIFS('10AugTo16Aug'!$P:$P, '10AugTo16Aug'!$J:$J, $A160)</f>
        <v>24.94</v>
      </c>
      <c r="BT160" s="123">
        <f t="shared" si="13"/>
        <v>6.4955894145950284</v>
      </c>
      <c r="BU160" s="121">
        <f>SUMIFS('3AugTo9Aug'!$L:$L, '3AugTo9Aug'!$J:$J, $A160)</f>
        <v>0</v>
      </c>
      <c r="BV160" s="121">
        <f>SUMIFS('3AugTo9Aug'!$K:$K, '3AugTo9Aug'!$J:$J, $A160)</f>
        <v>0</v>
      </c>
      <c r="BW160" s="121">
        <f>SUMIFS('3AugTo9Aug'!$O:$O, '3AugTo9Aug'!$J:$J, $A160)</f>
        <v>0</v>
      </c>
      <c r="BX160" s="121">
        <f>SUMIFS('3AugTo9Aug'!$P:$P, '3AugTo9Aug'!$J:$J, $A160)</f>
        <v>0</v>
      </c>
      <c r="BY160" s="123">
        <f t="shared" si="14"/>
        <v>0</v>
      </c>
      <c r="BZ160" s="121">
        <f>SUMIFS('27JulyTo2Aug'!$L:$L, '27JulyTo2Aug'!$J:$J, $A160)</f>
        <v>0</v>
      </c>
      <c r="CA160" s="121">
        <f>SUMIFS('27JulyTo2Aug'!$K:$K, '27JulyTo2Aug'!$J:$J, $A160)</f>
        <v>0</v>
      </c>
      <c r="CB160" s="121">
        <f>SUMIFS('27JulyTo2Aug'!$O:$O, '27JulyTo2Aug'!$J:$J, $A160)</f>
        <v>0</v>
      </c>
      <c r="CC160" s="121">
        <f>SUMIFS('27JulyTo2Aug'!$P:$P, '27JulyTo2Aug'!$J:$J, $A160)</f>
        <v>0</v>
      </c>
      <c r="CD160" s="123">
        <f t="shared" si="15"/>
        <v>0</v>
      </c>
    </row>
    <row r="161" spans="1:82" ht="14.25" customHeight="1" x14ac:dyDescent="0.3">
      <c r="A161" s="124" t="s">
        <v>714</v>
      </c>
      <c r="B161" s="120" t="str">
        <f t="shared" si="18"/>
        <v>NO TRAFFIC</v>
      </c>
      <c r="C161" s="121">
        <f>SUMIFS('9NovTo15Nov'!$L:$L, '9NovTo15Nov'!$J:$J, $A161)</f>
        <v>0</v>
      </c>
      <c r="D161" s="121">
        <f>SUMIFS('9NovTo15Nov'!$K:$K, '9NovTo15Nov'!$J:$J, $A161)</f>
        <v>0</v>
      </c>
      <c r="E161" s="121">
        <f>SUMIFS('9NovTo15Nov'!$O:$O, '9NovTo15Nov'!$J:$J, $A161)</f>
        <v>0</v>
      </c>
      <c r="F161" s="121">
        <f>SUMIFS('9NovTo15Nov'!$P:$P, '9NovTo15Nov'!$J:$J, $A161)</f>
        <v>0</v>
      </c>
      <c r="G161" s="122">
        <f t="shared" si="0"/>
        <v>0</v>
      </c>
      <c r="H161" s="121">
        <f>SUMIFS('2NovTo8Nov'!$L:$L, '2NovTo8Nov'!$J:$J, $A161)</f>
        <v>0</v>
      </c>
      <c r="I161" s="121">
        <f>SUMIFS('2NovTo8Nov'!$K:$K, '2NovTo8Nov'!$J:$J, $A161)</f>
        <v>0</v>
      </c>
      <c r="J161" s="121">
        <f>SUMIFS('2NovTo8Nov'!$O:$O, '2NovTo8Nov'!$J:$J, $A161)</f>
        <v>0</v>
      </c>
      <c r="K161" s="121">
        <f>SUMIFS('2NovTo8Nov'!$P:$P, '2NovTo8Nov'!$J:$J, $A161)</f>
        <v>0</v>
      </c>
      <c r="L161" s="122">
        <f t="shared" si="1"/>
        <v>0</v>
      </c>
      <c r="M161" s="121">
        <f>SUMIFS('26OctTo1Nov'!$L:$L, '26OctTo1Nov'!$J:$J, $A161)</f>
        <v>0</v>
      </c>
      <c r="N161" s="121">
        <f>SUMIFS('26OctTo1Nov'!$K:$K, '26OctTo1Nov'!$J:$J, $A161)</f>
        <v>0</v>
      </c>
      <c r="O161" s="121">
        <f>SUMIFS('26OctTo1Nov'!$O:$O, '26OctTo1Nov'!$J:$J, $A161)</f>
        <v>0</v>
      </c>
      <c r="P161" s="121">
        <f>SUMIFS('26OctTo1Nov'!$P:$P, '26OctTo1Nov'!$J:$J, $A161)</f>
        <v>0</v>
      </c>
      <c r="Q161" s="122">
        <f t="shared" si="2"/>
        <v>0</v>
      </c>
      <c r="R161" s="121">
        <f>SUMIFS('19OctTo25Oct'!$L:$L, '19OctTo25Oct'!$J:$J, $A161)</f>
        <v>0</v>
      </c>
      <c r="S161" s="121">
        <f>SUMIFS('19OctTo25Oct'!$K:$K, '19OctTo25Oct'!$J:$J, $A161)</f>
        <v>0</v>
      </c>
      <c r="T161" s="121">
        <f>SUMIFS('19OctTo25Oct'!$O:$O, '19OctTo25Oct'!$J:$J, $A161)</f>
        <v>0</v>
      </c>
      <c r="U161" s="121">
        <f>SUMIFS('19OctTo25Oct'!$P:$P, '19OctTo25Oct'!$J:$J, $A161)</f>
        <v>0</v>
      </c>
      <c r="V161" s="122">
        <f t="shared" si="3"/>
        <v>0</v>
      </c>
      <c r="W161" s="121">
        <f>SUMIFS('12OctTo18Oct'!$L:$L, '12OctTo18Oct'!$J:$J, $A161)</f>
        <v>0</v>
      </c>
      <c r="X161" s="121">
        <f>SUMIFS('12OctTo18Oct'!$K:$K, '12OctTo18Oct'!$J:$J, $A161)</f>
        <v>0</v>
      </c>
      <c r="Y161" s="121">
        <f>SUMIFS('12OctTo18Oct'!$O:$O, '12OctTo18Oct'!$J:$J, $A161)</f>
        <v>0</v>
      </c>
      <c r="Z161" s="121">
        <f>SUMIFS('12OctTo18Oct'!$P:$P, '12OctTo18Oct'!$J:$J, $A161)</f>
        <v>0</v>
      </c>
      <c r="AA161" s="122">
        <f t="shared" si="4"/>
        <v>0</v>
      </c>
      <c r="AB161" s="121">
        <f>SUMIFS('5OctTo11Oct'!$L:$L, '5OctTo11Oct'!$J:$J, $A161)</f>
        <v>0</v>
      </c>
      <c r="AC161" s="121">
        <f>SUMIFS('5OctTo11Oct'!$K:$K, '5OctTo11Oct'!$J:$J, $A161)</f>
        <v>0</v>
      </c>
      <c r="AD161" s="121">
        <f>SUMIFS('5OctTo11Oct'!$O:$O, '5OctTo11Oct'!$J:$J, $A161)</f>
        <v>0</v>
      </c>
      <c r="AE161" s="121">
        <f>SUMIFS('5OctTo11Oct'!$P:$P, '5OctTo11Oct'!$J:$J, $A161)</f>
        <v>0</v>
      </c>
      <c r="AF161" s="123">
        <f t="shared" si="5"/>
        <v>0</v>
      </c>
      <c r="AG161" s="121">
        <f>SUMIFS('28SepTo4Oct'!$L:$L, '28SepTo4Oct'!$J:$J, $A161)</f>
        <v>0</v>
      </c>
      <c r="AH161" s="121">
        <f>SUMIFS('28SepTo4Oct'!$K:$K, '28SepTo4Oct'!$J:$J, $A161)</f>
        <v>0</v>
      </c>
      <c r="AI161" s="121">
        <f>SUMIFS('28SepTo4Oct'!$O:$O, '28SepTo4Oct'!$J:$J, $A161)</f>
        <v>0</v>
      </c>
      <c r="AJ161" s="121">
        <f>SUMIFS('28SepTo4Oct'!$P:$P, '28SepTo4Oct'!$J:$J, $A161)</f>
        <v>0</v>
      </c>
      <c r="AK161" s="123">
        <f t="shared" si="6"/>
        <v>0</v>
      </c>
      <c r="AL161" s="121">
        <f>SUMIFS('21SepTo27Sep'!$L:$L, '21SepTo27Sep'!$J:$J, $A161)</f>
        <v>0</v>
      </c>
      <c r="AM161" s="121">
        <f>SUMIFS('21SepTo27Sep'!$K:$K, '21SepTo27Sep'!$J:$J, $A161)</f>
        <v>0</v>
      </c>
      <c r="AN161" s="121">
        <f>SUMIFS('21SepTo27Sep'!$O:$O, '21SepTo27Sep'!$J:$J, $A161)</f>
        <v>0</v>
      </c>
      <c r="AO161" s="121">
        <f>SUMIFS('21SepTo27Sep'!$P:$P, '21SepTo27Sep'!$J:$J, $A161)</f>
        <v>0</v>
      </c>
      <c r="AP161" s="123">
        <f t="shared" si="7"/>
        <v>0</v>
      </c>
      <c r="AQ161" s="121">
        <f>SUMIFS('14SepTo20Sep'!$L:$L, '14SepTo20Sep'!$J:$J, $A161)</f>
        <v>0</v>
      </c>
      <c r="AR161" s="121">
        <f>SUMIFS('14SepTo20Sep'!$K:$K, '14SepTo20Sep'!$J:$J, $A161)</f>
        <v>0</v>
      </c>
      <c r="AS161" s="121">
        <f>SUMIFS('14SepTo20Sep'!$O:$O, '14SepTo20Sep'!$J:$J, $A161)</f>
        <v>0</v>
      </c>
      <c r="AT161" s="121">
        <f>SUMIFS('14SepTo20Sep'!$P:$P, '14SepTo20Sep'!$J:$J, $A161)</f>
        <v>0</v>
      </c>
      <c r="AU161" s="123">
        <f t="shared" si="8"/>
        <v>0</v>
      </c>
      <c r="AV161" s="121">
        <f>SUMIFS('7SepTo13Sep'!$L:$L, '7SepTo13Sep'!$J:$J, $A161)</f>
        <v>0</v>
      </c>
      <c r="AW161" s="121">
        <f>SUMIFS('7SepTo13Sep'!$K:$K, '7SepTo13Sep'!$J:$J, $A161)</f>
        <v>0</v>
      </c>
      <c r="AX161" s="121">
        <f>SUMIFS('7SepTo13Sep'!$O:$O, '7SepTo13Sep'!$J:$J, $A161)</f>
        <v>0</v>
      </c>
      <c r="AY161" s="121">
        <f>SUMIFS('7SepTo13Sep'!$P:$P, '7SepTo13Sep'!$J:$J, $A161)</f>
        <v>0</v>
      </c>
      <c r="AZ161" s="123">
        <f t="shared" si="9"/>
        <v>0</v>
      </c>
      <c r="BA161" s="121">
        <f>SUMIFS('31AugTo6Sep'!$L:$L, '31AugTo6Sep'!$J:$J, $A161)</f>
        <v>0</v>
      </c>
      <c r="BB161" s="121">
        <f>SUMIFS('31AugTo6Sep'!$K:$K, '31AugTo6Sep'!$J:$J, $A161)</f>
        <v>0</v>
      </c>
      <c r="BC161" s="121">
        <f>SUMIFS('31AugTo6Sep'!$O:$O, '31AugTo6Sep'!$J:$J, $A161)</f>
        <v>0</v>
      </c>
      <c r="BD161" s="121">
        <f>SUMIFS('31AugTo6Sep'!$P:$P, '31AugTo6Sep'!$J:$J, $A161)</f>
        <v>0</v>
      </c>
      <c r="BE161" s="123">
        <f t="shared" si="10"/>
        <v>0</v>
      </c>
      <c r="BF161" s="121">
        <f>SUMIFS('24AugTo29Aug'!$L:$L, '24AugTo29Aug'!$J:$J, $A161)</f>
        <v>0</v>
      </c>
      <c r="BG161" s="121">
        <f>SUMIFS('24AugTo29Aug'!$K:$K, '24AugTo29Aug'!$J:$J, $A161)</f>
        <v>0</v>
      </c>
      <c r="BH161" s="121">
        <f>SUMIFS('24AugTo29Aug'!$O:$O, '24AugTo29Aug'!$J:$J, $A161)</f>
        <v>0</v>
      </c>
      <c r="BI161" s="121">
        <f>SUMIFS('24AugTo29Aug'!$P:$P, '24AugTo29Aug'!$J:$J, $A161)</f>
        <v>0</v>
      </c>
      <c r="BJ161" s="123">
        <f t="shared" si="11"/>
        <v>0</v>
      </c>
      <c r="BK161" s="121">
        <f>SUMIFS('17AugTo21Aug'!$L:$L, '17AugTo21Aug'!$J:$J, $A161)</f>
        <v>0</v>
      </c>
      <c r="BL161" s="121">
        <f>SUMIFS('17AugTo21Aug'!$K:$K, '17AugTo21Aug'!$J:$J, $A161)</f>
        <v>0</v>
      </c>
      <c r="BM161" s="121">
        <f>SUMIFS('17AugTo21Aug'!$O:$O, '17AugTo21Aug'!$J:$J, $A161)</f>
        <v>0</v>
      </c>
      <c r="BN161" s="121">
        <f>SUMIFS('17AugTo21Aug'!$P:$P, '17AugTo21Aug'!$J:$J, $A161)</f>
        <v>0</v>
      </c>
      <c r="BO161" s="123">
        <f t="shared" si="12"/>
        <v>0</v>
      </c>
      <c r="BP161" s="121">
        <f>SUMIFS('10AugTo16Aug'!$L:$L, '10AugTo16Aug'!$J:$J, $A161)</f>
        <v>3</v>
      </c>
      <c r="BQ161" s="121">
        <f>SUMIFS('10AugTo16Aug'!$K:$K, '10AugTo16Aug'!$J:$J, $A161)</f>
        <v>110</v>
      </c>
      <c r="BR161" s="121">
        <f>SUMIFS('10AugTo16Aug'!$O:$O, '10AugTo16Aug'!$J:$J, $A161)</f>
        <v>5.37</v>
      </c>
      <c r="BS161" s="121">
        <f>SUMIFS('10AugTo16Aug'!$P:$P, '10AugTo16Aug'!$J:$J, $A161)</f>
        <v>21.95</v>
      </c>
      <c r="BT161" s="123">
        <f t="shared" si="13"/>
        <v>24.464692482915716</v>
      </c>
      <c r="BU161" s="121">
        <f>SUMIFS('3AugTo9Aug'!$L:$L, '3AugTo9Aug'!$J:$J, $A161)</f>
        <v>0</v>
      </c>
      <c r="BV161" s="121">
        <f>SUMIFS('3AugTo9Aug'!$K:$K, '3AugTo9Aug'!$J:$J, $A161)</f>
        <v>0</v>
      </c>
      <c r="BW161" s="121">
        <f>SUMIFS('3AugTo9Aug'!$O:$O, '3AugTo9Aug'!$J:$J, $A161)</f>
        <v>0</v>
      </c>
      <c r="BX161" s="121">
        <f>SUMIFS('3AugTo9Aug'!$P:$P, '3AugTo9Aug'!$J:$J, $A161)</f>
        <v>0</v>
      </c>
      <c r="BY161" s="123">
        <f t="shared" si="14"/>
        <v>0</v>
      </c>
      <c r="BZ161" s="121">
        <f>SUMIFS('27JulyTo2Aug'!$L:$L, '27JulyTo2Aug'!$J:$J, $A161)</f>
        <v>0</v>
      </c>
      <c r="CA161" s="121">
        <f>SUMIFS('27JulyTo2Aug'!$K:$K, '27JulyTo2Aug'!$J:$J, $A161)</f>
        <v>0</v>
      </c>
      <c r="CB161" s="121">
        <f>SUMIFS('27JulyTo2Aug'!$O:$O, '27JulyTo2Aug'!$J:$J, $A161)</f>
        <v>0</v>
      </c>
      <c r="CC161" s="121">
        <f>SUMIFS('27JulyTo2Aug'!$P:$P, '27JulyTo2Aug'!$J:$J, $A161)</f>
        <v>0</v>
      </c>
      <c r="CD161" s="123">
        <f t="shared" si="15"/>
        <v>0</v>
      </c>
    </row>
    <row r="162" spans="1:82" ht="14.25" customHeight="1" x14ac:dyDescent="0.3">
      <c r="A162" s="124" t="s">
        <v>717</v>
      </c>
      <c r="B162" s="120" t="str">
        <f t="shared" si="18"/>
        <v>NO TRAFFIC</v>
      </c>
      <c r="C162" s="121">
        <f>SUMIFS('9NovTo15Nov'!$L:$L, '9NovTo15Nov'!$J:$J, $A162)</f>
        <v>0</v>
      </c>
      <c r="D162" s="121">
        <f>SUMIFS('9NovTo15Nov'!$K:$K, '9NovTo15Nov'!$J:$J, $A162)</f>
        <v>0</v>
      </c>
      <c r="E162" s="121">
        <f>SUMIFS('9NovTo15Nov'!$O:$O, '9NovTo15Nov'!$J:$J, $A162)</f>
        <v>0</v>
      </c>
      <c r="F162" s="121">
        <f>SUMIFS('9NovTo15Nov'!$P:$P, '9NovTo15Nov'!$J:$J, $A162)</f>
        <v>0</v>
      </c>
      <c r="G162" s="122">
        <f t="shared" si="0"/>
        <v>0</v>
      </c>
      <c r="H162" s="121">
        <f>SUMIFS('2NovTo8Nov'!$L:$L, '2NovTo8Nov'!$J:$J, $A162)</f>
        <v>0</v>
      </c>
      <c r="I162" s="121">
        <f>SUMIFS('2NovTo8Nov'!$K:$K, '2NovTo8Nov'!$J:$J, $A162)</f>
        <v>0</v>
      </c>
      <c r="J162" s="121">
        <f>SUMIFS('2NovTo8Nov'!$O:$O, '2NovTo8Nov'!$J:$J, $A162)</f>
        <v>0</v>
      </c>
      <c r="K162" s="121">
        <f>SUMIFS('2NovTo8Nov'!$P:$P, '2NovTo8Nov'!$J:$J, $A162)</f>
        <v>0</v>
      </c>
      <c r="L162" s="122">
        <f t="shared" si="1"/>
        <v>0</v>
      </c>
      <c r="M162" s="121">
        <f>SUMIFS('26OctTo1Nov'!$L:$L, '26OctTo1Nov'!$J:$J, $A162)</f>
        <v>0</v>
      </c>
      <c r="N162" s="121">
        <f>SUMIFS('26OctTo1Nov'!$K:$K, '26OctTo1Nov'!$J:$J, $A162)</f>
        <v>0</v>
      </c>
      <c r="O162" s="121">
        <f>SUMIFS('26OctTo1Nov'!$O:$O, '26OctTo1Nov'!$J:$J, $A162)</f>
        <v>0</v>
      </c>
      <c r="P162" s="121">
        <f>SUMIFS('26OctTo1Nov'!$P:$P, '26OctTo1Nov'!$J:$J, $A162)</f>
        <v>0</v>
      </c>
      <c r="Q162" s="122">
        <f t="shared" si="2"/>
        <v>0</v>
      </c>
      <c r="R162" s="121">
        <f>SUMIFS('19OctTo25Oct'!$L:$L, '19OctTo25Oct'!$J:$J, $A162)</f>
        <v>0</v>
      </c>
      <c r="S162" s="121">
        <f>SUMIFS('19OctTo25Oct'!$K:$K, '19OctTo25Oct'!$J:$J, $A162)</f>
        <v>0</v>
      </c>
      <c r="T162" s="121">
        <f>SUMIFS('19OctTo25Oct'!$O:$O, '19OctTo25Oct'!$J:$J, $A162)</f>
        <v>0</v>
      </c>
      <c r="U162" s="121">
        <f>SUMIFS('19OctTo25Oct'!$P:$P, '19OctTo25Oct'!$J:$J, $A162)</f>
        <v>0</v>
      </c>
      <c r="V162" s="122">
        <f t="shared" si="3"/>
        <v>0</v>
      </c>
      <c r="W162" s="121">
        <f>SUMIFS('12OctTo18Oct'!$L:$L, '12OctTo18Oct'!$J:$J, $A162)</f>
        <v>0</v>
      </c>
      <c r="X162" s="121">
        <f>SUMIFS('12OctTo18Oct'!$K:$K, '12OctTo18Oct'!$J:$J, $A162)</f>
        <v>0</v>
      </c>
      <c r="Y162" s="121">
        <f>SUMIFS('12OctTo18Oct'!$O:$O, '12OctTo18Oct'!$J:$J, $A162)</f>
        <v>0</v>
      </c>
      <c r="Z162" s="121">
        <f>SUMIFS('12OctTo18Oct'!$P:$P, '12OctTo18Oct'!$J:$J, $A162)</f>
        <v>0</v>
      </c>
      <c r="AA162" s="122">
        <f t="shared" si="4"/>
        <v>0</v>
      </c>
      <c r="AB162" s="121">
        <f>SUMIFS('5OctTo11Oct'!$L:$L, '5OctTo11Oct'!$J:$J, $A162)</f>
        <v>0</v>
      </c>
      <c r="AC162" s="121">
        <f>SUMIFS('5OctTo11Oct'!$K:$K, '5OctTo11Oct'!$J:$J, $A162)</f>
        <v>0</v>
      </c>
      <c r="AD162" s="121">
        <f>SUMIFS('5OctTo11Oct'!$O:$O, '5OctTo11Oct'!$J:$J, $A162)</f>
        <v>0</v>
      </c>
      <c r="AE162" s="121">
        <f>SUMIFS('5OctTo11Oct'!$P:$P, '5OctTo11Oct'!$J:$J, $A162)</f>
        <v>0</v>
      </c>
      <c r="AF162" s="123">
        <f t="shared" si="5"/>
        <v>0</v>
      </c>
      <c r="AG162" s="121">
        <f>SUMIFS('28SepTo4Oct'!$L:$L, '28SepTo4Oct'!$J:$J, $A162)</f>
        <v>0</v>
      </c>
      <c r="AH162" s="121">
        <f>SUMIFS('28SepTo4Oct'!$K:$K, '28SepTo4Oct'!$J:$J, $A162)</f>
        <v>0</v>
      </c>
      <c r="AI162" s="121">
        <f>SUMIFS('28SepTo4Oct'!$O:$O, '28SepTo4Oct'!$J:$J, $A162)</f>
        <v>0</v>
      </c>
      <c r="AJ162" s="121">
        <f>SUMIFS('28SepTo4Oct'!$P:$P, '28SepTo4Oct'!$J:$J, $A162)</f>
        <v>0</v>
      </c>
      <c r="AK162" s="123">
        <f t="shared" si="6"/>
        <v>0</v>
      </c>
      <c r="AL162" s="121">
        <f>SUMIFS('21SepTo27Sep'!$L:$L, '21SepTo27Sep'!$J:$J, $A162)</f>
        <v>0</v>
      </c>
      <c r="AM162" s="121">
        <f>SUMIFS('21SepTo27Sep'!$K:$K, '21SepTo27Sep'!$J:$J, $A162)</f>
        <v>0</v>
      </c>
      <c r="AN162" s="121">
        <f>SUMIFS('21SepTo27Sep'!$O:$O, '21SepTo27Sep'!$J:$J, $A162)</f>
        <v>0</v>
      </c>
      <c r="AO162" s="121">
        <f>SUMIFS('21SepTo27Sep'!$P:$P, '21SepTo27Sep'!$J:$J, $A162)</f>
        <v>0</v>
      </c>
      <c r="AP162" s="123">
        <f t="shared" si="7"/>
        <v>0</v>
      </c>
      <c r="AQ162" s="121">
        <f>SUMIFS('14SepTo20Sep'!$L:$L, '14SepTo20Sep'!$J:$J, $A162)</f>
        <v>0</v>
      </c>
      <c r="AR162" s="121">
        <f>SUMIFS('14SepTo20Sep'!$K:$K, '14SepTo20Sep'!$J:$J, $A162)</f>
        <v>0</v>
      </c>
      <c r="AS162" s="121">
        <f>SUMIFS('14SepTo20Sep'!$O:$O, '14SepTo20Sep'!$J:$J, $A162)</f>
        <v>0</v>
      </c>
      <c r="AT162" s="121">
        <f>SUMIFS('14SepTo20Sep'!$P:$P, '14SepTo20Sep'!$J:$J, $A162)</f>
        <v>0</v>
      </c>
      <c r="AU162" s="123">
        <f t="shared" si="8"/>
        <v>0</v>
      </c>
      <c r="AV162" s="121">
        <f>SUMIFS('7SepTo13Sep'!$L:$L, '7SepTo13Sep'!$J:$J, $A162)</f>
        <v>0</v>
      </c>
      <c r="AW162" s="121">
        <f>SUMIFS('7SepTo13Sep'!$K:$K, '7SepTo13Sep'!$J:$J, $A162)</f>
        <v>0</v>
      </c>
      <c r="AX162" s="121">
        <f>SUMIFS('7SepTo13Sep'!$O:$O, '7SepTo13Sep'!$J:$J, $A162)</f>
        <v>0</v>
      </c>
      <c r="AY162" s="121">
        <f>SUMIFS('7SepTo13Sep'!$P:$P, '7SepTo13Sep'!$J:$J, $A162)</f>
        <v>0</v>
      </c>
      <c r="AZ162" s="123">
        <f t="shared" si="9"/>
        <v>0</v>
      </c>
      <c r="BA162" s="121">
        <f>SUMIFS('31AugTo6Sep'!$L:$L, '31AugTo6Sep'!$J:$J, $A162)</f>
        <v>0</v>
      </c>
      <c r="BB162" s="121">
        <f>SUMIFS('31AugTo6Sep'!$K:$K, '31AugTo6Sep'!$J:$J, $A162)</f>
        <v>0</v>
      </c>
      <c r="BC162" s="121">
        <f>SUMIFS('31AugTo6Sep'!$O:$O, '31AugTo6Sep'!$J:$J, $A162)</f>
        <v>0</v>
      </c>
      <c r="BD162" s="121">
        <f>SUMIFS('31AugTo6Sep'!$P:$P, '31AugTo6Sep'!$J:$J, $A162)</f>
        <v>0</v>
      </c>
      <c r="BE162" s="123">
        <f t="shared" si="10"/>
        <v>0</v>
      </c>
      <c r="BF162" s="121">
        <f>SUMIFS('24AugTo29Aug'!$L:$L, '24AugTo29Aug'!$J:$J, $A162)</f>
        <v>0</v>
      </c>
      <c r="BG162" s="121">
        <f>SUMIFS('24AugTo29Aug'!$K:$K, '24AugTo29Aug'!$J:$J, $A162)</f>
        <v>0</v>
      </c>
      <c r="BH162" s="121">
        <f>SUMIFS('24AugTo29Aug'!$O:$O, '24AugTo29Aug'!$J:$J, $A162)</f>
        <v>0</v>
      </c>
      <c r="BI162" s="121">
        <f>SUMIFS('24AugTo29Aug'!$P:$P, '24AugTo29Aug'!$J:$J, $A162)</f>
        <v>0</v>
      </c>
      <c r="BJ162" s="123">
        <f t="shared" si="11"/>
        <v>0</v>
      </c>
      <c r="BK162" s="121">
        <f>SUMIFS('17AugTo21Aug'!$L:$L, '17AugTo21Aug'!$J:$J, $A162)</f>
        <v>0</v>
      </c>
      <c r="BL162" s="121">
        <f>SUMIFS('17AugTo21Aug'!$K:$K, '17AugTo21Aug'!$J:$J, $A162)</f>
        <v>0</v>
      </c>
      <c r="BM162" s="121">
        <f>SUMIFS('17AugTo21Aug'!$O:$O, '17AugTo21Aug'!$J:$J, $A162)</f>
        <v>0</v>
      </c>
      <c r="BN162" s="121">
        <f>SUMIFS('17AugTo21Aug'!$P:$P, '17AugTo21Aug'!$J:$J, $A162)</f>
        <v>0</v>
      </c>
      <c r="BO162" s="123">
        <f t="shared" si="12"/>
        <v>0</v>
      </c>
      <c r="BP162" s="121">
        <f>SUMIFS('10AugTo16Aug'!$L:$L, '10AugTo16Aug'!$J:$J, $A162)</f>
        <v>1</v>
      </c>
      <c r="BQ162" s="121">
        <f>SUMIFS('10AugTo16Aug'!$K:$K, '10AugTo16Aug'!$J:$J, $A162)</f>
        <v>1</v>
      </c>
      <c r="BR162" s="121">
        <f>SUMIFS('10AugTo16Aug'!$O:$O, '10AugTo16Aug'!$J:$J, $A162)</f>
        <v>2.5</v>
      </c>
      <c r="BS162" s="121">
        <f>SUMIFS('10AugTo16Aug'!$P:$P, '10AugTo16Aug'!$J:$J, $A162)</f>
        <v>24.94</v>
      </c>
      <c r="BT162" s="123">
        <f t="shared" si="13"/>
        <v>10.024057738572575</v>
      </c>
      <c r="BU162" s="121">
        <f>SUMIFS('3AugTo9Aug'!$L:$L, '3AugTo9Aug'!$J:$J, $A162)</f>
        <v>0</v>
      </c>
      <c r="BV162" s="121">
        <f>SUMIFS('3AugTo9Aug'!$K:$K, '3AugTo9Aug'!$J:$J, $A162)</f>
        <v>0</v>
      </c>
      <c r="BW162" s="121">
        <f>SUMIFS('3AugTo9Aug'!$O:$O, '3AugTo9Aug'!$J:$J, $A162)</f>
        <v>0</v>
      </c>
      <c r="BX162" s="121">
        <f>SUMIFS('3AugTo9Aug'!$P:$P, '3AugTo9Aug'!$J:$J, $A162)</f>
        <v>0</v>
      </c>
      <c r="BY162" s="123">
        <f t="shared" si="14"/>
        <v>0</v>
      </c>
      <c r="BZ162" s="121">
        <f>SUMIFS('27JulyTo2Aug'!$L:$L, '27JulyTo2Aug'!$J:$J, $A162)</f>
        <v>0</v>
      </c>
      <c r="CA162" s="121">
        <f>SUMIFS('27JulyTo2Aug'!$K:$K, '27JulyTo2Aug'!$J:$J, $A162)</f>
        <v>0</v>
      </c>
      <c r="CB162" s="121">
        <f>SUMIFS('27JulyTo2Aug'!$O:$O, '27JulyTo2Aug'!$J:$J, $A162)</f>
        <v>0</v>
      </c>
      <c r="CC162" s="121">
        <f>SUMIFS('27JulyTo2Aug'!$P:$P, '27JulyTo2Aug'!$J:$J, $A162)</f>
        <v>0</v>
      </c>
      <c r="CD162" s="123">
        <f t="shared" si="15"/>
        <v>0</v>
      </c>
    </row>
    <row r="163" spans="1:82" ht="14.25" customHeight="1" x14ac:dyDescent="0.3">
      <c r="A163" s="124" t="s">
        <v>723</v>
      </c>
      <c r="B163" s="120" t="str">
        <f t="shared" si="18"/>
        <v>NO TRAFFIC</v>
      </c>
      <c r="C163" s="121">
        <f>SUMIFS('9NovTo15Nov'!$L:$L, '9NovTo15Nov'!$J:$J, $A163)</f>
        <v>0</v>
      </c>
      <c r="D163" s="121">
        <f>SUMIFS('9NovTo15Nov'!$K:$K, '9NovTo15Nov'!$J:$J, $A163)</f>
        <v>0</v>
      </c>
      <c r="E163" s="121">
        <f>SUMIFS('9NovTo15Nov'!$O:$O, '9NovTo15Nov'!$J:$J, $A163)</f>
        <v>0</v>
      </c>
      <c r="F163" s="121">
        <f>SUMIFS('9NovTo15Nov'!$P:$P, '9NovTo15Nov'!$J:$J, $A163)</f>
        <v>0</v>
      </c>
      <c r="G163" s="122">
        <f t="shared" si="0"/>
        <v>0</v>
      </c>
      <c r="H163" s="121">
        <f>SUMIFS('2NovTo8Nov'!$L:$L, '2NovTo8Nov'!$J:$J, $A163)</f>
        <v>0</v>
      </c>
      <c r="I163" s="121">
        <f>SUMIFS('2NovTo8Nov'!$K:$K, '2NovTo8Nov'!$J:$J, $A163)</f>
        <v>0</v>
      </c>
      <c r="J163" s="121">
        <f>SUMIFS('2NovTo8Nov'!$O:$O, '2NovTo8Nov'!$J:$J, $A163)</f>
        <v>0</v>
      </c>
      <c r="K163" s="121">
        <f>SUMIFS('2NovTo8Nov'!$P:$P, '2NovTo8Nov'!$J:$J, $A163)</f>
        <v>0</v>
      </c>
      <c r="L163" s="122">
        <f t="shared" si="1"/>
        <v>0</v>
      </c>
      <c r="M163" s="121">
        <f>SUMIFS('26OctTo1Nov'!$L:$L, '26OctTo1Nov'!$J:$J, $A163)</f>
        <v>0</v>
      </c>
      <c r="N163" s="121">
        <f>SUMIFS('26OctTo1Nov'!$K:$K, '26OctTo1Nov'!$J:$J, $A163)</f>
        <v>0</v>
      </c>
      <c r="O163" s="121">
        <f>SUMIFS('26OctTo1Nov'!$O:$O, '26OctTo1Nov'!$J:$J, $A163)</f>
        <v>0</v>
      </c>
      <c r="P163" s="121">
        <f>SUMIFS('26OctTo1Nov'!$P:$P, '26OctTo1Nov'!$J:$J, $A163)</f>
        <v>0</v>
      </c>
      <c r="Q163" s="122">
        <f t="shared" si="2"/>
        <v>0</v>
      </c>
      <c r="R163" s="121">
        <f>SUMIFS('19OctTo25Oct'!$L:$L, '19OctTo25Oct'!$J:$J, $A163)</f>
        <v>0</v>
      </c>
      <c r="S163" s="121">
        <f>SUMIFS('19OctTo25Oct'!$K:$K, '19OctTo25Oct'!$J:$J, $A163)</f>
        <v>0</v>
      </c>
      <c r="T163" s="121">
        <f>SUMIFS('19OctTo25Oct'!$O:$O, '19OctTo25Oct'!$J:$J, $A163)</f>
        <v>0</v>
      </c>
      <c r="U163" s="121">
        <f>SUMIFS('19OctTo25Oct'!$P:$P, '19OctTo25Oct'!$J:$J, $A163)</f>
        <v>0</v>
      </c>
      <c r="V163" s="122">
        <f t="shared" si="3"/>
        <v>0</v>
      </c>
      <c r="W163" s="121">
        <f>SUMIFS('12OctTo18Oct'!$L:$L, '12OctTo18Oct'!$J:$J, $A163)</f>
        <v>0</v>
      </c>
      <c r="X163" s="121">
        <f>SUMIFS('12OctTo18Oct'!$K:$K, '12OctTo18Oct'!$J:$J, $A163)</f>
        <v>0</v>
      </c>
      <c r="Y163" s="121">
        <f>SUMIFS('12OctTo18Oct'!$O:$O, '12OctTo18Oct'!$J:$J, $A163)</f>
        <v>0</v>
      </c>
      <c r="Z163" s="121">
        <f>SUMIFS('12OctTo18Oct'!$P:$P, '12OctTo18Oct'!$J:$J, $A163)</f>
        <v>0</v>
      </c>
      <c r="AA163" s="122">
        <f t="shared" si="4"/>
        <v>0</v>
      </c>
      <c r="AB163" s="121">
        <f>SUMIFS('5OctTo11Oct'!$L:$L, '5OctTo11Oct'!$J:$J, $A163)</f>
        <v>0</v>
      </c>
      <c r="AC163" s="121">
        <f>SUMIFS('5OctTo11Oct'!$K:$K, '5OctTo11Oct'!$J:$J, $A163)</f>
        <v>0</v>
      </c>
      <c r="AD163" s="121">
        <f>SUMIFS('5OctTo11Oct'!$O:$O, '5OctTo11Oct'!$J:$J, $A163)</f>
        <v>0</v>
      </c>
      <c r="AE163" s="121">
        <f>SUMIFS('5OctTo11Oct'!$P:$P, '5OctTo11Oct'!$J:$J, $A163)</f>
        <v>0</v>
      </c>
      <c r="AF163" s="123">
        <f t="shared" si="5"/>
        <v>0</v>
      </c>
      <c r="AG163" s="121">
        <f>SUMIFS('28SepTo4Oct'!$L:$L, '28SepTo4Oct'!$J:$J, $A163)</f>
        <v>0</v>
      </c>
      <c r="AH163" s="121">
        <f>SUMIFS('28SepTo4Oct'!$K:$K, '28SepTo4Oct'!$J:$J, $A163)</f>
        <v>0</v>
      </c>
      <c r="AI163" s="121">
        <f>SUMIFS('28SepTo4Oct'!$O:$O, '28SepTo4Oct'!$J:$J, $A163)</f>
        <v>0</v>
      </c>
      <c r="AJ163" s="121">
        <f>SUMIFS('28SepTo4Oct'!$P:$P, '28SepTo4Oct'!$J:$J, $A163)</f>
        <v>0</v>
      </c>
      <c r="AK163" s="123">
        <f t="shared" si="6"/>
        <v>0</v>
      </c>
      <c r="AL163" s="121">
        <f>SUMIFS('21SepTo27Sep'!$L:$L, '21SepTo27Sep'!$J:$J, $A163)</f>
        <v>0</v>
      </c>
      <c r="AM163" s="121">
        <f>SUMIFS('21SepTo27Sep'!$K:$K, '21SepTo27Sep'!$J:$J, $A163)</f>
        <v>0</v>
      </c>
      <c r="AN163" s="121">
        <f>SUMIFS('21SepTo27Sep'!$O:$O, '21SepTo27Sep'!$J:$J, $A163)</f>
        <v>0</v>
      </c>
      <c r="AO163" s="121">
        <f>SUMIFS('21SepTo27Sep'!$P:$P, '21SepTo27Sep'!$J:$J, $A163)</f>
        <v>0</v>
      </c>
      <c r="AP163" s="123">
        <f t="shared" si="7"/>
        <v>0</v>
      </c>
      <c r="AQ163" s="121">
        <f>SUMIFS('14SepTo20Sep'!$L:$L, '14SepTo20Sep'!$J:$J, $A163)</f>
        <v>0</v>
      </c>
      <c r="AR163" s="121">
        <f>SUMIFS('14SepTo20Sep'!$K:$K, '14SepTo20Sep'!$J:$J, $A163)</f>
        <v>0</v>
      </c>
      <c r="AS163" s="121">
        <f>SUMIFS('14SepTo20Sep'!$O:$O, '14SepTo20Sep'!$J:$J, $A163)</f>
        <v>0</v>
      </c>
      <c r="AT163" s="121">
        <f>SUMIFS('14SepTo20Sep'!$P:$P, '14SepTo20Sep'!$J:$J, $A163)</f>
        <v>0</v>
      </c>
      <c r="AU163" s="123">
        <f t="shared" si="8"/>
        <v>0</v>
      </c>
      <c r="AV163" s="121">
        <f>SUMIFS('7SepTo13Sep'!$L:$L, '7SepTo13Sep'!$J:$J, $A163)</f>
        <v>0</v>
      </c>
      <c r="AW163" s="121">
        <f>SUMIFS('7SepTo13Sep'!$K:$K, '7SepTo13Sep'!$J:$J, $A163)</f>
        <v>0</v>
      </c>
      <c r="AX163" s="121">
        <f>SUMIFS('7SepTo13Sep'!$O:$O, '7SepTo13Sep'!$J:$J, $A163)</f>
        <v>0</v>
      </c>
      <c r="AY163" s="121">
        <f>SUMIFS('7SepTo13Sep'!$P:$P, '7SepTo13Sep'!$J:$J, $A163)</f>
        <v>0</v>
      </c>
      <c r="AZ163" s="123">
        <f t="shared" si="9"/>
        <v>0</v>
      </c>
      <c r="BA163" s="121">
        <f>SUMIFS('31AugTo6Sep'!$L:$L, '31AugTo6Sep'!$J:$J, $A163)</f>
        <v>0</v>
      </c>
      <c r="BB163" s="121">
        <f>SUMIFS('31AugTo6Sep'!$K:$K, '31AugTo6Sep'!$J:$J, $A163)</f>
        <v>0</v>
      </c>
      <c r="BC163" s="121">
        <f>SUMIFS('31AugTo6Sep'!$O:$O, '31AugTo6Sep'!$J:$J, $A163)</f>
        <v>0</v>
      </c>
      <c r="BD163" s="121">
        <f>SUMIFS('31AugTo6Sep'!$P:$P, '31AugTo6Sep'!$J:$J, $A163)</f>
        <v>0</v>
      </c>
      <c r="BE163" s="123">
        <f t="shared" si="10"/>
        <v>0</v>
      </c>
      <c r="BF163" s="121">
        <f>SUMIFS('24AugTo29Aug'!$L:$L, '24AugTo29Aug'!$J:$J, $A163)</f>
        <v>0</v>
      </c>
      <c r="BG163" s="121">
        <f>SUMIFS('24AugTo29Aug'!$K:$K, '24AugTo29Aug'!$J:$J, $A163)</f>
        <v>0</v>
      </c>
      <c r="BH163" s="121">
        <f>SUMIFS('24AugTo29Aug'!$O:$O, '24AugTo29Aug'!$J:$J, $A163)</f>
        <v>0</v>
      </c>
      <c r="BI163" s="121">
        <f>SUMIFS('24AugTo29Aug'!$P:$P, '24AugTo29Aug'!$J:$J, $A163)</f>
        <v>0</v>
      </c>
      <c r="BJ163" s="123">
        <f t="shared" si="11"/>
        <v>0</v>
      </c>
      <c r="BK163" s="121">
        <f>SUMIFS('17AugTo21Aug'!$L:$L, '17AugTo21Aug'!$J:$J, $A163)</f>
        <v>0</v>
      </c>
      <c r="BL163" s="121">
        <f>SUMIFS('17AugTo21Aug'!$K:$K, '17AugTo21Aug'!$J:$J, $A163)</f>
        <v>0</v>
      </c>
      <c r="BM163" s="121">
        <f>SUMIFS('17AugTo21Aug'!$O:$O, '17AugTo21Aug'!$J:$J, $A163)</f>
        <v>0</v>
      </c>
      <c r="BN163" s="121">
        <f>SUMIFS('17AugTo21Aug'!$P:$P, '17AugTo21Aug'!$J:$J, $A163)</f>
        <v>0</v>
      </c>
      <c r="BO163" s="123">
        <f t="shared" si="12"/>
        <v>0</v>
      </c>
      <c r="BP163" s="121">
        <f>SUMIFS('10AugTo16Aug'!$L:$L, '10AugTo16Aug'!$J:$J, $A163)</f>
        <v>1</v>
      </c>
      <c r="BQ163" s="121">
        <f>SUMIFS('10AugTo16Aug'!$K:$K, '10AugTo16Aug'!$J:$J, $A163)</f>
        <v>6</v>
      </c>
      <c r="BR163" s="121">
        <f>SUMIFS('10AugTo16Aug'!$O:$O, '10AugTo16Aug'!$J:$J, $A163)</f>
        <v>2</v>
      </c>
      <c r="BS163" s="121">
        <f>SUMIFS('10AugTo16Aug'!$P:$P, '10AugTo16Aug'!$J:$J, $A163)</f>
        <v>21.95</v>
      </c>
      <c r="BT163" s="123">
        <f t="shared" si="13"/>
        <v>9.1116173120728927</v>
      </c>
      <c r="BU163" s="121">
        <f>SUMIFS('3AugTo9Aug'!$L:$L, '3AugTo9Aug'!$J:$J, $A163)</f>
        <v>0</v>
      </c>
      <c r="BV163" s="121">
        <f>SUMIFS('3AugTo9Aug'!$K:$K, '3AugTo9Aug'!$J:$J, $A163)</f>
        <v>0</v>
      </c>
      <c r="BW163" s="121">
        <f>SUMIFS('3AugTo9Aug'!$O:$O, '3AugTo9Aug'!$J:$J, $A163)</f>
        <v>0</v>
      </c>
      <c r="BX163" s="121">
        <f>SUMIFS('3AugTo9Aug'!$P:$P, '3AugTo9Aug'!$J:$J, $A163)</f>
        <v>0</v>
      </c>
      <c r="BY163" s="123">
        <f t="shared" si="14"/>
        <v>0</v>
      </c>
      <c r="BZ163" s="121">
        <f>SUMIFS('27JulyTo2Aug'!$L:$L, '27JulyTo2Aug'!$J:$J, $A163)</f>
        <v>0</v>
      </c>
      <c r="CA163" s="121">
        <f>SUMIFS('27JulyTo2Aug'!$K:$K, '27JulyTo2Aug'!$J:$J, $A163)</f>
        <v>0</v>
      </c>
      <c r="CB163" s="121">
        <f>SUMIFS('27JulyTo2Aug'!$O:$O, '27JulyTo2Aug'!$J:$J, $A163)</f>
        <v>0</v>
      </c>
      <c r="CC163" s="121">
        <f>SUMIFS('27JulyTo2Aug'!$P:$P, '27JulyTo2Aug'!$J:$J, $A163)</f>
        <v>0</v>
      </c>
      <c r="CD163" s="123">
        <f t="shared" si="15"/>
        <v>0</v>
      </c>
    </row>
    <row r="164" spans="1:82" ht="14.25" customHeight="1" x14ac:dyDescent="0.3">
      <c r="A164" s="124" t="s">
        <v>725</v>
      </c>
      <c r="B164" s="120" t="str">
        <f t="shared" si="18"/>
        <v>NO TRAFFIC</v>
      </c>
      <c r="C164" s="121">
        <f>SUMIFS('9NovTo15Nov'!$L:$L, '9NovTo15Nov'!$J:$J, $A164)</f>
        <v>0</v>
      </c>
      <c r="D164" s="121">
        <f>SUMIFS('9NovTo15Nov'!$K:$K, '9NovTo15Nov'!$J:$J, $A164)</f>
        <v>0</v>
      </c>
      <c r="E164" s="121">
        <f>SUMIFS('9NovTo15Nov'!$O:$O, '9NovTo15Nov'!$J:$J, $A164)</f>
        <v>0</v>
      </c>
      <c r="F164" s="121">
        <f>SUMIFS('9NovTo15Nov'!$P:$P, '9NovTo15Nov'!$J:$J, $A164)</f>
        <v>0</v>
      </c>
      <c r="G164" s="122">
        <f t="shared" si="0"/>
        <v>0</v>
      </c>
      <c r="H164" s="121">
        <f>SUMIFS('2NovTo8Nov'!$L:$L, '2NovTo8Nov'!$J:$J, $A164)</f>
        <v>0</v>
      </c>
      <c r="I164" s="121">
        <f>SUMIFS('2NovTo8Nov'!$K:$K, '2NovTo8Nov'!$J:$J, $A164)</f>
        <v>0</v>
      </c>
      <c r="J164" s="121">
        <f>SUMIFS('2NovTo8Nov'!$O:$O, '2NovTo8Nov'!$J:$J, $A164)</f>
        <v>0</v>
      </c>
      <c r="K164" s="121">
        <f>SUMIFS('2NovTo8Nov'!$P:$P, '2NovTo8Nov'!$J:$J, $A164)</f>
        <v>0</v>
      </c>
      <c r="L164" s="122">
        <f t="shared" si="1"/>
        <v>0</v>
      </c>
      <c r="M164" s="121">
        <f>SUMIFS('26OctTo1Nov'!$L:$L, '26OctTo1Nov'!$J:$J, $A164)</f>
        <v>0</v>
      </c>
      <c r="N164" s="121">
        <f>SUMIFS('26OctTo1Nov'!$K:$K, '26OctTo1Nov'!$J:$J, $A164)</f>
        <v>0</v>
      </c>
      <c r="O164" s="121">
        <f>SUMIFS('26OctTo1Nov'!$O:$O, '26OctTo1Nov'!$J:$J, $A164)</f>
        <v>0</v>
      </c>
      <c r="P164" s="121">
        <f>SUMIFS('26OctTo1Nov'!$P:$P, '26OctTo1Nov'!$J:$J, $A164)</f>
        <v>0</v>
      </c>
      <c r="Q164" s="122">
        <f t="shared" si="2"/>
        <v>0</v>
      </c>
      <c r="R164" s="121">
        <f>SUMIFS('19OctTo25Oct'!$L:$L, '19OctTo25Oct'!$J:$J, $A164)</f>
        <v>0</v>
      </c>
      <c r="S164" s="121">
        <f>SUMIFS('19OctTo25Oct'!$K:$K, '19OctTo25Oct'!$J:$J, $A164)</f>
        <v>0</v>
      </c>
      <c r="T164" s="121">
        <f>SUMIFS('19OctTo25Oct'!$O:$O, '19OctTo25Oct'!$J:$J, $A164)</f>
        <v>0</v>
      </c>
      <c r="U164" s="121">
        <f>SUMIFS('19OctTo25Oct'!$P:$P, '19OctTo25Oct'!$J:$J, $A164)</f>
        <v>0</v>
      </c>
      <c r="V164" s="122">
        <f t="shared" si="3"/>
        <v>0</v>
      </c>
      <c r="W164" s="121">
        <f>SUMIFS('12OctTo18Oct'!$L:$L, '12OctTo18Oct'!$J:$J, $A164)</f>
        <v>0</v>
      </c>
      <c r="X164" s="121">
        <f>SUMIFS('12OctTo18Oct'!$K:$K, '12OctTo18Oct'!$J:$J, $A164)</f>
        <v>0</v>
      </c>
      <c r="Y164" s="121">
        <f>SUMIFS('12OctTo18Oct'!$O:$O, '12OctTo18Oct'!$J:$J, $A164)</f>
        <v>0</v>
      </c>
      <c r="Z164" s="121">
        <f>SUMIFS('12OctTo18Oct'!$P:$P, '12OctTo18Oct'!$J:$J, $A164)</f>
        <v>0</v>
      </c>
      <c r="AA164" s="122">
        <f t="shared" si="4"/>
        <v>0</v>
      </c>
      <c r="AB164" s="121">
        <f>SUMIFS('5OctTo11Oct'!$L:$L, '5OctTo11Oct'!$J:$J, $A164)</f>
        <v>0</v>
      </c>
      <c r="AC164" s="121">
        <f>SUMIFS('5OctTo11Oct'!$K:$K, '5OctTo11Oct'!$J:$J, $A164)</f>
        <v>0</v>
      </c>
      <c r="AD164" s="121">
        <f>SUMIFS('5OctTo11Oct'!$O:$O, '5OctTo11Oct'!$J:$J, $A164)</f>
        <v>0</v>
      </c>
      <c r="AE164" s="121">
        <f>SUMIFS('5OctTo11Oct'!$P:$P, '5OctTo11Oct'!$J:$J, $A164)</f>
        <v>0</v>
      </c>
      <c r="AF164" s="123">
        <f t="shared" si="5"/>
        <v>0</v>
      </c>
      <c r="AG164" s="121">
        <f>SUMIFS('28SepTo4Oct'!$L:$L, '28SepTo4Oct'!$J:$J, $A164)</f>
        <v>0</v>
      </c>
      <c r="AH164" s="121">
        <f>SUMIFS('28SepTo4Oct'!$K:$K, '28SepTo4Oct'!$J:$J, $A164)</f>
        <v>0</v>
      </c>
      <c r="AI164" s="121">
        <f>SUMIFS('28SepTo4Oct'!$O:$O, '28SepTo4Oct'!$J:$J, $A164)</f>
        <v>0</v>
      </c>
      <c r="AJ164" s="121">
        <f>SUMIFS('28SepTo4Oct'!$P:$P, '28SepTo4Oct'!$J:$J, $A164)</f>
        <v>0</v>
      </c>
      <c r="AK164" s="123">
        <f t="shared" si="6"/>
        <v>0</v>
      </c>
      <c r="AL164" s="121">
        <f>SUMIFS('21SepTo27Sep'!$L:$L, '21SepTo27Sep'!$J:$J, $A164)</f>
        <v>0</v>
      </c>
      <c r="AM164" s="121">
        <f>SUMIFS('21SepTo27Sep'!$K:$K, '21SepTo27Sep'!$J:$J, $A164)</f>
        <v>0</v>
      </c>
      <c r="AN164" s="121">
        <f>SUMIFS('21SepTo27Sep'!$O:$O, '21SepTo27Sep'!$J:$J, $A164)</f>
        <v>0</v>
      </c>
      <c r="AO164" s="121">
        <f>SUMIFS('21SepTo27Sep'!$P:$P, '21SepTo27Sep'!$J:$J, $A164)</f>
        <v>0</v>
      </c>
      <c r="AP164" s="123">
        <f t="shared" si="7"/>
        <v>0</v>
      </c>
      <c r="AQ164" s="121">
        <f>SUMIFS('14SepTo20Sep'!$L:$L, '14SepTo20Sep'!$J:$J, $A164)</f>
        <v>0</v>
      </c>
      <c r="AR164" s="121">
        <f>SUMIFS('14SepTo20Sep'!$K:$K, '14SepTo20Sep'!$J:$J, $A164)</f>
        <v>0</v>
      </c>
      <c r="AS164" s="121">
        <f>SUMIFS('14SepTo20Sep'!$O:$O, '14SepTo20Sep'!$J:$J, $A164)</f>
        <v>0</v>
      </c>
      <c r="AT164" s="121">
        <f>SUMIFS('14SepTo20Sep'!$P:$P, '14SepTo20Sep'!$J:$J, $A164)</f>
        <v>0</v>
      </c>
      <c r="AU164" s="123">
        <f t="shared" si="8"/>
        <v>0</v>
      </c>
      <c r="AV164" s="121">
        <f>SUMIFS('7SepTo13Sep'!$L:$L, '7SepTo13Sep'!$J:$J, $A164)</f>
        <v>0</v>
      </c>
      <c r="AW164" s="121">
        <f>SUMIFS('7SepTo13Sep'!$K:$K, '7SepTo13Sep'!$J:$J, $A164)</f>
        <v>0</v>
      </c>
      <c r="AX164" s="121">
        <f>SUMIFS('7SepTo13Sep'!$O:$O, '7SepTo13Sep'!$J:$J, $A164)</f>
        <v>0</v>
      </c>
      <c r="AY164" s="121">
        <f>SUMIFS('7SepTo13Sep'!$P:$P, '7SepTo13Sep'!$J:$J, $A164)</f>
        <v>0</v>
      </c>
      <c r="AZ164" s="123">
        <f t="shared" si="9"/>
        <v>0</v>
      </c>
      <c r="BA164" s="121">
        <f>SUMIFS('31AugTo6Sep'!$L:$L, '31AugTo6Sep'!$J:$J, $A164)</f>
        <v>0</v>
      </c>
      <c r="BB164" s="121">
        <f>SUMIFS('31AugTo6Sep'!$K:$K, '31AugTo6Sep'!$J:$J, $A164)</f>
        <v>0</v>
      </c>
      <c r="BC164" s="121">
        <f>SUMIFS('31AugTo6Sep'!$O:$O, '31AugTo6Sep'!$J:$J, $A164)</f>
        <v>0</v>
      </c>
      <c r="BD164" s="121">
        <f>SUMIFS('31AugTo6Sep'!$P:$P, '31AugTo6Sep'!$J:$J, $A164)</f>
        <v>0</v>
      </c>
      <c r="BE164" s="123">
        <f t="shared" si="10"/>
        <v>0</v>
      </c>
      <c r="BF164" s="121">
        <f>SUMIFS('24AugTo29Aug'!$L:$L, '24AugTo29Aug'!$J:$J, $A164)</f>
        <v>0</v>
      </c>
      <c r="BG164" s="121">
        <f>SUMIFS('24AugTo29Aug'!$K:$K, '24AugTo29Aug'!$J:$J, $A164)</f>
        <v>0</v>
      </c>
      <c r="BH164" s="121">
        <f>SUMIFS('24AugTo29Aug'!$O:$O, '24AugTo29Aug'!$J:$J, $A164)</f>
        <v>0</v>
      </c>
      <c r="BI164" s="121">
        <f>SUMIFS('24AugTo29Aug'!$P:$P, '24AugTo29Aug'!$J:$J, $A164)</f>
        <v>0</v>
      </c>
      <c r="BJ164" s="123">
        <f t="shared" si="11"/>
        <v>0</v>
      </c>
      <c r="BK164" s="121">
        <f>SUMIFS('17AugTo21Aug'!$L:$L, '17AugTo21Aug'!$J:$J, $A164)</f>
        <v>0</v>
      </c>
      <c r="BL164" s="121">
        <f>SUMIFS('17AugTo21Aug'!$K:$K, '17AugTo21Aug'!$J:$J, $A164)</f>
        <v>0</v>
      </c>
      <c r="BM164" s="121">
        <f>SUMIFS('17AugTo21Aug'!$O:$O, '17AugTo21Aug'!$J:$J, $A164)</f>
        <v>0</v>
      </c>
      <c r="BN164" s="121">
        <f>SUMIFS('17AugTo21Aug'!$P:$P, '17AugTo21Aug'!$J:$J, $A164)</f>
        <v>0</v>
      </c>
      <c r="BO164" s="123">
        <f t="shared" si="12"/>
        <v>0</v>
      </c>
      <c r="BP164" s="121">
        <f>SUMIFS('10AugTo16Aug'!$L:$L, '10AugTo16Aug'!$J:$J, $A164)</f>
        <v>1</v>
      </c>
      <c r="BQ164" s="121">
        <f>SUMIFS('10AugTo16Aug'!$K:$K, '10AugTo16Aug'!$J:$J, $A164)</f>
        <v>1</v>
      </c>
      <c r="BR164" s="121">
        <f>SUMIFS('10AugTo16Aug'!$O:$O, '10AugTo16Aug'!$J:$J, $A164)</f>
        <v>0.35</v>
      </c>
      <c r="BS164" s="121">
        <f>SUMIFS('10AugTo16Aug'!$P:$P, '10AugTo16Aug'!$J:$J, $A164)</f>
        <v>24.94</v>
      </c>
      <c r="BT164" s="123">
        <f t="shared" si="13"/>
        <v>1.4033680834001603</v>
      </c>
      <c r="BU164" s="121">
        <f>SUMIFS('3AugTo9Aug'!$L:$L, '3AugTo9Aug'!$J:$J, $A164)</f>
        <v>0</v>
      </c>
      <c r="BV164" s="121">
        <f>SUMIFS('3AugTo9Aug'!$K:$K, '3AugTo9Aug'!$J:$J, $A164)</f>
        <v>0</v>
      </c>
      <c r="BW164" s="121">
        <f>SUMIFS('3AugTo9Aug'!$O:$O, '3AugTo9Aug'!$J:$J, $A164)</f>
        <v>0</v>
      </c>
      <c r="BX164" s="121">
        <f>SUMIFS('3AugTo9Aug'!$P:$P, '3AugTo9Aug'!$J:$J, $A164)</f>
        <v>0</v>
      </c>
      <c r="BY164" s="123">
        <f t="shared" si="14"/>
        <v>0</v>
      </c>
      <c r="BZ164" s="121">
        <f>SUMIFS('27JulyTo2Aug'!$L:$L, '27JulyTo2Aug'!$J:$J, $A164)</f>
        <v>0</v>
      </c>
      <c r="CA164" s="121">
        <f>SUMIFS('27JulyTo2Aug'!$K:$K, '27JulyTo2Aug'!$J:$J, $A164)</f>
        <v>0</v>
      </c>
      <c r="CB164" s="121">
        <f>SUMIFS('27JulyTo2Aug'!$O:$O, '27JulyTo2Aug'!$J:$J, $A164)</f>
        <v>0</v>
      </c>
      <c r="CC164" s="121">
        <f>SUMIFS('27JulyTo2Aug'!$P:$P, '27JulyTo2Aug'!$J:$J, $A164)</f>
        <v>0</v>
      </c>
      <c r="CD164" s="123">
        <f t="shared" si="15"/>
        <v>0</v>
      </c>
    </row>
    <row r="165" spans="1:82" ht="14.25" customHeight="1" x14ac:dyDescent="0.3">
      <c r="A165" s="124" t="s">
        <v>735</v>
      </c>
      <c r="B165" s="120" t="str">
        <f t="shared" si="18"/>
        <v>NO TRAFFIC</v>
      </c>
      <c r="C165" s="121">
        <f>SUMIFS('9NovTo15Nov'!$L:$L, '9NovTo15Nov'!$J:$J, $A165)</f>
        <v>0</v>
      </c>
      <c r="D165" s="121">
        <f>SUMIFS('9NovTo15Nov'!$K:$K, '9NovTo15Nov'!$J:$J, $A165)</f>
        <v>0</v>
      </c>
      <c r="E165" s="121">
        <f>SUMIFS('9NovTo15Nov'!$O:$O, '9NovTo15Nov'!$J:$J, $A165)</f>
        <v>0</v>
      </c>
      <c r="F165" s="121">
        <f>SUMIFS('9NovTo15Nov'!$P:$P, '9NovTo15Nov'!$J:$J, $A165)</f>
        <v>0</v>
      </c>
      <c r="G165" s="122">
        <f t="shared" si="0"/>
        <v>0</v>
      </c>
      <c r="H165" s="121">
        <f>SUMIFS('2NovTo8Nov'!$L:$L, '2NovTo8Nov'!$J:$J, $A165)</f>
        <v>0</v>
      </c>
      <c r="I165" s="121">
        <f>SUMIFS('2NovTo8Nov'!$K:$K, '2NovTo8Nov'!$J:$J, $A165)</f>
        <v>0</v>
      </c>
      <c r="J165" s="121">
        <f>SUMIFS('2NovTo8Nov'!$O:$O, '2NovTo8Nov'!$J:$J, $A165)</f>
        <v>0</v>
      </c>
      <c r="K165" s="121">
        <f>SUMIFS('2NovTo8Nov'!$P:$P, '2NovTo8Nov'!$J:$J, $A165)</f>
        <v>0</v>
      </c>
      <c r="L165" s="122">
        <f t="shared" si="1"/>
        <v>0</v>
      </c>
      <c r="M165" s="121">
        <f>SUMIFS('26OctTo1Nov'!$L:$L, '26OctTo1Nov'!$J:$J, $A165)</f>
        <v>0</v>
      </c>
      <c r="N165" s="121">
        <f>SUMIFS('26OctTo1Nov'!$K:$K, '26OctTo1Nov'!$J:$J, $A165)</f>
        <v>0</v>
      </c>
      <c r="O165" s="121">
        <f>SUMIFS('26OctTo1Nov'!$O:$O, '26OctTo1Nov'!$J:$J, $A165)</f>
        <v>0</v>
      </c>
      <c r="P165" s="121">
        <f>SUMIFS('26OctTo1Nov'!$P:$P, '26OctTo1Nov'!$J:$J, $A165)</f>
        <v>0</v>
      </c>
      <c r="Q165" s="122">
        <f t="shared" si="2"/>
        <v>0</v>
      </c>
      <c r="R165" s="121">
        <f>SUMIFS('19OctTo25Oct'!$L:$L, '19OctTo25Oct'!$J:$J, $A165)</f>
        <v>0</v>
      </c>
      <c r="S165" s="121">
        <f>SUMIFS('19OctTo25Oct'!$K:$K, '19OctTo25Oct'!$J:$J, $A165)</f>
        <v>0</v>
      </c>
      <c r="T165" s="121">
        <f>SUMIFS('19OctTo25Oct'!$O:$O, '19OctTo25Oct'!$J:$J, $A165)</f>
        <v>0</v>
      </c>
      <c r="U165" s="121">
        <f>SUMIFS('19OctTo25Oct'!$P:$P, '19OctTo25Oct'!$J:$J, $A165)</f>
        <v>0</v>
      </c>
      <c r="V165" s="122">
        <f t="shared" si="3"/>
        <v>0</v>
      </c>
      <c r="W165" s="121">
        <f>SUMIFS('12OctTo18Oct'!$L:$L, '12OctTo18Oct'!$J:$J, $A165)</f>
        <v>0</v>
      </c>
      <c r="X165" s="121">
        <f>SUMIFS('12OctTo18Oct'!$K:$K, '12OctTo18Oct'!$J:$J, $A165)</f>
        <v>0</v>
      </c>
      <c r="Y165" s="121">
        <f>SUMIFS('12OctTo18Oct'!$O:$O, '12OctTo18Oct'!$J:$J, $A165)</f>
        <v>0</v>
      </c>
      <c r="Z165" s="121">
        <f>SUMIFS('12OctTo18Oct'!$P:$P, '12OctTo18Oct'!$J:$J, $A165)</f>
        <v>0</v>
      </c>
      <c r="AA165" s="122">
        <f t="shared" si="4"/>
        <v>0</v>
      </c>
      <c r="AB165" s="121">
        <f>SUMIFS('5OctTo11Oct'!$L:$L, '5OctTo11Oct'!$J:$J, $A165)</f>
        <v>0</v>
      </c>
      <c r="AC165" s="121">
        <f>SUMIFS('5OctTo11Oct'!$K:$K, '5OctTo11Oct'!$J:$J, $A165)</f>
        <v>0</v>
      </c>
      <c r="AD165" s="121">
        <f>SUMIFS('5OctTo11Oct'!$O:$O, '5OctTo11Oct'!$J:$J, $A165)</f>
        <v>0</v>
      </c>
      <c r="AE165" s="121">
        <f>SUMIFS('5OctTo11Oct'!$P:$P, '5OctTo11Oct'!$J:$J, $A165)</f>
        <v>0</v>
      </c>
      <c r="AF165" s="123">
        <f t="shared" si="5"/>
        <v>0</v>
      </c>
      <c r="AG165" s="121">
        <f>SUMIFS('28SepTo4Oct'!$L:$L, '28SepTo4Oct'!$J:$J, $A165)</f>
        <v>0</v>
      </c>
      <c r="AH165" s="121">
        <f>SUMIFS('28SepTo4Oct'!$K:$K, '28SepTo4Oct'!$J:$J, $A165)</f>
        <v>0</v>
      </c>
      <c r="AI165" s="121">
        <f>SUMIFS('28SepTo4Oct'!$O:$O, '28SepTo4Oct'!$J:$J, $A165)</f>
        <v>0</v>
      </c>
      <c r="AJ165" s="121">
        <f>SUMIFS('28SepTo4Oct'!$P:$P, '28SepTo4Oct'!$J:$J, $A165)</f>
        <v>0</v>
      </c>
      <c r="AK165" s="123">
        <f t="shared" si="6"/>
        <v>0</v>
      </c>
      <c r="AL165" s="121">
        <f>SUMIFS('21SepTo27Sep'!$L:$L, '21SepTo27Sep'!$J:$J, $A165)</f>
        <v>0</v>
      </c>
      <c r="AM165" s="121">
        <f>SUMIFS('21SepTo27Sep'!$K:$K, '21SepTo27Sep'!$J:$J, $A165)</f>
        <v>0</v>
      </c>
      <c r="AN165" s="121">
        <f>SUMIFS('21SepTo27Sep'!$O:$O, '21SepTo27Sep'!$J:$J, $A165)</f>
        <v>0</v>
      </c>
      <c r="AO165" s="121">
        <f>SUMIFS('21SepTo27Sep'!$P:$P, '21SepTo27Sep'!$J:$J, $A165)</f>
        <v>0</v>
      </c>
      <c r="AP165" s="123">
        <f t="shared" si="7"/>
        <v>0</v>
      </c>
      <c r="AQ165" s="121">
        <f>SUMIFS('14SepTo20Sep'!$L:$L, '14SepTo20Sep'!$J:$J, $A165)</f>
        <v>0</v>
      </c>
      <c r="AR165" s="121">
        <f>SUMIFS('14SepTo20Sep'!$K:$K, '14SepTo20Sep'!$J:$J, $A165)</f>
        <v>0</v>
      </c>
      <c r="AS165" s="121">
        <f>SUMIFS('14SepTo20Sep'!$O:$O, '14SepTo20Sep'!$J:$J, $A165)</f>
        <v>0</v>
      </c>
      <c r="AT165" s="121">
        <f>SUMIFS('14SepTo20Sep'!$P:$P, '14SepTo20Sep'!$J:$J, $A165)</f>
        <v>0</v>
      </c>
      <c r="AU165" s="123">
        <f t="shared" si="8"/>
        <v>0</v>
      </c>
      <c r="AV165" s="121">
        <f>SUMIFS('7SepTo13Sep'!$L:$L, '7SepTo13Sep'!$J:$J, $A165)</f>
        <v>0</v>
      </c>
      <c r="AW165" s="121">
        <f>SUMIFS('7SepTo13Sep'!$K:$K, '7SepTo13Sep'!$J:$J, $A165)</f>
        <v>0</v>
      </c>
      <c r="AX165" s="121">
        <f>SUMIFS('7SepTo13Sep'!$O:$O, '7SepTo13Sep'!$J:$J, $A165)</f>
        <v>0</v>
      </c>
      <c r="AY165" s="121">
        <f>SUMIFS('7SepTo13Sep'!$P:$P, '7SepTo13Sep'!$J:$J, $A165)</f>
        <v>0</v>
      </c>
      <c r="AZ165" s="123">
        <f t="shared" si="9"/>
        <v>0</v>
      </c>
      <c r="BA165" s="121">
        <f>SUMIFS('31AugTo6Sep'!$L:$L, '31AugTo6Sep'!$J:$J, $A165)</f>
        <v>0</v>
      </c>
      <c r="BB165" s="121">
        <f>SUMIFS('31AugTo6Sep'!$K:$K, '31AugTo6Sep'!$J:$J, $A165)</f>
        <v>0</v>
      </c>
      <c r="BC165" s="121">
        <f>SUMIFS('31AugTo6Sep'!$O:$O, '31AugTo6Sep'!$J:$J, $A165)</f>
        <v>0</v>
      </c>
      <c r="BD165" s="121">
        <f>SUMIFS('31AugTo6Sep'!$P:$P, '31AugTo6Sep'!$J:$J, $A165)</f>
        <v>0</v>
      </c>
      <c r="BE165" s="123">
        <f t="shared" si="10"/>
        <v>0</v>
      </c>
      <c r="BF165" s="121">
        <f>SUMIFS('24AugTo29Aug'!$L:$L, '24AugTo29Aug'!$J:$J, $A165)</f>
        <v>0</v>
      </c>
      <c r="BG165" s="121">
        <f>SUMIFS('24AugTo29Aug'!$K:$K, '24AugTo29Aug'!$J:$J, $A165)</f>
        <v>0</v>
      </c>
      <c r="BH165" s="121">
        <f>SUMIFS('24AugTo29Aug'!$O:$O, '24AugTo29Aug'!$J:$J, $A165)</f>
        <v>0</v>
      </c>
      <c r="BI165" s="121">
        <f>SUMIFS('24AugTo29Aug'!$P:$P, '24AugTo29Aug'!$J:$J, $A165)</f>
        <v>0</v>
      </c>
      <c r="BJ165" s="123">
        <f t="shared" si="11"/>
        <v>0</v>
      </c>
      <c r="BK165" s="121">
        <f>SUMIFS('17AugTo21Aug'!$L:$L, '17AugTo21Aug'!$J:$J, $A165)</f>
        <v>0</v>
      </c>
      <c r="BL165" s="121">
        <f>SUMIFS('17AugTo21Aug'!$K:$K, '17AugTo21Aug'!$J:$J, $A165)</f>
        <v>0</v>
      </c>
      <c r="BM165" s="121">
        <f>SUMIFS('17AugTo21Aug'!$O:$O, '17AugTo21Aug'!$J:$J, $A165)</f>
        <v>0</v>
      </c>
      <c r="BN165" s="121">
        <f>SUMIFS('17AugTo21Aug'!$P:$P, '17AugTo21Aug'!$J:$J, $A165)</f>
        <v>0</v>
      </c>
      <c r="BO165" s="123">
        <f t="shared" si="12"/>
        <v>0</v>
      </c>
      <c r="BP165" s="121">
        <f>SUMIFS('10AugTo16Aug'!$L:$L, '10AugTo16Aug'!$J:$J, $A165)</f>
        <v>1</v>
      </c>
      <c r="BQ165" s="121">
        <f>SUMIFS('10AugTo16Aug'!$K:$K, '10AugTo16Aug'!$J:$J, $A165)</f>
        <v>2</v>
      </c>
      <c r="BR165" s="121">
        <f>SUMIFS('10AugTo16Aug'!$O:$O, '10AugTo16Aug'!$J:$J, $A165)</f>
        <v>3.02</v>
      </c>
      <c r="BS165" s="121">
        <f>SUMIFS('10AugTo16Aug'!$P:$P, '10AugTo16Aug'!$J:$J, $A165)</f>
        <v>24.94</v>
      </c>
      <c r="BT165" s="123">
        <f t="shared" si="13"/>
        <v>12.109061748195669</v>
      </c>
      <c r="BU165" s="121">
        <f>SUMIFS('3AugTo9Aug'!$L:$L, '3AugTo9Aug'!$J:$J, $A165)</f>
        <v>0</v>
      </c>
      <c r="BV165" s="121">
        <f>SUMIFS('3AugTo9Aug'!$K:$K, '3AugTo9Aug'!$J:$J, $A165)</f>
        <v>0</v>
      </c>
      <c r="BW165" s="121">
        <f>SUMIFS('3AugTo9Aug'!$O:$O, '3AugTo9Aug'!$J:$J, $A165)</f>
        <v>0</v>
      </c>
      <c r="BX165" s="121">
        <f>SUMIFS('3AugTo9Aug'!$P:$P, '3AugTo9Aug'!$J:$J, $A165)</f>
        <v>0</v>
      </c>
      <c r="BY165" s="123">
        <f t="shared" si="14"/>
        <v>0</v>
      </c>
      <c r="BZ165" s="121">
        <f>SUMIFS('27JulyTo2Aug'!$L:$L, '27JulyTo2Aug'!$J:$J, $A165)</f>
        <v>0</v>
      </c>
      <c r="CA165" s="121">
        <f>SUMIFS('27JulyTo2Aug'!$K:$K, '27JulyTo2Aug'!$J:$J, $A165)</f>
        <v>0</v>
      </c>
      <c r="CB165" s="121">
        <f>SUMIFS('27JulyTo2Aug'!$O:$O, '27JulyTo2Aug'!$J:$J, $A165)</f>
        <v>0</v>
      </c>
      <c r="CC165" s="121">
        <f>SUMIFS('27JulyTo2Aug'!$P:$P, '27JulyTo2Aug'!$J:$J, $A165)</f>
        <v>0</v>
      </c>
      <c r="CD165" s="123">
        <f t="shared" si="15"/>
        <v>0</v>
      </c>
    </row>
    <row r="166" spans="1:82" ht="14.25" customHeight="1" x14ac:dyDescent="0.3">
      <c r="A166" s="124" t="s">
        <v>744</v>
      </c>
      <c r="B166" s="120" t="str">
        <f t="shared" si="18"/>
        <v>NO TRAFFIC</v>
      </c>
      <c r="C166" s="121">
        <f>SUMIFS('9NovTo15Nov'!$L:$L, '9NovTo15Nov'!$J:$J, $A166)</f>
        <v>0</v>
      </c>
      <c r="D166" s="121">
        <f>SUMIFS('9NovTo15Nov'!$K:$K, '9NovTo15Nov'!$J:$J, $A166)</f>
        <v>0</v>
      </c>
      <c r="E166" s="121">
        <f>SUMIFS('9NovTo15Nov'!$O:$O, '9NovTo15Nov'!$J:$J, $A166)</f>
        <v>0</v>
      </c>
      <c r="F166" s="121">
        <f>SUMIFS('9NovTo15Nov'!$P:$P, '9NovTo15Nov'!$J:$J, $A166)</f>
        <v>0</v>
      </c>
      <c r="G166" s="122">
        <f t="shared" si="0"/>
        <v>0</v>
      </c>
      <c r="H166" s="121">
        <f>SUMIFS('2NovTo8Nov'!$L:$L, '2NovTo8Nov'!$J:$J, $A166)</f>
        <v>0</v>
      </c>
      <c r="I166" s="121">
        <f>SUMIFS('2NovTo8Nov'!$K:$K, '2NovTo8Nov'!$J:$J, $A166)</f>
        <v>0</v>
      </c>
      <c r="J166" s="121">
        <f>SUMIFS('2NovTo8Nov'!$O:$O, '2NovTo8Nov'!$J:$J, $A166)</f>
        <v>0</v>
      </c>
      <c r="K166" s="121">
        <f>SUMIFS('2NovTo8Nov'!$P:$P, '2NovTo8Nov'!$J:$J, $A166)</f>
        <v>0</v>
      </c>
      <c r="L166" s="122">
        <f t="shared" si="1"/>
        <v>0</v>
      </c>
      <c r="M166" s="121">
        <f>SUMIFS('26OctTo1Nov'!$L:$L, '26OctTo1Nov'!$J:$J, $A166)</f>
        <v>0</v>
      </c>
      <c r="N166" s="121">
        <f>SUMIFS('26OctTo1Nov'!$K:$K, '26OctTo1Nov'!$J:$J, $A166)</f>
        <v>0</v>
      </c>
      <c r="O166" s="121">
        <f>SUMIFS('26OctTo1Nov'!$O:$O, '26OctTo1Nov'!$J:$J, $A166)</f>
        <v>0</v>
      </c>
      <c r="P166" s="121">
        <f>SUMIFS('26OctTo1Nov'!$P:$P, '26OctTo1Nov'!$J:$J, $A166)</f>
        <v>0</v>
      </c>
      <c r="Q166" s="122">
        <f t="shared" si="2"/>
        <v>0</v>
      </c>
      <c r="R166" s="121">
        <f>SUMIFS('19OctTo25Oct'!$L:$L, '19OctTo25Oct'!$J:$J, $A166)</f>
        <v>0</v>
      </c>
      <c r="S166" s="121">
        <f>SUMIFS('19OctTo25Oct'!$K:$K, '19OctTo25Oct'!$J:$J, $A166)</f>
        <v>0</v>
      </c>
      <c r="T166" s="121">
        <f>SUMIFS('19OctTo25Oct'!$O:$O, '19OctTo25Oct'!$J:$J, $A166)</f>
        <v>0</v>
      </c>
      <c r="U166" s="121">
        <f>SUMIFS('19OctTo25Oct'!$P:$P, '19OctTo25Oct'!$J:$J, $A166)</f>
        <v>0</v>
      </c>
      <c r="V166" s="122">
        <f t="shared" si="3"/>
        <v>0</v>
      </c>
      <c r="W166" s="121">
        <f>SUMIFS('12OctTo18Oct'!$L:$L, '12OctTo18Oct'!$J:$J, $A166)</f>
        <v>0</v>
      </c>
      <c r="X166" s="121">
        <f>SUMIFS('12OctTo18Oct'!$K:$K, '12OctTo18Oct'!$J:$J, $A166)</f>
        <v>0</v>
      </c>
      <c r="Y166" s="121">
        <f>SUMIFS('12OctTo18Oct'!$O:$O, '12OctTo18Oct'!$J:$J, $A166)</f>
        <v>0</v>
      </c>
      <c r="Z166" s="121">
        <f>SUMIFS('12OctTo18Oct'!$P:$P, '12OctTo18Oct'!$J:$J, $A166)</f>
        <v>0</v>
      </c>
      <c r="AA166" s="122">
        <f t="shared" si="4"/>
        <v>0</v>
      </c>
      <c r="AB166" s="121">
        <f>SUMIFS('5OctTo11Oct'!$L:$L, '5OctTo11Oct'!$J:$J, $A166)</f>
        <v>0</v>
      </c>
      <c r="AC166" s="121">
        <f>SUMIFS('5OctTo11Oct'!$K:$K, '5OctTo11Oct'!$J:$J, $A166)</f>
        <v>0</v>
      </c>
      <c r="AD166" s="121">
        <f>SUMIFS('5OctTo11Oct'!$O:$O, '5OctTo11Oct'!$J:$J, $A166)</f>
        <v>0</v>
      </c>
      <c r="AE166" s="121">
        <f>SUMIFS('5OctTo11Oct'!$P:$P, '5OctTo11Oct'!$J:$J, $A166)</f>
        <v>0</v>
      </c>
      <c r="AF166" s="123">
        <f t="shared" si="5"/>
        <v>0</v>
      </c>
      <c r="AG166" s="121">
        <f>SUMIFS('28SepTo4Oct'!$L:$L, '28SepTo4Oct'!$J:$J, $A166)</f>
        <v>0</v>
      </c>
      <c r="AH166" s="121">
        <f>SUMIFS('28SepTo4Oct'!$K:$K, '28SepTo4Oct'!$J:$J, $A166)</f>
        <v>0</v>
      </c>
      <c r="AI166" s="121">
        <f>SUMIFS('28SepTo4Oct'!$O:$O, '28SepTo4Oct'!$J:$J, $A166)</f>
        <v>0</v>
      </c>
      <c r="AJ166" s="121">
        <f>SUMIFS('28SepTo4Oct'!$P:$P, '28SepTo4Oct'!$J:$J, $A166)</f>
        <v>0</v>
      </c>
      <c r="AK166" s="123">
        <f t="shared" si="6"/>
        <v>0</v>
      </c>
      <c r="AL166" s="121">
        <f>SUMIFS('21SepTo27Sep'!$L:$L, '21SepTo27Sep'!$J:$J, $A166)</f>
        <v>0</v>
      </c>
      <c r="AM166" s="121">
        <f>SUMIFS('21SepTo27Sep'!$K:$K, '21SepTo27Sep'!$J:$J, $A166)</f>
        <v>0</v>
      </c>
      <c r="AN166" s="121">
        <f>SUMIFS('21SepTo27Sep'!$O:$O, '21SepTo27Sep'!$J:$J, $A166)</f>
        <v>0</v>
      </c>
      <c r="AO166" s="121">
        <f>SUMIFS('21SepTo27Sep'!$P:$P, '21SepTo27Sep'!$J:$J, $A166)</f>
        <v>0</v>
      </c>
      <c r="AP166" s="123">
        <f t="shared" si="7"/>
        <v>0</v>
      </c>
      <c r="AQ166" s="121">
        <f>SUMIFS('14SepTo20Sep'!$L:$L, '14SepTo20Sep'!$J:$J, $A166)</f>
        <v>0</v>
      </c>
      <c r="AR166" s="121">
        <f>SUMIFS('14SepTo20Sep'!$K:$K, '14SepTo20Sep'!$J:$J, $A166)</f>
        <v>0</v>
      </c>
      <c r="AS166" s="121">
        <f>SUMIFS('14SepTo20Sep'!$O:$O, '14SepTo20Sep'!$J:$J, $A166)</f>
        <v>0</v>
      </c>
      <c r="AT166" s="121">
        <f>SUMIFS('14SepTo20Sep'!$P:$P, '14SepTo20Sep'!$J:$J, $A166)</f>
        <v>0</v>
      </c>
      <c r="AU166" s="123">
        <f t="shared" si="8"/>
        <v>0</v>
      </c>
      <c r="AV166" s="121">
        <f>SUMIFS('7SepTo13Sep'!$L:$L, '7SepTo13Sep'!$J:$J, $A166)</f>
        <v>0</v>
      </c>
      <c r="AW166" s="121">
        <f>SUMIFS('7SepTo13Sep'!$K:$K, '7SepTo13Sep'!$J:$J, $A166)</f>
        <v>0</v>
      </c>
      <c r="AX166" s="121">
        <f>SUMIFS('7SepTo13Sep'!$O:$O, '7SepTo13Sep'!$J:$J, $A166)</f>
        <v>0</v>
      </c>
      <c r="AY166" s="121">
        <f>SUMIFS('7SepTo13Sep'!$P:$P, '7SepTo13Sep'!$J:$J, $A166)</f>
        <v>0</v>
      </c>
      <c r="AZ166" s="123">
        <f t="shared" si="9"/>
        <v>0</v>
      </c>
      <c r="BA166" s="121">
        <f>SUMIFS('31AugTo6Sep'!$L:$L, '31AugTo6Sep'!$J:$J, $A166)</f>
        <v>0</v>
      </c>
      <c r="BB166" s="121">
        <f>SUMIFS('31AugTo6Sep'!$K:$K, '31AugTo6Sep'!$J:$J, $A166)</f>
        <v>0</v>
      </c>
      <c r="BC166" s="121">
        <f>SUMIFS('31AugTo6Sep'!$O:$O, '31AugTo6Sep'!$J:$J, $A166)</f>
        <v>0</v>
      </c>
      <c r="BD166" s="121">
        <f>SUMIFS('31AugTo6Sep'!$P:$P, '31AugTo6Sep'!$J:$J, $A166)</f>
        <v>0</v>
      </c>
      <c r="BE166" s="123">
        <f t="shared" si="10"/>
        <v>0</v>
      </c>
      <c r="BF166" s="121">
        <f>SUMIFS('24AugTo29Aug'!$L:$L, '24AugTo29Aug'!$J:$J, $A166)</f>
        <v>0</v>
      </c>
      <c r="BG166" s="121">
        <f>SUMIFS('24AugTo29Aug'!$K:$K, '24AugTo29Aug'!$J:$J, $A166)</f>
        <v>0</v>
      </c>
      <c r="BH166" s="121">
        <f>SUMIFS('24AugTo29Aug'!$O:$O, '24AugTo29Aug'!$J:$J, $A166)</f>
        <v>0</v>
      </c>
      <c r="BI166" s="121">
        <f>SUMIFS('24AugTo29Aug'!$P:$P, '24AugTo29Aug'!$J:$J, $A166)</f>
        <v>0</v>
      </c>
      <c r="BJ166" s="123">
        <f t="shared" si="11"/>
        <v>0</v>
      </c>
      <c r="BK166" s="121">
        <f>SUMIFS('17AugTo21Aug'!$L:$L, '17AugTo21Aug'!$J:$J, $A166)</f>
        <v>0</v>
      </c>
      <c r="BL166" s="121">
        <f>SUMIFS('17AugTo21Aug'!$K:$K, '17AugTo21Aug'!$J:$J, $A166)</f>
        <v>0</v>
      </c>
      <c r="BM166" s="121">
        <f>SUMIFS('17AugTo21Aug'!$O:$O, '17AugTo21Aug'!$J:$J, $A166)</f>
        <v>0</v>
      </c>
      <c r="BN166" s="121">
        <f>SUMIFS('17AugTo21Aug'!$P:$P, '17AugTo21Aug'!$J:$J, $A166)</f>
        <v>0</v>
      </c>
      <c r="BO166" s="123">
        <f t="shared" si="12"/>
        <v>0</v>
      </c>
      <c r="BP166" s="121">
        <f>SUMIFS('10AugTo16Aug'!$L:$L, '10AugTo16Aug'!$J:$J, $A166)</f>
        <v>1</v>
      </c>
      <c r="BQ166" s="121">
        <f>SUMIFS('10AugTo16Aug'!$K:$K, '10AugTo16Aug'!$J:$J, $A166)</f>
        <v>1</v>
      </c>
      <c r="BR166" s="121">
        <f>SUMIFS('10AugTo16Aug'!$O:$O, '10AugTo16Aug'!$J:$J, $A166)</f>
        <v>2.08</v>
      </c>
      <c r="BS166" s="121">
        <f>SUMIFS('10AugTo16Aug'!$P:$P, '10AugTo16Aug'!$J:$J, $A166)</f>
        <v>24.94</v>
      </c>
      <c r="BT166" s="123">
        <f t="shared" si="13"/>
        <v>8.3400160384923812</v>
      </c>
      <c r="BU166" s="121">
        <f>SUMIFS('3AugTo9Aug'!$L:$L, '3AugTo9Aug'!$J:$J, $A166)</f>
        <v>0</v>
      </c>
      <c r="BV166" s="121">
        <f>SUMIFS('3AugTo9Aug'!$K:$K, '3AugTo9Aug'!$J:$J, $A166)</f>
        <v>0</v>
      </c>
      <c r="BW166" s="121">
        <f>SUMIFS('3AugTo9Aug'!$O:$O, '3AugTo9Aug'!$J:$J, $A166)</f>
        <v>0</v>
      </c>
      <c r="BX166" s="121">
        <f>SUMIFS('3AugTo9Aug'!$P:$P, '3AugTo9Aug'!$J:$J, $A166)</f>
        <v>0</v>
      </c>
      <c r="BY166" s="123">
        <f t="shared" si="14"/>
        <v>0</v>
      </c>
      <c r="BZ166" s="121">
        <f>SUMIFS('27JulyTo2Aug'!$L:$L, '27JulyTo2Aug'!$J:$J, $A166)</f>
        <v>0</v>
      </c>
      <c r="CA166" s="121">
        <f>SUMIFS('27JulyTo2Aug'!$K:$K, '27JulyTo2Aug'!$J:$J, $A166)</f>
        <v>0</v>
      </c>
      <c r="CB166" s="121">
        <f>SUMIFS('27JulyTo2Aug'!$O:$O, '27JulyTo2Aug'!$J:$J, $A166)</f>
        <v>0</v>
      </c>
      <c r="CC166" s="121">
        <f>SUMIFS('27JulyTo2Aug'!$P:$P, '27JulyTo2Aug'!$J:$J, $A166)</f>
        <v>0</v>
      </c>
      <c r="CD166" s="123">
        <f t="shared" si="15"/>
        <v>0</v>
      </c>
    </row>
    <row r="167" spans="1:82" ht="14.25" customHeight="1" x14ac:dyDescent="0.3">
      <c r="A167" s="124" t="s">
        <v>750</v>
      </c>
      <c r="B167" s="120" t="str">
        <f t="shared" si="18"/>
        <v>NO TRAFFIC</v>
      </c>
      <c r="C167" s="121">
        <f>SUMIFS('9NovTo15Nov'!$L:$L, '9NovTo15Nov'!$J:$J, $A167)</f>
        <v>0</v>
      </c>
      <c r="D167" s="121">
        <f>SUMIFS('9NovTo15Nov'!$K:$K, '9NovTo15Nov'!$J:$J, $A167)</f>
        <v>0</v>
      </c>
      <c r="E167" s="121">
        <f>SUMIFS('9NovTo15Nov'!$O:$O, '9NovTo15Nov'!$J:$J, $A167)</f>
        <v>0</v>
      </c>
      <c r="F167" s="121">
        <f>SUMIFS('9NovTo15Nov'!$P:$P, '9NovTo15Nov'!$J:$J, $A167)</f>
        <v>0</v>
      </c>
      <c r="G167" s="122">
        <f t="shared" si="0"/>
        <v>0</v>
      </c>
      <c r="H167" s="121">
        <f>SUMIFS('2NovTo8Nov'!$L:$L, '2NovTo8Nov'!$J:$J, $A167)</f>
        <v>0</v>
      </c>
      <c r="I167" s="121">
        <f>SUMIFS('2NovTo8Nov'!$K:$K, '2NovTo8Nov'!$J:$J, $A167)</f>
        <v>0</v>
      </c>
      <c r="J167" s="121">
        <f>SUMIFS('2NovTo8Nov'!$O:$O, '2NovTo8Nov'!$J:$J, $A167)</f>
        <v>0</v>
      </c>
      <c r="K167" s="121">
        <f>SUMIFS('2NovTo8Nov'!$P:$P, '2NovTo8Nov'!$J:$J, $A167)</f>
        <v>0</v>
      </c>
      <c r="L167" s="122">
        <f t="shared" si="1"/>
        <v>0</v>
      </c>
      <c r="M167" s="121">
        <f>SUMIFS('26OctTo1Nov'!$L:$L, '26OctTo1Nov'!$J:$J, $A167)</f>
        <v>0</v>
      </c>
      <c r="N167" s="121">
        <f>SUMIFS('26OctTo1Nov'!$K:$K, '26OctTo1Nov'!$J:$J, $A167)</f>
        <v>0</v>
      </c>
      <c r="O167" s="121">
        <f>SUMIFS('26OctTo1Nov'!$O:$O, '26OctTo1Nov'!$J:$J, $A167)</f>
        <v>0</v>
      </c>
      <c r="P167" s="121">
        <f>SUMIFS('26OctTo1Nov'!$P:$P, '26OctTo1Nov'!$J:$J, $A167)</f>
        <v>0</v>
      </c>
      <c r="Q167" s="122">
        <f t="shared" si="2"/>
        <v>0</v>
      </c>
      <c r="R167" s="121">
        <f>SUMIFS('19OctTo25Oct'!$L:$L, '19OctTo25Oct'!$J:$J, $A167)</f>
        <v>0</v>
      </c>
      <c r="S167" s="121">
        <f>SUMIFS('19OctTo25Oct'!$K:$K, '19OctTo25Oct'!$J:$J, $A167)</f>
        <v>0</v>
      </c>
      <c r="T167" s="121">
        <f>SUMIFS('19OctTo25Oct'!$O:$O, '19OctTo25Oct'!$J:$J, $A167)</f>
        <v>0</v>
      </c>
      <c r="U167" s="121">
        <f>SUMIFS('19OctTo25Oct'!$P:$P, '19OctTo25Oct'!$J:$J, $A167)</f>
        <v>0</v>
      </c>
      <c r="V167" s="122">
        <f t="shared" si="3"/>
        <v>0</v>
      </c>
      <c r="W167" s="121">
        <f>SUMIFS('12OctTo18Oct'!$L:$L, '12OctTo18Oct'!$J:$J, $A167)</f>
        <v>0</v>
      </c>
      <c r="X167" s="121">
        <f>SUMIFS('12OctTo18Oct'!$K:$K, '12OctTo18Oct'!$J:$J, $A167)</f>
        <v>0</v>
      </c>
      <c r="Y167" s="121">
        <f>SUMIFS('12OctTo18Oct'!$O:$O, '12OctTo18Oct'!$J:$J, $A167)</f>
        <v>0</v>
      </c>
      <c r="Z167" s="121">
        <f>SUMIFS('12OctTo18Oct'!$P:$P, '12OctTo18Oct'!$J:$J, $A167)</f>
        <v>0</v>
      </c>
      <c r="AA167" s="122">
        <f t="shared" si="4"/>
        <v>0</v>
      </c>
      <c r="AB167" s="121">
        <f>SUMIFS('5OctTo11Oct'!$L:$L, '5OctTo11Oct'!$J:$J, $A167)</f>
        <v>0</v>
      </c>
      <c r="AC167" s="121">
        <f>SUMIFS('5OctTo11Oct'!$K:$K, '5OctTo11Oct'!$J:$J, $A167)</f>
        <v>0</v>
      </c>
      <c r="AD167" s="121">
        <f>SUMIFS('5OctTo11Oct'!$O:$O, '5OctTo11Oct'!$J:$J, $A167)</f>
        <v>0</v>
      </c>
      <c r="AE167" s="121">
        <f>SUMIFS('5OctTo11Oct'!$P:$P, '5OctTo11Oct'!$J:$J, $A167)</f>
        <v>0</v>
      </c>
      <c r="AF167" s="123">
        <f t="shared" si="5"/>
        <v>0</v>
      </c>
      <c r="AG167" s="121">
        <f>SUMIFS('28SepTo4Oct'!$L:$L, '28SepTo4Oct'!$J:$J, $A167)</f>
        <v>0</v>
      </c>
      <c r="AH167" s="121">
        <f>SUMIFS('28SepTo4Oct'!$K:$K, '28SepTo4Oct'!$J:$J, $A167)</f>
        <v>0</v>
      </c>
      <c r="AI167" s="121">
        <f>SUMIFS('28SepTo4Oct'!$O:$O, '28SepTo4Oct'!$J:$J, $A167)</f>
        <v>0</v>
      </c>
      <c r="AJ167" s="121">
        <f>SUMIFS('28SepTo4Oct'!$P:$P, '28SepTo4Oct'!$J:$J, $A167)</f>
        <v>0</v>
      </c>
      <c r="AK167" s="123">
        <f t="shared" si="6"/>
        <v>0</v>
      </c>
      <c r="AL167" s="121">
        <f>SUMIFS('21SepTo27Sep'!$L:$L, '21SepTo27Sep'!$J:$J, $A167)</f>
        <v>0</v>
      </c>
      <c r="AM167" s="121">
        <f>SUMIFS('21SepTo27Sep'!$K:$K, '21SepTo27Sep'!$J:$J, $A167)</f>
        <v>0</v>
      </c>
      <c r="AN167" s="121">
        <f>SUMIFS('21SepTo27Sep'!$O:$O, '21SepTo27Sep'!$J:$J, $A167)</f>
        <v>0</v>
      </c>
      <c r="AO167" s="121">
        <f>SUMIFS('21SepTo27Sep'!$P:$P, '21SepTo27Sep'!$J:$J, $A167)</f>
        <v>0</v>
      </c>
      <c r="AP167" s="123">
        <f t="shared" si="7"/>
        <v>0</v>
      </c>
      <c r="AQ167" s="121">
        <f>SUMIFS('14SepTo20Sep'!$L:$L, '14SepTo20Sep'!$J:$J, $A167)</f>
        <v>0</v>
      </c>
      <c r="AR167" s="121">
        <f>SUMIFS('14SepTo20Sep'!$K:$K, '14SepTo20Sep'!$J:$J, $A167)</f>
        <v>0</v>
      </c>
      <c r="AS167" s="121">
        <f>SUMIFS('14SepTo20Sep'!$O:$O, '14SepTo20Sep'!$J:$J, $A167)</f>
        <v>0</v>
      </c>
      <c r="AT167" s="121">
        <f>SUMIFS('14SepTo20Sep'!$P:$P, '14SepTo20Sep'!$J:$J, $A167)</f>
        <v>0</v>
      </c>
      <c r="AU167" s="123">
        <f t="shared" si="8"/>
        <v>0</v>
      </c>
      <c r="AV167" s="121">
        <f>SUMIFS('7SepTo13Sep'!$L:$L, '7SepTo13Sep'!$J:$J, $A167)</f>
        <v>0</v>
      </c>
      <c r="AW167" s="121">
        <f>SUMIFS('7SepTo13Sep'!$K:$K, '7SepTo13Sep'!$J:$J, $A167)</f>
        <v>0</v>
      </c>
      <c r="AX167" s="121">
        <f>SUMIFS('7SepTo13Sep'!$O:$O, '7SepTo13Sep'!$J:$J, $A167)</f>
        <v>0</v>
      </c>
      <c r="AY167" s="121">
        <f>SUMIFS('7SepTo13Sep'!$P:$P, '7SepTo13Sep'!$J:$J, $A167)</f>
        <v>0</v>
      </c>
      <c r="AZ167" s="123">
        <f t="shared" si="9"/>
        <v>0</v>
      </c>
      <c r="BA167" s="121">
        <f>SUMIFS('31AugTo6Sep'!$L:$L, '31AugTo6Sep'!$J:$J, $A167)</f>
        <v>0</v>
      </c>
      <c r="BB167" s="121">
        <f>SUMIFS('31AugTo6Sep'!$K:$K, '31AugTo6Sep'!$J:$J, $A167)</f>
        <v>0</v>
      </c>
      <c r="BC167" s="121">
        <f>SUMIFS('31AugTo6Sep'!$O:$O, '31AugTo6Sep'!$J:$J, $A167)</f>
        <v>0</v>
      </c>
      <c r="BD167" s="121">
        <f>SUMIFS('31AugTo6Sep'!$P:$P, '31AugTo6Sep'!$J:$J, $A167)</f>
        <v>0</v>
      </c>
      <c r="BE167" s="123">
        <f t="shared" si="10"/>
        <v>0</v>
      </c>
      <c r="BF167" s="121">
        <f>SUMIFS('24AugTo29Aug'!$L:$L, '24AugTo29Aug'!$J:$J, $A167)</f>
        <v>0</v>
      </c>
      <c r="BG167" s="121">
        <f>SUMIFS('24AugTo29Aug'!$K:$K, '24AugTo29Aug'!$J:$J, $A167)</f>
        <v>0</v>
      </c>
      <c r="BH167" s="121">
        <f>SUMIFS('24AugTo29Aug'!$O:$O, '24AugTo29Aug'!$J:$J, $A167)</f>
        <v>0</v>
      </c>
      <c r="BI167" s="121">
        <f>SUMIFS('24AugTo29Aug'!$P:$P, '24AugTo29Aug'!$J:$J, $A167)</f>
        <v>0</v>
      </c>
      <c r="BJ167" s="123">
        <f t="shared" si="11"/>
        <v>0</v>
      </c>
      <c r="BK167" s="121">
        <f>SUMIFS('17AugTo21Aug'!$L:$L, '17AugTo21Aug'!$J:$J, $A167)</f>
        <v>0</v>
      </c>
      <c r="BL167" s="121">
        <f>SUMIFS('17AugTo21Aug'!$K:$K, '17AugTo21Aug'!$J:$J, $A167)</f>
        <v>0</v>
      </c>
      <c r="BM167" s="121">
        <f>SUMIFS('17AugTo21Aug'!$O:$O, '17AugTo21Aug'!$J:$J, $A167)</f>
        <v>0</v>
      </c>
      <c r="BN167" s="121">
        <f>SUMIFS('17AugTo21Aug'!$P:$P, '17AugTo21Aug'!$J:$J, $A167)</f>
        <v>0</v>
      </c>
      <c r="BO167" s="123">
        <f t="shared" si="12"/>
        <v>0</v>
      </c>
      <c r="BP167" s="121">
        <f>SUMIFS('10AugTo16Aug'!$L:$L, '10AugTo16Aug'!$J:$J, $A167)</f>
        <v>1</v>
      </c>
      <c r="BQ167" s="121">
        <f>SUMIFS('10AugTo16Aug'!$K:$K, '10AugTo16Aug'!$J:$J, $A167)</f>
        <v>7</v>
      </c>
      <c r="BR167" s="121">
        <f>SUMIFS('10AugTo16Aug'!$O:$O, '10AugTo16Aug'!$J:$J, $A167)</f>
        <v>3.7</v>
      </c>
      <c r="BS167" s="121">
        <f>SUMIFS('10AugTo16Aug'!$P:$P, '10AugTo16Aug'!$J:$J, $A167)</f>
        <v>21.95</v>
      </c>
      <c r="BT167" s="123">
        <f t="shared" si="13"/>
        <v>16.856492027334856</v>
      </c>
      <c r="BU167" s="121">
        <f>SUMIFS('3AugTo9Aug'!$L:$L, '3AugTo9Aug'!$J:$J, $A167)</f>
        <v>0</v>
      </c>
      <c r="BV167" s="121">
        <f>SUMIFS('3AugTo9Aug'!$K:$K, '3AugTo9Aug'!$J:$J, $A167)</f>
        <v>0</v>
      </c>
      <c r="BW167" s="121">
        <f>SUMIFS('3AugTo9Aug'!$O:$O, '3AugTo9Aug'!$J:$J, $A167)</f>
        <v>0</v>
      </c>
      <c r="BX167" s="121">
        <f>SUMIFS('3AugTo9Aug'!$P:$P, '3AugTo9Aug'!$J:$J, $A167)</f>
        <v>0</v>
      </c>
      <c r="BY167" s="123">
        <f t="shared" si="14"/>
        <v>0</v>
      </c>
      <c r="BZ167" s="121">
        <f>SUMIFS('27JulyTo2Aug'!$L:$L, '27JulyTo2Aug'!$J:$J, $A167)</f>
        <v>0</v>
      </c>
      <c r="CA167" s="121">
        <f>SUMIFS('27JulyTo2Aug'!$K:$K, '27JulyTo2Aug'!$J:$J, $A167)</f>
        <v>0</v>
      </c>
      <c r="CB167" s="121">
        <f>SUMIFS('27JulyTo2Aug'!$O:$O, '27JulyTo2Aug'!$J:$J, $A167)</f>
        <v>0</v>
      </c>
      <c r="CC167" s="121">
        <f>SUMIFS('27JulyTo2Aug'!$P:$P, '27JulyTo2Aug'!$J:$J, $A167)</f>
        <v>0</v>
      </c>
      <c r="CD167" s="123">
        <f t="shared" si="15"/>
        <v>0</v>
      </c>
    </row>
    <row r="168" spans="1:82" ht="14.25" customHeight="1" x14ac:dyDescent="0.3">
      <c r="A168" s="124" t="s">
        <v>752</v>
      </c>
      <c r="B168" s="120" t="str">
        <f t="shared" si="18"/>
        <v>NO TRAFFIC</v>
      </c>
      <c r="C168" s="121">
        <f>SUMIFS('9NovTo15Nov'!$L:$L, '9NovTo15Nov'!$J:$J, $A168)</f>
        <v>0</v>
      </c>
      <c r="D168" s="121">
        <f>SUMIFS('9NovTo15Nov'!$K:$K, '9NovTo15Nov'!$J:$J, $A168)</f>
        <v>0</v>
      </c>
      <c r="E168" s="121">
        <f>SUMIFS('9NovTo15Nov'!$O:$O, '9NovTo15Nov'!$J:$J, $A168)</f>
        <v>0</v>
      </c>
      <c r="F168" s="121">
        <f>SUMIFS('9NovTo15Nov'!$P:$P, '9NovTo15Nov'!$J:$J, $A168)</f>
        <v>0</v>
      </c>
      <c r="G168" s="122">
        <f t="shared" si="0"/>
        <v>0</v>
      </c>
      <c r="H168" s="121">
        <f>SUMIFS('2NovTo8Nov'!$L:$L, '2NovTo8Nov'!$J:$J, $A168)</f>
        <v>0</v>
      </c>
      <c r="I168" s="121">
        <f>SUMIFS('2NovTo8Nov'!$K:$K, '2NovTo8Nov'!$J:$J, $A168)</f>
        <v>0</v>
      </c>
      <c r="J168" s="121">
        <f>SUMIFS('2NovTo8Nov'!$O:$O, '2NovTo8Nov'!$J:$J, $A168)</f>
        <v>0</v>
      </c>
      <c r="K168" s="121">
        <f>SUMIFS('2NovTo8Nov'!$P:$P, '2NovTo8Nov'!$J:$J, $A168)</f>
        <v>0</v>
      </c>
      <c r="L168" s="122">
        <f t="shared" si="1"/>
        <v>0</v>
      </c>
      <c r="M168" s="121">
        <f>SUMIFS('26OctTo1Nov'!$L:$L, '26OctTo1Nov'!$J:$J, $A168)</f>
        <v>0</v>
      </c>
      <c r="N168" s="121">
        <f>SUMIFS('26OctTo1Nov'!$K:$K, '26OctTo1Nov'!$J:$J, $A168)</f>
        <v>0</v>
      </c>
      <c r="O168" s="121">
        <f>SUMIFS('26OctTo1Nov'!$O:$O, '26OctTo1Nov'!$J:$J, $A168)</f>
        <v>0</v>
      </c>
      <c r="P168" s="121">
        <f>SUMIFS('26OctTo1Nov'!$P:$P, '26OctTo1Nov'!$J:$J, $A168)</f>
        <v>0</v>
      </c>
      <c r="Q168" s="122">
        <f t="shared" si="2"/>
        <v>0</v>
      </c>
      <c r="R168" s="121">
        <f>SUMIFS('19OctTo25Oct'!$L:$L, '19OctTo25Oct'!$J:$J, $A168)</f>
        <v>0</v>
      </c>
      <c r="S168" s="121">
        <f>SUMIFS('19OctTo25Oct'!$K:$K, '19OctTo25Oct'!$J:$J, $A168)</f>
        <v>0</v>
      </c>
      <c r="T168" s="121">
        <f>SUMIFS('19OctTo25Oct'!$O:$O, '19OctTo25Oct'!$J:$J, $A168)</f>
        <v>0</v>
      </c>
      <c r="U168" s="121">
        <f>SUMIFS('19OctTo25Oct'!$P:$P, '19OctTo25Oct'!$J:$J, $A168)</f>
        <v>0</v>
      </c>
      <c r="V168" s="122">
        <f t="shared" si="3"/>
        <v>0</v>
      </c>
      <c r="W168" s="121">
        <f>SUMIFS('12OctTo18Oct'!$L:$L, '12OctTo18Oct'!$J:$J, $A168)</f>
        <v>0</v>
      </c>
      <c r="X168" s="121">
        <f>SUMIFS('12OctTo18Oct'!$K:$K, '12OctTo18Oct'!$J:$J, $A168)</f>
        <v>0</v>
      </c>
      <c r="Y168" s="121">
        <f>SUMIFS('12OctTo18Oct'!$O:$O, '12OctTo18Oct'!$J:$J, $A168)</f>
        <v>0</v>
      </c>
      <c r="Z168" s="121">
        <f>SUMIFS('12OctTo18Oct'!$P:$P, '12OctTo18Oct'!$J:$J, $A168)</f>
        <v>0</v>
      </c>
      <c r="AA168" s="122">
        <f t="shared" si="4"/>
        <v>0</v>
      </c>
      <c r="AB168" s="121">
        <f>SUMIFS('5OctTo11Oct'!$L:$L, '5OctTo11Oct'!$J:$J, $A168)</f>
        <v>0</v>
      </c>
      <c r="AC168" s="121">
        <f>SUMIFS('5OctTo11Oct'!$K:$K, '5OctTo11Oct'!$J:$J, $A168)</f>
        <v>0</v>
      </c>
      <c r="AD168" s="121">
        <f>SUMIFS('5OctTo11Oct'!$O:$O, '5OctTo11Oct'!$J:$J, $A168)</f>
        <v>0</v>
      </c>
      <c r="AE168" s="121">
        <f>SUMIFS('5OctTo11Oct'!$P:$P, '5OctTo11Oct'!$J:$J, $A168)</f>
        <v>0</v>
      </c>
      <c r="AF168" s="123">
        <f t="shared" si="5"/>
        <v>0</v>
      </c>
      <c r="AG168" s="121">
        <f>SUMIFS('28SepTo4Oct'!$L:$L, '28SepTo4Oct'!$J:$J, $A168)</f>
        <v>0</v>
      </c>
      <c r="AH168" s="121">
        <f>SUMIFS('28SepTo4Oct'!$K:$K, '28SepTo4Oct'!$J:$J, $A168)</f>
        <v>0</v>
      </c>
      <c r="AI168" s="121">
        <f>SUMIFS('28SepTo4Oct'!$O:$O, '28SepTo4Oct'!$J:$J, $A168)</f>
        <v>0</v>
      </c>
      <c r="AJ168" s="121">
        <f>SUMIFS('28SepTo4Oct'!$P:$P, '28SepTo4Oct'!$J:$J, $A168)</f>
        <v>0</v>
      </c>
      <c r="AK168" s="123">
        <f t="shared" si="6"/>
        <v>0</v>
      </c>
      <c r="AL168" s="121">
        <f>SUMIFS('21SepTo27Sep'!$L:$L, '21SepTo27Sep'!$J:$J, $A168)</f>
        <v>0</v>
      </c>
      <c r="AM168" s="121">
        <f>SUMIFS('21SepTo27Sep'!$K:$K, '21SepTo27Sep'!$J:$J, $A168)</f>
        <v>0</v>
      </c>
      <c r="AN168" s="121">
        <f>SUMIFS('21SepTo27Sep'!$O:$O, '21SepTo27Sep'!$J:$J, $A168)</f>
        <v>0</v>
      </c>
      <c r="AO168" s="121">
        <f>SUMIFS('21SepTo27Sep'!$P:$P, '21SepTo27Sep'!$J:$J, $A168)</f>
        <v>0</v>
      </c>
      <c r="AP168" s="123">
        <f t="shared" si="7"/>
        <v>0</v>
      </c>
      <c r="AQ168" s="121">
        <f>SUMIFS('14SepTo20Sep'!$L:$L, '14SepTo20Sep'!$J:$J, $A168)</f>
        <v>0</v>
      </c>
      <c r="AR168" s="121">
        <f>SUMIFS('14SepTo20Sep'!$K:$K, '14SepTo20Sep'!$J:$J, $A168)</f>
        <v>0</v>
      </c>
      <c r="AS168" s="121">
        <f>SUMIFS('14SepTo20Sep'!$O:$O, '14SepTo20Sep'!$J:$J, $A168)</f>
        <v>0</v>
      </c>
      <c r="AT168" s="121">
        <f>SUMIFS('14SepTo20Sep'!$P:$P, '14SepTo20Sep'!$J:$J, $A168)</f>
        <v>0</v>
      </c>
      <c r="AU168" s="123">
        <f t="shared" si="8"/>
        <v>0</v>
      </c>
      <c r="AV168" s="121">
        <f>SUMIFS('7SepTo13Sep'!$L:$L, '7SepTo13Sep'!$J:$J, $A168)</f>
        <v>0</v>
      </c>
      <c r="AW168" s="121">
        <f>SUMIFS('7SepTo13Sep'!$K:$K, '7SepTo13Sep'!$J:$J, $A168)</f>
        <v>0</v>
      </c>
      <c r="AX168" s="121">
        <f>SUMIFS('7SepTo13Sep'!$O:$O, '7SepTo13Sep'!$J:$J, $A168)</f>
        <v>0</v>
      </c>
      <c r="AY168" s="121">
        <f>SUMIFS('7SepTo13Sep'!$P:$P, '7SepTo13Sep'!$J:$J, $A168)</f>
        <v>0</v>
      </c>
      <c r="AZ168" s="123">
        <f t="shared" si="9"/>
        <v>0</v>
      </c>
      <c r="BA168" s="121">
        <f>SUMIFS('31AugTo6Sep'!$L:$L, '31AugTo6Sep'!$J:$J, $A168)</f>
        <v>0</v>
      </c>
      <c r="BB168" s="121">
        <f>SUMIFS('31AugTo6Sep'!$K:$K, '31AugTo6Sep'!$J:$J, $A168)</f>
        <v>0</v>
      </c>
      <c r="BC168" s="121">
        <f>SUMIFS('31AugTo6Sep'!$O:$O, '31AugTo6Sep'!$J:$J, $A168)</f>
        <v>0</v>
      </c>
      <c r="BD168" s="121">
        <f>SUMIFS('31AugTo6Sep'!$P:$P, '31AugTo6Sep'!$J:$J, $A168)</f>
        <v>0</v>
      </c>
      <c r="BE168" s="123">
        <f t="shared" si="10"/>
        <v>0</v>
      </c>
      <c r="BF168" s="121">
        <f>SUMIFS('24AugTo29Aug'!$L:$L, '24AugTo29Aug'!$J:$J, $A168)</f>
        <v>0</v>
      </c>
      <c r="BG168" s="121">
        <f>SUMIFS('24AugTo29Aug'!$K:$K, '24AugTo29Aug'!$J:$J, $A168)</f>
        <v>0</v>
      </c>
      <c r="BH168" s="121">
        <f>SUMIFS('24AugTo29Aug'!$O:$O, '24AugTo29Aug'!$J:$J, $A168)</f>
        <v>0</v>
      </c>
      <c r="BI168" s="121">
        <f>SUMIFS('24AugTo29Aug'!$P:$P, '24AugTo29Aug'!$J:$J, $A168)</f>
        <v>0</v>
      </c>
      <c r="BJ168" s="123">
        <f t="shared" si="11"/>
        <v>0</v>
      </c>
      <c r="BK168" s="121">
        <f>SUMIFS('17AugTo21Aug'!$L:$L, '17AugTo21Aug'!$J:$J, $A168)</f>
        <v>0</v>
      </c>
      <c r="BL168" s="121">
        <f>SUMIFS('17AugTo21Aug'!$K:$K, '17AugTo21Aug'!$J:$J, $A168)</f>
        <v>0</v>
      </c>
      <c r="BM168" s="121">
        <f>SUMIFS('17AugTo21Aug'!$O:$O, '17AugTo21Aug'!$J:$J, $A168)</f>
        <v>0</v>
      </c>
      <c r="BN168" s="121">
        <f>SUMIFS('17AugTo21Aug'!$P:$P, '17AugTo21Aug'!$J:$J, $A168)</f>
        <v>0</v>
      </c>
      <c r="BO168" s="123">
        <f t="shared" si="12"/>
        <v>0</v>
      </c>
      <c r="BP168" s="121">
        <f>SUMIFS('10AugTo16Aug'!$L:$L, '10AugTo16Aug'!$J:$J, $A168)</f>
        <v>0</v>
      </c>
      <c r="BQ168" s="121">
        <f>SUMIFS('10AugTo16Aug'!$K:$K, '10AugTo16Aug'!$J:$J, $A168)</f>
        <v>0</v>
      </c>
      <c r="BR168" s="121">
        <f>SUMIFS('10AugTo16Aug'!$O:$O, '10AugTo16Aug'!$J:$J, $A168)</f>
        <v>0</v>
      </c>
      <c r="BS168" s="121">
        <f>SUMIFS('10AugTo16Aug'!$P:$P, '10AugTo16Aug'!$J:$J, $A168)</f>
        <v>0</v>
      </c>
      <c r="BT168" s="123">
        <f t="shared" si="13"/>
        <v>0</v>
      </c>
      <c r="BU168" s="121">
        <f>SUMIFS('3AugTo9Aug'!$L:$L, '3AugTo9Aug'!$J:$J, $A168)</f>
        <v>1</v>
      </c>
      <c r="BV168" s="121">
        <f>SUMIFS('3AugTo9Aug'!$K:$K, '3AugTo9Aug'!$J:$J, $A168)</f>
        <v>2</v>
      </c>
      <c r="BW168" s="121">
        <f>SUMIFS('3AugTo9Aug'!$O:$O, '3AugTo9Aug'!$J:$J, $A168)</f>
        <v>3.5</v>
      </c>
      <c r="BX168" s="121">
        <f>SUMIFS('3AugTo9Aug'!$P:$P, '3AugTo9Aug'!$J:$J, $A168)</f>
        <v>24.94</v>
      </c>
      <c r="BY168" s="123">
        <f t="shared" si="14"/>
        <v>14.033680834001602</v>
      </c>
      <c r="BZ168" s="121">
        <f>SUMIFS('27JulyTo2Aug'!$L:$L, '27JulyTo2Aug'!$J:$J, $A168)</f>
        <v>0</v>
      </c>
      <c r="CA168" s="121">
        <f>SUMIFS('27JulyTo2Aug'!$K:$K, '27JulyTo2Aug'!$J:$J, $A168)</f>
        <v>0</v>
      </c>
      <c r="CB168" s="121">
        <f>SUMIFS('27JulyTo2Aug'!$O:$O, '27JulyTo2Aug'!$J:$J, $A168)</f>
        <v>0</v>
      </c>
      <c r="CC168" s="121">
        <f>SUMIFS('27JulyTo2Aug'!$P:$P, '27JulyTo2Aug'!$J:$J, $A168)</f>
        <v>0</v>
      </c>
      <c r="CD168" s="123">
        <f t="shared" si="15"/>
        <v>0</v>
      </c>
    </row>
    <row r="169" spans="1:82" ht="14.25" customHeight="1" x14ac:dyDescent="0.3">
      <c r="A169" s="124" t="s">
        <v>753</v>
      </c>
      <c r="B169" s="120" t="str">
        <f t="shared" si="18"/>
        <v>NO TRAFFIC</v>
      </c>
      <c r="C169" s="121">
        <f>SUMIFS('9NovTo15Nov'!$L:$L, '9NovTo15Nov'!$J:$J, $A169)</f>
        <v>0</v>
      </c>
      <c r="D169" s="121">
        <f>SUMIFS('9NovTo15Nov'!$K:$K, '9NovTo15Nov'!$J:$J, $A169)</f>
        <v>0</v>
      </c>
      <c r="E169" s="121">
        <f>SUMIFS('9NovTo15Nov'!$O:$O, '9NovTo15Nov'!$J:$J, $A169)</f>
        <v>0</v>
      </c>
      <c r="F169" s="121">
        <f>SUMIFS('9NovTo15Nov'!$P:$P, '9NovTo15Nov'!$J:$J, $A169)</f>
        <v>0</v>
      </c>
      <c r="G169" s="122">
        <f t="shared" si="0"/>
        <v>0</v>
      </c>
      <c r="H169" s="121">
        <f>SUMIFS('2NovTo8Nov'!$L:$L, '2NovTo8Nov'!$J:$J, $A169)</f>
        <v>0</v>
      </c>
      <c r="I169" s="121">
        <f>SUMIFS('2NovTo8Nov'!$K:$K, '2NovTo8Nov'!$J:$J, $A169)</f>
        <v>0</v>
      </c>
      <c r="J169" s="121">
        <f>SUMIFS('2NovTo8Nov'!$O:$O, '2NovTo8Nov'!$J:$J, $A169)</f>
        <v>0</v>
      </c>
      <c r="K169" s="121">
        <f>SUMIFS('2NovTo8Nov'!$P:$P, '2NovTo8Nov'!$J:$J, $A169)</f>
        <v>0</v>
      </c>
      <c r="L169" s="122">
        <f t="shared" si="1"/>
        <v>0</v>
      </c>
      <c r="M169" s="121">
        <f>SUMIFS('26OctTo1Nov'!$L:$L, '26OctTo1Nov'!$J:$J, $A169)</f>
        <v>0</v>
      </c>
      <c r="N169" s="121">
        <f>SUMIFS('26OctTo1Nov'!$K:$K, '26OctTo1Nov'!$J:$J, $A169)</f>
        <v>0</v>
      </c>
      <c r="O169" s="121">
        <f>SUMIFS('26OctTo1Nov'!$O:$O, '26OctTo1Nov'!$J:$J, $A169)</f>
        <v>0</v>
      </c>
      <c r="P169" s="121">
        <f>SUMIFS('26OctTo1Nov'!$P:$P, '26OctTo1Nov'!$J:$J, $A169)</f>
        <v>0</v>
      </c>
      <c r="Q169" s="122">
        <f t="shared" si="2"/>
        <v>0</v>
      </c>
      <c r="R169" s="121">
        <f>SUMIFS('19OctTo25Oct'!$L:$L, '19OctTo25Oct'!$J:$J, $A169)</f>
        <v>0</v>
      </c>
      <c r="S169" s="121">
        <f>SUMIFS('19OctTo25Oct'!$K:$K, '19OctTo25Oct'!$J:$J, $A169)</f>
        <v>0</v>
      </c>
      <c r="T169" s="121">
        <f>SUMIFS('19OctTo25Oct'!$O:$O, '19OctTo25Oct'!$J:$J, $A169)</f>
        <v>0</v>
      </c>
      <c r="U169" s="121">
        <f>SUMIFS('19OctTo25Oct'!$P:$P, '19OctTo25Oct'!$J:$J, $A169)</f>
        <v>0</v>
      </c>
      <c r="V169" s="122">
        <f t="shared" si="3"/>
        <v>0</v>
      </c>
      <c r="W169" s="121">
        <f>SUMIFS('12OctTo18Oct'!$L:$L, '12OctTo18Oct'!$J:$J, $A169)</f>
        <v>0</v>
      </c>
      <c r="X169" s="121">
        <f>SUMIFS('12OctTo18Oct'!$K:$K, '12OctTo18Oct'!$J:$J, $A169)</f>
        <v>0</v>
      </c>
      <c r="Y169" s="121">
        <f>SUMIFS('12OctTo18Oct'!$O:$O, '12OctTo18Oct'!$J:$J, $A169)</f>
        <v>0</v>
      </c>
      <c r="Z169" s="121">
        <f>SUMIFS('12OctTo18Oct'!$P:$P, '12OctTo18Oct'!$J:$J, $A169)</f>
        <v>0</v>
      </c>
      <c r="AA169" s="122">
        <f t="shared" si="4"/>
        <v>0</v>
      </c>
      <c r="AB169" s="121">
        <f>SUMIFS('5OctTo11Oct'!$L:$L, '5OctTo11Oct'!$J:$J, $A169)</f>
        <v>0</v>
      </c>
      <c r="AC169" s="121">
        <f>SUMIFS('5OctTo11Oct'!$K:$K, '5OctTo11Oct'!$J:$J, $A169)</f>
        <v>0</v>
      </c>
      <c r="AD169" s="121">
        <f>SUMIFS('5OctTo11Oct'!$O:$O, '5OctTo11Oct'!$J:$J, $A169)</f>
        <v>0</v>
      </c>
      <c r="AE169" s="121">
        <f>SUMIFS('5OctTo11Oct'!$P:$P, '5OctTo11Oct'!$J:$J, $A169)</f>
        <v>0</v>
      </c>
      <c r="AF169" s="123">
        <f t="shared" si="5"/>
        <v>0</v>
      </c>
      <c r="AG169" s="121">
        <f>SUMIFS('28SepTo4Oct'!$L:$L, '28SepTo4Oct'!$J:$J, $A169)</f>
        <v>0</v>
      </c>
      <c r="AH169" s="121">
        <f>SUMIFS('28SepTo4Oct'!$K:$K, '28SepTo4Oct'!$J:$J, $A169)</f>
        <v>0</v>
      </c>
      <c r="AI169" s="121">
        <f>SUMIFS('28SepTo4Oct'!$O:$O, '28SepTo4Oct'!$J:$J, $A169)</f>
        <v>0</v>
      </c>
      <c r="AJ169" s="121">
        <f>SUMIFS('28SepTo4Oct'!$P:$P, '28SepTo4Oct'!$J:$J, $A169)</f>
        <v>0</v>
      </c>
      <c r="AK169" s="123">
        <f t="shared" si="6"/>
        <v>0</v>
      </c>
      <c r="AL169" s="121">
        <f>SUMIFS('21SepTo27Sep'!$L:$L, '21SepTo27Sep'!$J:$J, $A169)</f>
        <v>0</v>
      </c>
      <c r="AM169" s="121">
        <f>SUMIFS('21SepTo27Sep'!$K:$K, '21SepTo27Sep'!$J:$J, $A169)</f>
        <v>0</v>
      </c>
      <c r="AN169" s="121">
        <f>SUMIFS('21SepTo27Sep'!$O:$O, '21SepTo27Sep'!$J:$J, $A169)</f>
        <v>0</v>
      </c>
      <c r="AO169" s="121">
        <f>SUMIFS('21SepTo27Sep'!$P:$P, '21SepTo27Sep'!$J:$J, $A169)</f>
        <v>0</v>
      </c>
      <c r="AP169" s="123">
        <f t="shared" si="7"/>
        <v>0</v>
      </c>
      <c r="AQ169" s="121">
        <f>SUMIFS('14SepTo20Sep'!$L:$L, '14SepTo20Sep'!$J:$J, $A169)</f>
        <v>0</v>
      </c>
      <c r="AR169" s="121">
        <f>SUMIFS('14SepTo20Sep'!$K:$K, '14SepTo20Sep'!$J:$J, $A169)</f>
        <v>0</v>
      </c>
      <c r="AS169" s="121">
        <f>SUMIFS('14SepTo20Sep'!$O:$O, '14SepTo20Sep'!$J:$J, $A169)</f>
        <v>0</v>
      </c>
      <c r="AT169" s="121">
        <f>SUMIFS('14SepTo20Sep'!$P:$P, '14SepTo20Sep'!$J:$J, $A169)</f>
        <v>0</v>
      </c>
      <c r="AU169" s="123">
        <f t="shared" si="8"/>
        <v>0</v>
      </c>
      <c r="AV169" s="121">
        <f>SUMIFS('7SepTo13Sep'!$L:$L, '7SepTo13Sep'!$J:$J, $A169)</f>
        <v>0</v>
      </c>
      <c r="AW169" s="121">
        <f>SUMIFS('7SepTo13Sep'!$K:$K, '7SepTo13Sep'!$J:$J, $A169)</f>
        <v>0</v>
      </c>
      <c r="AX169" s="121">
        <f>SUMIFS('7SepTo13Sep'!$O:$O, '7SepTo13Sep'!$J:$J, $A169)</f>
        <v>0</v>
      </c>
      <c r="AY169" s="121">
        <f>SUMIFS('7SepTo13Sep'!$P:$P, '7SepTo13Sep'!$J:$J, $A169)</f>
        <v>0</v>
      </c>
      <c r="AZ169" s="123">
        <f t="shared" si="9"/>
        <v>0</v>
      </c>
      <c r="BA169" s="121">
        <f>SUMIFS('31AugTo6Sep'!$L:$L, '31AugTo6Sep'!$J:$J, $A169)</f>
        <v>0</v>
      </c>
      <c r="BB169" s="121">
        <f>SUMIFS('31AugTo6Sep'!$K:$K, '31AugTo6Sep'!$J:$J, $A169)</f>
        <v>0</v>
      </c>
      <c r="BC169" s="121">
        <f>SUMIFS('31AugTo6Sep'!$O:$O, '31AugTo6Sep'!$J:$J, $A169)</f>
        <v>0</v>
      </c>
      <c r="BD169" s="121">
        <f>SUMIFS('31AugTo6Sep'!$P:$P, '31AugTo6Sep'!$J:$J, $A169)</f>
        <v>0</v>
      </c>
      <c r="BE169" s="123">
        <f t="shared" si="10"/>
        <v>0</v>
      </c>
      <c r="BF169" s="121">
        <f>SUMIFS('24AugTo29Aug'!$L:$L, '24AugTo29Aug'!$J:$J, $A169)</f>
        <v>0</v>
      </c>
      <c r="BG169" s="121">
        <f>SUMIFS('24AugTo29Aug'!$K:$K, '24AugTo29Aug'!$J:$J, $A169)</f>
        <v>0</v>
      </c>
      <c r="BH169" s="121">
        <f>SUMIFS('24AugTo29Aug'!$O:$O, '24AugTo29Aug'!$J:$J, $A169)</f>
        <v>0</v>
      </c>
      <c r="BI169" s="121">
        <f>SUMIFS('24AugTo29Aug'!$P:$P, '24AugTo29Aug'!$J:$J, $A169)</f>
        <v>0</v>
      </c>
      <c r="BJ169" s="123">
        <f t="shared" si="11"/>
        <v>0</v>
      </c>
      <c r="BK169" s="121">
        <f>SUMIFS('17AugTo21Aug'!$L:$L, '17AugTo21Aug'!$J:$J, $A169)</f>
        <v>0</v>
      </c>
      <c r="BL169" s="121">
        <f>SUMIFS('17AugTo21Aug'!$K:$K, '17AugTo21Aug'!$J:$J, $A169)</f>
        <v>0</v>
      </c>
      <c r="BM169" s="121">
        <f>SUMIFS('17AugTo21Aug'!$O:$O, '17AugTo21Aug'!$J:$J, $A169)</f>
        <v>0</v>
      </c>
      <c r="BN169" s="121">
        <f>SUMIFS('17AugTo21Aug'!$P:$P, '17AugTo21Aug'!$J:$J, $A169)</f>
        <v>0</v>
      </c>
      <c r="BO169" s="123">
        <f t="shared" si="12"/>
        <v>0</v>
      </c>
      <c r="BP169" s="121">
        <f>SUMIFS('10AugTo16Aug'!$L:$L, '10AugTo16Aug'!$J:$J, $A169)</f>
        <v>0</v>
      </c>
      <c r="BQ169" s="121">
        <f>SUMIFS('10AugTo16Aug'!$K:$K, '10AugTo16Aug'!$J:$J, $A169)</f>
        <v>0</v>
      </c>
      <c r="BR169" s="121">
        <f>SUMIFS('10AugTo16Aug'!$O:$O, '10AugTo16Aug'!$J:$J, $A169)</f>
        <v>0</v>
      </c>
      <c r="BS169" s="121">
        <f>SUMIFS('10AugTo16Aug'!$P:$P, '10AugTo16Aug'!$J:$J, $A169)</f>
        <v>0</v>
      </c>
      <c r="BT169" s="123">
        <f t="shared" si="13"/>
        <v>0</v>
      </c>
      <c r="BU169" s="121">
        <f>SUMIFS('3AugTo9Aug'!$L:$L, '3AugTo9Aug'!$J:$J, $A169)</f>
        <v>1</v>
      </c>
      <c r="BV169" s="121">
        <f>SUMIFS('3AugTo9Aug'!$K:$K, '3AugTo9Aug'!$J:$J, $A169)</f>
        <v>2</v>
      </c>
      <c r="BW169" s="121">
        <f>SUMIFS('3AugTo9Aug'!$O:$O, '3AugTo9Aug'!$J:$J, $A169)</f>
        <v>2</v>
      </c>
      <c r="BX169" s="121">
        <f>SUMIFS('3AugTo9Aug'!$P:$P, '3AugTo9Aug'!$J:$J, $A169)</f>
        <v>21.95</v>
      </c>
      <c r="BY169" s="123">
        <f t="shared" si="14"/>
        <v>9.1116173120728927</v>
      </c>
      <c r="BZ169" s="121">
        <f>SUMIFS('27JulyTo2Aug'!$L:$L, '27JulyTo2Aug'!$J:$J, $A169)</f>
        <v>0</v>
      </c>
      <c r="CA169" s="121">
        <f>SUMIFS('27JulyTo2Aug'!$K:$K, '27JulyTo2Aug'!$J:$J, $A169)</f>
        <v>0</v>
      </c>
      <c r="CB169" s="121">
        <f>SUMIFS('27JulyTo2Aug'!$O:$O, '27JulyTo2Aug'!$J:$J, $A169)</f>
        <v>0</v>
      </c>
      <c r="CC169" s="121">
        <f>SUMIFS('27JulyTo2Aug'!$P:$P, '27JulyTo2Aug'!$J:$J, $A169)</f>
        <v>0</v>
      </c>
      <c r="CD169" s="123">
        <f t="shared" si="15"/>
        <v>0</v>
      </c>
    </row>
    <row r="170" spans="1:82" ht="14.25" customHeight="1" x14ac:dyDescent="0.3">
      <c r="A170" s="130" t="s">
        <v>754</v>
      </c>
      <c r="B170" s="120" t="str">
        <f t="shared" si="18"/>
        <v>NO TRAFFIC</v>
      </c>
      <c r="C170" s="121">
        <f>SUMIFS('9NovTo15Nov'!$L:$L, '9NovTo15Nov'!$J:$J, $A170)</f>
        <v>0</v>
      </c>
      <c r="D170" s="121">
        <f>SUMIFS('9NovTo15Nov'!$K:$K, '9NovTo15Nov'!$J:$J, $A170)</f>
        <v>0</v>
      </c>
      <c r="E170" s="121">
        <f>SUMIFS('9NovTo15Nov'!$O:$O, '9NovTo15Nov'!$J:$J, $A170)</f>
        <v>0</v>
      </c>
      <c r="F170" s="121">
        <f>SUMIFS('9NovTo15Nov'!$P:$P, '9NovTo15Nov'!$J:$J, $A170)</f>
        <v>0</v>
      </c>
      <c r="G170" s="122">
        <f t="shared" si="0"/>
        <v>0</v>
      </c>
      <c r="H170" s="121">
        <f>SUMIFS('2NovTo8Nov'!$L:$L, '2NovTo8Nov'!$J:$J, $A170)</f>
        <v>0</v>
      </c>
      <c r="I170" s="121">
        <f>SUMIFS('2NovTo8Nov'!$K:$K, '2NovTo8Nov'!$J:$J, $A170)</f>
        <v>0</v>
      </c>
      <c r="J170" s="121">
        <f>SUMIFS('2NovTo8Nov'!$O:$O, '2NovTo8Nov'!$J:$J, $A170)</f>
        <v>0</v>
      </c>
      <c r="K170" s="121">
        <f>SUMIFS('2NovTo8Nov'!$P:$P, '2NovTo8Nov'!$J:$J, $A170)</f>
        <v>0</v>
      </c>
      <c r="L170" s="122">
        <f t="shared" si="1"/>
        <v>0</v>
      </c>
      <c r="M170" s="121">
        <f>SUMIFS('26OctTo1Nov'!$L:$L, '26OctTo1Nov'!$J:$J, $A170)</f>
        <v>0</v>
      </c>
      <c r="N170" s="121">
        <f>SUMIFS('26OctTo1Nov'!$K:$K, '26OctTo1Nov'!$J:$J, $A170)</f>
        <v>0</v>
      </c>
      <c r="O170" s="121">
        <f>SUMIFS('26OctTo1Nov'!$O:$O, '26OctTo1Nov'!$J:$J, $A170)</f>
        <v>0</v>
      </c>
      <c r="P170" s="121">
        <f>SUMIFS('26OctTo1Nov'!$P:$P, '26OctTo1Nov'!$J:$J, $A170)</f>
        <v>0</v>
      </c>
      <c r="Q170" s="122">
        <f t="shared" si="2"/>
        <v>0</v>
      </c>
      <c r="R170" s="121">
        <f>SUMIFS('19OctTo25Oct'!$L:$L, '19OctTo25Oct'!$J:$J, $A170)</f>
        <v>0</v>
      </c>
      <c r="S170" s="121">
        <f>SUMIFS('19OctTo25Oct'!$K:$K, '19OctTo25Oct'!$J:$J, $A170)</f>
        <v>0</v>
      </c>
      <c r="T170" s="121">
        <f>SUMIFS('19OctTo25Oct'!$O:$O, '19OctTo25Oct'!$J:$J, $A170)</f>
        <v>0</v>
      </c>
      <c r="U170" s="121">
        <f>SUMIFS('19OctTo25Oct'!$P:$P, '19OctTo25Oct'!$J:$J, $A170)</f>
        <v>0</v>
      </c>
      <c r="V170" s="122">
        <f t="shared" si="3"/>
        <v>0</v>
      </c>
      <c r="W170" s="121">
        <f>SUMIFS('12OctTo18Oct'!$L:$L, '12OctTo18Oct'!$J:$J, $A170)</f>
        <v>0</v>
      </c>
      <c r="X170" s="121">
        <f>SUMIFS('12OctTo18Oct'!$K:$K, '12OctTo18Oct'!$J:$J, $A170)</f>
        <v>0</v>
      </c>
      <c r="Y170" s="121">
        <f>SUMIFS('12OctTo18Oct'!$O:$O, '12OctTo18Oct'!$J:$J, $A170)</f>
        <v>0</v>
      </c>
      <c r="Z170" s="121">
        <f>SUMIFS('12OctTo18Oct'!$P:$P, '12OctTo18Oct'!$J:$J, $A170)</f>
        <v>0</v>
      </c>
      <c r="AA170" s="122">
        <f t="shared" si="4"/>
        <v>0</v>
      </c>
      <c r="AB170" s="121">
        <f>SUMIFS('5OctTo11Oct'!$L:$L, '5OctTo11Oct'!$J:$J, $A170)</f>
        <v>0</v>
      </c>
      <c r="AC170" s="121">
        <f>SUMIFS('5OctTo11Oct'!$K:$K, '5OctTo11Oct'!$J:$J, $A170)</f>
        <v>0</v>
      </c>
      <c r="AD170" s="121">
        <f>SUMIFS('5OctTo11Oct'!$O:$O, '5OctTo11Oct'!$J:$J, $A170)</f>
        <v>0</v>
      </c>
      <c r="AE170" s="121">
        <f>SUMIFS('5OctTo11Oct'!$P:$P, '5OctTo11Oct'!$J:$J, $A170)</f>
        <v>0</v>
      </c>
      <c r="AF170" s="123">
        <f t="shared" si="5"/>
        <v>0</v>
      </c>
      <c r="AG170" s="129">
        <f>SUMIFS('28SepTo4Oct'!$L:$L, '28SepTo4Oct'!$J:$J, $A170)</f>
        <v>0</v>
      </c>
      <c r="AH170" s="129">
        <f>SUMIFS('28SepTo4Oct'!$K:$K, '28SepTo4Oct'!$J:$J, $A170)</f>
        <v>0</v>
      </c>
      <c r="AI170" s="121">
        <f>SUMIFS('28SepTo4Oct'!$O:$O, '28SepTo4Oct'!$J:$J, $A170)</f>
        <v>0</v>
      </c>
      <c r="AJ170" s="129">
        <f>SUMIFS('28SepTo4Oct'!$P:$P, '28SepTo4Oct'!$J:$J, $A170)</f>
        <v>0</v>
      </c>
      <c r="AK170" s="123">
        <f t="shared" si="6"/>
        <v>0</v>
      </c>
      <c r="AL170" s="129">
        <f>SUMIFS('21SepTo27Sep'!$L:$L, '21SepTo27Sep'!$J:$J, $A170)</f>
        <v>0</v>
      </c>
      <c r="AM170" s="129">
        <f>SUMIFS('21SepTo27Sep'!$K:$K, '21SepTo27Sep'!$J:$J, $A170)</f>
        <v>0</v>
      </c>
      <c r="AN170" s="121">
        <f>SUMIFS('21SepTo27Sep'!$O:$O, '21SepTo27Sep'!$J:$J, $A170)</f>
        <v>0</v>
      </c>
      <c r="AO170" s="129">
        <f>SUMIFS('21SepTo27Sep'!$P:$P, '21SepTo27Sep'!$J:$J, $A170)</f>
        <v>0</v>
      </c>
      <c r="AP170" s="123">
        <f t="shared" si="7"/>
        <v>0</v>
      </c>
      <c r="AQ170" s="129">
        <f>SUMIFS('14SepTo20Sep'!$L:$L, '14SepTo20Sep'!$J:$J, $A170)</f>
        <v>0</v>
      </c>
      <c r="AR170" s="129">
        <f>SUMIFS('14SepTo20Sep'!$K:$K, '14SepTo20Sep'!$J:$J, $A170)</f>
        <v>0</v>
      </c>
      <c r="AS170" s="121">
        <f>SUMIFS('14SepTo20Sep'!$O:$O, '14SepTo20Sep'!$J:$J, $A170)</f>
        <v>0</v>
      </c>
      <c r="AT170" s="129">
        <f>SUMIFS('14SepTo20Sep'!$P:$P, '14SepTo20Sep'!$J:$J, $A170)</f>
        <v>0</v>
      </c>
      <c r="AU170" s="123">
        <f t="shared" si="8"/>
        <v>0</v>
      </c>
      <c r="AV170" s="129">
        <f>SUMIFS('7SepTo13Sep'!$L:$L, '7SepTo13Sep'!$J:$J, $A170)</f>
        <v>0</v>
      </c>
      <c r="AW170" s="129">
        <f>SUMIFS('7SepTo13Sep'!$K:$K, '7SepTo13Sep'!$J:$J, $A170)</f>
        <v>0</v>
      </c>
      <c r="AX170" s="121">
        <f>SUMIFS('7SepTo13Sep'!$O:$O, '7SepTo13Sep'!$J:$J, $A170)</f>
        <v>0</v>
      </c>
      <c r="AY170" s="129">
        <f>SUMIFS('7SepTo13Sep'!$P:$P, '7SepTo13Sep'!$J:$J, $A170)</f>
        <v>0</v>
      </c>
      <c r="AZ170" s="123">
        <f t="shared" si="9"/>
        <v>0</v>
      </c>
      <c r="BA170" s="129">
        <f>SUMIFS('31AugTo6Sep'!$L:$L, '31AugTo6Sep'!$J:$J, $A170)</f>
        <v>0</v>
      </c>
      <c r="BB170" s="129">
        <f>SUMIFS('31AugTo6Sep'!$K:$K, '31AugTo6Sep'!$J:$J, $A170)</f>
        <v>0</v>
      </c>
      <c r="BC170" s="121">
        <f>SUMIFS('31AugTo6Sep'!$O:$O, '31AugTo6Sep'!$J:$J, $A170)</f>
        <v>0</v>
      </c>
      <c r="BD170" s="129">
        <f>SUMIFS('31AugTo6Sep'!$P:$P, '31AugTo6Sep'!$J:$J, $A170)</f>
        <v>0</v>
      </c>
      <c r="BE170" s="123">
        <f t="shared" si="10"/>
        <v>0</v>
      </c>
      <c r="BF170" s="129">
        <f>SUMIFS('24AugTo29Aug'!$L:$L, '24AugTo29Aug'!$J:$J, $A170)</f>
        <v>0</v>
      </c>
      <c r="BG170" s="129">
        <f>SUMIFS('24AugTo29Aug'!$K:$K, '24AugTo29Aug'!$J:$J, $A170)</f>
        <v>0</v>
      </c>
      <c r="BH170" s="121">
        <f>SUMIFS('24AugTo29Aug'!$O:$O, '24AugTo29Aug'!$J:$J, $A170)</f>
        <v>0</v>
      </c>
      <c r="BI170" s="129">
        <f>SUMIFS('24AugTo29Aug'!$P:$P, '24AugTo29Aug'!$J:$J, $A170)</f>
        <v>0</v>
      </c>
      <c r="BJ170" s="123">
        <f t="shared" si="11"/>
        <v>0</v>
      </c>
      <c r="BK170" s="129">
        <f>SUMIFS('17AugTo21Aug'!$L:$L, '17AugTo21Aug'!$J:$J, $A170)</f>
        <v>0</v>
      </c>
      <c r="BL170" s="129">
        <f>SUMIFS('17AugTo21Aug'!$K:$K, '17AugTo21Aug'!$J:$J, $A170)</f>
        <v>0</v>
      </c>
      <c r="BM170" s="121">
        <f>SUMIFS('17AugTo21Aug'!$O:$O, '17AugTo21Aug'!$J:$J, $A170)</f>
        <v>0</v>
      </c>
      <c r="BN170" s="129">
        <f>SUMIFS('17AugTo21Aug'!$P:$P, '17AugTo21Aug'!$J:$J, $A170)</f>
        <v>0</v>
      </c>
      <c r="BO170" s="123">
        <f t="shared" si="12"/>
        <v>0</v>
      </c>
      <c r="BP170" s="129">
        <f>SUMIFS('10AugTo16Aug'!$L:$L, '10AugTo16Aug'!$J:$J, $A170)</f>
        <v>0</v>
      </c>
      <c r="BQ170" s="129">
        <f>SUMIFS('10AugTo16Aug'!$K:$K, '10AugTo16Aug'!$J:$J, $A170)</f>
        <v>0</v>
      </c>
      <c r="BR170" s="121">
        <f>SUMIFS('10AugTo16Aug'!$O:$O, '10AugTo16Aug'!$J:$J, $A170)</f>
        <v>0</v>
      </c>
      <c r="BS170" s="129">
        <f>SUMIFS('10AugTo16Aug'!$P:$P, '10AugTo16Aug'!$J:$J, $A170)</f>
        <v>0</v>
      </c>
      <c r="BT170" s="123">
        <f t="shared" si="13"/>
        <v>0</v>
      </c>
      <c r="BU170" s="129">
        <f>SUMIFS('3AugTo9Aug'!$L:$L, '3AugTo9Aug'!$J:$J, $A170)</f>
        <v>1</v>
      </c>
      <c r="BV170" s="129">
        <f>SUMIFS('3AugTo9Aug'!$K:$K, '3AugTo9Aug'!$J:$J, $A170)</f>
        <v>1</v>
      </c>
      <c r="BW170" s="121">
        <f>SUMIFS('3AugTo9Aug'!$O:$O, '3AugTo9Aug'!$J:$J, $A170)</f>
        <v>1.82</v>
      </c>
      <c r="BX170" s="129">
        <f>SUMIFS('3AugTo9Aug'!$P:$P, '3AugTo9Aug'!$J:$J, $A170)</f>
        <v>24.94</v>
      </c>
      <c r="BY170" s="123">
        <f t="shared" si="14"/>
        <v>7.2975140336808337</v>
      </c>
      <c r="BZ170" s="129">
        <f>SUMIFS('27JulyTo2Aug'!$L:$L, '27JulyTo2Aug'!$J:$J, $A170)</f>
        <v>0</v>
      </c>
      <c r="CA170" s="129">
        <f>SUMIFS('27JulyTo2Aug'!$K:$K, '27JulyTo2Aug'!$J:$J, $A170)</f>
        <v>0</v>
      </c>
      <c r="CB170" s="121">
        <f>SUMIFS('27JulyTo2Aug'!$O:$O, '27JulyTo2Aug'!$J:$J, $A170)</f>
        <v>0</v>
      </c>
      <c r="CC170" s="129">
        <f>SUMIFS('27JulyTo2Aug'!$P:$P, '27JulyTo2Aug'!$J:$J, $A170)</f>
        <v>0</v>
      </c>
      <c r="CD170" s="123">
        <f t="shared" si="15"/>
        <v>0</v>
      </c>
    </row>
    <row r="171" spans="1:82" ht="14.25" customHeight="1" x14ac:dyDescent="0.3">
      <c r="A171" s="133" t="s">
        <v>758</v>
      </c>
      <c r="B171" s="120" t="str">
        <f t="shared" si="18"/>
        <v>NO TRAFFIC</v>
      </c>
      <c r="C171" s="121">
        <f>SUMIFS('9NovTo15Nov'!$L:$L, '9NovTo15Nov'!$J:$J, $A171)</f>
        <v>0</v>
      </c>
      <c r="D171" s="121">
        <f>SUMIFS('9NovTo15Nov'!$K:$K, '9NovTo15Nov'!$J:$J, $A171)</f>
        <v>0</v>
      </c>
      <c r="E171" s="121">
        <f>SUMIFS('9NovTo15Nov'!$O:$O, '9NovTo15Nov'!$J:$J, $A171)</f>
        <v>0</v>
      </c>
      <c r="F171" s="121">
        <f>SUMIFS('9NovTo15Nov'!$P:$P, '9NovTo15Nov'!$J:$J, $A171)</f>
        <v>0</v>
      </c>
      <c r="G171" s="122">
        <f t="shared" si="0"/>
        <v>0</v>
      </c>
      <c r="H171" s="121">
        <f>SUMIFS('2NovTo8Nov'!$L:$L, '2NovTo8Nov'!$J:$J, $A171)</f>
        <v>0</v>
      </c>
      <c r="I171" s="121">
        <f>SUMIFS('2NovTo8Nov'!$K:$K, '2NovTo8Nov'!$J:$J, $A171)</f>
        <v>0</v>
      </c>
      <c r="J171" s="121">
        <f>SUMIFS('2NovTo8Nov'!$O:$O, '2NovTo8Nov'!$J:$J, $A171)</f>
        <v>0</v>
      </c>
      <c r="K171" s="121">
        <f>SUMIFS('2NovTo8Nov'!$P:$P, '2NovTo8Nov'!$J:$J, $A171)</f>
        <v>0</v>
      </c>
      <c r="L171" s="122">
        <f t="shared" si="1"/>
        <v>0</v>
      </c>
      <c r="M171" s="121">
        <f>SUMIFS('26OctTo1Nov'!$L:$L, '26OctTo1Nov'!$J:$J, $A171)</f>
        <v>0</v>
      </c>
      <c r="N171" s="121">
        <f>SUMIFS('26OctTo1Nov'!$K:$K, '26OctTo1Nov'!$J:$J, $A171)</f>
        <v>0</v>
      </c>
      <c r="O171" s="121">
        <f>SUMIFS('26OctTo1Nov'!$O:$O, '26OctTo1Nov'!$J:$J, $A171)</f>
        <v>0</v>
      </c>
      <c r="P171" s="121">
        <f>SUMIFS('26OctTo1Nov'!$P:$P, '26OctTo1Nov'!$J:$J, $A171)</f>
        <v>0</v>
      </c>
      <c r="Q171" s="122">
        <f t="shared" si="2"/>
        <v>0</v>
      </c>
      <c r="R171" s="121">
        <f>SUMIFS('19OctTo25Oct'!$L:$L, '19OctTo25Oct'!$J:$J, $A171)</f>
        <v>0</v>
      </c>
      <c r="S171" s="121">
        <f>SUMIFS('19OctTo25Oct'!$K:$K, '19OctTo25Oct'!$J:$J, $A171)</f>
        <v>0</v>
      </c>
      <c r="T171" s="121">
        <f>SUMIFS('19OctTo25Oct'!$O:$O, '19OctTo25Oct'!$J:$J, $A171)</f>
        <v>0</v>
      </c>
      <c r="U171" s="121">
        <f>SUMIFS('19OctTo25Oct'!$P:$P, '19OctTo25Oct'!$J:$J, $A171)</f>
        <v>0</v>
      </c>
      <c r="V171" s="122">
        <f t="shared" si="3"/>
        <v>0</v>
      </c>
      <c r="W171" s="121">
        <f>SUMIFS('12OctTo18Oct'!$L:$L, '12OctTo18Oct'!$J:$J, $A171)</f>
        <v>0</v>
      </c>
      <c r="X171" s="121">
        <f>SUMIFS('12OctTo18Oct'!$K:$K, '12OctTo18Oct'!$J:$J, $A171)</f>
        <v>0</v>
      </c>
      <c r="Y171" s="121">
        <f>SUMIFS('12OctTo18Oct'!$O:$O, '12OctTo18Oct'!$J:$J, $A171)</f>
        <v>0</v>
      </c>
      <c r="Z171" s="121">
        <f>SUMIFS('12OctTo18Oct'!$P:$P, '12OctTo18Oct'!$J:$J, $A171)</f>
        <v>0</v>
      </c>
      <c r="AA171" s="122">
        <f t="shared" si="4"/>
        <v>0</v>
      </c>
      <c r="AB171" s="121">
        <f>SUMIFS('5OctTo11Oct'!$L:$L, '5OctTo11Oct'!$J:$J, $A171)</f>
        <v>0</v>
      </c>
      <c r="AC171" s="121">
        <f>SUMIFS('5OctTo11Oct'!$K:$K, '5OctTo11Oct'!$J:$J, $A171)</f>
        <v>0</v>
      </c>
      <c r="AD171" s="121">
        <f>SUMIFS('5OctTo11Oct'!$O:$O, '5OctTo11Oct'!$J:$J, $A171)</f>
        <v>0</v>
      </c>
      <c r="AE171" s="121">
        <f>SUMIFS('5OctTo11Oct'!$P:$P, '5OctTo11Oct'!$J:$J, $A171)</f>
        <v>0</v>
      </c>
      <c r="AF171" s="123">
        <f t="shared" si="5"/>
        <v>0</v>
      </c>
      <c r="AG171" s="121">
        <f>SUMIFS('28SepTo4Oct'!$L:$L, '28SepTo4Oct'!$J:$J, $A171)</f>
        <v>0</v>
      </c>
      <c r="AH171" s="121">
        <f>SUMIFS('28SepTo4Oct'!$K:$K, '28SepTo4Oct'!$J:$J, $A171)</f>
        <v>0</v>
      </c>
      <c r="AI171" s="121">
        <f>SUMIFS('28SepTo4Oct'!$O:$O, '28SepTo4Oct'!$J:$J, $A171)</f>
        <v>0</v>
      </c>
      <c r="AJ171" s="121">
        <f>SUMIFS('28SepTo4Oct'!$P:$P, '28SepTo4Oct'!$J:$J, $A171)</f>
        <v>0</v>
      </c>
      <c r="AK171" s="123">
        <f t="shared" si="6"/>
        <v>0</v>
      </c>
      <c r="AL171" s="121">
        <f>SUMIFS('21SepTo27Sep'!$L:$L, '21SepTo27Sep'!$J:$J, $A171)</f>
        <v>0</v>
      </c>
      <c r="AM171" s="121">
        <f>SUMIFS('21SepTo27Sep'!$K:$K, '21SepTo27Sep'!$J:$J, $A171)</f>
        <v>0</v>
      </c>
      <c r="AN171" s="121">
        <f>SUMIFS('21SepTo27Sep'!$O:$O, '21SepTo27Sep'!$J:$J, $A171)</f>
        <v>0</v>
      </c>
      <c r="AO171" s="121">
        <f>SUMIFS('21SepTo27Sep'!$P:$P, '21SepTo27Sep'!$J:$J, $A171)</f>
        <v>0</v>
      </c>
      <c r="AP171" s="123">
        <f t="shared" si="7"/>
        <v>0</v>
      </c>
      <c r="AQ171" s="121">
        <f>SUMIFS('14SepTo20Sep'!$L:$L, '14SepTo20Sep'!$J:$J, $A171)</f>
        <v>0</v>
      </c>
      <c r="AR171" s="121">
        <f>SUMIFS('14SepTo20Sep'!$K:$K, '14SepTo20Sep'!$J:$J, $A171)</f>
        <v>0</v>
      </c>
      <c r="AS171" s="121">
        <f>SUMIFS('14SepTo20Sep'!$O:$O, '14SepTo20Sep'!$J:$J, $A171)</f>
        <v>0</v>
      </c>
      <c r="AT171" s="121">
        <f>SUMIFS('14SepTo20Sep'!$P:$P, '14SepTo20Sep'!$J:$J, $A171)</f>
        <v>0</v>
      </c>
      <c r="AU171" s="123">
        <f t="shared" si="8"/>
        <v>0</v>
      </c>
      <c r="AV171" s="121">
        <f>SUMIFS('7SepTo13Sep'!$L:$L, '7SepTo13Sep'!$J:$J, $A171)</f>
        <v>0</v>
      </c>
      <c r="AW171" s="121">
        <f>SUMIFS('7SepTo13Sep'!$K:$K, '7SepTo13Sep'!$J:$J, $A171)</f>
        <v>0</v>
      </c>
      <c r="AX171" s="121">
        <f>SUMIFS('7SepTo13Sep'!$O:$O, '7SepTo13Sep'!$J:$J, $A171)</f>
        <v>0</v>
      </c>
      <c r="AY171" s="121">
        <f>SUMIFS('7SepTo13Sep'!$P:$P, '7SepTo13Sep'!$J:$J, $A171)</f>
        <v>0</v>
      </c>
      <c r="AZ171" s="123">
        <f t="shared" si="9"/>
        <v>0</v>
      </c>
      <c r="BA171" s="121">
        <f>SUMIFS('31AugTo6Sep'!$L:$L, '31AugTo6Sep'!$J:$J, $A171)</f>
        <v>0</v>
      </c>
      <c r="BB171" s="121">
        <f>SUMIFS('31AugTo6Sep'!$K:$K, '31AugTo6Sep'!$J:$J, $A171)</f>
        <v>0</v>
      </c>
      <c r="BC171" s="121">
        <f>SUMIFS('31AugTo6Sep'!$O:$O, '31AugTo6Sep'!$J:$J, $A171)</f>
        <v>0</v>
      </c>
      <c r="BD171" s="121">
        <f>SUMIFS('31AugTo6Sep'!$P:$P, '31AugTo6Sep'!$J:$J, $A171)</f>
        <v>0</v>
      </c>
      <c r="BE171" s="123">
        <f t="shared" si="10"/>
        <v>0</v>
      </c>
      <c r="BF171" s="121">
        <f>SUMIFS('24AugTo29Aug'!$L:$L, '24AugTo29Aug'!$J:$J, $A171)</f>
        <v>0</v>
      </c>
      <c r="BG171" s="121">
        <f>SUMIFS('24AugTo29Aug'!$K:$K, '24AugTo29Aug'!$J:$J, $A171)</f>
        <v>0</v>
      </c>
      <c r="BH171" s="121">
        <f>SUMIFS('24AugTo29Aug'!$O:$O, '24AugTo29Aug'!$J:$J, $A171)</f>
        <v>0</v>
      </c>
      <c r="BI171" s="121">
        <f>SUMIFS('24AugTo29Aug'!$P:$P, '24AugTo29Aug'!$J:$J, $A171)</f>
        <v>0</v>
      </c>
      <c r="BJ171" s="123">
        <f t="shared" si="11"/>
        <v>0</v>
      </c>
      <c r="BK171" s="121">
        <f>SUMIFS('17AugTo21Aug'!$L:$L, '17AugTo21Aug'!$J:$J, $A171)</f>
        <v>0</v>
      </c>
      <c r="BL171" s="121">
        <f>SUMIFS('17AugTo21Aug'!$K:$K, '17AugTo21Aug'!$J:$J, $A171)</f>
        <v>0</v>
      </c>
      <c r="BM171" s="121">
        <f>SUMIFS('17AugTo21Aug'!$O:$O, '17AugTo21Aug'!$J:$J, $A171)</f>
        <v>0</v>
      </c>
      <c r="BN171" s="121">
        <f>SUMIFS('17AugTo21Aug'!$P:$P, '17AugTo21Aug'!$J:$J, $A171)</f>
        <v>0</v>
      </c>
      <c r="BO171" s="123">
        <f t="shared" si="12"/>
        <v>0</v>
      </c>
      <c r="BP171" s="121">
        <f>SUMIFS('10AugTo16Aug'!$L:$L, '10AugTo16Aug'!$J:$J, $A171)</f>
        <v>0</v>
      </c>
      <c r="BQ171" s="121">
        <f>SUMIFS('10AugTo16Aug'!$K:$K, '10AugTo16Aug'!$J:$J, $A171)</f>
        <v>0</v>
      </c>
      <c r="BR171" s="121">
        <f>SUMIFS('10AugTo16Aug'!$O:$O, '10AugTo16Aug'!$J:$J, $A171)</f>
        <v>0</v>
      </c>
      <c r="BS171" s="121">
        <f>SUMIFS('10AugTo16Aug'!$P:$P, '10AugTo16Aug'!$J:$J, $A171)</f>
        <v>0</v>
      </c>
      <c r="BT171" s="123">
        <f t="shared" si="13"/>
        <v>0</v>
      </c>
      <c r="BU171" s="121">
        <f>SUMIFS('3AugTo9Aug'!$L:$L, '3AugTo9Aug'!$J:$J, $A171)</f>
        <v>1</v>
      </c>
      <c r="BV171" s="121">
        <f>SUMIFS('3AugTo9Aug'!$K:$K, '3AugTo9Aug'!$J:$J, $A171)</f>
        <v>91</v>
      </c>
      <c r="BW171" s="121">
        <f>SUMIFS('3AugTo9Aug'!$O:$O, '3AugTo9Aug'!$J:$J, $A171)</f>
        <v>4.0599999999999996</v>
      </c>
      <c r="BX171" s="121">
        <f>SUMIFS('3AugTo9Aug'!$P:$P, '3AugTo9Aug'!$J:$J, $A171)</f>
        <v>43.9</v>
      </c>
      <c r="BY171" s="123">
        <f t="shared" si="14"/>
        <v>9.2482915717539864</v>
      </c>
      <c r="BZ171" s="121">
        <f>SUMIFS('27JulyTo2Aug'!$L:$L, '27JulyTo2Aug'!$J:$J, $A171)</f>
        <v>0</v>
      </c>
      <c r="CA171" s="121">
        <f>SUMIFS('27JulyTo2Aug'!$K:$K, '27JulyTo2Aug'!$J:$J, $A171)</f>
        <v>0</v>
      </c>
      <c r="CB171" s="121">
        <f>SUMIFS('27JulyTo2Aug'!$O:$O, '27JulyTo2Aug'!$J:$J, $A171)</f>
        <v>0</v>
      </c>
      <c r="CC171" s="121">
        <f>SUMIFS('27JulyTo2Aug'!$P:$P, '27JulyTo2Aug'!$J:$J, $A171)</f>
        <v>0</v>
      </c>
      <c r="CD171" s="123">
        <f t="shared" si="15"/>
        <v>0</v>
      </c>
    </row>
    <row r="172" spans="1:82" ht="14.25" customHeight="1" x14ac:dyDescent="0.3">
      <c r="A172" s="124" t="s">
        <v>759</v>
      </c>
      <c r="B172" s="120" t="str">
        <f t="shared" si="18"/>
        <v>NO TRAFFIC</v>
      </c>
      <c r="C172" s="121">
        <f>SUMIFS('9NovTo15Nov'!$L:$L, '9NovTo15Nov'!$J:$J, $A172)</f>
        <v>0</v>
      </c>
      <c r="D172" s="121">
        <f>SUMIFS('9NovTo15Nov'!$K:$K, '9NovTo15Nov'!$J:$J, $A172)</f>
        <v>0</v>
      </c>
      <c r="E172" s="121">
        <f>SUMIFS('9NovTo15Nov'!$O:$O, '9NovTo15Nov'!$J:$J, $A172)</f>
        <v>0</v>
      </c>
      <c r="F172" s="121">
        <f>SUMIFS('9NovTo15Nov'!$P:$P, '9NovTo15Nov'!$J:$J, $A172)</f>
        <v>0</v>
      </c>
      <c r="G172" s="122">
        <f t="shared" si="0"/>
        <v>0</v>
      </c>
      <c r="H172" s="121">
        <f>SUMIFS('2NovTo8Nov'!$L:$L, '2NovTo8Nov'!$J:$J, $A172)</f>
        <v>0</v>
      </c>
      <c r="I172" s="121">
        <f>SUMIFS('2NovTo8Nov'!$K:$K, '2NovTo8Nov'!$J:$J, $A172)</f>
        <v>0</v>
      </c>
      <c r="J172" s="121">
        <f>SUMIFS('2NovTo8Nov'!$O:$O, '2NovTo8Nov'!$J:$J, $A172)</f>
        <v>0</v>
      </c>
      <c r="K172" s="121">
        <f>SUMIFS('2NovTo8Nov'!$P:$P, '2NovTo8Nov'!$J:$J, $A172)</f>
        <v>0</v>
      </c>
      <c r="L172" s="122">
        <f t="shared" si="1"/>
        <v>0</v>
      </c>
      <c r="M172" s="121">
        <f>SUMIFS('26OctTo1Nov'!$L:$L, '26OctTo1Nov'!$J:$J, $A172)</f>
        <v>0</v>
      </c>
      <c r="N172" s="121">
        <f>SUMIFS('26OctTo1Nov'!$K:$K, '26OctTo1Nov'!$J:$J, $A172)</f>
        <v>0</v>
      </c>
      <c r="O172" s="121">
        <f>SUMIFS('26OctTo1Nov'!$O:$O, '26OctTo1Nov'!$J:$J, $A172)</f>
        <v>0</v>
      </c>
      <c r="P172" s="121">
        <f>SUMIFS('26OctTo1Nov'!$P:$P, '26OctTo1Nov'!$J:$J, $A172)</f>
        <v>0</v>
      </c>
      <c r="Q172" s="122">
        <f t="shared" si="2"/>
        <v>0</v>
      </c>
      <c r="R172" s="121">
        <f>SUMIFS('19OctTo25Oct'!$L:$L, '19OctTo25Oct'!$J:$J, $A172)</f>
        <v>0</v>
      </c>
      <c r="S172" s="121">
        <f>SUMIFS('19OctTo25Oct'!$K:$K, '19OctTo25Oct'!$J:$J, $A172)</f>
        <v>0</v>
      </c>
      <c r="T172" s="121">
        <f>SUMIFS('19OctTo25Oct'!$O:$O, '19OctTo25Oct'!$J:$J, $A172)</f>
        <v>0</v>
      </c>
      <c r="U172" s="121">
        <f>SUMIFS('19OctTo25Oct'!$P:$P, '19OctTo25Oct'!$J:$J, $A172)</f>
        <v>0</v>
      </c>
      <c r="V172" s="122">
        <f t="shared" si="3"/>
        <v>0</v>
      </c>
      <c r="W172" s="121">
        <f>SUMIFS('12OctTo18Oct'!$L:$L, '12OctTo18Oct'!$J:$J, $A172)</f>
        <v>0</v>
      </c>
      <c r="X172" s="121">
        <f>SUMIFS('12OctTo18Oct'!$K:$K, '12OctTo18Oct'!$J:$J, $A172)</f>
        <v>0</v>
      </c>
      <c r="Y172" s="121">
        <f>SUMIFS('12OctTo18Oct'!$O:$O, '12OctTo18Oct'!$J:$J, $A172)</f>
        <v>0</v>
      </c>
      <c r="Z172" s="121">
        <f>SUMIFS('12OctTo18Oct'!$P:$P, '12OctTo18Oct'!$J:$J, $A172)</f>
        <v>0</v>
      </c>
      <c r="AA172" s="122">
        <f t="shared" si="4"/>
        <v>0</v>
      </c>
      <c r="AB172" s="121">
        <f>SUMIFS('5OctTo11Oct'!$L:$L, '5OctTo11Oct'!$J:$J, $A172)</f>
        <v>0</v>
      </c>
      <c r="AC172" s="121">
        <f>SUMIFS('5OctTo11Oct'!$K:$K, '5OctTo11Oct'!$J:$J, $A172)</f>
        <v>0</v>
      </c>
      <c r="AD172" s="121">
        <f>SUMIFS('5OctTo11Oct'!$O:$O, '5OctTo11Oct'!$J:$J, $A172)</f>
        <v>0</v>
      </c>
      <c r="AE172" s="121">
        <f>SUMIFS('5OctTo11Oct'!$P:$P, '5OctTo11Oct'!$J:$J, $A172)</f>
        <v>0</v>
      </c>
      <c r="AF172" s="123">
        <f t="shared" si="5"/>
        <v>0</v>
      </c>
      <c r="AG172" s="121">
        <f>SUMIFS('28SepTo4Oct'!$L:$L, '28SepTo4Oct'!$J:$J, $A172)</f>
        <v>0</v>
      </c>
      <c r="AH172" s="121">
        <f>SUMIFS('28SepTo4Oct'!$K:$K, '28SepTo4Oct'!$J:$J, $A172)</f>
        <v>0</v>
      </c>
      <c r="AI172" s="121">
        <f>SUMIFS('28SepTo4Oct'!$O:$O, '28SepTo4Oct'!$J:$J, $A172)</f>
        <v>0</v>
      </c>
      <c r="AJ172" s="121">
        <f>SUMIFS('28SepTo4Oct'!$P:$P, '28SepTo4Oct'!$J:$J, $A172)</f>
        <v>0</v>
      </c>
      <c r="AK172" s="123">
        <f t="shared" si="6"/>
        <v>0</v>
      </c>
      <c r="AL172" s="121">
        <f>SUMIFS('21SepTo27Sep'!$L:$L, '21SepTo27Sep'!$J:$J, $A172)</f>
        <v>0</v>
      </c>
      <c r="AM172" s="121">
        <f>SUMIFS('21SepTo27Sep'!$K:$K, '21SepTo27Sep'!$J:$J, $A172)</f>
        <v>0</v>
      </c>
      <c r="AN172" s="121">
        <f>SUMIFS('21SepTo27Sep'!$O:$O, '21SepTo27Sep'!$J:$J, $A172)</f>
        <v>0</v>
      </c>
      <c r="AO172" s="121">
        <f>SUMIFS('21SepTo27Sep'!$P:$P, '21SepTo27Sep'!$J:$J, $A172)</f>
        <v>0</v>
      </c>
      <c r="AP172" s="123">
        <f t="shared" si="7"/>
        <v>0</v>
      </c>
      <c r="AQ172" s="121">
        <f>SUMIFS('14SepTo20Sep'!$L:$L, '14SepTo20Sep'!$J:$J, $A172)</f>
        <v>0</v>
      </c>
      <c r="AR172" s="121">
        <f>SUMIFS('14SepTo20Sep'!$K:$K, '14SepTo20Sep'!$J:$J, $A172)</f>
        <v>0</v>
      </c>
      <c r="AS172" s="121">
        <f>SUMIFS('14SepTo20Sep'!$O:$O, '14SepTo20Sep'!$J:$J, $A172)</f>
        <v>0</v>
      </c>
      <c r="AT172" s="121">
        <f>SUMIFS('14SepTo20Sep'!$P:$P, '14SepTo20Sep'!$J:$J, $A172)</f>
        <v>0</v>
      </c>
      <c r="AU172" s="123">
        <f t="shared" si="8"/>
        <v>0</v>
      </c>
      <c r="AV172" s="121">
        <f>SUMIFS('7SepTo13Sep'!$L:$L, '7SepTo13Sep'!$J:$J, $A172)</f>
        <v>0</v>
      </c>
      <c r="AW172" s="121">
        <f>SUMIFS('7SepTo13Sep'!$K:$K, '7SepTo13Sep'!$J:$J, $A172)</f>
        <v>0</v>
      </c>
      <c r="AX172" s="121">
        <f>SUMIFS('7SepTo13Sep'!$O:$O, '7SepTo13Sep'!$J:$J, $A172)</f>
        <v>0</v>
      </c>
      <c r="AY172" s="121">
        <f>SUMIFS('7SepTo13Sep'!$P:$P, '7SepTo13Sep'!$J:$J, $A172)</f>
        <v>0</v>
      </c>
      <c r="AZ172" s="123">
        <f t="shared" si="9"/>
        <v>0</v>
      </c>
      <c r="BA172" s="121">
        <f>SUMIFS('31AugTo6Sep'!$L:$L, '31AugTo6Sep'!$J:$J, $A172)</f>
        <v>0</v>
      </c>
      <c r="BB172" s="121">
        <f>SUMIFS('31AugTo6Sep'!$K:$K, '31AugTo6Sep'!$J:$J, $A172)</f>
        <v>0</v>
      </c>
      <c r="BC172" s="121">
        <f>SUMIFS('31AugTo6Sep'!$O:$O, '31AugTo6Sep'!$J:$J, $A172)</f>
        <v>0</v>
      </c>
      <c r="BD172" s="121">
        <f>SUMIFS('31AugTo6Sep'!$P:$P, '31AugTo6Sep'!$J:$J, $A172)</f>
        <v>0</v>
      </c>
      <c r="BE172" s="123">
        <f t="shared" si="10"/>
        <v>0</v>
      </c>
      <c r="BF172" s="121">
        <f>SUMIFS('24AugTo29Aug'!$L:$L, '24AugTo29Aug'!$J:$J, $A172)</f>
        <v>0</v>
      </c>
      <c r="BG172" s="121">
        <f>SUMIFS('24AugTo29Aug'!$K:$K, '24AugTo29Aug'!$J:$J, $A172)</f>
        <v>0</v>
      </c>
      <c r="BH172" s="121">
        <f>SUMIFS('24AugTo29Aug'!$O:$O, '24AugTo29Aug'!$J:$J, $A172)</f>
        <v>0</v>
      </c>
      <c r="BI172" s="121">
        <f>SUMIFS('24AugTo29Aug'!$P:$P, '24AugTo29Aug'!$J:$J, $A172)</f>
        <v>0</v>
      </c>
      <c r="BJ172" s="123">
        <f t="shared" si="11"/>
        <v>0</v>
      </c>
      <c r="BK172" s="121">
        <f>SUMIFS('17AugTo21Aug'!$L:$L, '17AugTo21Aug'!$J:$J, $A172)</f>
        <v>0</v>
      </c>
      <c r="BL172" s="121">
        <f>SUMIFS('17AugTo21Aug'!$K:$K, '17AugTo21Aug'!$J:$J, $A172)</f>
        <v>0</v>
      </c>
      <c r="BM172" s="121">
        <f>SUMIFS('17AugTo21Aug'!$O:$O, '17AugTo21Aug'!$J:$J, $A172)</f>
        <v>0</v>
      </c>
      <c r="BN172" s="121">
        <f>SUMIFS('17AugTo21Aug'!$P:$P, '17AugTo21Aug'!$J:$J, $A172)</f>
        <v>0</v>
      </c>
      <c r="BO172" s="123">
        <f t="shared" si="12"/>
        <v>0</v>
      </c>
      <c r="BP172" s="121">
        <f>SUMIFS('10AugTo16Aug'!$L:$L, '10AugTo16Aug'!$J:$J, $A172)</f>
        <v>0</v>
      </c>
      <c r="BQ172" s="121">
        <f>SUMIFS('10AugTo16Aug'!$K:$K, '10AugTo16Aug'!$J:$J, $A172)</f>
        <v>0</v>
      </c>
      <c r="BR172" s="121">
        <f>SUMIFS('10AugTo16Aug'!$O:$O, '10AugTo16Aug'!$J:$J, $A172)</f>
        <v>0</v>
      </c>
      <c r="BS172" s="121">
        <f>SUMIFS('10AugTo16Aug'!$P:$P, '10AugTo16Aug'!$J:$J, $A172)</f>
        <v>0</v>
      </c>
      <c r="BT172" s="123">
        <f t="shared" si="13"/>
        <v>0</v>
      </c>
      <c r="BU172" s="121">
        <f>SUMIFS('3AugTo9Aug'!$L:$L, '3AugTo9Aug'!$J:$J, $A172)</f>
        <v>1</v>
      </c>
      <c r="BV172" s="121">
        <f>SUMIFS('3AugTo9Aug'!$K:$K, '3AugTo9Aug'!$J:$J, $A172)</f>
        <v>5</v>
      </c>
      <c r="BW172" s="121">
        <f>SUMIFS('3AugTo9Aug'!$O:$O, '3AugTo9Aug'!$J:$J, $A172)</f>
        <v>1.82</v>
      </c>
      <c r="BX172" s="121">
        <f>SUMIFS('3AugTo9Aug'!$P:$P, '3AugTo9Aug'!$J:$J, $A172)</f>
        <v>24.94</v>
      </c>
      <c r="BY172" s="123">
        <f t="shared" si="14"/>
        <v>7.2975140336808337</v>
      </c>
      <c r="BZ172" s="121">
        <f>SUMIFS('27JulyTo2Aug'!$L:$L, '27JulyTo2Aug'!$J:$J, $A172)</f>
        <v>0</v>
      </c>
      <c r="CA172" s="121">
        <f>SUMIFS('27JulyTo2Aug'!$K:$K, '27JulyTo2Aug'!$J:$J, $A172)</f>
        <v>0</v>
      </c>
      <c r="CB172" s="121">
        <f>SUMIFS('27JulyTo2Aug'!$O:$O, '27JulyTo2Aug'!$J:$J, $A172)</f>
        <v>0</v>
      </c>
      <c r="CC172" s="121">
        <f>SUMIFS('27JulyTo2Aug'!$P:$P, '27JulyTo2Aug'!$J:$J, $A172)</f>
        <v>0</v>
      </c>
      <c r="CD172" s="123">
        <f t="shared" si="15"/>
        <v>0</v>
      </c>
    </row>
    <row r="173" spans="1:82" ht="14.25" customHeight="1" x14ac:dyDescent="0.3">
      <c r="A173" s="124" t="s">
        <v>761</v>
      </c>
      <c r="B173" s="120" t="str">
        <f t="shared" si="18"/>
        <v>NO TRAFFIC</v>
      </c>
      <c r="C173" s="121">
        <f>SUMIFS('9NovTo15Nov'!$L:$L, '9NovTo15Nov'!$J:$J, $A173)</f>
        <v>0</v>
      </c>
      <c r="D173" s="121">
        <f>SUMIFS('9NovTo15Nov'!$K:$K, '9NovTo15Nov'!$J:$J, $A173)</f>
        <v>0</v>
      </c>
      <c r="E173" s="121">
        <f>SUMIFS('9NovTo15Nov'!$O:$O, '9NovTo15Nov'!$J:$J, $A173)</f>
        <v>0</v>
      </c>
      <c r="F173" s="121">
        <f>SUMIFS('9NovTo15Nov'!$P:$P, '9NovTo15Nov'!$J:$J, $A173)</f>
        <v>0</v>
      </c>
      <c r="G173" s="122">
        <f t="shared" si="0"/>
        <v>0</v>
      </c>
      <c r="H173" s="121">
        <f>SUMIFS('2NovTo8Nov'!$L:$L, '2NovTo8Nov'!$J:$J, $A173)</f>
        <v>0</v>
      </c>
      <c r="I173" s="121">
        <f>SUMIFS('2NovTo8Nov'!$K:$K, '2NovTo8Nov'!$J:$J, $A173)</f>
        <v>0</v>
      </c>
      <c r="J173" s="121">
        <f>SUMIFS('2NovTo8Nov'!$O:$O, '2NovTo8Nov'!$J:$J, $A173)</f>
        <v>0</v>
      </c>
      <c r="K173" s="121">
        <f>SUMIFS('2NovTo8Nov'!$P:$P, '2NovTo8Nov'!$J:$J, $A173)</f>
        <v>0</v>
      </c>
      <c r="L173" s="122">
        <f t="shared" si="1"/>
        <v>0</v>
      </c>
      <c r="M173" s="121">
        <f>SUMIFS('26OctTo1Nov'!$L:$L, '26OctTo1Nov'!$J:$J, $A173)</f>
        <v>0</v>
      </c>
      <c r="N173" s="121">
        <f>SUMIFS('26OctTo1Nov'!$K:$K, '26OctTo1Nov'!$J:$J, $A173)</f>
        <v>0</v>
      </c>
      <c r="O173" s="121">
        <f>SUMIFS('26OctTo1Nov'!$O:$O, '26OctTo1Nov'!$J:$J, $A173)</f>
        <v>0</v>
      </c>
      <c r="P173" s="121">
        <f>SUMIFS('26OctTo1Nov'!$P:$P, '26OctTo1Nov'!$J:$J, $A173)</f>
        <v>0</v>
      </c>
      <c r="Q173" s="122">
        <f t="shared" si="2"/>
        <v>0</v>
      </c>
      <c r="R173" s="121">
        <f>SUMIFS('19OctTo25Oct'!$L:$L, '19OctTo25Oct'!$J:$J, $A173)</f>
        <v>0</v>
      </c>
      <c r="S173" s="121">
        <f>SUMIFS('19OctTo25Oct'!$K:$K, '19OctTo25Oct'!$J:$J, $A173)</f>
        <v>0</v>
      </c>
      <c r="T173" s="121">
        <f>SUMIFS('19OctTo25Oct'!$O:$O, '19OctTo25Oct'!$J:$J, $A173)</f>
        <v>0</v>
      </c>
      <c r="U173" s="121">
        <f>SUMIFS('19OctTo25Oct'!$P:$P, '19OctTo25Oct'!$J:$J, $A173)</f>
        <v>0</v>
      </c>
      <c r="V173" s="122">
        <f t="shared" si="3"/>
        <v>0</v>
      </c>
      <c r="W173" s="121">
        <f>SUMIFS('12OctTo18Oct'!$L:$L, '12OctTo18Oct'!$J:$J, $A173)</f>
        <v>0</v>
      </c>
      <c r="X173" s="121">
        <f>SUMIFS('12OctTo18Oct'!$K:$K, '12OctTo18Oct'!$J:$J, $A173)</f>
        <v>0</v>
      </c>
      <c r="Y173" s="121">
        <f>SUMIFS('12OctTo18Oct'!$O:$O, '12OctTo18Oct'!$J:$J, $A173)</f>
        <v>0</v>
      </c>
      <c r="Z173" s="121">
        <f>SUMIFS('12OctTo18Oct'!$P:$P, '12OctTo18Oct'!$J:$J, $A173)</f>
        <v>0</v>
      </c>
      <c r="AA173" s="122">
        <f t="shared" si="4"/>
        <v>0</v>
      </c>
      <c r="AB173" s="121">
        <f>SUMIFS('5OctTo11Oct'!$L:$L, '5OctTo11Oct'!$J:$J, $A173)</f>
        <v>0</v>
      </c>
      <c r="AC173" s="121">
        <f>SUMIFS('5OctTo11Oct'!$K:$K, '5OctTo11Oct'!$J:$J, $A173)</f>
        <v>0</v>
      </c>
      <c r="AD173" s="121">
        <f>SUMIFS('5OctTo11Oct'!$O:$O, '5OctTo11Oct'!$J:$J, $A173)</f>
        <v>0</v>
      </c>
      <c r="AE173" s="121">
        <f>SUMIFS('5OctTo11Oct'!$P:$P, '5OctTo11Oct'!$J:$J, $A173)</f>
        <v>0</v>
      </c>
      <c r="AF173" s="123">
        <f t="shared" si="5"/>
        <v>0</v>
      </c>
      <c r="AG173" s="121">
        <f>SUMIFS('28SepTo4Oct'!$L:$L, '28SepTo4Oct'!$J:$J, $A173)</f>
        <v>0</v>
      </c>
      <c r="AH173" s="121">
        <f>SUMIFS('28SepTo4Oct'!$K:$K, '28SepTo4Oct'!$J:$J, $A173)</f>
        <v>0</v>
      </c>
      <c r="AI173" s="121">
        <f>SUMIFS('28SepTo4Oct'!$O:$O, '28SepTo4Oct'!$J:$J, $A173)</f>
        <v>0</v>
      </c>
      <c r="AJ173" s="121">
        <f>SUMIFS('28SepTo4Oct'!$P:$P, '28SepTo4Oct'!$J:$J, $A173)</f>
        <v>0</v>
      </c>
      <c r="AK173" s="123">
        <f t="shared" si="6"/>
        <v>0</v>
      </c>
      <c r="AL173" s="121">
        <f>SUMIFS('21SepTo27Sep'!$L:$L, '21SepTo27Sep'!$J:$J, $A173)</f>
        <v>0</v>
      </c>
      <c r="AM173" s="121">
        <f>SUMIFS('21SepTo27Sep'!$K:$K, '21SepTo27Sep'!$J:$J, $A173)</f>
        <v>0</v>
      </c>
      <c r="AN173" s="121">
        <f>SUMIFS('21SepTo27Sep'!$O:$O, '21SepTo27Sep'!$J:$J, $A173)</f>
        <v>0</v>
      </c>
      <c r="AO173" s="121">
        <f>SUMIFS('21SepTo27Sep'!$P:$P, '21SepTo27Sep'!$J:$J, $A173)</f>
        <v>0</v>
      </c>
      <c r="AP173" s="123">
        <f t="shared" si="7"/>
        <v>0</v>
      </c>
      <c r="AQ173" s="121">
        <f>SUMIFS('14SepTo20Sep'!$L:$L, '14SepTo20Sep'!$J:$J, $A173)</f>
        <v>0</v>
      </c>
      <c r="AR173" s="121">
        <f>SUMIFS('14SepTo20Sep'!$K:$K, '14SepTo20Sep'!$J:$J, $A173)</f>
        <v>0</v>
      </c>
      <c r="AS173" s="121">
        <f>SUMIFS('14SepTo20Sep'!$O:$O, '14SepTo20Sep'!$J:$J, $A173)</f>
        <v>0</v>
      </c>
      <c r="AT173" s="121">
        <f>SUMIFS('14SepTo20Sep'!$P:$P, '14SepTo20Sep'!$J:$J, $A173)</f>
        <v>0</v>
      </c>
      <c r="AU173" s="123">
        <f t="shared" si="8"/>
        <v>0</v>
      </c>
      <c r="AV173" s="121">
        <f>SUMIFS('7SepTo13Sep'!$L:$L, '7SepTo13Sep'!$J:$J, $A173)</f>
        <v>0</v>
      </c>
      <c r="AW173" s="121">
        <f>SUMIFS('7SepTo13Sep'!$K:$K, '7SepTo13Sep'!$J:$J, $A173)</f>
        <v>0</v>
      </c>
      <c r="AX173" s="121">
        <f>SUMIFS('7SepTo13Sep'!$O:$O, '7SepTo13Sep'!$J:$J, $A173)</f>
        <v>0</v>
      </c>
      <c r="AY173" s="121">
        <f>SUMIFS('7SepTo13Sep'!$P:$P, '7SepTo13Sep'!$J:$J, $A173)</f>
        <v>0</v>
      </c>
      <c r="AZ173" s="123">
        <f t="shared" si="9"/>
        <v>0</v>
      </c>
      <c r="BA173" s="121">
        <f>SUMIFS('31AugTo6Sep'!$L:$L, '31AugTo6Sep'!$J:$J, $A173)</f>
        <v>0</v>
      </c>
      <c r="BB173" s="121">
        <f>SUMIFS('31AugTo6Sep'!$K:$K, '31AugTo6Sep'!$J:$J, $A173)</f>
        <v>0</v>
      </c>
      <c r="BC173" s="121">
        <f>SUMIFS('31AugTo6Sep'!$O:$O, '31AugTo6Sep'!$J:$J, $A173)</f>
        <v>0</v>
      </c>
      <c r="BD173" s="121">
        <f>SUMIFS('31AugTo6Sep'!$P:$P, '31AugTo6Sep'!$J:$J, $A173)</f>
        <v>0</v>
      </c>
      <c r="BE173" s="123">
        <f t="shared" si="10"/>
        <v>0</v>
      </c>
      <c r="BF173" s="121">
        <f>SUMIFS('24AugTo29Aug'!$L:$L, '24AugTo29Aug'!$J:$J, $A173)</f>
        <v>0</v>
      </c>
      <c r="BG173" s="121">
        <f>SUMIFS('24AugTo29Aug'!$K:$K, '24AugTo29Aug'!$J:$J, $A173)</f>
        <v>0</v>
      </c>
      <c r="BH173" s="121">
        <f>SUMIFS('24AugTo29Aug'!$O:$O, '24AugTo29Aug'!$J:$J, $A173)</f>
        <v>0</v>
      </c>
      <c r="BI173" s="121">
        <f>SUMIFS('24AugTo29Aug'!$P:$P, '24AugTo29Aug'!$J:$J, $A173)</f>
        <v>0</v>
      </c>
      <c r="BJ173" s="123">
        <f t="shared" si="11"/>
        <v>0</v>
      </c>
      <c r="BK173" s="121">
        <f>SUMIFS('17AugTo21Aug'!$L:$L, '17AugTo21Aug'!$J:$J, $A173)</f>
        <v>0</v>
      </c>
      <c r="BL173" s="121">
        <f>SUMIFS('17AugTo21Aug'!$K:$K, '17AugTo21Aug'!$J:$J, $A173)</f>
        <v>0</v>
      </c>
      <c r="BM173" s="121">
        <f>SUMIFS('17AugTo21Aug'!$O:$O, '17AugTo21Aug'!$J:$J, $A173)</f>
        <v>0</v>
      </c>
      <c r="BN173" s="121">
        <f>SUMIFS('17AugTo21Aug'!$P:$P, '17AugTo21Aug'!$J:$J, $A173)</f>
        <v>0</v>
      </c>
      <c r="BO173" s="123">
        <f t="shared" si="12"/>
        <v>0</v>
      </c>
      <c r="BP173" s="121">
        <f>SUMIFS('10AugTo16Aug'!$L:$L, '10AugTo16Aug'!$J:$J, $A173)</f>
        <v>0</v>
      </c>
      <c r="BQ173" s="121">
        <f>SUMIFS('10AugTo16Aug'!$K:$K, '10AugTo16Aug'!$J:$J, $A173)</f>
        <v>0</v>
      </c>
      <c r="BR173" s="121">
        <f>SUMIFS('10AugTo16Aug'!$O:$O, '10AugTo16Aug'!$J:$J, $A173)</f>
        <v>0</v>
      </c>
      <c r="BS173" s="121">
        <f>SUMIFS('10AugTo16Aug'!$P:$P, '10AugTo16Aug'!$J:$J, $A173)</f>
        <v>0</v>
      </c>
      <c r="BT173" s="123">
        <f t="shared" si="13"/>
        <v>0</v>
      </c>
      <c r="BU173" s="121">
        <f>SUMIFS('3AugTo9Aug'!$L:$L, '3AugTo9Aug'!$J:$J, $A173)</f>
        <v>1</v>
      </c>
      <c r="BV173" s="121">
        <f>SUMIFS('3AugTo9Aug'!$K:$K, '3AugTo9Aug'!$J:$J, $A173)</f>
        <v>59</v>
      </c>
      <c r="BW173" s="121">
        <f>SUMIFS('3AugTo9Aug'!$O:$O, '3AugTo9Aug'!$J:$J, $A173)</f>
        <v>4.7699999999999996</v>
      </c>
      <c r="BX173" s="121">
        <f>SUMIFS('3AugTo9Aug'!$P:$P, '3AugTo9Aug'!$J:$J, $A173)</f>
        <v>24.94</v>
      </c>
      <c r="BY173" s="123">
        <f t="shared" si="14"/>
        <v>19.125902165196468</v>
      </c>
      <c r="BZ173" s="121">
        <f>SUMIFS('27JulyTo2Aug'!$L:$L, '27JulyTo2Aug'!$J:$J, $A173)</f>
        <v>0</v>
      </c>
      <c r="CA173" s="121">
        <f>SUMIFS('27JulyTo2Aug'!$K:$K, '27JulyTo2Aug'!$J:$J, $A173)</f>
        <v>0</v>
      </c>
      <c r="CB173" s="121">
        <f>SUMIFS('27JulyTo2Aug'!$O:$O, '27JulyTo2Aug'!$J:$J, $A173)</f>
        <v>0</v>
      </c>
      <c r="CC173" s="121">
        <f>SUMIFS('27JulyTo2Aug'!$P:$P, '27JulyTo2Aug'!$J:$J, $A173)</f>
        <v>0</v>
      </c>
      <c r="CD173" s="123">
        <f t="shared" si="15"/>
        <v>0</v>
      </c>
    </row>
    <row r="174" spans="1:82" ht="14.25" customHeight="1" x14ac:dyDescent="0.3">
      <c r="A174" s="124" t="s">
        <v>762</v>
      </c>
      <c r="B174" s="120" t="str">
        <f t="shared" si="18"/>
        <v>NO TRAFFIC</v>
      </c>
      <c r="C174" s="121">
        <f>SUMIFS('9NovTo15Nov'!$L:$L, '9NovTo15Nov'!$J:$J, $A174)</f>
        <v>0</v>
      </c>
      <c r="D174" s="121">
        <f>SUMIFS('9NovTo15Nov'!$K:$K, '9NovTo15Nov'!$J:$J, $A174)</f>
        <v>0</v>
      </c>
      <c r="E174" s="121">
        <f>SUMIFS('9NovTo15Nov'!$O:$O, '9NovTo15Nov'!$J:$J, $A174)</f>
        <v>0</v>
      </c>
      <c r="F174" s="121">
        <f>SUMIFS('9NovTo15Nov'!$P:$P, '9NovTo15Nov'!$J:$J, $A174)</f>
        <v>0</v>
      </c>
      <c r="G174" s="122">
        <f t="shared" si="0"/>
        <v>0</v>
      </c>
      <c r="H174" s="121">
        <f>SUMIFS('2NovTo8Nov'!$L:$L, '2NovTo8Nov'!$J:$J, $A174)</f>
        <v>0</v>
      </c>
      <c r="I174" s="121">
        <f>SUMIFS('2NovTo8Nov'!$K:$K, '2NovTo8Nov'!$J:$J, $A174)</f>
        <v>0</v>
      </c>
      <c r="J174" s="121">
        <f>SUMIFS('2NovTo8Nov'!$O:$O, '2NovTo8Nov'!$J:$J, $A174)</f>
        <v>0</v>
      </c>
      <c r="K174" s="121">
        <f>SUMIFS('2NovTo8Nov'!$P:$P, '2NovTo8Nov'!$J:$J, $A174)</f>
        <v>0</v>
      </c>
      <c r="L174" s="122">
        <f t="shared" si="1"/>
        <v>0</v>
      </c>
      <c r="M174" s="121">
        <f>SUMIFS('26OctTo1Nov'!$L:$L, '26OctTo1Nov'!$J:$J, $A174)</f>
        <v>0</v>
      </c>
      <c r="N174" s="121">
        <f>SUMIFS('26OctTo1Nov'!$K:$K, '26OctTo1Nov'!$J:$J, $A174)</f>
        <v>0</v>
      </c>
      <c r="O174" s="121">
        <f>SUMIFS('26OctTo1Nov'!$O:$O, '26OctTo1Nov'!$J:$J, $A174)</f>
        <v>0</v>
      </c>
      <c r="P174" s="121">
        <f>SUMIFS('26OctTo1Nov'!$P:$P, '26OctTo1Nov'!$J:$J, $A174)</f>
        <v>0</v>
      </c>
      <c r="Q174" s="122">
        <f t="shared" si="2"/>
        <v>0</v>
      </c>
      <c r="R174" s="121">
        <f>SUMIFS('19OctTo25Oct'!$L:$L, '19OctTo25Oct'!$J:$J, $A174)</f>
        <v>0</v>
      </c>
      <c r="S174" s="121">
        <f>SUMIFS('19OctTo25Oct'!$K:$K, '19OctTo25Oct'!$J:$J, $A174)</f>
        <v>0</v>
      </c>
      <c r="T174" s="121">
        <f>SUMIFS('19OctTo25Oct'!$O:$O, '19OctTo25Oct'!$J:$J, $A174)</f>
        <v>0</v>
      </c>
      <c r="U174" s="121">
        <f>SUMIFS('19OctTo25Oct'!$P:$P, '19OctTo25Oct'!$J:$J, $A174)</f>
        <v>0</v>
      </c>
      <c r="V174" s="122">
        <f t="shared" si="3"/>
        <v>0</v>
      </c>
      <c r="W174" s="121">
        <f>SUMIFS('12OctTo18Oct'!$L:$L, '12OctTo18Oct'!$J:$J, $A174)</f>
        <v>0</v>
      </c>
      <c r="X174" s="121">
        <f>SUMIFS('12OctTo18Oct'!$K:$K, '12OctTo18Oct'!$J:$J, $A174)</f>
        <v>0</v>
      </c>
      <c r="Y174" s="121">
        <f>SUMIFS('12OctTo18Oct'!$O:$O, '12OctTo18Oct'!$J:$J, $A174)</f>
        <v>0</v>
      </c>
      <c r="Z174" s="121">
        <f>SUMIFS('12OctTo18Oct'!$P:$P, '12OctTo18Oct'!$J:$J, $A174)</f>
        <v>0</v>
      </c>
      <c r="AA174" s="122">
        <f t="shared" si="4"/>
        <v>0</v>
      </c>
      <c r="AB174" s="121">
        <f>SUMIFS('5OctTo11Oct'!$L:$L, '5OctTo11Oct'!$J:$J, $A174)</f>
        <v>0</v>
      </c>
      <c r="AC174" s="121">
        <f>SUMIFS('5OctTo11Oct'!$K:$K, '5OctTo11Oct'!$J:$J, $A174)</f>
        <v>0</v>
      </c>
      <c r="AD174" s="121">
        <f>SUMIFS('5OctTo11Oct'!$O:$O, '5OctTo11Oct'!$J:$J, $A174)</f>
        <v>0</v>
      </c>
      <c r="AE174" s="121">
        <f>SUMIFS('5OctTo11Oct'!$P:$P, '5OctTo11Oct'!$J:$J, $A174)</f>
        <v>0</v>
      </c>
      <c r="AF174" s="123">
        <f t="shared" si="5"/>
        <v>0</v>
      </c>
      <c r="AG174" s="121">
        <f>SUMIFS('28SepTo4Oct'!$L:$L, '28SepTo4Oct'!$J:$J, $A174)</f>
        <v>0</v>
      </c>
      <c r="AH174" s="121">
        <f>SUMIFS('28SepTo4Oct'!$K:$K, '28SepTo4Oct'!$J:$J, $A174)</f>
        <v>0</v>
      </c>
      <c r="AI174" s="121">
        <f>SUMIFS('28SepTo4Oct'!$O:$O, '28SepTo4Oct'!$J:$J, $A174)</f>
        <v>0</v>
      </c>
      <c r="AJ174" s="121">
        <f>SUMIFS('28SepTo4Oct'!$P:$P, '28SepTo4Oct'!$J:$J, $A174)</f>
        <v>0</v>
      </c>
      <c r="AK174" s="123">
        <f t="shared" si="6"/>
        <v>0</v>
      </c>
      <c r="AL174" s="121">
        <f>SUMIFS('21SepTo27Sep'!$L:$L, '21SepTo27Sep'!$J:$J, $A174)</f>
        <v>0</v>
      </c>
      <c r="AM174" s="121">
        <f>SUMIFS('21SepTo27Sep'!$K:$K, '21SepTo27Sep'!$J:$J, $A174)</f>
        <v>0</v>
      </c>
      <c r="AN174" s="121">
        <f>SUMIFS('21SepTo27Sep'!$O:$O, '21SepTo27Sep'!$J:$J, $A174)</f>
        <v>0</v>
      </c>
      <c r="AO174" s="121">
        <f>SUMIFS('21SepTo27Sep'!$P:$P, '21SepTo27Sep'!$J:$J, $A174)</f>
        <v>0</v>
      </c>
      <c r="AP174" s="123">
        <f t="shared" si="7"/>
        <v>0</v>
      </c>
      <c r="AQ174" s="121">
        <f>SUMIFS('14SepTo20Sep'!$L:$L, '14SepTo20Sep'!$J:$J, $A174)</f>
        <v>0</v>
      </c>
      <c r="AR174" s="121">
        <f>SUMIFS('14SepTo20Sep'!$K:$K, '14SepTo20Sep'!$J:$J, $A174)</f>
        <v>0</v>
      </c>
      <c r="AS174" s="121">
        <f>SUMIFS('14SepTo20Sep'!$O:$O, '14SepTo20Sep'!$J:$J, $A174)</f>
        <v>0</v>
      </c>
      <c r="AT174" s="121">
        <f>SUMIFS('14SepTo20Sep'!$P:$P, '14SepTo20Sep'!$J:$J, $A174)</f>
        <v>0</v>
      </c>
      <c r="AU174" s="123">
        <f t="shared" si="8"/>
        <v>0</v>
      </c>
      <c r="AV174" s="121">
        <f>SUMIFS('7SepTo13Sep'!$L:$L, '7SepTo13Sep'!$J:$J, $A174)</f>
        <v>0</v>
      </c>
      <c r="AW174" s="121">
        <f>SUMIFS('7SepTo13Sep'!$K:$K, '7SepTo13Sep'!$J:$J, $A174)</f>
        <v>0</v>
      </c>
      <c r="AX174" s="121">
        <f>SUMIFS('7SepTo13Sep'!$O:$O, '7SepTo13Sep'!$J:$J, $A174)</f>
        <v>0</v>
      </c>
      <c r="AY174" s="121">
        <f>SUMIFS('7SepTo13Sep'!$P:$P, '7SepTo13Sep'!$J:$J, $A174)</f>
        <v>0</v>
      </c>
      <c r="AZ174" s="123">
        <f t="shared" si="9"/>
        <v>0</v>
      </c>
      <c r="BA174" s="121">
        <f>SUMIFS('31AugTo6Sep'!$L:$L, '31AugTo6Sep'!$J:$J, $A174)</f>
        <v>0</v>
      </c>
      <c r="BB174" s="121">
        <f>SUMIFS('31AugTo6Sep'!$K:$K, '31AugTo6Sep'!$J:$J, $A174)</f>
        <v>0</v>
      </c>
      <c r="BC174" s="121">
        <f>SUMIFS('31AugTo6Sep'!$O:$O, '31AugTo6Sep'!$J:$J, $A174)</f>
        <v>0</v>
      </c>
      <c r="BD174" s="121">
        <f>SUMIFS('31AugTo6Sep'!$P:$P, '31AugTo6Sep'!$J:$J, $A174)</f>
        <v>0</v>
      </c>
      <c r="BE174" s="123">
        <f t="shared" si="10"/>
        <v>0</v>
      </c>
      <c r="BF174" s="121">
        <f>SUMIFS('24AugTo29Aug'!$L:$L, '24AugTo29Aug'!$J:$J, $A174)</f>
        <v>0</v>
      </c>
      <c r="BG174" s="121">
        <f>SUMIFS('24AugTo29Aug'!$K:$K, '24AugTo29Aug'!$J:$J, $A174)</f>
        <v>0</v>
      </c>
      <c r="BH174" s="121">
        <f>SUMIFS('24AugTo29Aug'!$O:$O, '24AugTo29Aug'!$J:$J, $A174)</f>
        <v>0</v>
      </c>
      <c r="BI174" s="121">
        <f>SUMIFS('24AugTo29Aug'!$P:$P, '24AugTo29Aug'!$J:$J, $A174)</f>
        <v>0</v>
      </c>
      <c r="BJ174" s="123">
        <f t="shared" si="11"/>
        <v>0</v>
      </c>
      <c r="BK174" s="121">
        <f>SUMIFS('17AugTo21Aug'!$L:$L, '17AugTo21Aug'!$J:$J, $A174)</f>
        <v>0</v>
      </c>
      <c r="BL174" s="121">
        <f>SUMIFS('17AugTo21Aug'!$K:$K, '17AugTo21Aug'!$J:$J, $A174)</f>
        <v>0</v>
      </c>
      <c r="BM174" s="121">
        <f>SUMIFS('17AugTo21Aug'!$O:$O, '17AugTo21Aug'!$J:$J, $A174)</f>
        <v>0</v>
      </c>
      <c r="BN174" s="121">
        <f>SUMIFS('17AugTo21Aug'!$P:$P, '17AugTo21Aug'!$J:$J, $A174)</f>
        <v>0</v>
      </c>
      <c r="BO174" s="123">
        <f t="shared" si="12"/>
        <v>0</v>
      </c>
      <c r="BP174" s="121">
        <f>SUMIFS('10AugTo16Aug'!$L:$L, '10AugTo16Aug'!$J:$J, $A174)</f>
        <v>0</v>
      </c>
      <c r="BQ174" s="121">
        <f>SUMIFS('10AugTo16Aug'!$K:$K, '10AugTo16Aug'!$J:$J, $A174)</f>
        <v>0</v>
      </c>
      <c r="BR174" s="121">
        <f>SUMIFS('10AugTo16Aug'!$O:$O, '10AugTo16Aug'!$J:$J, $A174)</f>
        <v>0</v>
      </c>
      <c r="BS174" s="121">
        <f>SUMIFS('10AugTo16Aug'!$P:$P, '10AugTo16Aug'!$J:$J, $A174)</f>
        <v>0</v>
      </c>
      <c r="BT174" s="123">
        <f t="shared" si="13"/>
        <v>0</v>
      </c>
      <c r="BU174" s="121">
        <f>SUMIFS('3AugTo9Aug'!$L:$L, '3AugTo9Aug'!$J:$J, $A174)</f>
        <v>1</v>
      </c>
      <c r="BV174" s="121">
        <f>SUMIFS('3AugTo9Aug'!$K:$K, '3AugTo9Aug'!$J:$J, $A174)</f>
        <v>2</v>
      </c>
      <c r="BW174" s="121">
        <f>SUMIFS('3AugTo9Aug'!$O:$O, '3AugTo9Aug'!$J:$J, $A174)</f>
        <v>3.05</v>
      </c>
      <c r="BX174" s="121">
        <f>SUMIFS('3AugTo9Aug'!$P:$P, '3AugTo9Aug'!$J:$J, $A174)</f>
        <v>24.94</v>
      </c>
      <c r="BY174" s="123">
        <f t="shared" si="14"/>
        <v>12.229350441058539</v>
      </c>
      <c r="BZ174" s="121">
        <f>SUMIFS('27JulyTo2Aug'!$L:$L, '27JulyTo2Aug'!$J:$J, $A174)</f>
        <v>0</v>
      </c>
      <c r="CA174" s="121">
        <f>SUMIFS('27JulyTo2Aug'!$K:$K, '27JulyTo2Aug'!$J:$J, $A174)</f>
        <v>0</v>
      </c>
      <c r="CB174" s="121">
        <f>SUMIFS('27JulyTo2Aug'!$O:$O, '27JulyTo2Aug'!$J:$J, $A174)</f>
        <v>0</v>
      </c>
      <c r="CC174" s="121">
        <f>SUMIFS('27JulyTo2Aug'!$P:$P, '27JulyTo2Aug'!$J:$J, $A174)</f>
        <v>0</v>
      </c>
      <c r="CD174" s="123">
        <f t="shared" si="15"/>
        <v>0</v>
      </c>
    </row>
    <row r="175" spans="1:82" ht="14.25" customHeight="1" x14ac:dyDescent="0.3">
      <c r="A175" s="124" t="s">
        <v>764</v>
      </c>
      <c r="B175" s="120" t="str">
        <f t="shared" si="18"/>
        <v>NO TRAFFIC</v>
      </c>
      <c r="C175" s="121">
        <f>SUMIFS('9NovTo15Nov'!$L:$L, '9NovTo15Nov'!$J:$J, $A175)</f>
        <v>0</v>
      </c>
      <c r="D175" s="121">
        <f>SUMIFS('9NovTo15Nov'!$K:$K, '9NovTo15Nov'!$J:$J, $A175)</f>
        <v>0</v>
      </c>
      <c r="E175" s="121">
        <f>SUMIFS('9NovTo15Nov'!$O:$O, '9NovTo15Nov'!$J:$J, $A175)</f>
        <v>0</v>
      </c>
      <c r="F175" s="121">
        <f>SUMIFS('9NovTo15Nov'!$P:$P, '9NovTo15Nov'!$J:$J, $A175)</f>
        <v>0</v>
      </c>
      <c r="G175" s="122">
        <f t="shared" si="0"/>
        <v>0</v>
      </c>
      <c r="H175" s="121">
        <f>SUMIFS('2NovTo8Nov'!$L:$L, '2NovTo8Nov'!$J:$J, $A175)</f>
        <v>0</v>
      </c>
      <c r="I175" s="121">
        <f>SUMIFS('2NovTo8Nov'!$K:$K, '2NovTo8Nov'!$J:$J, $A175)</f>
        <v>0</v>
      </c>
      <c r="J175" s="121">
        <f>SUMIFS('2NovTo8Nov'!$O:$O, '2NovTo8Nov'!$J:$J, $A175)</f>
        <v>0</v>
      </c>
      <c r="K175" s="121">
        <f>SUMIFS('2NovTo8Nov'!$P:$P, '2NovTo8Nov'!$J:$J, $A175)</f>
        <v>0</v>
      </c>
      <c r="L175" s="122">
        <f t="shared" si="1"/>
        <v>0</v>
      </c>
      <c r="M175" s="121">
        <f>SUMIFS('26OctTo1Nov'!$L:$L, '26OctTo1Nov'!$J:$J, $A175)</f>
        <v>0</v>
      </c>
      <c r="N175" s="121">
        <f>SUMIFS('26OctTo1Nov'!$K:$K, '26OctTo1Nov'!$J:$J, $A175)</f>
        <v>0</v>
      </c>
      <c r="O175" s="121">
        <f>SUMIFS('26OctTo1Nov'!$O:$O, '26OctTo1Nov'!$J:$J, $A175)</f>
        <v>0</v>
      </c>
      <c r="P175" s="121">
        <f>SUMIFS('26OctTo1Nov'!$P:$P, '26OctTo1Nov'!$J:$J, $A175)</f>
        <v>0</v>
      </c>
      <c r="Q175" s="122">
        <f t="shared" si="2"/>
        <v>0</v>
      </c>
      <c r="R175" s="121">
        <f>SUMIFS('19OctTo25Oct'!$L:$L, '19OctTo25Oct'!$J:$J, $A175)</f>
        <v>0</v>
      </c>
      <c r="S175" s="121">
        <f>SUMIFS('19OctTo25Oct'!$K:$K, '19OctTo25Oct'!$J:$J, $A175)</f>
        <v>0</v>
      </c>
      <c r="T175" s="121">
        <f>SUMIFS('19OctTo25Oct'!$O:$O, '19OctTo25Oct'!$J:$J, $A175)</f>
        <v>0</v>
      </c>
      <c r="U175" s="121">
        <f>SUMIFS('19OctTo25Oct'!$P:$P, '19OctTo25Oct'!$J:$J, $A175)</f>
        <v>0</v>
      </c>
      <c r="V175" s="122">
        <f t="shared" si="3"/>
        <v>0</v>
      </c>
      <c r="W175" s="121">
        <f>SUMIFS('12OctTo18Oct'!$L:$L, '12OctTo18Oct'!$J:$J, $A175)</f>
        <v>0</v>
      </c>
      <c r="X175" s="121">
        <f>SUMIFS('12OctTo18Oct'!$K:$K, '12OctTo18Oct'!$J:$J, $A175)</f>
        <v>0</v>
      </c>
      <c r="Y175" s="121">
        <f>SUMIFS('12OctTo18Oct'!$O:$O, '12OctTo18Oct'!$J:$J, $A175)</f>
        <v>0</v>
      </c>
      <c r="Z175" s="121">
        <f>SUMIFS('12OctTo18Oct'!$P:$P, '12OctTo18Oct'!$J:$J, $A175)</f>
        <v>0</v>
      </c>
      <c r="AA175" s="122">
        <f t="shared" si="4"/>
        <v>0</v>
      </c>
      <c r="AB175" s="121">
        <f>SUMIFS('5OctTo11Oct'!$L:$L, '5OctTo11Oct'!$J:$J, $A175)</f>
        <v>0</v>
      </c>
      <c r="AC175" s="121">
        <f>SUMIFS('5OctTo11Oct'!$K:$K, '5OctTo11Oct'!$J:$J, $A175)</f>
        <v>0</v>
      </c>
      <c r="AD175" s="121">
        <f>SUMIFS('5OctTo11Oct'!$O:$O, '5OctTo11Oct'!$J:$J, $A175)</f>
        <v>0</v>
      </c>
      <c r="AE175" s="121">
        <f>SUMIFS('5OctTo11Oct'!$P:$P, '5OctTo11Oct'!$J:$J, $A175)</f>
        <v>0</v>
      </c>
      <c r="AF175" s="123">
        <f t="shared" si="5"/>
        <v>0</v>
      </c>
      <c r="AG175" s="121">
        <f>SUMIFS('28SepTo4Oct'!$L:$L, '28SepTo4Oct'!$J:$J, $A175)</f>
        <v>0</v>
      </c>
      <c r="AH175" s="121">
        <f>SUMIFS('28SepTo4Oct'!$K:$K, '28SepTo4Oct'!$J:$J, $A175)</f>
        <v>0</v>
      </c>
      <c r="AI175" s="121">
        <f>SUMIFS('28SepTo4Oct'!$O:$O, '28SepTo4Oct'!$J:$J, $A175)</f>
        <v>0</v>
      </c>
      <c r="AJ175" s="121">
        <f>SUMIFS('28SepTo4Oct'!$P:$P, '28SepTo4Oct'!$J:$J, $A175)</f>
        <v>0</v>
      </c>
      <c r="AK175" s="123">
        <f t="shared" si="6"/>
        <v>0</v>
      </c>
      <c r="AL175" s="121">
        <f>SUMIFS('21SepTo27Sep'!$L:$L, '21SepTo27Sep'!$J:$J, $A175)</f>
        <v>0</v>
      </c>
      <c r="AM175" s="121">
        <f>SUMIFS('21SepTo27Sep'!$K:$K, '21SepTo27Sep'!$J:$J, $A175)</f>
        <v>0</v>
      </c>
      <c r="AN175" s="121">
        <f>SUMIFS('21SepTo27Sep'!$O:$O, '21SepTo27Sep'!$J:$J, $A175)</f>
        <v>0</v>
      </c>
      <c r="AO175" s="121">
        <f>SUMIFS('21SepTo27Sep'!$P:$P, '21SepTo27Sep'!$J:$J, $A175)</f>
        <v>0</v>
      </c>
      <c r="AP175" s="123">
        <f t="shared" si="7"/>
        <v>0</v>
      </c>
      <c r="AQ175" s="121">
        <f>SUMIFS('14SepTo20Sep'!$L:$L, '14SepTo20Sep'!$J:$J, $A175)</f>
        <v>0</v>
      </c>
      <c r="AR175" s="121">
        <f>SUMIFS('14SepTo20Sep'!$K:$K, '14SepTo20Sep'!$J:$J, $A175)</f>
        <v>0</v>
      </c>
      <c r="AS175" s="121">
        <f>SUMIFS('14SepTo20Sep'!$O:$O, '14SepTo20Sep'!$J:$J, $A175)</f>
        <v>0</v>
      </c>
      <c r="AT175" s="121">
        <f>SUMIFS('14SepTo20Sep'!$P:$P, '14SepTo20Sep'!$J:$J, $A175)</f>
        <v>0</v>
      </c>
      <c r="AU175" s="123">
        <f t="shared" si="8"/>
        <v>0</v>
      </c>
      <c r="AV175" s="121">
        <f>SUMIFS('7SepTo13Sep'!$L:$L, '7SepTo13Sep'!$J:$J, $A175)</f>
        <v>0</v>
      </c>
      <c r="AW175" s="121">
        <f>SUMIFS('7SepTo13Sep'!$K:$K, '7SepTo13Sep'!$J:$J, $A175)</f>
        <v>0</v>
      </c>
      <c r="AX175" s="121">
        <f>SUMIFS('7SepTo13Sep'!$O:$O, '7SepTo13Sep'!$J:$J, $A175)</f>
        <v>0</v>
      </c>
      <c r="AY175" s="121">
        <f>SUMIFS('7SepTo13Sep'!$P:$P, '7SepTo13Sep'!$J:$J, $A175)</f>
        <v>0</v>
      </c>
      <c r="AZ175" s="123">
        <f t="shared" si="9"/>
        <v>0</v>
      </c>
      <c r="BA175" s="121">
        <f>SUMIFS('31AugTo6Sep'!$L:$L, '31AugTo6Sep'!$J:$J, $A175)</f>
        <v>0</v>
      </c>
      <c r="BB175" s="121">
        <f>SUMIFS('31AugTo6Sep'!$K:$K, '31AugTo6Sep'!$J:$J, $A175)</f>
        <v>0</v>
      </c>
      <c r="BC175" s="121">
        <f>SUMIFS('31AugTo6Sep'!$O:$O, '31AugTo6Sep'!$J:$J, $A175)</f>
        <v>0</v>
      </c>
      <c r="BD175" s="121">
        <f>SUMIFS('31AugTo6Sep'!$P:$P, '31AugTo6Sep'!$J:$J, $A175)</f>
        <v>0</v>
      </c>
      <c r="BE175" s="123">
        <f t="shared" si="10"/>
        <v>0</v>
      </c>
      <c r="BF175" s="121">
        <f>SUMIFS('24AugTo29Aug'!$L:$L, '24AugTo29Aug'!$J:$J, $A175)</f>
        <v>0</v>
      </c>
      <c r="BG175" s="121">
        <f>SUMIFS('24AugTo29Aug'!$K:$K, '24AugTo29Aug'!$J:$J, $A175)</f>
        <v>0</v>
      </c>
      <c r="BH175" s="121">
        <f>SUMIFS('24AugTo29Aug'!$O:$O, '24AugTo29Aug'!$J:$J, $A175)</f>
        <v>0</v>
      </c>
      <c r="BI175" s="121">
        <f>SUMIFS('24AugTo29Aug'!$P:$P, '24AugTo29Aug'!$J:$J, $A175)</f>
        <v>0</v>
      </c>
      <c r="BJ175" s="123">
        <f t="shared" si="11"/>
        <v>0</v>
      </c>
      <c r="BK175" s="121">
        <f>SUMIFS('17AugTo21Aug'!$L:$L, '17AugTo21Aug'!$J:$J, $A175)</f>
        <v>0</v>
      </c>
      <c r="BL175" s="121">
        <f>SUMIFS('17AugTo21Aug'!$K:$K, '17AugTo21Aug'!$J:$J, $A175)</f>
        <v>0</v>
      </c>
      <c r="BM175" s="121">
        <f>SUMIFS('17AugTo21Aug'!$O:$O, '17AugTo21Aug'!$J:$J, $A175)</f>
        <v>0</v>
      </c>
      <c r="BN175" s="121">
        <f>SUMIFS('17AugTo21Aug'!$P:$P, '17AugTo21Aug'!$J:$J, $A175)</f>
        <v>0</v>
      </c>
      <c r="BO175" s="123">
        <f t="shared" si="12"/>
        <v>0</v>
      </c>
      <c r="BP175" s="121">
        <f>SUMIFS('10AugTo16Aug'!$L:$L, '10AugTo16Aug'!$J:$J, $A175)</f>
        <v>0</v>
      </c>
      <c r="BQ175" s="121">
        <f>SUMIFS('10AugTo16Aug'!$K:$K, '10AugTo16Aug'!$J:$J, $A175)</f>
        <v>0</v>
      </c>
      <c r="BR175" s="121">
        <f>SUMIFS('10AugTo16Aug'!$O:$O, '10AugTo16Aug'!$J:$J, $A175)</f>
        <v>0</v>
      </c>
      <c r="BS175" s="121">
        <f>SUMIFS('10AugTo16Aug'!$P:$P, '10AugTo16Aug'!$J:$J, $A175)</f>
        <v>0</v>
      </c>
      <c r="BT175" s="123">
        <f t="shared" si="13"/>
        <v>0</v>
      </c>
      <c r="BU175" s="121">
        <f>SUMIFS('3AugTo9Aug'!$L:$L, '3AugTo9Aug'!$J:$J, $A175)</f>
        <v>1</v>
      </c>
      <c r="BV175" s="121">
        <f>SUMIFS('3AugTo9Aug'!$K:$K, '3AugTo9Aug'!$J:$J, $A175)</f>
        <v>1</v>
      </c>
      <c r="BW175" s="121">
        <f>SUMIFS('3AugTo9Aug'!$O:$O, '3AugTo9Aug'!$J:$J, $A175)</f>
        <v>3.24</v>
      </c>
      <c r="BX175" s="121">
        <f>SUMIFS('3AugTo9Aug'!$P:$P, '3AugTo9Aug'!$J:$J, $A175)</f>
        <v>29.99</v>
      </c>
      <c r="BY175" s="123">
        <f t="shared" si="14"/>
        <v>10.803601200400134</v>
      </c>
      <c r="BZ175" s="121">
        <f>SUMIFS('27JulyTo2Aug'!$L:$L, '27JulyTo2Aug'!$J:$J, $A175)</f>
        <v>0</v>
      </c>
      <c r="CA175" s="121">
        <f>SUMIFS('27JulyTo2Aug'!$K:$K, '27JulyTo2Aug'!$J:$J, $A175)</f>
        <v>0</v>
      </c>
      <c r="CB175" s="121">
        <f>SUMIFS('27JulyTo2Aug'!$O:$O, '27JulyTo2Aug'!$J:$J, $A175)</f>
        <v>0</v>
      </c>
      <c r="CC175" s="121">
        <f>SUMIFS('27JulyTo2Aug'!$P:$P, '27JulyTo2Aug'!$J:$J, $A175)</f>
        <v>0</v>
      </c>
      <c r="CD175" s="123">
        <f t="shared" si="15"/>
        <v>0</v>
      </c>
    </row>
    <row r="176" spans="1:82" ht="14.25" customHeight="1" x14ac:dyDescent="0.3">
      <c r="A176" s="124" t="s">
        <v>766</v>
      </c>
      <c r="B176" s="120" t="str">
        <f t="shared" si="18"/>
        <v>NO TRAFFIC</v>
      </c>
      <c r="C176" s="121">
        <f>SUMIFS('9NovTo15Nov'!$L:$L, '9NovTo15Nov'!$J:$J, $A176)</f>
        <v>0</v>
      </c>
      <c r="D176" s="121">
        <f>SUMIFS('9NovTo15Nov'!$K:$K, '9NovTo15Nov'!$J:$J, $A176)</f>
        <v>0</v>
      </c>
      <c r="E176" s="121">
        <f>SUMIFS('9NovTo15Nov'!$O:$O, '9NovTo15Nov'!$J:$J, $A176)</f>
        <v>0</v>
      </c>
      <c r="F176" s="121">
        <f>SUMIFS('9NovTo15Nov'!$P:$P, '9NovTo15Nov'!$J:$J, $A176)</f>
        <v>0</v>
      </c>
      <c r="G176" s="122">
        <f t="shared" si="0"/>
        <v>0</v>
      </c>
      <c r="H176" s="121">
        <f>SUMIFS('2NovTo8Nov'!$L:$L, '2NovTo8Nov'!$J:$J, $A176)</f>
        <v>0</v>
      </c>
      <c r="I176" s="121">
        <f>SUMIFS('2NovTo8Nov'!$K:$K, '2NovTo8Nov'!$J:$J, $A176)</f>
        <v>0</v>
      </c>
      <c r="J176" s="121">
        <f>SUMIFS('2NovTo8Nov'!$O:$O, '2NovTo8Nov'!$J:$J, $A176)</f>
        <v>0</v>
      </c>
      <c r="K176" s="121">
        <f>SUMIFS('2NovTo8Nov'!$P:$P, '2NovTo8Nov'!$J:$J, $A176)</f>
        <v>0</v>
      </c>
      <c r="L176" s="122">
        <f t="shared" si="1"/>
        <v>0</v>
      </c>
      <c r="M176" s="121">
        <f>SUMIFS('26OctTo1Nov'!$L:$L, '26OctTo1Nov'!$J:$J, $A176)</f>
        <v>0</v>
      </c>
      <c r="N176" s="121">
        <f>SUMIFS('26OctTo1Nov'!$K:$K, '26OctTo1Nov'!$J:$J, $A176)</f>
        <v>0</v>
      </c>
      <c r="O176" s="121">
        <f>SUMIFS('26OctTo1Nov'!$O:$O, '26OctTo1Nov'!$J:$J, $A176)</f>
        <v>0</v>
      </c>
      <c r="P176" s="121">
        <f>SUMIFS('26OctTo1Nov'!$P:$P, '26OctTo1Nov'!$J:$J, $A176)</f>
        <v>0</v>
      </c>
      <c r="Q176" s="122">
        <f t="shared" si="2"/>
        <v>0</v>
      </c>
      <c r="R176" s="121">
        <f>SUMIFS('19OctTo25Oct'!$L:$L, '19OctTo25Oct'!$J:$J, $A176)</f>
        <v>0</v>
      </c>
      <c r="S176" s="121">
        <f>SUMIFS('19OctTo25Oct'!$K:$K, '19OctTo25Oct'!$J:$J, $A176)</f>
        <v>0</v>
      </c>
      <c r="T176" s="121">
        <f>SUMIFS('19OctTo25Oct'!$O:$O, '19OctTo25Oct'!$J:$J, $A176)</f>
        <v>0</v>
      </c>
      <c r="U176" s="121">
        <f>SUMIFS('19OctTo25Oct'!$P:$P, '19OctTo25Oct'!$J:$J, $A176)</f>
        <v>0</v>
      </c>
      <c r="V176" s="122">
        <f t="shared" si="3"/>
        <v>0</v>
      </c>
      <c r="W176" s="121">
        <f>SUMIFS('12OctTo18Oct'!$L:$L, '12OctTo18Oct'!$J:$J, $A176)</f>
        <v>0</v>
      </c>
      <c r="X176" s="121">
        <f>SUMIFS('12OctTo18Oct'!$K:$K, '12OctTo18Oct'!$J:$J, $A176)</f>
        <v>0</v>
      </c>
      <c r="Y176" s="121">
        <f>SUMIFS('12OctTo18Oct'!$O:$O, '12OctTo18Oct'!$J:$J, $A176)</f>
        <v>0</v>
      </c>
      <c r="Z176" s="121">
        <f>SUMIFS('12OctTo18Oct'!$P:$P, '12OctTo18Oct'!$J:$J, $A176)</f>
        <v>0</v>
      </c>
      <c r="AA176" s="122">
        <f t="shared" si="4"/>
        <v>0</v>
      </c>
      <c r="AB176" s="121">
        <f>SUMIFS('5OctTo11Oct'!$L:$L, '5OctTo11Oct'!$J:$J, $A176)</f>
        <v>0</v>
      </c>
      <c r="AC176" s="121">
        <f>SUMIFS('5OctTo11Oct'!$K:$K, '5OctTo11Oct'!$J:$J, $A176)</f>
        <v>0</v>
      </c>
      <c r="AD176" s="121">
        <f>SUMIFS('5OctTo11Oct'!$O:$O, '5OctTo11Oct'!$J:$J, $A176)</f>
        <v>0</v>
      </c>
      <c r="AE176" s="121">
        <f>SUMIFS('5OctTo11Oct'!$P:$P, '5OctTo11Oct'!$J:$J, $A176)</f>
        <v>0</v>
      </c>
      <c r="AF176" s="123">
        <f t="shared" si="5"/>
        <v>0</v>
      </c>
      <c r="AG176" s="121">
        <f>SUMIFS('28SepTo4Oct'!$L:$L, '28SepTo4Oct'!$J:$J, $A176)</f>
        <v>0</v>
      </c>
      <c r="AH176" s="121">
        <f>SUMIFS('28SepTo4Oct'!$K:$K, '28SepTo4Oct'!$J:$J, $A176)</f>
        <v>0</v>
      </c>
      <c r="AI176" s="121">
        <f>SUMIFS('28SepTo4Oct'!$O:$O, '28SepTo4Oct'!$J:$J, $A176)</f>
        <v>0</v>
      </c>
      <c r="AJ176" s="121">
        <f>SUMIFS('28SepTo4Oct'!$P:$P, '28SepTo4Oct'!$J:$J, $A176)</f>
        <v>0</v>
      </c>
      <c r="AK176" s="123">
        <f t="shared" si="6"/>
        <v>0</v>
      </c>
      <c r="AL176" s="121">
        <f>SUMIFS('21SepTo27Sep'!$L:$L, '21SepTo27Sep'!$J:$J, $A176)</f>
        <v>0</v>
      </c>
      <c r="AM176" s="121">
        <f>SUMIFS('21SepTo27Sep'!$K:$K, '21SepTo27Sep'!$J:$J, $A176)</f>
        <v>0</v>
      </c>
      <c r="AN176" s="121">
        <f>SUMIFS('21SepTo27Sep'!$O:$O, '21SepTo27Sep'!$J:$J, $A176)</f>
        <v>0</v>
      </c>
      <c r="AO176" s="121">
        <f>SUMIFS('21SepTo27Sep'!$P:$P, '21SepTo27Sep'!$J:$J, $A176)</f>
        <v>0</v>
      </c>
      <c r="AP176" s="123">
        <f t="shared" si="7"/>
        <v>0</v>
      </c>
      <c r="AQ176" s="121">
        <f>SUMIFS('14SepTo20Sep'!$L:$L, '14SepTo20Sep'!$J:$J, $A176)</f>
        <v>0</v>
      </c>
      <c r="AR176" s="121">
        <f>SUMIFS('14SepTo20Sep'!$K:$K, '14SepTo20Sep'!$J:$J, $A176)</f>
        <v>0</v>
      </c>
      <c r="AS176" s="121">
        <f>SUMIFS('14SepTo20Sep'!$O:$O, '14SepTo20Sep'!$J:$J, $A176)</f>
        <v>0</v>
      </c>
      <c r="AT176" s="121">
        <f>SUMIFS('14SepTo20Sep'!$P:$P, '14SepTo20Sep'!$J:$J, $A176)</f>
        <v>0</v>
      </c>
      <c r="AU176" s="123">
        <f t="shared" si="8"/>
        <v>0</v>
      </c>
      <c r="AV176" s="121">
        <f>SUMIFS('7SepTo13Sep'!$L:$L, '7SepTo13Sep'!$J:$J, $A176)</f>
        <v>0</v>
      </c>
      <c r="AW176" s="121">
        <f>SUMIFS('7SepTo13Sep'!$K:$K, '7SepTo13Sep'!$J:$J, $A176)</f>
        <v>0</v>
      </c>
      <c r="AX176" s="121">
        <f>SUMIFS('7SepTo13Sep'!$O:$O, '7SepTo13Sep'!$J:$J, $A176)</f>
        <v>0</v>
      </c>
      <c r="AY176" s="121">
        <f>SUMIFS('7SepTo13Sep'!$P:$P, '7SepTo13Sep'!$J:$J, $A176)</f>
        <v>0</v>
      </c>
      <c r="AZ176" s="123">
        <f t="shared" si="9"/>
        <v>0</v>
      </c>
      <c r="BA176" s="121">
        <f>SUMIFS('31AugTo6Sep'!$L:$L, '31AugTo6Sep'!$J:$J, $A176)</f>
        <v>0</v>
      </c>
      <c r="BB176" s="121">
        <f>SUMIFS('31AugTo6Sep'!$K:$K, '31AugTo6Sep'!$J:$J, $A176)</f>
        <v>0</v>
      </c>
      <c r="BC176" s="121">
        <f>SUMIFS('31AugTo6Sep'!$O:$O, '31AugTo6Sep'!$J:$J, $A176)</f>
        <v>0</v>
      </c>
      <c r="BD176" s="121">
        <f>SUMIFS('31AugTo6Sep'!$P:$P, '31AugTo6Sep'!$J:$J, $A176)</f>
        <v>0</v>
      </c>
      <c r="BE176" s="123">
        <f t="shared" si="10"/>
        <v>0</v>
      </c>
      <c r="BF176" s="121">
        <f>SUMIFS('24AugTo29Aug'!$L:$L, '24AugTo29Aug'!$J:$J, $A176)</f>
        <v>0</v>
      </c>
      <c r="BG176" s="121">
        <f>SUMIFS('24AugTo29Aug'!$K:$K, '24AugTo29Aug'!$J:$J, $A176)</f>
        <v>0</v>
      </c>
      <c r="BH176" s="121">
        <f>SUMIFS('24AugTo29Aug'!$O:$O, '24AugTo29Aug'!$J:$J, $A176)</f>
        <v>0</v>
      </c>
      <c r="BI176" s="121">
        <f>SUMIFS('24AugTo29Aug'!$P:$P, '24AugTo29Aug'!$J:$J, $A176)</f>
        <v>0</v>
      </c>
      <c r="BJ176" s="123">
        <f t="shared" si="11"/>
        <v>0</v>
      </c>
      <c r="BK176" s="121">
        <f>SUMIFS('17AugTo21Aug'!$L:$L, '17AugTo21Aug'!$J:$J, $A176)</f>
        <v>0</v>
      </c>
      <c r="BL176" s="121">
        <f>SUMIFS('17AugTo21Aug'!$K:$K, '17AugTo21Aug'!$J:$J, $A176)</f>
        <v>0</v>
      </c>
      <c r="BM176" s="121">
        <f>SUMIFS('17AugTo21Aug'!$O:$O, '17AugTo21Aug'!$J:$J, $A176)</f>
        <v>0</v>
      </c>
      <c r="BN176" s="121">
        <f>SUMIFS('17AugTo21Aug'!$P:$P, '17AugTo21Aug'!$J:$J, $A176)</f>
        <v>0</v>
      </c>
      <c r="BO176" s="123">
        <f t="shared" si="12"/>
        <v>0</v>
      </c>
      <c r="BP176" s="121">
        <f>SUMIFS('10AugTo16Aug'!$L:$L, '10AugTo16Aug'!$J:$J, $A176)</f>
        <v>0</v>
      </c>
      <c r="BQ176" s="121">
        <f>SUMIFS('10AugTo16Aug'!$K:$K, '10AugTo16Aug'!$J:$J, $A176)</f>
        <v>0</v>
      </c>
      <c r="BR176" s="121">
        <f>SUMIFS('10AugTo16Aug'!$O:$O, '10AugTo16Aug'!$J:$J, $A176)</f>
        <v>0</v>
      </c>
      <c r="BS176" s="121">
        <f>SUMIFS('10AugTo16Aug'!$P:$P, '10AugTo16Aug'!$J:$J, $A176)</f>
        <v>0</v>
      </c>
      <c r="BT176" s="123">
        <f t="shared" si="13"/>
        <v>0</v>
      </c>
      <c r="BU176" s="121">
        <f>SUMIFS('3AugTo9Aug'!$L:$L, '3AugTo9Aug'!$J:$J, $A176)</f>
        <v>1</v>
      </c>
      <c r="BV176" s="121">
        <f>SUMIFS('3AugTo9Aug'!$K:$K, '3AugTo9Aug'!$J:$J, $A176)</f>
        <v>2</v>
      </c>
      <c r="BW176" s="121">
        <f>SUMIFS('3AugTo9Aug'!$O:$O, '3AugTo9Aug'!$J:$J, $A176)</f>
        <v>1.82</v>
      </c>
      <c r="BX176" s="121">
        <f>SUMIFS('3AugTo9Aug'!$P:$P, '3AugTo9Aug'!$J:$J, $A176)</f>
        <v>24.94</v>
      </c>
      <c r="BY176" s="123">
        <f t="shared" si="14"/>
        <v>7.2975140336808337</v>
      </c>
      <c r="BZ176" s="121">
        <f>SUMIFS('27JulyTo2Aug'!$L:$L, '27JulyTo2Aug'!$J:$J, $A176)</f>
        <v>0</v>
      </c>
      <c r="CA176" s="121">
        <f>SUMIFS('27JulyTo2Aug'!$K:$K, '27JulyTo2Aug'!$J:$J, $A176)</f>
        <v>0</v>
      </c>
      <c r="CB176" s="121">
        <f>SUMIFS('27JulyTo2Aug'!$O:$O, '27JulyTo2Aug'!$J:$J, $A176)</f>
        <v>0</v>
      </c>
      <c r="CC176" s="121">
        <f>SUMIFS('27JulyTo2Aug'!$P:$P, '27JulyTo2Aug'!$J:$J, $A176)</f>
        <v>0</v>
      </c>
      <c r="CD176" s="123">
        <f t="shared" si="15"/>
        <v>0</v>
      </c>
    </row>
    <row r="177" spans="1:82" ht="14.25" customHeight="1" x14ac:dyDescent="0.3">
      <c r="A177" s="124" t="s">
        <v>767</v>
      </c>
      <c r="B177" s="120" t="str">
        <f t="shared" si="18"/>
        <v>NO TRAFFIC</v>
      </c>
      <c r="C177" s="121">
        <f>SUMIFS('9NovTo15Nov'!$L:$L, '9NovTo15Nov'!$J:$J, $A177)</f>
        <v>0</v>
      </c>
      <c r="D177" s="121">
        <f>SUMIFS('9NovTo15Nov'!$K:$K, '9NovTo15Nov'!$J:$J, $A177)</f>
        <v>0</v>
      </c>
      <c r="E177" s="121">
        <f>SUMIFS('9NovTo15Nov'!$O:$O, '9NovTo15Nov'!$J:$J, $A177)</f>
        <v>0</v>
      </c>
      <c r="F177" s="121">
        <f>SUMIFS('9NovTo15Nov'!$P:$P, '9NovTo15Nov'!$J:$J, $A177)</f>
        <v>0</v>
      </c>
      <c r="G177" s="122">
        <f t="shared" si="0"/>
        <v>0</v>
      </c>
      <c r="H177" s="121">
        <f>SUMIFS('2NovTo8Nov'!$L:$L, '2NovTo8Nov'!$J:$J, $A177)</f>
        <v>0</v>
      </c>
      <c r="I177" s="121">
        <f>SUMIFS('2NovTo8Nov'!$K:$K, '2NovTo8Nov'!$J:$J, $A177)</f>
        <v>0</v>
      </c>
      <c r="J177" s="121">
        <f>SUMIFS('2NovTo8Nov'!$O:$O, '2NovTo8Nov'!$J:$J, $A177)</f>
        <v>0</v>
      </c>
      <c r="K177" s="121">
        <f>SUMIFS('2NovTo8Nov'!$P:$P, '2NovTo8Nov'!$J:$J, $A177)</f>
        <v>0</v>
      </c>
      <c r="L177" s="122">
        <f t="shared" si="1"/>
        <v>0</v>
      </c>
      <c r="M177" s="121">
        <f>SUMIFS('26OctTo1Nov'!$L:$L, '26OctTo1Nov'!$J:$J, $A177)</f>
        <v>0</v>
      </c>
      <c r="N177" s="121">
        <f>SUMIFS('26OctTo1Nov'!$K:$K, '26OctTo1Nov'!$J:$J, $A177)</f>
        <v>0</v>
      </c>
      <c r="O177" s="121">
        <f>SUMIFS('26OctTo1Nov'!$O:$O, '26OctTo1Nov'!$J:$J, $A177)</f>
        <v>0</v>
      </c>
      <c r="P177" s="121">
        <f>SUMIFS('26OctTo1Nov'!$P:$P, '26OctTo1Nov'!$J:$J, $A177)</f>
        <v>0</v>
      </c>
      <c r="Q177" s="122">
        <f t="shared" si="2"/>
        <v>0</v>
      </c>
      <c r="R177" s="121">
        <f>SUMIFS('19OctTo25Oct'!$L:$L, '19OctTo25Oct'!$J:$J, $A177)</f>
        <v>0</v>
      </c>
      <c r="S177" s="121">
        <f>SUMIFS('19OctTo25Oct'!$K:$K, '19OctTo25Oct'!$J:$J, $A177)</f>
        <v>0</v>
      </c>
      <c r="T177" s="121">
        <f>SUMIFS('19OctTo25Oct'!$O:$O, '19OctTo25Oct'!$J:$J, $A177)</f>
        <v>0</v>
      </c>
      <c r="U177" s="121">
        <f>SUMIFS('19OctTo25Oct'!$P:$P, '19OctTo25Oct'!$J:$J, $A177)</f>
        <v>0</v>
      </c>
      <c r="V177" s="122">
        <f t="shared" si="3"/>
        <v>0</v>
      </c>
      <c r="W177" s="121">
        <f>SUMIFS('12OctTo18Oct'!$L:$L, '12OctTo18Oct'!$J:$J, $A177)</f>
        <v>0</v>
      </c>
      <c r="X177" s="121">
        <f>SUMIFS('12OctTo18Oct'!$K:$K, '12OctTo18Oct'!$J:$J, $A177)</f>
        <v>0</v>
      </c>
      <c r="Y177" s="121">
        <f>SUMIFS('12OctTo18Oct'!$O:$O, '12OctTo18Oct'!$J:$J, $A177)</f>
        <v>0</v>
      </c>
      <c r="Z177" s="121">
        <f>SUMIFS('12OctTo18Oct'!$P:$P, '12OctTo18Oct'!$J:$J, $A177)</f>
        <v>0</v>
      </c>
      <c r="AA177" s="122">
        <f t="shared" si="4"/>
        <v>0</v>
      </c>
      <c r="AB177" s="121">
        <f>SUMIFS('5OctTo11Oct'!$L:$L, '5OctTo11Oct'!$J:$J, $A177)</f>
        <v>0</v>
      </c>
      <c r="AC177" s="121">
        <f>SUMIFS('5OctTo11Oct'!$K:$K, '5OctTo11Oct'!$J:$J, $A177)</f>
        <v>0</v>
      </c>
      <c r="AD177" s="121">
        <f>SUMIFS('5OctTo11Oct'!$O:$O, '5OctTo11Oct'!$J:$J, $A177)</f>
        <v>0</v>
      </c>
      <c r="AE177" s="121">
        <f>SUMIFS('5OctTo11Oct'!$P:$P, '5OctTo11Oct'!$J:$J, $A177)</f>
        <v>0</v>
      </c>
      <c r="AF177" s="123">
        <f t="shared" si="5"/>
        <v>0</v>
      </c>
      <c r="AG177" s="121">
        <f>SUMIFS('28SepTo4Oct'!$L:$L, '28SepTo4Oct'!$J:$J, $A177)</f>
        <v>0</v>
      </c>
      <c r="AH177" s="121">
        <f>SUMIFS('28SepTo4Oct'!$K:$K, '28SepTo4Oct'!$J:$J, $A177)</f>
        <v>0</v>
      </c>
      <c r="AI177" s="121">
        <f>SUMIFS('28SepTo4Oct'!$O:$O, '28SepTo4Oct'!$J:$J, $A177)</f>
        <v>0</v>
      </c>
      <c r="AJ177" s="121">
        <f>SUMIFS('28SepTo4Oct'!$P:$P, '28SepTo4Oct'!$J:$J, $A177)</f>
        <v>0</v>
      </c>
      <c r="AK177" s="123">
        <f t="shared" si="6"/>
        <v>0</v>
      </c>
      <c r="AL177" s="121">
        <f>SUMIFS('21SepTo27Sep'!$L:$L, '21SepTo27Sep'!$J:$J, $A177)</f>
        <v>0</v>
      </c>
      <c r="AM177" s="121">
        <f>SUMIFS('21SepTo27Sep'!$K:$K, '21SepTo27Sep'!$J:$J, $A177)</f>
        <v>0</v>
      </c>
      <c r="AN177" s="121">
        <f>SUMIFS('21SepTo27Sep'!$O:$O, '21SepTo27Sep'!$J:$J, $A177)</f>
        <v>0</v>
      </c>
      <c r="AO177" s="121">
        <f>SUMIFS('21SepTo27Sep'!$P:$P, '21SepTo27Sep'!$J:$J, $A177)</f>
        <v>0</v>
      </c>
      <c r="AP177" s="123">
        <f t="shared" si="7"/>
        <v>0</v>
      </c>
      <c r="AQ177" s="121">
        <f>SUMIFS('14SepTo20Sep'!$L:$L, '14SepTo20Sep'!$J:$J, $A177)</f>
        <v>0</v>
      </c>
      <c r="AR177" s="121">
        <f>SUMIFS('14SepTo20Sep'!$K:$K, '14SepTo20Sep'!$J:$J, $A177)</f>
        <v>0</v>
      </c>
      <c r="AS177" s="121">
        <f>SUMIFS('14SepTo20Sep'!$O:$O, '14SepTo20Sep'!$J:$J, $A177)</f>
        <v>0</v>
      </c>
      <c r="AT177" s="121">
        <f>SUMIFS('14SepTo20Sep'!$P:$P, '14SepTo20Sep'!$J:$J, $A177)</f>
        <v>0</v>
      </c>
      <c r="AU177" s="123">
        <f t="shared" si="8"/>
        <v>0</v>
      </c>
      <c r="AV177" s="121">
        <f>SUMIFS('7SepTo13Sep'!$L:$L, '7SepTo13Sep'!$J:$J, $A177)</f>
        <v>0</v>
      </c>
      <c r="AW177" s="121">
        <f>SUMIFS('7SepTo13Sep'!$K:$K, '7SepTo13Sep'!$J:$J, $A177)</f>
        <v>0</v>
      </c>
      <c r="AX177" s="121">
        <f>SUMIFS('7SepTo13Sep'!$O:$O, '7SepTo13Sep'!$J:$J, $A177)</f>
        <v>0</v>
      </c>
      <c r="AY177" s="121">
        <f>SUMIFS('7SepTo13Sep'!$P:$P, '7SepTo13Sep'!$J:$J, $A177)</f>
        <v>0</v>
      </c>
      <c r="AZ177" s="123">
        <f t="shared" si="9"/>
        <v>0</v>
      </c>
      <c r="BA177" s="121">
        <f>SUMIFS('31AugTo6Sep'!$L:$L, '31AugTo6Sep'!$J:$J, $A177)</f>
        <v>0</v>
      </c>
      <c r="BB177" s="121">
        <f>SUMIFS('31AugTo6Sep'!$K:$K, '31AugTo6Sep'!$J:$J, $A177)</f>
        <v>0</v>
      </c>
      <c r="BC177" s="121">
        <f>SUMIFS('31AugTo6Sep'!$O:$O, '31AugTo6Sep'!$J:$J, $A177)</f>
        <v>0</v>
      </c>
      <c r="BD177" s="121">
        <f>SUMIFS('31AugTo6Sep'!$P:$P, '31AugTo6Sep'!$J:$J, $A177)</f>
        <v>0</v>
      </c>
      <c r="BE177" s="123">
        <f t="shared" si="10"/>
        <v>0</v>
      </c>
      <c r="BF177" s="121">
        <f>SUMIFS('24AugTo29Aug'!$L:$L, '24AugTo29Aug'!$J:$J, $A177)</f>
        <v>0</v>
      </c>
      <c r="BG177" s="121">
        <f>SUMIFS('24AugTo29Aug'!$K:$K, '24AugTo29Aug'!$J:$J, $A177)</f>
        <v>0</v>
      </c>
      <c r="BH177" s="121">
        <f>SUMIFS('24AugTo29Aug'!$O:$O, '24AugTo29Aug'!$J:$J, $A177)</f>
        <v>0</v>
      </c>
      <c r="BI177" s="121">
        <f>SUMIFS('24AugTo29Aug'!$P:$P, '24AugTo29Aug'!$J:$J, $A177)</f>
        <v>0</v>
      </c>
      <c r="BJ177" s="123">
        <f t="shared" si="11"/>
        <v>0</v>
      </c>
      <c r="BK177" s="121">
        <f>SUMIFS('17AugTo21Aug'!$L:$L, '17AugTo21Aug'!$J:$J, $A177)</f>
        <v>0</v>
      </c>
      <c r="BL177" s="121">
        <f>SUMIFS('17AugTo21Aug'!$K:$K, '17AugTo21Aug'!$J:$J, $A177)</f>
        <v>0</v>
      </c>
      <c r="BM177" s="121">
        <f>SUMIFS('17AugTo21Aug'!$O:$O, '17AugTo21Aug'!$J:$J, $A177)</f>
        <v>0</v>
      </c>
      <c r="BN177" s="121">
        <f>SUMIFS('17AugTo21Aug'!$P:$P, '17AugTo21Aug'!$J:$J, $A177)</f>
        <v>0</v>
      </c>
      <c r="BO177" s="123">
        <f t="shared" si="12"/>
        <v>0</v>
      </c>
      <c r="BP177" s="121">
        <f>SUMIFS('10AugTo16Aug'!$L:$L, '10AugTo16Aug'!$J:$J, $A177)</f>
        <v>0</v>
      </c>
      <c r="BQ177" s="121">
        <f>SUMIFS('10AugTo16Aug'!$K:$K, '10AugTo16Aug'!$J:$J, $A177)</f>
        <v>0</v>
      </c>
      <c r="BR177" s="121">
        <f>SUMIFS('10AugTo16Aug'!$O:$O, '10AugTo16Aug'!$J:$J, $A177)</f>
        <v>0</v>
      </c>
      <c r="BS177" s="121">
        <f>SUMIFS('10AugTo16Aug'!$P:$P, '10AugTo16Aug'!$J:$J, $A177)</f>
        <v>0</v>
      </c>
      <c r="BT177" s="123">
        <f t="shared" si="13"/>
        <v>0</v>
      </c>
      <c r="BU177" s="121">
        <f>SUMIFS('3AugTo9Aug'!$L:$L, '3AugTo9Aug'!$J:$J, $A177)</f>
        <v>1</v>
      </c>
      <c r="BV177" s="121">
        <f>SUMIFS('3AugTo9Aug'!$K:$K, '3AugTo9Aug'!$J:$J, $A177)</f>
        <v>28</v>
      </c>
      <c r="BW177" s="121">
        <f>SUMIFS('3AugTo9Aug'!$O:$O, '3AugTo9Aug'!$J:$J, $A177)</f>
        <v>2.37</v>
      </c>
      <c r="BX177" s="121">
        <f>SUMIFS('3AugTo9Aug'!$P:$P, '3AugTo9Aug'!$J:$J, $A177)</f>
        <v>24.94</v>
      </c>
      <c r="BY177" s="123">
        <f t="shared" si="14"/>
        <v>9.5028067361668001</v>
      </c>
      <c r="BZ177" s="121">
        <f>SUMIFS('27JulyTo2Aug'!$L:$L, '27JulyTo2Aug'!$J:$J, $A177)</f>
        <v>0</v>
      </c>
      <c r="CA177" s="121">
        <f>SUMIFS('27JulyTo2Aug'!$K:$K, '27JulyTo2Aug'!$J:$J, $A177)</f>
        <v>0</v>
      </c>
      <c r="CB177" s="121">
        <f>SUMIFS('27JulyTo2Aug'!$O:$O, '27JulyTo2Aug'!$J:$J, $A177)</f>
        <v>0</v>
      </c>
      <c r="CC177" s="121">
        <f>SUMIFS('27JulyTo2Aug'!$P:$P, '27JulyTo2Aug'!$J:$J, $A177)</f>
        <v>0</v>
      </c>
      <c r="CD177" s="123">
        <f t="shared" si="15"/>
        <v>0</v>
      </c>
    </row>
    <row r="178" spans="1:82" ht="14.25" customHeight="1" x14ac:dyDescent="0.3">
      <c r="A178" s="124" t="s">
        <v>769</v>
      </c>
      <c r="B178" s="120" t="str">
        <f t="shared" si="18"/>
        <v>NO TRAFFIC</v>
      </c>
      <c r="C178" s="121">
        <f>SUMIFS('9NovTo15Nov'!$L:$L, '9NovTo15Nov'!$J:$J, $A178)</f>
        <v>0</v>
      </c>
      <c r="D178" s="121">
        <f>SUMIFS('9NovTo15Nov'!$K:$K, '9NovTo15Nov'!$J:$J, $A178)</f>
        <v>0</v>
      </c>
      <c r="E178" s="121">
        <f>SUMIFS('9NovTo15Nov'!$O:$O, '9NovTo15Nov'!$J:$J, $A178)</f>
        <v>0</v>
      </c>
      <c r="F178" s="121">
        <f>SUMIFS('9NovTo15Nov'!$P:$P, '9NovTo15Nov'!$J:$J, $A178)</f>
        <v>0</v>
      </c>
      <c r="G178" s="122">
        <f t="shared" si="0"/>
        <v>0</v>
      </c>
      <c r="H178" s="121">
        <f>SUMIFS('2NovTo8Nov'!$L:$L, '2NovTo8Nov'!$J:$J, $A178)</f>
        <v>0</v>
      </c>
      <c r="I178" s="121">
        <f>SUMIFS('2NovTo8Nov'!$K:$K, '2NovTo8Nov'!$J:$J, $A178)</f>
        <v>0</v>
      </c>
      <c r="J178" s="121">
        <f>SUMIFS('2NovTo8Nov'!$O:$O, '2NovTo8Nov'!$J:$J, $A178)</f>
        <v>0</v>
      </c>
      <c r="K178" s="121">
        <f>SUMIFS('2NovTo8Nov'!$P:$P, '2NovTo8Nov'!$J:$J, $A178)</f>
        <v>0</v>
      </c>
      <c r="L178" s="122">
        <f t="shared" si="1"/>
        <v>0</v>
      </c>
      <c r="M178" s="121">
        <f>SUMIFS('26OctTo1Nov'!$L:$L, '26OctTo1Nov'!$J:$J, $A178)</f>
        <v>0</v>
      </c>
      <c r="N178" s="121">
        <f>SUMIFS('26OctTo1Nov'!$K:$K, '26OctTo1Nov'!$J:$J, $A178)</f>
        <v>0</v>
      </c>
      <c r="O178" s="121">
        <f>SUMIFS('26OctTo1Nov'!$O:$O, '26OctTo1Nov'!$J:$J, $A178)</f>
        <v>0</v>
      </c>
      <c r="P178" s="121">
        <f>SUMIFS('26OctTo1Nov'!$P:$P, '26OctTo1Nov'!$J:$J, $A178)</f>
        <v>0</v>
      </c>
      <c r="Q178" s="122">
        <f t="shared" si="2"/>
        <v>0</v>
      </c>
      <c r="R178" s="121">
        <f>SUMIFS('19OctTo25Oct'!$L:$L, '19OctTo25Oct'!$J:$J, $A178)</f>
        <v>0</v>
      </c>
      <c r="S178" s="121">
        <f>SUMIFS('19OctTo25Oct'!$K:$K, '19OctTo25Oct'!$J:$J, $A178)</f>
        <v>0</v>
      </c>
      <c r="T178" s="121">
        <f>SUMIFS('19OctTo25Oct'!$O:$O, '19OctTo25Oct'!$J:$J, $A178)</f>
        <v>0</v>
      </c>
      <c r="U178" s="121">
        <f>SUMIFS('19OctTo25Oct'!$P:$P, '19OctTo25Oct'!$J:$J, $A178)</f>
        <v>0</v>
      </c>
      <c r="V178" s="122">
        <f t="shared" si="3"/>
        <v>0</v>
      </c>
      <c r="W178" s="121">
        <f>SUMIFS('12OctTo18Oct'!$L:$L, '12OctTo18Oct'!$J:$J, $A178)</f>
        <v>0</v>
      </c>
      <c r="X178" s="121">
        <f>SUMIFS('12OctTo18Oct'!$K:$K, '12OctTo18Oct'!$J:$J, $A178)</f>
        <v>0</v>
      </c>
      <c r="Y178" s="121">
        <f>SUMIFS('12OctTo18Oct'!$O:$O, '12OctTo18Oct'!$J:$J, $A178)</f>
        <v>0</v>
      </c>
      <c r="Z178" s="121">
        <f>SUMIFS('12OctTo18Oct'!$P:$P, '12OctTo18Oct'!$J:$J, $A178)</f>
        <v>0</v>
      </c>
      <c r="AA178" s="122">
        <f t="shared" si="4"/>
        <v>0</v>
      </c>
      <c r="AB178" s="121">
        <f>SUMIFS('5OctTo11Oct'!$L:$L, '5OctTo11Oct'!$J:$J, $A178)</f>
        <v>0</v>
      </c>
      <c r="AC178" s="121">
        <f>SUMIFS('5OctTo11Oct'!$K:$K, '5OctTo11Oct'!$J:$J, $A178)</f>
        <v>0</v>
      </c>
      <c r="AD178" s="121">
        <f>SUMIFS('5OctTo11Oct'!$O:$O, '5OctTo11Oct'!$J:$J, $A178)</f>
        <v>0</v>
      </c>
      <c r="AE178" s="121">
        <f>SUMIFS('5OctTo11Oct'!$P:$P, '5OctTo11Oct'!$J:$J, $A178)</f>
        <v>0</v>
      </c>
      <c r="AF178" s="123">
        <f t="shared" si="5"/>
        <v>0</v>
      </c>
      <c r="AG178" s="121">
        <f>SUMIFS('28SepTo4Oct'!$L:$L, '28SepTo4Oct'!$J:$J, $A178)</f>
        <v>0</v>
      </c>
      <c r="AH178" s="121">
        <f>SUMIFS('28SepTo4Oct'!$K:$K, '28SepTo4Oct'!$J:$J, $A178)</f>
        <v>0</v>
      </c>
      <c r="AI178" s="121">
        <f>SUMIFS('28SepTo4Oct'!$O:$O, '28SepTo4Oct'!$J:$J, $A178)</f>
        <v>0</v>
      </c>
      <c r="AJ178" s="121">
        <f>SUMIFS('28SepTo4Oct'!$P:$P, '28SepTo4Oct'!$J:$J, $A178)</f>
        <v>0</v>
      </c>
      <c r="AK178" s="123">
        <f t="shared" si="6"/>
        <v>0</v>
      </c>
      <c r="AL178" s="121">
        <f>SUMIFS('21SepTo27Sep'!$L:$L, '21SepTo27Sep'!$J:$J, $A178)</f>
        <v>0</v>
      </c>
      <c r="AM178" s="121">
        <f>SUMIFS('21SepTo27Sep'!$K:$K, '21SepTo27Sep'!$J:$J, $A178)</f>
        <v>0</v>
      </c>
      <c r="AN178" s="121">
        <f>SUMIFS('21SepTo27Sep'!$O:$O, '21SepTo27Sep'!$J:$J, $A178)</f>
        <v>0</v>
      </c>
      <c r="AO178" s="121">
        <f>SUMIFS('21SepTo27Sep'!$P:$P, '21SepTo27Sep'!$J:$J, $A178)</f>
        <v>0</v>
      </c>
      <c r="AP178" s="123">
        <f t="shared" si="7"/>
        <v>0</v>
      </c>
      <c r="AQ178" s="121">
        <f>SUMIFS('14SepTo20Sep'!$L:$L, '14SepTo20Sep'!$J:$J, $A178)</f>
        <v>0</v>
      </c>
      <c r="AR178" s="121">
        <f>SUMIFS('14SepTo20Sep'!$K:$K, '14SepTo20Sep'!$J:$J, $A178)</f>
        <v>0</v>
      </c>
      <c r="AS178" s="121">
        <f>SUMIFS('14SepTo20Sep'!$O:$O, '14SepTo20Sep'!$J:$J, $A178)</f>
        <v>0</v>
      </c>
      <c r="AT178" s="121">
        <f>SUMIFS('14SepTo20Sep'!$P:$P, '14SepTo20Sep'!$J:$J, $A178)</f>
        <v>0</v>
      </c>
      <c r="AU178" s="123">
        <f t="shared" si="8"/>
        <v>0</v>
      </c>
      <c r="AV178" s="121">
        <f>SUMIFS('7SepTo13Sep'!$L:$L, '7SepTo13Sep'!$J:$J, $A178)</f>
        <v>0</v>
      </c>
      <c r="AW178" s="121">
        <f>SUMIFS('7SepTo13Sep'!$K:$K, '7SepTo13Sep'!$J:$J, $A178)</f>
        <v>0</v>
      </c>
      <c r="AX178" s="121">
        <f>SUMIFS('7SepTo13Sep'!$O:$O, '7SepTo13Sep'!$J:$J, $A178)</f>
        <v>0</v>
      </c>
      <c r="AY178" s="121">
        <f>SUMIFS('7SepTo13Sep'!$P:$P, '7SepTo13Sep'!$J:$J, $A178)</f>
        <v>0</v>
      </c>
      <c r="AZ178" s="123">
        <f t="shared" si="9"/>
        <v>0</v>
      </c>
      <c r="BA178" s="121">
        <f>SUMIFS('31AugTo6Sep'!$L:$L, '31AugTo6Sep'!$J:$J, $A178)</f>
        <v>0</v>
      </c>
      <c r="BB178" s="121">
        <f>SUMIFS('31AugTo6Sep'!$K:$K, '31AugTo6Sep'!$J:$J, $A178)</f>
        <v>0</v>
      </c>
      <c r="BC178" s="121">
        <f>SUMIFS('31AugTo6Sep'!$O:$O, '31AugTo6Sep'!$J:$J, $A178)</f>
        <v>0</v>
      </c>
      <c r="BD178" s="121">
        <f>SUMIFS('31AugTo6Sep'!$P:$P, '31AugTo6Sep'!$J:$J, $A178)</f>
        <v>0</v>
      </c>
      <c r="BE178" s="123">
        <f t="shared" si="10"/>
        <v>0</v>
      </c>
      <c r="BF178" s="121">
        <f>SUMIFS('24AugTo29Aug'!$L:$L, '24AugTo29Aug'!$J:$J, $A178)</f>
        <v>0</v>
      </c>
      <c r="BG178" s="121">
        <f>SUMIFS('24AugTo29Aug'!$K:$K, '24AugTo29Aug'!$J:$J, $A178)</f>
        <v>0</v>
      </c>
      <c r="BH178" s="121">
        <f>SUMIFS('24AugTo29Aug'!$O:$O, '24AugTo29Aug'!$J:$J, $A178)</f>
        <v>0</v>
      </c>
      <c r="BI178" s="121">
        <f>SUMIFS('24AugTo29Aug'!$P:$P, '24AugTo29Aug'!$J:$J, $A178)</f>
        <v>0</v>
      </c>
      <c r="BJ178" s="123">
        <f t="shared" si="11"/>
        <v>0</v>
      </c>
      <c r="BK178" s="121">
        <f>SUMIFS('17AugTo21Aug'!$L:$L, '17AugTo21Aug'!$J:$J, $A178)</f>
        <v>0</v>
      </c>
      <c r="BL178" s="121">
        <f>SUMIFS('17AugTo21Aug'!$K:$K, '17AugTo21Aug'!$J:$J, $A178)</f>
        <v>0</v>
      </c>
      <c r="BM178" s="121">
        <f>SUMIFS('17AugTo21Aug'!$O:$O, '17AugTo21Aug'!$J:$J, $A178)</f>
        <v>0</v>
      </c>
      <c r="BN178" s="121">
        <f>SUMIFS('17AugTo21Aug'!$P:$P, '17AugTo21Aug'!$J:$J, $A178)</f>
        <v>0</v>
      </c>
      <c r="BO178" s="123">
        <f t="shared" si="12"/>
        <v>0</v>
      </c>
      <c r="BP178" s="121">
        <f>SUMIFS('10AugTo16Aug'!$L:$L, '10AugTo16Aug'!$J:$J, $A178)</f>
        <v>0</v>
      </c>
      <c r="BQ178" s="121">
        <f>SUMIFS('10AugTo16Aug'!$K:$K, '10AugTo16Aug'!$J:$J, $A178)</f>
        <v>0</v>
      </c>
      <c r="BR178" s="121">
        <f>SUMIFS('10AugTo16Aug'!$O:$O, '10AugTo16Aug'!$J:$J, $A178)</f>
        <v>0</v>
      </c>
      <c r="BS178" s="121">
        <f>SUMIFS('10AugTo16Aug'!$P:$P, '10AugTo16Aug'!$J:$J, $A178)</f>
        <v>0</v>
      </c>
      <c r="BT178" s="123">
        <f t="shared" si="13"/>
        <v>0</v>
      </c>
      <c r="BU178" s="121">
        <f>SUMIFS('3AugTo9Aug'!$L:$L, '3AugTo9Aug'!$J:$J, $A178)</f>
        <v>1</v>
      </c>
      <c r="BV178" s="121">
        <f>SUMIFS('3AugTo9Aug'!$K:$K, '3AugTo9Aug'!$J:$J, $A178)</f>
        <v>3</v>
      </c>
      <c r="BW178" s="121">
        <f>SUMIFS('3AugTo9Aug'!$O:$O, '3AugTo9Aug'!$J:$J, $A178)</f>
        <v>3.27</v>
      </c>
      <c r="BX178" s="121">
        <f>SUMIFS('3AugTo9Aug'!$P:$P, '3AugTo9Aug'!$J:$J, $A178)</f>
        <v>24.94</v>
      </c>
      <c r="BY178" s="123">
        <f t="shared" si="14"/>
        <v>13.111467522052928</v>
      </c>
      <c r="BZ178" s="121">
        <f>SUMIFS('27JulyTo2Aug'!$L:$L, '27JulyTo2Aug'!$J:$J, $A178)</f>
        <v>0</v>
      </c>
      <c r="CA178" s="121">
        <f>SUMIFS('27JulyTo2Aug'!$K:$K, '27JulyTo2Aug'!$J:$J, $A178)</f>
        <v>0</v>
      </c>
      <c r="CB178" s="121">
        <f>SUMIFS('27JulyTo2Aug'!$O:$O, '27JulyTo2Aug'!$J:$J, $A178)</f>
        <v>0</v>
      </c>
      <c r="CC178" s="121">
        <f>SUMIFS('27JulyTo2Aug'!$P:$P, '27JulyTo2Aug'!$J:$J, $A178)</f>
        <v>0</v>
      </c>
      <c r="CD178" s="123">
        <f t="shared" si="15"/>
        <v>0</v>
      </c>
    </row>
    <row r="179" spans="1:82" ht="14.25" customHeight="1" x14ac:dyDescent="0.3">
      <c r="A179" s="124" t="s">
        <v>306</v>
      </c>
      <c r="B179" s="120" t="str">
        <f t="shared" si="18"/>
        <v>WINNER</v>
      </c>
      <c r="C179" s="121">
        <f>SUMIFS('9NovTo15Nov'!$L:$L, '9NovTo15Nov'!$J:$J, $A179)</f>
        <v>0</v>
      </c>
      <c r="D179" s="121">
        <f>SUMIFS('9NovTo15Nov'!$K:$K, '9NovTo15Nov'!$J:$J, $A179)</f>
        <v>0</v>
      </c>
      <c r="E179" s="121">
        <f>SUMIFS('9NovTo15Nov'!$O:$O, '9NovTo15Nov'!$J:$J, $A179)</f>
        <v>0</v>
      </c>
      <c r="F179" s="121">
        <f>SUMIFS('9NovTo15Nov'!$P:$P, '9NovTo15Nov'!$J:$J, $A179)</f>
        <v>0</v>
      </c>
      <c r="G179" s="122">
        <f t="shared" si="0"/>
        <v>0</v>
      </c>
      <c r="H179" s="121">
        <f>SUMIFS('2NovTo8Nov'!$L:$L, '2NovTo8Nov'!$J:$J, $A179)</f>
        <v>0</v>
      </c>
      <c r="I179" s="121">
        <f>SUMIFS('2NovTo8Nov'!$K:$K, '2NovTo8Nov'!$J:$J, $A179)</f>
        <v>0</v>
      </c>
      <c r="J179" s="121">
        <f>SUMIFS('2NovTo8Nov'!$O:$O, '2NovTo8Nov'!$J:$J, $A179)</f>
        <v>0</v>
      </c>
      <c r="K179" s="121">
        <f>SUMIFS('2NovTo8Nov'!$P:$P, '2NovTo8Nov'!$J:$J, $A179)</f>
        <v>0</v>
      </c>
      <c r="L179" s="122">
        <f t="shared" si="1"/>
        <v>0</v>
      </c>
      <c r="M179" s="121">
        <f>SUMIFS('26OctTo1Nov'!$L:$L, '26OctTo1Nov'!$J:$J, $A179)</f>
        <v>0</v>
      </c>
      <c r="N179" s="121">
        <f>SUMIFS('26OctTo1Nov'!$K:$K, '26OctTo1Nov'!$J:$J, $A179)</f>
        <v>0</v>
      </c>
      <c r="O179" s="121">
        <f>SUMIFS('26OctTo1Nov'!$O:$O, '26OctTo1Nov'!$J:$J, $A179)</f>
        <v>0</v>
      </c>
      <c r="P179" s="121">
        <f>SUMIFS('26OctTo1Nov'!$P:$P, '26OctTo1Nov'!$J:$J, $A179)</f>
        <v>0</v>
      </c>
      <c r="Q179" s="122">
        <f t="shared" si="2"/>
        <v>0</v>
      </c>
      <c r="R179" s="121">
        <f>SUMIFS('19OctTo25Oct'!$L:$L, '19OctTo25Oct'!$J:$J, $A179)</f>
        <v>0</v>
      </c>
      <c r="S179" s="121">
        <f>SUMIFS('19OctTo25Oct'!$K:$K, '19OctTo25Oct'!$J:$J, $A179)</f>
        <v>0</v>
      </c>
      <c r="T179" s="121">
        <f>SUMIFS('19OctTo25Oct'!$O:$O, '19OctTo25Oct'!$J:$J, $A179)</f>
        <v>0</v>
      </c>
      <c r="U179" s="121">
        <f>SUMIFS('19OctTo25Oct'!$P:$P, '19OctTo25Oct'!$J:$J, $A179)</f>
        <v>0</v>
      </c>
      <c r="V179" s="122">
        <f t="shared" si="3"/>
        <v>0</v>
      </c>
      <c r="W179" s="121">
        <f>SUMIFS('12OctTo18Oct'!$L:$L, '12OctTo18Oct'!$J:$J, $A179)</f>
        <v>3</v>
      </c>
      <c r="X179" s="121">
        <f>SUMIFS('12OctTo18Oct'!$K:$K, '12OctTo18Oct'!$J:$J, $A179)</f>
        <v>5</v>
      </c>
      <c r="Y179" s="121">
        <f>SUMIFS('12OctTo18Oct'!$O:$O, '12OctTo18Oct'!$J:$J, $A179)</f>
        <v>6.39</v>
      </c>
      <c r="Z179" s="121">
        <f>SUMIFS('12OctTo18Oct'!$P:$P, '12OctTo18Oct'!$J:$J, $A179)</f>
        <v>49.88</v>
      </c>
      <c r="AA179" s="122">
        <f t="shared" si="4"/>
        <v>12.810745789895748</v>
      </c>
      <c r="AB179" s="121">
        <f>SUMIFS('5OctTo11Oct'!$L:$L, '5OctTo11Oct'!$J:$J, $A179)</f>
        <v>0</v>
      </c>
      <c r="AC179" s="121">
        <f>SUMIFS('5OctTo11Oct'!$K:$K, '5OctTo11Oct'!$J:$J, $A179)</f>
        <v>0</v>
      </c>
      <c r="AD179" s="121">
        <f>SUMIFS('5OctTo11Oct'!$O:$O, '5OctTo11Oct'!$J:$J, $A179)</f>
        <v>0</v>
      </c>
      <c r="AE179" s="121">
        <f>SUMIFS('5OctTo11Oct'!$P:$P, '5OctTo11Oct'!$J:$J, $A179)</f>
        <v>0</v>
      </c>
      <c r="AF179" s="123">
        <f t="shared" si="5"/>
        <v>0</v>
      </c>
      <c r="AG179" s="121">
        <f>SUMIFS('28SepTo4Oct'!$L:$L, '28SepTo4Oct'!$J:$J, $A179)</f>
        <v>0</v>
      </c>
      <c r="AH179" s="121">
        <f>SUMIFS('28SepTo4Oct'!$K:$K, '28SepTo4Oct'!$J:$J, $A179)</f>
        <v>0</v>
      </c>
      <c r="AI179" s="121">
        <f>SUMIFS('28SepTo4Oct'!$O:$O, '28SepTo4Oct'!$J:$J, $A179)</f>
        <v>0</v>
      </c>
      <c r="AJ179" s="121">
        <f>SUMIFS('28SepTo4Oct'!$P:$P, '28SepTo4Oct'!$J:$J, $A179)</f>
        <v>0</v>
      </c>
      <c r="AK179" s="123">
        <f t="shared" si="6"/>
        <v>0</v>
      </c>
      <c r="AL179" s="121">
        <f>SUMIFS('21SepTo27Sep'!$L:$L, '21SepTo27Sep'!$J:$J, $A179)</f>
        <v>0</v>
      </c>
      <c r="AM179" s="121">
        <f>SUMIFS('21SepTo27Sep'!$K:$K, '21SepTo27Sep'!$J:$J, $A179)</f>
        <v>0</v>
      </c>
      <c r="AN179" s="121">
        <f>SUMIFS('21SepTo27Sep'!$O:$O, '21SepTo27Sep'!$J:$J, $A179)</f>
        <v>0</v>
      </c>
      <c r="AO179" s="121">
        <f>SUMIFS('21SepTo27Sep'!$P:$P, '21SepTo27Sep'!$J:$J, $A179)</f>
        <v>0</v>
      </c>
      <c r="AP179" s="123">
        <f t="shared" si="7"/>
        <v>0</v>
      </c>
      <c r="AQ179" s="121">
        <f>SUMIFS('14SepTo20Sep'!$L:$L, '14SepTo20Sep'!$J:$J, $A179)</f>
        <v>0</v>
      </c>
      <c r="AR179" s="121">
        <f>SUMIFS('14SepTo20Sep'!$K:$K, '14SepTo20Sep'!$J:$J, $A179)</f>
        <v>0</v>
      </c>
      <c r="AS179" s="121">
        <f>SUMIFS('14SepTo20Sep'!$O:$O, '14SepTo20Sep'!$J:$J, $A179)</f>
        <v>0</v>
      </c>
      <c r="AT179" s="121">
        <f>SUMIFS('14SepTo20Sep'!$P:$P, '14SepTo20Sep'!$J:$J, $A179)</f>
        <v>0</v>
      </c>
      <c r="AU179" s="123">
        <f t="shared" si="8"/>
        <v>0</v>
      </c>
      <c r="AV179" s="121">
        <f>SUMIFS('7SepTo13Sep'!$L:$L, '7SepTo13Sep'!$J:$J, $A179)</f>
        <v>0</v>
      </c>
      <c r="AW179" s="121">
        <f>SUMIFS('7SepTo13Sep'!$K:$K, '7SepTo13Sep'!$J:$J, $A179)</f>
        <v>0</v>
      </c>
      <c r="AX179" s="121">
        <f>SUMIFS('7SepTo13Sep'!$O:$O, '7SepTo13Sep'!$J:$J, $A179)</f>
        <v>0</v>
      </c>
      <c r="AY179" s="121">
        <f>SUMIFS('7SepTo13Sep'!$P:$P, '7SepTo13Sep'!$J:$J, $A179)</f>
        <v>0</v>
      </c>
      <c r="AZ179" s="123">
        <f t="shared" si="9"/>
        <v>0</v>
      </c>
      <c r="BA179" s="121">
        <f>SUMIFS('31AugTo6Sep'!$L:$L, '31AugTo6Sep'!$J:$J, $A179)</f>
        <v>0</v>
      </c>
      <c r="BB179" s="121">
        <f>SUMIFS('31AugTo6Sep'!$K:$K, '31AugTo6Sep'!$J:$J, $A179)</f>
        <v>0</v>
      </c>
      <c r="BC179" s="121">
        <f>SUMIFS('31AugTo6Sep'!$O:$O, '31AugTo6Sep'!$J:$J, $A179)</f>
        <v>0</v>
      </c>
      <c r="BD179" s="121">
        <f>SUMIFS('31AugTo6Sep'!$P:$P, '31AugTo6Sep'!$J:$J, $A179)</f>
        <v>0</v>
      </c>
      <c r="BE179" s="123">
        <f t="shared" si="10"/>
        <v>0</v>
      </c>
      <c r="BF179" s="121">
        <f>SUMIFS('24AugTo29Aug'!$L:$L, '24AugTo29Aug'!$J:$J, $A179)</f>
        <v>0</v>
      </c>
      <c r="BG179" s="121">
        <f>SUMIFS('24AugTo29Aug'!$K:$K, '24AugTo29Aug'!$J:$J, $A179)</f>
        <v>0</v>
      </c>
      <c r="BH179" s="121">
        <f>SUMIFS('24AugTo29Aug'!$O:$O, '24AugTo29Aug'!$J:$J, $A179)</f>
        <v>0</v>
      </c>
      <c r="BI179" s="121">
        <f>SUMIFS('24AugTo29Aug'!$P:$P, '24AugTo29Aug'!$J:$J, $A179)</f>
        <v>0</v>
      </c>
      <c r="BJ179" s="123">
        <f t="shared" si="11"/>
        <v>0</v>
      </c>
      <c r="BK179" s="121">
        <f>SUMIFS('17AugTo21Aug'!$L:$L, '17AugTo21Aug'!$J:$J, $A179)</f>
        <v>0</v>
      </c>
      <c r="BL179" s="121">
        <f>SUMIFS('17AugTo21Aug'!$K:$K, '17AugTo21Aug'!$J:$J, $A179)</f>
        <v>0</v>
      </c>
      <c r="BM179" s="121">
        <f>SUMIFS('17AugTo21Aug'!$O:$O, '17AugTo21Aug'!$J:$J, $A179)</f>
        <v>0</v>
      </c>
      <c r="BN179" s="121">
        <f>SUMIFS('17AugTo21Aug'!$P:$P, '17AugTo21Aug'!$J:$J, $A179)</f>
        <v>0</v>
      </c>
      <c r="BO179" s="123">
        <f t="shared" si="12"/>
        <v>0</v>
      </c>
      <c r="BP179" s="121">
        <f>SUMIFS('10AugTo16Aug'!$L:$L, '10AugTo16Aug'!$J:$J, $A179)</f>
        <v>0</v>
      </c>
      <c r="BQ179" s="121">
        <f>SUMIFS('10AugTo16Aug'!$K:$K, '10AugTo16Aug'!$J:$J, $A179)</f>
        <v>0</v>
      </c>
      <c r="BR179" s="121">
        <f>SUMIFS('10AugTo16Aug'!$O:$O, '10AugTo16Aug'!$J:$J, $A179)</f>
        <v>0</v>
      </c>
      <c r="BS179" s="121">
        <f>SUMIFS('10AugTo16Aug'!$P:$P, '10AugTo16Aug'!$J:$J, $A179)</f>
        <v>0</v>
      </c>
      <c r="BT179" s="123">
        <f t="shared" si="13"/>
        <v>0</v>
      </c>
      <c r="BU179" s="121">
        <f>SUMIFS('3AugTo9Aug'!$L:$L, '3AugTo9Aug'!$J:$J, $A179)</f>
        <v>3</v>
      </c>
      <c r="BV179" s="121">
        <f>SUMIFS('3AugTo9Aug'!$K:$K, '3AugTo9Aug'!$J:$J, $A179)</f>
        <v>17</v>
      </c>
      <c r="BW179" s="121">
        <f>SUMIFS('3AugTo9Aug'!$O:$O, '3AugTo9Aug'!$J:$J, $A179)</f>
        <v>4.8600000000000003</v>
      </c>
      <c r="BX179" s="121">
        <f>SUMIFS('3AugTo9Aug'!$P:$P, '3AugTo9Aug'!$J:$J, $A179)</f>
        <v>24.94</v>
      </c>
      <c r="BY179" s="123">
        <f t="shared" si="14"/>
        <v>19.486768243785086</v>
      </c>
      <c r="BZ179" s="121">
        <f>SUMIFS('27JulyTo2Aug'!$L:$L, '27JulyTo2Aug'!$J:$J, $A179)</f>
        <v>0</v>
      </c>
      <c r="CA179" s="121">
        <f>SUMIFS('27JulyTo2Aug'!$K:$K, '27JulyTo2Aug'!$J:$J, $A179)</f>
        <v>0</v>
      </c>
      <c r="CB179" s="121">
        <f>SUMIFS('27JulyTo2Aug'!$O:$O, '27JulyTo2Aug'!$J:$J, $A179)</f>
        <v>0</v>
      </c>
      <c r="CC179" s="121">
        <f>SUMIFS('27JulyTo2Aug'!$P:$P, '27JulyTo2Aug'!$J:$J, $A179)</f>
        <v>0</v>
      </c>
      <c r="CD179" s="123">
        <f t="shared" si="15"/>
        <v>0</v>
      </c>
    </row>
    <row r="180" spans="1:82" ht="14.25" customHeight="1" x14ac:dyDescent="0.3">
      <c r="A180" s="124" t="s">
        <v>771</v>
      </c>
      <c r="B180" s="120" t="str">
        <f t="shared" si="18"/>
        <v>NO TRAFFIC</v>
      </c>
      <c r="C180" s="121">
        <f>SUMIFS('9NovTo15Nov'!$L:$L, '9NovTo15Nov'!$J:$J, $A180)</f>
        <v>0</v>
      </c>
      <c r="D180" s="121">
        <f>SUMIFS('9NovTo15Nov'!$K:$K, '9NovTo15Nov'!$J:$J, $A180)</f>
        <v>0</v>
      </c>
      <c r="E180" s="121">
        <f>SUMIFS('9NovTo15Nov'!$O:$O, '9NovTo15Nov'!$J:$J, $A180)</f>
        <v>0</v>
      </c>
      <c r="F180" s="121">
        <f>SUMIFS('9NovTo15Nov'!$P:$P, '9NovTo15Nov'!$J:$J, $A180)</f>
        <v>0</v>
      </c>
      <c r="G180" s="122">
        <f t="shared" si="0"/>
        <v>0</v>
      </c>
      <c r="H180" s="121">
        <f>SUMIFS('2NovTo8Nov'!$L:$L, '2NovTo8Nov'!$J:$J, $A180)</f>
        <v>0</v>
      </c>
      <c r="I180" s="121">
        <f>SUMIFS('2NovTo8Nov'!$K:$K, '2NovTo8Nov'!$J:$J, $A180)</f>
        <v>0</v>
      </c>
      <c r="J180" s="121">
        <f>SUMIFS('2NovTo8Nov'!$O:$O, '2NovTo8Nov'!$J:$J, $A180)</f>
        <v>0</v>
      </c>
      <c r="K180" s="121">
        <f>SUMIFS('2NovTo8Nov'!$P:$P, '2NovTo8Nov'!$J:$J, $A180)</f>
        <v>0</v>
      </c>
      <c r="L180" s="122">
        <f t="shared" si="1"/>
        <v>0</v>
      </c>
      <c r="M180" s="121">
        <f>SUMIFS('26OctTo1Nov'!$L:$L, '26OctTo1Nov'!$J:$J, $A180)</f>
        <v>0</v>
      </c>
      <c r="N180" s="121">
        <f>SUMIFS('26OctTo1Nov'!$K:$K, '26OctTo1Nov'!$J:$J, $A180)</f>
        <v>0</v>
      </c>
      <c r="O180" s="121">
        <f>SUMIFS('26OctTo1Nov'!$O:$O, '26OctTo1Nov'!$J:$J, $A180)</f>
        <v>0</v>
      </c>
      <c r="P180" s="121">
        <f>SUMIFS('26OctTo1Nov'!$P:$P, '26OctTo1Nov'!$J:$J, $A180)</f>
        <v>0</v>
      </c>
      <c r="Q180" s="122">
        <f t="shared" si="2"/>
        <v>0</v>
      </c>
      <c r="R180" s="121">
        <f>SUMIFS('19OctTo25Oct'!$L:$L, '19OctTo25Oct'!$J:$J, $A180)</f>
        <v>0</v>
      </c>
      <c r="S180" s="121">
        <f>SUMIFS('19OctTo25Oct'!$K:$K, '19OctTo25Oct'!$J:$J, $A180)</f>
        <v>0</v>
      </c>
      <c r="T180" s="121">
        <f>SUMIFS('19OctTo25Oct'!$O:$O, '19OctTo25Oct'!$J:$J, $A180)</f>
        <v>0</v>
      </c>
      <c r="U180" s="121">
        <f>SUMIFS('19OctTo25Oct'!$P:$P, '19OctTo25Oct'!$J:$J, $A180)</f>
        <v>0</v>
      </c>
      <c r="V180" s="122">
        <f t="shared" si="3"/>
        <v>0</v>
      </c>
      <c r="W180" s="121">
        <f>SUMIFS('12OctTo18Oct'!$L:$L, '12OctTo18Oct'!$J:$J, $A180)</f>
        <v>0</v>
      </c>
      <c r="X180" s="121">
        <f>SUMIFS('12OctTo18Oct'!$K:$K, '12OctTo18Oct'!$J:$J, $A180)</f>
        <v>0</v>
      </c>
      <c r="Y180" s="121">
        <f>SUMIFS('12OctTo18Oct'!$O:$O, '12OctTo18Oct'!$J:$J, $A180)</f>
        <v>0</v>
      </c>
      <c r="Z180" s="121">
        <f>SUMIFS('12OctTo18Oct'!$P:$P, '12OctTo18Oct'!$J:$J, $A180)</f>
        <v>0</v>
      </c>
      <c r="AA180" s="122">
        <f t="shared" si="4"/>
        <v>0</v>
      </c>
      <c r="AB180" s="121">
        <f>SUMIFS('5OctTo11Oct'!$L:$L, '5OctTo11Oct'!$J:$J, $A180)</f>
        <v>0</v>
      </c>
      <c r="AC180" s="121">
        <f>SUMIFS('5OctTo11Oct'!$K:$K, '5OctTo11Oct'!$J:$J, $A180)</f>
        <v>0</v>
      </c>
      <c r="AD180" s="121">
        <f>SUMIFS('5OctTo11Oct'!$O:$O, '5OctTo11Oct'!$J:$J, $A180)</f>
        <v>0</v>
      </c>
      <c r="AE180" s="121">
        <f>SUMIFS('5OctTo11Oct'!$P:$P, '5OctTo11Oct'!$J:$J, $A180)</f>
        <v>0</v>
      </c>
      <c r="AF180" s="123">
        <f t="shared" si="5"/>
        <v>0</v>
      </c>
      <c r="AG180" s="121">
        <f>SUMIFS('28SepTo4Oct'!$L:$L, '28SepTo4Oct'!$J:$J, $A180)</f>
        <v>0</v>
      </c>
      <c r="AH180" s="121">
        <f>SUMIFS('28SepTo4Oct'!$K:$K, '28SepTo4Oct'!$J:$J, $A180)</f>
        <v>0</v>
      </c>
      <c r="AI180" s="121">
        <f>SUMIFS('28SepTo4Oct'!$O:$O, '28SepTo4Oct'!$J:$J, $A180)</f>
        <v>0</v>
      </c>
      <c r="AJ180" s="121">
        <f>SUMIFS('28SepTo4Oct'!$P:$P, '28SepTo4Oct'!$J:$J, $A180)</f>
        <v>0</v>
      </c>
      <c r="AK180" s="123">
        <f t="shared" si="6"/>
        <v>0</v>
      </c>
      <c r="AL180" s="121">
        <f>SUMIFS('21SepTo27Sep'!$L:$L, '21SepTo27Sep'!$J:$J, $A180)</f>
        <v>0</v>
      </c>
      <c r="AM180" s="121">
        <f>SUMIFS('21SepTo27Sep'!$K:$K, '21SepTo27Sep'!$J:$J, $A180)</f>
        <v>0</v>
      </c>
      <c r="AN180" s="121">
        <f>SUMIFS('21SepTo27Sep'!$O:$O, '21SepTo27Sep'!$J:$J, $A180)</f>
        <v>0</v>
      </c>
      <c r="AO180" s="121">
        <f>SUMIFS('21SepTo27Sep'!$P:$P, '21SepTo27Sep'!$J:$J, $A180)</f>
        <v>0</v>
      </c>
      <c r="AP180" s="123">
        <f t="shared" si="7"/>
        <v>0</v>
      </c>
      <c r="AQ180" s="121">
        <f>SUMIFS('14SepTo20Sep'!$L:$L, '14SepTo20Sep'!$J:$J, $A180)</f>
        <v>0</v>
      </c>
      <c r="AR180" s="121">
        <f>SUMIFS('14SepTo20Sep'!$K:$K, '14SepTo20Sep'!$J:$J, $A180)</f>
        <v>0</v>
      </c>
      <c r="AS180" s="121">
        <f>SUMIFS('14SepTo20Sep'!$O:$O, '14SepTo20Sep'!$J:$J, $A180)</f>
        <v>0</v>
      </c>
      <c r="AT180" s="121">
        <f>SUMIFS('14SepTo20Sep'!$P:$P, '14SepTo20Sep'!$J:$J, $A180)</f>
        <v>0</v>
      </c>
      <c r="AU180" s="123">
        <f t="shared" si="8"/>
        <v>0</v>
      </c>
      <c r="AV180" s="121">
        <f>SUMIFS('7SepTo13Sep'!$L:$L, '7SepTo13Sep'!$J:$J, $A180)</f>
        <v>0</v>
      </c>
      <c r="AW180" s="121">
        <f>SUMIFS('7SepTo13Sep'!$K:$K, '7SepTo13Sep'!$J:$J, $A180)</f>
        <v>0</v>
      </c>
      <c r="AX180" s="121">
        <f>SUMIFS('7SepTo13Sep'!$O:$O, '7SepTo13Sep'!$J:$J, $A180)</f>
        <v>0</v>
      </c>
      <c r="AY180" s="121">
        <f>SUMIFS('7SepTo13Sep'!$P:$P, '7SepTo13Sep'!$J:$J, $A180)</f>
        <v>0</v>
      </c>
      <c r="AZ180" s="123">
        <f t="shared" si="9"/>
        <v>0</v>
      </c>
      <c r="BA180" s="121">
        <f>SUMIFS('31AugTo6Sep'!$L:$L, '31AugTo6Sep'!$J:$J, $A180)</f>
        <v>0</v>
      </c>
      <c r="BB180" s="121">
        <f>SUMIFS('31AugTo6Sep'!$K:$K, '31AugTo6Sep'!$J:$J, $A180)</f>
        <v>0</v>
      </c>
      <c r="BC180" s="121">
        <f>SUMIFS('31AugTo6Sep'!$O:$O, '31AugTo6Sep'!$J:$J, $A180)</f>
        <v>0</v>
      </c>
      <c r="BD180" s="121">
        <f>SUMIFS('31AugTo6Sep'!$P:$P, '31AugTo6Sep'!$J:$J, $A180)</f>
        <v>0</v>
      </c>
      <c r="BE180" s="123">
        <f t="shared" si="10"/>
        <v>0</v>
      </c>
      <c r="BF180" s="121">
        <f>SUMIFS('24AugTo29Aug'!$L:$L, '24AugTo29Aug'!$J:$J, $A180)</f>
        <v>0</v>
      </c>
      <c r="BG180" s="121">
        <f>SUMIFS('24AugTo29Aug'!$K:$K, '24AugTo29Aug'!$J:$J, $A180)</f>
        <v>0</v>
      </c>
      <c r="BH180" s="121">
        <f>SUMIFS('24AugTo29Aug'!$O:$O, '24AugTo29Aug'!$J:$J, $A180)</f>
        <v>0</v>
      </c>
      <c r="BI180" s="121">
        <f>SUMIFS('24AugTo29Aug'!$P:$P, '24AugTo29Aug'!$J:$J, $A180)</f>
        <v>0</v>
      </c>
      <c r="BJ180" s="123">
        <f t="shared" si="11"/>
        <v>0</v>
      </c>
      <c r="BK180" s="121">
        <f>SUMIFS('17AugTo21Aug'!$L:$L, '17AugTo21Aug'!$J:$J, $A180)</f>
        <v>0</v>
      </c>
      <c r="BL180" s="121">
        <f>SUMIFS('17AugTo21Aug'!$K:$K, '17AugTo21Aug'!$J:$J, $A180)</f>
        <v>0</v>
      </c>
      <c r="BM180" s="121">
        <f>SUMIFS('17AugTo21Aug'!$O:$O, '17AugTo21Aug'!$J:$J, $A180)</f>
        <v>0</v>
      </c>
      <c r="BN180" s="121">
        <f>SUMIFS('17AugTo21Aug'!$P:$P, '17AugTo21Aug'!$J:$J, $A180)</f>
        <v>0</v>
      </c>
      <c r="BO180" s="123">
        <f t="shared" si="12"/>
        <v>0</v>
      </c>
      <c r="BP180" s="121">
        <f>SUMIFS('10AugTo16Aug'!$L:$L, '10AugTo16Aug'!$J:$J, $A180)</f>
        <v>0</v>
      </c>
      <c r="BQ180" s="121">
        <f>SUMIFS('10AugTo16Aug'!$K:$K, '10AugTo16Aug'!$J:$J, $A180)</f>
        <v>0</v>
      </c>
      <c r="BR180" s="121">
        <f>SUMIFS('10AugTo16Aug'!$O:$O, '10AugTo16Aug'!$J:$J, $A180)</f>
        <v>0</v>
      </c>
      <c r="BS180" s="121">
        <f>SUMIFS('10AugTo16Aug'!$P:$P, '10AugTo16Aug'!$J:$J, $A180)</f>
        <v>0</v>
      </c>
      <c r="BT180" s="123">
        <f t="shared" si="13"/>
        <v>0</v>
      </c>
      <c r="BU180" s="121">
        <f>SUMIFS('3AugTo9Aug'!$L:$L, '3AugTo9Aug'!$J:$J, $A180)</f>
        <v>2</v>
      </c>
      <c r="BV180" s="121">
        <f>SUMIFS('3AugTo9Aug'!$K:$K, '3AugTo9Aug'!$J:$J, $A180)</f>
        <v>7</v>
      </c>
      <c r="BW180" s="121">
        <f>SUMIFS('3AugTo9Aug'!$O:$O, '3AugTo9Aug'!$J:$J, $A180)</f>
        <v>4.79</v>
      </c>
      <c r="BX180" s="121">
        <f>SUMIFS('3AugTo9Aug'!$P:$P, '3AugTo9Aug'!$J:$J, $A180)</f>
        <v>21.95</v>
      </c>
      <c r="BY180" s="123">
        <f t="shared" si="14"/>
        <v>21.82232346241458</v>
      </c>
      <c r="BZ180" s="121">
        <f>SUMIFS('27JulyTo2Aug'!$L:$L, '27JulyTo2Aug'!$J:$J, $A180)</f>
        <v>0</v>
      </c>
      <c r="CA180" s="121">
        <f>SUMIFS('27JulyTo2Aug'!$K:$K, '27JulyTo2Aug'!$J:$J, $A180)</f>
        <v>0</v>
      </c>
      <c r="CB180" s="121">
        <f>SUMIFS('27JulyTo2Aug'!$O:$O, '27JulyTo2Aug'!$J:$J, $A180)</f>
        <v>0</v>
      </c>
      <c r="CC180" s="121">
        <f>SUMIFS('27JulyTo2Aug'!$P:$P, '27JulyTo2Aug'!$J:$J, $A180)</f>
        <v>0</v>
      </c>
      <c r="CD180" s="123">
        <f t="shared" si="15"/>
        <v>0</v>
      </c>
    </row>
    <row r="181" spans="1:82" ht="14.25" customHeight="1" x14ac:dyDescent="0.3">
      <c r="A181" s="124" t="s">
        <v>773</v>
      </c>
      <c r="B181" s="120" t="str">
        <f t="shared" si="18"/>
        <v>NO TRAFFIC</v>
      </c>
      <c r="C181" s="121">
        <f>SUMIFS('9NovTo15Nov'!$L:$L, '9NovTo15Nov'!$J:$J, $A181)</f>
        <v>0</v>
      </c>
      <c r="D181" s="121">
        <f>SUMIFS('9NovTo15Nov'!$K:$K, '9NovTo15Nov'!$J:$J, $A181)</f>
        <v>0</v>
      </c>
      <c r="E181" s="121">
        <f>SUMIFS('9NovTo15Nov'!$O:$O, '9NovTo15Nov'!$J:$J, $A181)</f>
        <v>0</v>
      </c>
      <c r="F181" s="121">
        <f>SUMIFS('9NovTo15Nov'!$P:$P, '9NovTo15Nov'!$J:$J, $A181)</f>
        <v>0</v>
      </c>
      <c r="G181" s="122">
        <f t="shared" si="0"/>
        <v>0</v>
      </c>
      <c r="H181" s="121">
        <f>SUMIFS('2NovTo8Nov'!$L:$L, '2NovTo8Nov'!$J:$J, $A181)</f>
        <v>0</v>
      </c>
      <c r="I181" s="121">
        <f>SUMIFS('2NovTo8Nov'!$K:$K, '2NovTo8Nov'!$J:$J, $A181)</f>
        <v>0</v>
      </c>
      <c r="J181" s="121">
        <f>SUMIFS('2NovTo8Nov'!$O:$O, '2NovTo8Nov'!$J:$J, $A181)</f>
        <v>0</v>
      </c>
      <c r="K181" s="121">
        <f>SUMIFS('2NovTo8Nov'!$P:$P, '2NovTo8Nov'!$J:$J, $A181)</f>
        <v>0</v>
      </c>
      <c r="L181" s="122">
        <f t="shared" si="1"/>
        <v>0</v>
      </c>
      <c r="M181" s="121">
        <f>SUMIFS('26OctTo1Nov'!$L:$L, '26OctTo1Nov'!$J:$J, $A181)</f>
        <v>0</v>
      </c>
      <c r="N181" s="121">
        <f>SUMIFS('26OctTo1Nov'!$K:$K, '26OctTo1Nov'!$J:$J, $A181)</f>
        <v>0</v>
      </c>
      <c r="O181" s="121">
        <f>SUMIFS('26OctTo1Nov'!$O:$O, '26OctTo1Nov'!$J:$J, $A181)</f>
        <v>0</v>
      </c>
      <c r="P181" s="121">
        <f>SUMIFS('26OctTo1Nov'!$P:$P, '26OctTo1Nov'!$J:$J, $A181)</f>
        <v>0</v>
      </c>
      <c r="Q181" s="122">
        <f t="shared" si="2"/>
        <v>0</v>
      </c>
      <c r="R181" s="121">
        <f>SUMIFS('19OctTo25Oct'!$L:$L, '19OctTo25Oct'!$J:$J, $A181)</f>
        <v>0</v>
      </c>
      <c r="S181" s="121">
        <f>SUMIFS('19OctTo25Oct'!$K:$K, '19OctTo25Oct'!$J:$J, $A181)</f>
        <v>0</v>
      </c>
      <c r="T181" s="121">
        <f>SUMIFS('19OctTo25Oct'!$O:$O, '19OctTo25Oct'!$J:$J, $A181)</f>
        <v>0</v>
      </c>
      <c r="U181" s="121">
        <f>SUMIFS('19OctTo25Oct'!$P:$P, '19OctTo25Oct'!$J:$J, $A181)</f>
        <v>0</v>
      </c>
      <c r="V181" s="122">
        <f t="shared" si="3"/>
        <v>0</v>
      </c>
      <c r="W181" s="121">
        <f>SUMIFS('12OctTo18Oct'!$L:$L, '12OctTo18Oct'!$J:$J, $A181)</f>
        <v>0</v>
      </c>
      <c r="X181" s="121">
        <f>SUMIFS('12OctTo18Oct'!$K:$K, '12OctTo18Oct'!$J:$J, $A181)</f>
        <v>0</v>
      </c>
      <c r="Y181" s="121">
        <f>SUMIFS('12OctTo18Oct'!$O:$O, '12OctTo18Oct'!$J:$J, $A181)</f>
        <v>0</v>
      </c>
      <c r="Z181" s="121">
        <f>SUMIFS('12OctTo18Oct'!$P:$P, '12OctTo18Oct'!$J:$J, $A181)</f>
        <v>0</v>
      </c>
      <c r="AA181" s="122">
        <f t="shared" si="4"/>
        <v>0</v>
      </c>
      <c r="AB181" s="121">
        <f>SUMIFS('5OctTo11Oct'!$L:$L, '5OctTo11Oct'!$J:$J, $A181)</f>
        <v>0</v>
      </c>
      <c r="AC181" s="121">
        <f>SUMIFS('5OctTo11Oct'!$K:$K, '5OctTo11Oct'!$J:$J, $A181)</f>
        <v>0</v>
      </c>
      <c r="AD181" s="121">
        <f>SUMIFS('5OctTo11Oct'!$O:$O, '5OctTo11Oct'!$J:$J, $A181)</f>
        <v>0</v>
      </c>
      <c r="AE181" s="121">
        <f>SUMIFS('5OctTo11Oct'!$P:$P, '5OctTo11Oct'!$J:$J, $A181)</f>
        <v>0</v>
      </c>
      <c r="AF181" s="123">
        <f t="shared" si="5"/>
        <v>0</v>
      </c>
      <c r="AG181" s="121">
        <f>SUMIFS('28SepTo4Oct'!$L:$L, '28SepTo4Oct'!$J:$J, $A181)</f>
        <v>0</v>
      </c>
      <c r="AH181" s="121">
        <f>SUMIFS('28SepTo4Oct'!$K:$K, '28SepTo4Oct'!$J:$J, $A181)</f>
        <v>0</v>
      </c>
      <c r="AI181" s="121">
        <f>SUMIFS('28SepTo4Oct'!$O:$O, '28SepTo4Oct'!$J:$J, $A181)</f>
        <v>0</v>
      </c>
      <c r="AJ181" s="121">
        <f>SUMIFS('28SepTo4Oct'!$P:$P, '28SepTo4Oct'!$J:$J, $A181)</f>
        <v>0</v>
      </c>
      <c r="AK181" s="123">
        <f t="shared" si="6"/>
        <v>0</v>
      </c>
      <c r="AL181" s="121">
        <f>SUMIFS('21SepTo27Sep'!$L:$L, '21SepTo27Sep'!$J:$J, $A181)</f>
        <v>0</v>
      </c>
      <c r="AM181" s="121">
        <f>SUMIFS('21SepTo27Sep'!$K:$K, '21SepTo27Sep'!$J:$J, $A181)</f>
        <v>0</v>
      </c>
      <c r="AN181" s="121">
        <f>SUMIFS('21SepTo27Sep'!$O:$O, '21SepTo27Sep'!$J:$J, $A181)</f>
        <v>0</v>
      </c>
      <c r="AO181" s="121">
        <f>SUMIFS('21SepTo27Sep'!$P:$P, '21SepTo27Sep'!$J:$J, $A181)</f>
        <v>0</v>
      </c>
      <c r="AP181" s="123">
        <f t="shared" si="7"/>
        <v>0</v>
      </c>
      <c r="AQ181" s="121">
        <f>SUMIFS('14SepTo20Sep'!$L:$L, '14SepTo20Sep'!$J:$J, $A181)</f>
        <v>0</v>
      </c>
      <c r="AR181" s="121">
        <f>SUMIFS('14SepTo20Sep'!$K:$K, '14SepTo20Sep'!$J:$J, $A181)</f>
        <v>0</v>
      </c>
      <c r="AS181" s="121">
        <f>SUMIFS('14SepTo20Sep'!$O:$O, '14SepTo20Sep'!$J:$J, $A181)</f>
        <v>0</v>
      </c>
      <c r="AT181" s="121">
        <f>SUMIFS('14SepTo20Sep'!$P:$P, '14SepTo20Sep'!$J:$J, $A181)</f>
        <v>0</v>
      </c>
      <c r="AU181" s="123">
        <f t="shared" si="8"/>
        <v>0</v>
      </c>
      <c r="AV181" s="121">
        <f>SUMIFS('7SepTo13Sep'!$L:$L, '7SepTo13Sep'!$J:$J, $A181)</f>
        <v>0</v>
      </c>
      <c r="AW181" s="121">
        <f>SUMIFS('7SepTo13Sep'!$K:$K, '7SepTo13Sep'!$J:$J, $A181)</f>
        <v>0</v>
      </c>
      <c r="AX181" s="121">
        <f>SUMIFS('7SepTo13Sep'!$O:$O, '7SepTo13Sep'!$J:$J, $A181)</f>
        <v>0</v>
      </c>
      <c r="AY181" s="121">
        <f>SUMIFS('7SepTo13Sep'!$P:$P, '7SepTo13Sep'!$J:$J, $A181)</f>
        <v>0</v>
      </c>
      <c r="AZ181" s="123">
        <f t="shared" si="9"/>
        <v>0</v>
      </c>
      <c r="BA181" s="121">
        <f>SUMIFS('31AugTo6Sep'!$L:$L, '31AugTo6Sep'!$J:$J, $A181)</f>
        <v>0</v>
      </c>
      <c r="BB181" s="121">
        <f>SUMIFS('31AugTo6Sep'!$K:$K, '31AugTo6Sep'!$J:$J, $A181)</f>
        <v>0</v>
      </c>
      <c r="BC181" s="121">
        <f>SUMIFS('31AugTo6Sep'!$O:$O, '31AugTo6Sep'!$J:$J, $A181)</f>
        <v>0</v>
      </c>
      <c r="BD181" s="121">
        <f>SUMIFS('31AugTo6Sep'!$P:$P, '31AugTo6Sep'!$J:$J, $A181)</f>
        <v>0</v>
      </c>
      <c r="BE181" s="123">
        <f t="shared" si="10"/>
        <v>0</v>
      </c>
      <c r="BF181" s="121">
        <f>SUMIFS('24AugTo29Aug'!$L:$L, '24AugTo29Aug'!$J:$J, $A181)</f>
        <v>0</v>
      </c>
      <c r="BG181" s="121">
        <f>SUMIFS('24AugTo29Aug'!$K:$K, '24AugTo29Aug'!$J:$J, $A181)</f>
        <v>0</v>
      </c>
      <c r="BH181" s="121">
        <f>SUMIFS('24AugTo29Aug'!$O:$O, '24AugTo29Aug'!$J:$J, $A181)</f>
        <v>0</v>
      </c>
      <c r="BI181" s="121">
        <f>SUMIFS('24AugTo29Aug'!$P:$P, '24AugTo29Aug'!$J:$J, $A181)</f>
        <v>0</v>
      </c>
      <c r="BJ181" s="123">
        <f t="shared" si="11"/>
        <v>0</v>
      </c>
      <c r="BK181" s="121">
        <f>SUMIFS('17AugTo21Aug'!$L:$L, '17AugTo21Aug'!$J:$J, $A181)</f>
        <v>0</v>
      </c>
      <c r="BL181" s="121">
        <f>SUMIFS('17AugTo21Aug'!$K:$K, '17AugTo21Aug'!$J:$J, $A181)</f>
        <v>0</v>
      </c>
      <c r="BM181" s="121">
        <f>SUMIFS('17AugTo21Aug'!$O:$O, '17AugTo21Aug'!$J:$J, $A181)</f>
        <v>0</v>
      </c>
      <c r="BN181" s="121">
        <f>SUMIFS('17AugTo21Aug'!$P:$P, '17AugTo21Aug'!$J:$J, $A181)</f>
        <v>0</v>
      </c>
      <c r="BO181" s="123">
        <f t="shared" si="12"/>
        <v>0</v>
      </c>
      <c r="BP181" s="121">
        <f>SUMIFS('10AugTo16Aug'!$L:$L, '10AugTo16Aug'!$J:$J, $A181)</f>
        <v>0</v>
      </c>
      <c r="BQ181" s="121">
        <f>SUMIFS('10AugTo16Aug'!$K:$K, '10AugTo16Aug'!$J:$J, $A181)</f>
        <v>0</v>
      </c>
      <c r="BR181" s="121">
        <f>SUMIFS('10AugTo16Aug'!$O:$O, '10AugTo16Aug'!$J:$J, $A181)</f>
        <v>0</v>
      </c>
      <c r="BS181" s="121">
        <f>SUMIFS('10AugTo16Aug'!$P:$P, '10AugTo16Aug'!$J:$J, $A181)</f>
        <v>0</v>
      </c>
      <c r="BT181" s="123">
        <f t="shared" si="13"/>
        <v>0</v>
      </c>
      <c r="BU181" s="121">
        <f>SUMIFS('3AugTo9Aug'!$L:$L, '3AugTo9Aug'!$J:$J, $A181)</f>
        <v>1</v>
      </c>
      <c r="BV181" s="121">
        <f>SUMIFS('3AugTo9Aug'!$K:$K, '3AugTo9Aug'!$J:$J, $A181)</f>
        <v>1</v>
      </c>
      <c r="BW181" s="121">
        <f>SUMIFS('3AugTo9Aug'!$O:$O, '3AugTo9Aug'!$J:$J, $A181)</f>
        <v>3.14</v>
      </c>
      <c r="BX181" s="121">
        <f>SUMIFS('3AugTo9Aug'!$P:$P, '3AugTo9Aug'!$J:$J, $A181)</f>
        <v>24.94</v>
      </c>
      <c r="BY181" s="123">
        <f t="shared" si="14"/>
        <v>12.590216519647154</v>
      </c>
      <c r="BZ181" s="121">
        <f>SUMIFS('27JulyTo2Aug'!$L:$L, '27JulyTo2Aug'!$J:$J, $A181)</f>
        <v>0</v>
      </c>
      <c r="CA181" s="121">
        <f>SUMIFS('27JulyTo2Aug'!$K:$K, '27JulyTo2Aug'!$J:$J, $A181)</f>
        <v>0</v>
      </c>
      <c r="CB181" s="121">
        <f>SUMIFS('27JulyTo2Aug'!$O:$O, '27JulyTo2Aug'!$J:$J, $A181)</f>
        <v>0</v>
      </c>
      <c r="CC181" s="121">
        <f>SUMIFS('27JulyTo2Aug'!$P:$P, '27JulyTo2Aug'!$J:$J, $A181)</f>
        <v>0</v>
      </c>
      <c r="CD181" s="123">
        <f t="shared" si="15"/>
        <v>0</v>
      </c>
    </row>
    <row r="182" spans="1:82" ht="14.25" customHeight="1" x14ac:dyDescent="0.3">
      <c r="A182" s="124" t="s">
        <v>776</v>
      </c>
      <c r="B182" s="120" t="str">
        <f t="shared" si="18"/>
        <v>NO TRAFFIC</v>
      </c>
      <c r="C182" s="121">
        <f>SUMIFS('9NovTo15Nov'!$L:$L, '9NovTo15Nov'!$J:$J, $A182)</f>
        <v>0</v>
      </c>
      <c r="D182" s="121">
        <f>SUMIFS('9NovTo15Nov'!$K:$K, '9NovTo15Nov'!$J:$J, $A182)</f>
        <v>0</v>
      </c>
      <c r="E182" s="121">
        <f>SUMIFS('9NovTo15Nov'!$O:$O, '9NovTo15Nov'!$J:$J, $A182)</f>
        <v>0</v>
      </c>
      <c r="F182" s="121">
        <f>SUMIFS('9NovTo15Nov'!$P:$P, '9NovTo15Nov'!$J:$J, $A182)</f>
        <v>0</v>
      </c>
      <c r="G182" s="122">
        <f t="shared" si="0"/>
        <v>0</v>
      </c>
      <c r="H182" s="121">
        <f>SUMIFS('2NovTo8Nov'!$L:$L, '2NovTo8Nov'!$J:$J, $A182)</f>
        <v>0</v>
      </c>
      <c r="I182" s="121">
        <f>SUMIFS('2NovTo8Nov'!$K:$K, '2NovTo8Nov'!$J:$J, $A182)</f>
        <v>0</v>
      </c>
      <c r="J182" s="121">
        <f>SUMIFS('2NovTo8Nov'!$O:$O, '2NovTo8Nov'!$J:$J, $A182)</f>
        <v>0</v>
      </c>
      <c r="K182" s="121">
        <f>SUMIFS('2NovTo8Nov'!$P:$P, '2NovTo8Nov'!$J:$J, $A182)</f>
        <v>0</v>
      </c>
      <c r="L182" s="122">
        <f t="shared" si="1"/>
        <v>0</v>
      </c>
      <c r="M182" s="121">
        <f>SUMIFS('26OctTo1Nov'!$L:$L, '26OctTo1Nov'!$J:$J, $A182)</f>
        <v>0</v>
      </c>
      <c r="N182" s="121">
        <f>SUMIFS('26OctTo1Nov'!$K:$K, '26OctTo1Nov'!$J:$J, $A182)</f>
        <v>0</v>
      </c>
      <c r="O182" s="121">
        <f>SUMIFS('26OctTo1Nov'!$O:$O, '26OctTo1Nov'!$J:$J, $A182)</f>
        <v>0</v>
      </c>
      <c r="P182" s="121">
        <f>SUMIFS('26OctTo1Nov'!$P:$P, '26OctTo1Nov'!$J:$J, $A182)</f>
        <v>0</v>
      </c>
      <c r="Q182" s="122">
        <f t="shared" si="2"/>
        <v>0</v>
      </c>
      <c r="R182" s="121">
        <f>SUMIFS('19OctTo25Oct'!$L:$L, '19OctTo25Oct'!$J:$J, $A182)</f>
        <v>0</v>
      </c>
      <c r="S182" s="121">
        <f>SUMIFS('19OctTo25Oct'!$K:$K, '19OctTo25Oct'!$J:$J, $A182)</f>
        <v>0</v>
      </c>
      <c r="T182" s="121">
        <f>SUMIFS('19OctTo25Oct'!$O:$O, '19OctTo25Oct'!$J:$J, $A182)</f>
        <v>0</v>
      </c>
      <c r="U182" s="121">
        <f>SUMIFS('19OctTo25Oct'!$P:$P, '19OctTo25Oct'!$J:$J, $A182)</f>
        <v>0</v>
      </c>
      <c r="V182" s="122">
        <f t="shared" si="3"/>
        <v>0</v>
      </c>
      <c r="W182" s="121">
        <f>SUMIFS('12OctTo18Oct'!$L:$L, '12OctTo18Oct'!$J:$J, $A182)</f>
        <v>0</v>
      </c>
      <c r="X182" s="121">
        <f>SUMIFS('12OctTo18Oct'!$K:$K, '12OctTo18Oct'!$J:$J, $A182)</f>
        <v>0</v>
      </c>
      <c r="Y182" s="121">
        <f>SUMIFS('12OctTo18Oct'!$O:$O, '12OctTo18Oct'!$J:$J, $A182)</f>
        <v>0</v>
      </c>
      <c r="Z182" s="121">
        <f>SUMIFS('12OctTo18Oct'!$P:$P, '12OctTo18Oct'!$J:$J, $A182)</f>
        <v>0</v>
      </c>
      <c r="AA182" s="122">
        <f t="shared" si="4"/>
        <v>0</v>
      </c>
      <c r="AB182" s="121">
        <f>SUMIFS('5OctTo11Oct'!$L:$L, '5OctTo11Oct'!$J:$J, $A182)</f>
        <v>0</v>
      </c>
      <c r="AC182" s="121">
        <f>SUMIFS('5OctTo11Oct'!$K:$K, '5OctTo11Oct'!$J:$J, $A182)</f>
        <v>0</v>
      </c>
      <c r="AD182" s="121">
        <f>SUMIFS('5OctTo11Oct'!$O:$O, '5OctTo11Oct'!$J:$J, $A182)</f>
        <v>0</v>
      </c>
      <c r="AE182" s="121">
        <f>SUMIFS('5OctTo11Oct'!$P:$P, '5OctTo11Oct'!$J:$J, $A182)</f>
        <v>0</v>
      </c>
      <c r="AF182" s="123">
        <f t="shared" si="5"/>
        <v>0</v>
      </c>
      <c r="AG182" s="121">
        <f>SUMIFS('28SepTo4Oct'!$L:$L, '28SepTo4Oct'!$J:$J, $A182)</f>
        <v>0</v>
      </c>
      <c r="AH182" s="121">
        <f>SUMIFS('28SepTo4Oct'!$K:$K, '28SepTo4Oct'!$J:$J, $A182)</f>
        <v>0</v>
      </c>
      <c r="AI182" s="121">
        <f>SUMIFS('28SepTo4Oct'!$O:$O, '28SepTo4Oct'!$J:$J, $A182)</f>
        <v>0</v>
      </c>
      <c r="AJ182" s="121">
        <f>SUMIFS('28SepTo4Oct'!$P:$P, '28SepTo4Oct'!$J:$J, $A182)</f>
        <v>0</v>
      </c>
      <c r="AK182" s="123">
        <f t="shared" si="6"/>
        <v>0</v>
      </c>
      <c r="AL182" s="121">
        <f>SUMIFS('21SepTo27Sep'!$L:$L, '21SepTo27Sep'!$J:$J, $A182)</f>
        <v>0</v>
      </c>
      <c r="AM182" s="121">
        <f>SUMIFS('21SepTo27Sep'!$K:$K, '21SepTo27Sep'!$J:$J, $A182)</f>
        <v>0</v>
      </c>
      <c r="AN182" s="121">
        <f>SUMIFS('21SepTo27Sep'!$O:$O, '21SepTo27Sep'!$J:$J, $A182)</f>
        <v>0</v>
      </c>
      <c r="AO182" s="121">
        <f>SUMIFS('21SepTo27Sep'!$P:$P, '21SepTo27Sep'!$J:$J, $A182)</f>
        <v>0</v>
      </c>
      <c r="AP182" s="123">
        <f t="shared" si="7"/>
        <v>0</v>
      </c>
      <c r="AQ182" s="121">
        <f>SUMIFS('14SepTo20Sep'!$L:$L, '14SepTo20Sep'!$J:$J, $A182)</f>
        <v>0</v>
      </c>
      <c r="AR182" s="121">
        <f>SUMIFS('14SepTo20Sep'!$K:$K, '14SepTo20Sep'!$J:$J, $A182)</f>
        <v>0</v>
      </c>
      <c r="AS182" s="121">
        <f>SUMIFS('14SepTo20Sep'!$O:$O, '14SepTo20Sep'!$J:$J, $A182)</f>
        <v>0</v>
      </c>
      <c r="AT182" s="121">
        <f>SUMIFS('14SepTo20Sep'!$P:$P, '14SepTo20Sep'!$J:$J, $A182)</f>
        <v>0</v>
      </c>
      <c r="AU182" s="123">
        <f t="shared" si="8"/>
        <v>0</v>
      </c>
      <c r="AV182" s="121">
        <f>SUMIFS('7SepTo13Sep'!$L:$L, '7SepTo13Sep'!$J:$J, $A182)</f>
        <v>0</v>
      </c>
      <c r="AW182" s="121">
        <f>SUMIFS('7SepTo13Sep'!$K:$K, '7SepTo13Sep'!$J:$J, $A182)</f>
        <v>0</v>
      </c>
      <c r="AX182" s="121">
        <f>SUMIFS('7SepTo13Sep'!$O:$O, '7SepTo13Sep'!$J:$J, $A182)</f>
        <v>0</v>
      </c>
      <c r="AY182" s="121">
        <f>SUMIFS('7SepTo13Sep'!$P:$P, '7SepTo13Sep'!$J:$J, $A182)</f>
        <v>0</v>
      </c>
      <c r="AZ182" s="123">
        <f t="shared" si="9"/>
        <v>0</v>
      </c>
      <c r="BA182" s="121">
        <f>SUMIFS('31AugTo6Sep'!$L:$L, '31AugTo6Sep'!$J:$J, $A182)</f>
        <v>0</v>
      </c>
      <c r="BB182" s="121">
        <f>SUMIFS('31AugTo6Sep'!$K:$K, '31AugTo6Sep'!$J:$J, $A182)</f>
        <v>0</v>
      </c>
      <c r="BC182" s="121">
        <f>SUMIFS('31AugTo6Sep'!$O:$O, '31AugTo6Sep'!$J:$J, $A182)</f>
        <v>0</v>
      </c>
      <c r="BD182" s="121">
        <f>SUMIFS('31AugTo6Sep'!$P:$P, '31AugTo6Sep'!$J:$J, $A182)</f>
        <v>0</v>
      </c>
      <c r="BE182" s="123">
        <f t="shared" si="10"/>
        <v>0</v>
      </c>
      <c r="BF182" s="121">
        <f>SUMIFS('24AugTo29Aug'!$L:$L, '24AugTo29Aug'!$J:$J, $A182)</f>
        <v>0</v>
      </c>
      <c r="BG182" s="121">
        <f>SUMIFS('24AugTo29Aug'!$K:$K, '24AugTo29Aug'!$J:$J, $A182)</f>
        <v>0</v>
      </c>
      <c r="BH182" s="121">
        <f>SUMIFS('24AugTo29Aug'!$O:$O, '24AugTo29Aug'!$J:$J, $A182)</f>
        <v>0</v>
      </c>
      <c r="BI182" s="121">
        <f>SUMIFS('24AugTo29Aug'!$P:$P, '24AugTo29Aug'!$J:$J, $A182)</f>
        <v>0</v>
      </c>
      <c r="BJ182" s="123">
        <f t="shared" si="11"/>
        <v>0</v>
      </c>
      <c r="BK182" s="121">
        <f>SUMIFS('17AugTo21Aug'!$L:$L, '17AugTo21Aug'!$J:$J, $A182)</f>
        <v>0</v>
      </c>
      <c r="BL182" s="121">
        <f>SUMIFS('17AugTo21Aug'!$K:$K, '17AugTo21Aug'!$J:$J, $A182)</f>
        <v>0</v>
      </c>
      <c r="BM182" s="121">
        <f>SUMIFS('17AugTo21Aug'!$O:$O, '17AugTo21Aug'!$J:$J, $A182)</f>
        <v>0</v>
      </c>
      <c r="BN182" s="121">
        <f>SUMIFS('17AugTo21Aug'!$P:$P, '17AugTo21Aug'!$J:$J, $A182)</f>
        <v>0</v>
      </c>
      <c r="BO182" s="123">
        <f t="shared" si="12"/>
        <v>0</v>
      </c>
      <c r="BP182" s="121">
        <f>SUMIFS('10AugTo16Aug'!$L:$L, '10AugTo16Aug'!$J:$J, $A182)</f>
        <v>0</v>
      </c>
      <c r="BQ182" s="121">
        <f>SUMIFS('10AugTo16Aug'!$K:$K, '10AugTo16Aug'!$J:$J, $A182)</f>
        <v>0</v>
      </c>
      <c r="BR182" s="121">
        <f>SUMIFS('10AugTo16Aug'!$O:$O, '10AugTo16Aug'!$J:$J, $A182)</f>
        <v>0</v>
      </c>
      <c r="BS182" s="121">
        <f>SUMIFS('10AugTo16Aug'!$P:$P, '10AugTo16Aug'!$J:$J, $A182)</f>
        <v>0</v>
      </c>
      <c r="BT182" s="123">
        <f t="shared" si="13"/>
        <v>0</v>
      </c>
      <c r="BU182" s="121">
        <f>SUMIFS('3AugTo9Aug'!$L:$L, '3AugTo9Aug'!$J:$J, $A182)</f>
        <v>1</v>
      </c>
      <c r="BV182" s="121">
        <f>SUMIFS('3AugTo9Aug'!$K:$K, '3AugTo9Aug'!$J:$J, $A182)</f>
        <v>3</v>
      </c>
      <c r="BW182" s="121">
        <f>SUMIFS('3AugTo9Aug'!$O:$O, '3AugTo9Aug'!$J:$J, $A182)</f>
        <v>2.64</v>
      </c>
      <c r="BX182" s="121">
        <f>SUMIFS('3AugTo9Aug'!$P:$P, '3AugTo9Aug'!$J:$J, $A182)</f>
        <v>24.94</v>
      </c>
      <c r="BY182" s="123">
        <f t="shared" si="14"/>
        <v>10.585404971932638</v>
      </c>
      <c r="BZ182" s="121">
        <f>SUMIFS('27JulyTo2Aug'!$L:$L, '27JulyTo2Aug'!$J:$J, $A182)</f>
        <v>0</v>
      </c>
      <c r="CA182" s="121">
        <f>SUMIFS('27JulyTo2Aug'!$K:$K, '27JulyTo2Aug'!$J:$J, $A182)</f>
        <v>0</v>
      </c>
      <c r="CB182" s="121">
        <f>SUMIFS('27JulyTo2Aug'!$O:$O, '27JulyTo2Aug'!$J:$J, $A182)</f>
        <v>0</v>
      </c>
      <c r="CC182" s="121">
        <f>SUMIFS('27JulyTo2Aug'!$P:$P, '27JulyTo2Aug'!$J:$J, $A182)</f>
        <v>0</v>
      </c>
      <c r="CD182" s="123">
        <f t="shared" si="15"/>
        <v>0</v>
      </c>
    </row>
    <row r="183" spans="1:82" ht="14.25" customHeight="1" x14ac:dyDescent="0.3">
      <c r="A183" s="124" t="s">
        <v>164</v>
      </c>
      <c r="B183" s="120" t="str">
        <f t="shared" si="18"/>
        <v>WINNER</v>
      </c>
      <c r="C183" s="121">
        <f>SUMIFS('9NovTo15Nov'!$L:$L, '9NovTo15Nov'!$J:$J, $A183)</f>
        <v>0</v>
      </c>
      <c r="D183" s="121">
        <f>SUMIFS('9NovTo15Nov'!$K:$K, '9NovTo15Nov'!$J:$J, $A183)</f>
        <v>0</v>
      </c>
      <c r="E183" s="121">
        <f>SUMIFS('9NovTo15Nov'!$O:$O, '9NovTo15Nov'!$J:$J, $A183)</f>
        <v>0</v>
      </c>
      <c r="F183" s="121">
        <f>SUMIFS('9NovTo15Nov'!$P:$P, '9NovTo15Nov'!$J:$J, $A183)</f>
        <v>0</v>
      </c>
      <c r="G183" s="122">
        <f t="shared" si="0"/>
        <v>0</v>
      </c>
      <c r="H183" s="121">
        <f>SUMIFS('2NovTo8Nov'!$L:$L, '2NovTo8Nov'!$J:$J, $A183)</f>
        <v>1</v>
      </c>
      <c r="I183" s="121">
        <f>SUMIFS('2NovTo8Nov'!$K:$K, '2NovTo8Nov'!$J:$J, $A183)</f>
        <v>4</v>
      </c>
      <c r="J183" s="121">
        <f>SUMIFS('2NovTo8Nov'!$O:$O, '2NovTo8Nov'!$J:$J, $A183)</f>
        <v>3.86</v>
      </c>
      <c r="K183" s="121">
        <f>SUMIFS('2NovTo8Nov'!$P:$P, '2NovTo8Nov'!$J:$J, $A183)</f>
        <v>24.94</v>
      </c>
      <c r="L183" s="122">
        <f t="shared" si="1"/>
        <v>15.477145148356053</v>
      </c>
      <c r="M183" s="121">
        <f>SUMIFS('26OctTo1Nov'!$L:$L, '26OctTo1Nov'!$J:$J, $A183)</f>
        <v>0</v>
      </c>
      <c r="N183" s="121">
        <f>SUMIFS('26OctTo1Nov'!$K:$K, '26OctTo1Nov'!$J:$J, $A183)</f>
        <v>0</v>
      </c>
      <c r="O183" s="121">
        <f>SUMIFS('26OctTo1Nov'!$O:$O, '26OctTo1Nov'!$J:$J, $A183)</f>
        <v>0</v>
      </c>
      <c r="P183" s="121">
        <f>SUMIFS('26OctTo1Nov'!$P:$P, '26OctTo1Nov'!$J:$J, $A183)</f>
        <v>0</v>
      </c>
      <c r="Q183" s="122">
        <f t="shared" si="2"/>
        <v>0</v>
      </c>
      <c r="R183" s="121">
        <f>SUMIFS('19OctTo25Oct'!$L:$L, '19OctTo25Oct'!$J:$J, $A183)</f>
        <v>0</v>
      </c>
      <c r="S183" s="121">
        <f>SUMIFS('19OctTo25Oct'!$K:$K, '19OctTo25Oct'!$J:$J, $A183)</f>
        <v>0</v>
      </c>
      <c r="T183" s="121">
        <f>SUMIFS('19OctTo25Oct'!$O:$O, '19OctTo25Oct'!$J:$J, $A183)</f>
        <v>0</v>
      </c>
      <c r="U183" s="121">
        <f>SUMIFS('19OctTo25Oct'!$P:$P, '19OctTo25Oct'!$J:$J, $A183)</f>
        <v>0</v>
      </c>
      <c r="V183" s="122">
        <f t="shared" si="3"/>
        <v>0</v>
      </c>
      <c r="W183" s="121">
        <f>SUMIFS('12OctTo18Oct'!$L:$L, '12OctTo18Oct'!$J:$J, $A183)</f>
        <v>0</v>
      </c>
      <c r="X183" s="121">
        <f>SUMIFS('12OctTo18Oct'!$K:$K, '12OctTo18Oct'!$J:$J, $A183)</f>
        <v>0</v>
      </c>
      <c r="Y183" s="121">
        <f>SUMIFS('12OctTo18Oct'!$O:$O, '12OctTo18Oct'!$J:$J, $A183)</f>
        <v>0</v>
      </c>
      <c r="Z183" s="121">
        <f>SUMIFS('12OctTo18Oct'!$P:$P, '12OctTo18Oct'!$J:$J, $A183)</f>
        <v>0</v>
      </c>
      <c r="AA183" s="122">
        <f t="shared" si="4"/>
        <v>0</v>
      </c>
      <c r="AB183" s="121">
        <f>SUMIFS('5OctTo11Oct'!$L:$L, '5OctTo11Oct'!$J:$J, $A183)</f>
        <v>0</v>
      </c>
      <c r="AC183" s="121">
        <f>SUMIFS('5OctTo11Oct'!$K:$K, '5OctTo11Oct'!$J:$J, $A183)</f>
        <v>0</v>
      </c>
      <c r="AD183" s="121">
        <f>SUMIFS('5OctTo11Oct'!$O:$O, '5OctTo11Oct'!$J:$J, $A183)</f>
        <v>0</v>
      </c>
      <c r="AE183" s="121">
        <f>SUMIFS('5OctTo11Oct'!$P:$P, '5OctTo11Oct'!$J:$J, $A183)</f>
        <v>0</v>
      </c>
      <c r="AF183" s="123">
        <f t="shared" si="5"/>
        <v>0</v>
      </c>
      <c r="AG183" s="121">
        <f>SUMIFS('28SepTo4Oct'!$L:$L, '28SepTo4Oct'!$J:$J, $A183)</f>
        <v>0</v>
      </c>
      <c r="AH183" s="121">
        <f>SUMIFS('28SepTo4Oct'!$K:$K, '28SepTo4Oct'!$J:$J, $A183)</f>
        <v>0</v>
      </c>
      <c r="AI183" s="121">
        <f>SUMIFS('28SepTo4Oct'!$O:$O, '28SepTo4Oct'!$J:$J, $A183)</f>
        <v>0</v>
      </c>
      <c r="AJ183" s="121">
        <f>SUMIFS('28SepTo4Oct'!$P:$P, '28SepTo4Oct'!$J:$J, $A183)</f>
        <v>0</v>
      </c>
      <c r="AK183" s="123">
        <f t="shared" si="6"/>
        <v>0</v>
      </c>
      <c r="AL183" s="121">
        <f>SUMIFS('21SepTo27Sep'!$L:$L, '21SepTo27Sep'!$J:$J, $A183)</f>
        <v>0</v>
      </c>
      <c r="AM183" s="121">
        <f>SUMIFS('21SepTo27Sep'!$K:$K, '21SepTo27Sep'!$J:$J, $A183)</f>
        <v>0</v>
      </c>
      <c r="AN183" s="121">
        <f>SUMIFS('21SepTo27Sep'!$O:$O, '21SepTo27Sep'!$J:$J, $A183)</f>
        <v>0</v>
      </c>
      <c r="AO183" s="121">
        <f>SUMIFS('21SepTo27Sep'!$P:$P, '21SepTo27Sep'!$J:$J, $A183)</f>
        <v>0</v>
      </c>
      <c r="AP183" s="123">
        <f t="shared" si="7"/>
        <v>0</v>
      </c>
      <c r="AQ183" s="121">
        <f>SUMIFS('14SepTo20Sep'!$L:$L, '14SepTo20Sep'!$J:$J, $A183)</f>
        <v>0</v>
      </c>
      <c r="AR183" s="121">
        <f>SUMIFS('14SepTo20Sep'!$K:$K, '14SepTo20Sep'!$J:$J, $A183)</f>
        <v>0</v>
      </c>
      <c r="AS183" s="121">
        <f>SUMIFS('14SepTo20Sep'!$O:$O, '14SepTo20Sep'!$J:$J, $A183)</f>
        <v>0</v>
      </c>
      <c r="AT183" s="121">
        <f>SUMIFS('14SepTo20Sep'!$P:$P, '14SepTo20Sep'!$J:$J, $A183)</f>
        <v>0</v>
      </c>
      <c r="AU183" s="123">
        <f t="shared" si="8"/>
        <v>0</v>
      </c>
      <c r="AV183" s="121">
        <f>SUMIFS('7SepTo13Sep'!$L:$L, '7SepTo13Sep'!$J:$J, $A183)</f>
        <v>0</v>
      </c>
      <c r="AW183" s="121">
        <f>SUMIFS('7SepTo13Sep'!$K:$K, '7SepTo13Sep'!$J:$J, $A183)</f>
        <v>0</v>
      </c>
      <c r="AX183" s="121">
        <f>SUMIFS('7SepTo13Sep'!$O:$O, '7SepTo13Sep'!$J:$J, $A183)</f>
        <v>0</v>
      </c>
      <c r="AY183" s="121">
        <f>SUMIFS('7SepTo13Sep'!$P:$P, '7SepTo13Sep'!$J:$J, $A183)</f>
        <v>0</v>
      </c>
      <c r="AZ183" s="123">
        <f t="shared" si="9"/>
        <v>0</v>
      </c>
      <c r="BA183" s="121">
        <f>SUMIFS('31AugTo6Sep'!$L:$L, '31AugTo6Sep'!$J:$J, $A183)</f>
        <v>0</v>
      </c>
      <c r="BB183" s="121">
        <f>SUMIFS('31AugTo6Sep'!$K:$K, '31AugTo6Sep'!$J:$J, $A183)</f>
        <v>0</v>
      </c>
      <c r="BC183" s="121">
        <f>SUMIFS('31AugTo6Sep'!$O:$O, '31AugTo6Sep'!$J:$J, $A183)</f>
        <v>0</v>
      </c>
      <c r="BD183" s="121">
        <f>SUMIFS('31AugTo6Sep'!$P:$P, '31AugTo6Sep'!$J:$J, $A183)</f>
        <v>0</v>
      </c>
      <c r="BE183" s="123">
        <f t="shared" si="10"/>
        <v>0</v>
      </c>
      <c r="BF183" s="121">
        <f>SUMIFS('24AugTo29Aug'!$L:$L, '24AugTo29Aug'!$J:$J, $A183)</f>
        <v>0</v>
      </c>
      <c r="BG183" s="121">
        <f>SUMIFS('24AugTo29Aug'!$K:$K, '24AugTo29Aug'!$J:$J, $A183)</f>
        <v>0</v>
      </c>
      <c r="BH183" s="121">
        <f>SUMIFS('24AugTo29Aug'!$O:$O, '24AugTo29Aug'!$J:$J, $A183)</f>
        <v>0</v>
      </c>
      <c r="BI183" s="121">
        <f>SUMIFS('24AugTo29Aug'!$P:$P, '24AugTo29Aug'!$J:$J, $A183)</f>
        <v>0</v>
      </c>
      <c r="BJ183" s="123">
        <f t="shared" si="11"/>
        <v>0</v>
      </c>
      <c r="BK183" s="121">
        <f>SUMIFS('17AugTo21Aug'!$L:$L, '17AugTo21Aug'!$J:$J, $A183)</f>
        <v>0</v>
      </c>
      <c r="BL183" s="121">
        <f>SUMIFS('17AugTo21Aug'!$K:$K, '17AugTo21Aug'!$J:$J, $A183)</f>
        <v>0</v>
      </c>
      <c r="BM183" s="121">
        <f>SUMIFS('17AugTo21Aug'!$O:$O, '17AugTo21Aug'!$J:$J, $A183)</f>
        <v>0</v>
      </c>
      <c r="BN183" s="121">
        <f>SUMIFS('17AugTo21Aug'!$P:$P, '17AugTo21Aug'!$J:$J, $A183)</f>
        <v>0</v>
      </c>
      <c r="BO183" s="123">
        <f t="shared" si="12"/>
        <v>0</v>
      </c>
      <c r="BP183" s="121">
        <f>SUMIFS('10AugTo16Aug'!$L:$L, '10AugTo16Aug'!$J:$J, $A183)</f>
        <v>0</v>
      </c>
      <c r="BQ183" s="121">
        <f>SUMIFS('10AugTo16Aug'!$K:$K, '10AugTo16Aug'!$J:$J, $A183)</f>
        <v>0</v>
      </c>
      <c r="BR183" s="121">
        <f>SUMIFS('10AugTo16Aug'!$O:$O, '10AugTo16Aug'!$J:$J, $A183)</f>
        <v>0</v>
      </c>
      <c r="BS183" s="121">
        <f>SUMIFS('10AugTo16Aug'!$P:$P, '10AugTo16Aug'!$J:$J, $A183)</f>
        <v>0</v>
      </c>
      <c r="BT183" s="123">
        <f t="shared" si="13"/>
        <v>0</v>
      </c>
      <c r="BU183" s="121">
        <f>SUMIFS('3AugTo9Aug'!$L:$L, '3AugTo9Aug'!$J:$J, $A183)</f>
        <v>1</v>
      </c>
      <c r="BV183" s="121">
        <f>SUMIFS('3AugTo9Aug'!$K:$K, '3AugTo9Aug'!$J:$J, $A183)</f>
        <v>1</v>
      </c>
      <c r="BW183" s="121">
        <f>SUMIFS('3AugTo9Aug'!$O:$O, '3AugTo9Aug'!$J:$J, $A183)</f>
        <v>2.95</v>
      </c>
      <c r="BX183" s="121">
        <f>SUMIFS('3AugTo9Aug'!$P:$P, '3AugTo9Aug'!$J:$J, $A183)</f>
        <v>24.94</v>
      </c>
      <c r="BY183" s="123">
        <f t="shared" si="14"/>
        <v>11.828388131515638</v>
      </c>
      <c r="BZ183" s="121">
        <f>SUMIFS('27JulyTo2Aug'!$L:$L, '27JulyTo2Aug'!$J:$J, $A183)</f>
        <v>0</v>
      </c>
      <c r="CA183" s="121">
        <f>SUMIFS('27JulyTo2Aug'!$K:$K, '27JulyTo2Aug'!$J:$J, $A183)</f>
        <v>0</v>
      </c>
      <c r="CB183" s="121">
        <f>SUMIFS('27JulyTo2Aug'!$O:$O, '27JulyTo2Aug'!$J:$J, $A183)</f>
        <v>0</v>
      </c>
      <c r="CC183" s="121">
        <f>SUMIFS('27JulyTo2Aug'!$P:$P, '27JulyTo2Aug'!$J:$J, $A183)</f>
        <v>0</v>
      </c>
      <c r="CD183" s="123">
        <f t="shared" si="15"/>
        <v>0</v>
      </c>
    </row>
    <row r="184" spans="1:82" ht="14.25" customHeight="1" x14ac:dyDescent="0.3">
      <c r="A184" s="124" t="s">
        <v>780</v>
      </c>
      <c r="B184" s="120" t="str">
        <f t="shared" si="18"/>
        <v>NO TRAFFIC</v>
      </c>
      <c r="C184" s="121">
        <f>SUMIFS('9NovTo15Nov'!$L:$L, '9NovTo15Nov'!$J:$J, $A184)</f>
        <v>0</v>
      </c>
      <c r="D184" s="121">
        <f>SUMIFS('9NovTo15Nov'!$K:$K, '9NovTo15Nov'!$J:$J, $A184)</f>
        <v>0</v>
      </c>
      <c r="E184" s="121">
        <f>SUMIFS('9NovTo15Nov'!$O:$O, '9NovTo15Nov'!$J:$J, $A184)</f>
        <v>0</v>
      </c>
      <c r="F184" s="121">
        <f>SUMIFS('9NovTo15Nov'!$P:$P, '9NovTo15Nov'!$J:$J, $A184)</f>
        <v>0</v>
      </c>
      <c r="G184" s="122">
        <f t="shared" si="0"/>
        <v>0</v>
      </c>
      <c r="H184" s="121">
        <f>SUMIFS('2NovTo8Nov'!$L:$L, '2NovTo8Nov'!$J:$J, $A184)</f>
        <v>0</v>
      </c>
      <c r="I184" s="121">
        <f>SUMIFS('2NovTo8Nov'!$K:$K, '2NovTo8Nov'!$J:$J, $A184)</f>
        <v>0</v>
      </c>
      <c r="J184" s="121">
        <f>SUMIFS('2NovTo8Nov'!$O:$O, '2NovTo8Nov'!$J:$J, $A184)</f>
        <v>0</v>
      </c>
      <c r="K184" s="121">
        <f>SUMIFS('2NovTo8Nov'!$P:$P, '2NovTo8Nov'!$J:$J, $A184)</f>
        <v>0</v>
      </c>
      <c r="L184" s="122">
        <f t="shared" si="1"/>
        <v>0</v>
      </c>
      <c r="M184" s="121">
        <f>SUMIFS('26OctTo1Nov'!$L:$L, '26OctTo1Nov'!$J:$J, $A184)</f>
        <v>0</v>
      </c>
      <c r="N184" s="121">
        <f>SUMIFS('26OctTo1Nov'!$K:$K, '26OctTo1Nov'!$J:$J, $A184)</f>
        <v>0</v>
      </c>
      <c r="O184" s="121">
        <f>SUMIFS('26OctTo1Nov'!$O:$O, '26OctTo1Nov'!$J:$J, $A184)</f>
        <v>0</v>
      </c>
      <c r="P184" s="121">
        <f>SUMIFS('26OctTo1Nov'!$P:$P, '26OctTo1Nov'!$J:$J, $A184)</f>
        <v>0</v>
      </c>
      <c r="Q184" s="122">
        <f t="shared" si="2"/>
        <v>0</v>
      </c>
      <c r="R184" s="121">
        <f>SUMIFS('19OctTo25Oct'!$L:$L, '19OctTo25Oct'!$J:$J, $A184)</f>
        <v>0</v>
      </c>
      <c r="S184" s="121">
        <f>SUMIFS('19OctTo25Oct'!$K:$K, '19OctTo25Oct'!$J:$J, $A184)</f>
        <v>0</v>
      </c>
      <c r="T184" s="121">
        <f>SUMIFS('19OctTo25Oct'!$O:$O, '19OctTo25Oct'!$J:$J, $A184)</f>
        <v>0</v>
      </c>
      <c r="U184" s="121">
        <f>SUMIFS('19OctTo25Oct'!$P:$P, '19OctTo25Oct'!$J:$J, $A184)</f>
        <v>0</v>
      </c>
      <c r="V184" s="122">
        <f t="shared" si="3"/>
        <v>0</v>
      </c>
      <c r="W184" s="121">
        <f>SUMIFS('12OctTo18Oct'!$L:$L, '12OctTo18Oct'!$J:$J, $A184)</f>
        <v>0</v>
      </c>
      <c r="X184" s="121">
        <f>SUMIFS('12OctTo18Oct'!$K:$K, '12OctTo18Oct'!$J:$J, $A184)</f>
        <v>0</v>
      </c>
      <c r="Y184" s="121">
        <f>SUMIFS('12OctTo18Oct'!$O:$O, '12OctTo18Oct'!$J:$J, $A184)</f>
        <v>0</v>
      </c>
      <c r="Z184" s="121">
        <f>SUMIFS('12OctTo18Oct'!$P:$P, '12OctTo18Oct'!$J:$J, $A184)</f>
        <v>0</v>
      </c>
      <c r="AA184" s="122">
        <f t="shared" si="4"/>
        <v>0</v>
      </c>
      <c r="AB184" s="121">
        <f>SUMIFS('5OctTo11Oct'!$L:$L, '5OctTo11Oct'!$J:$J, $A184)</f>
        <v>0</v>
      </c>
      <c r="AC184" s="121">
        <f>SUMIFS('5OctTo11Oct'!$K:$K, '5OctTo11Oct'!$J:$J, $A184)</f>
        <v>0</v>
      </c>
      <c r="AD184" s="121">
        <f>SUMIFS('5OctTo11Oct'!$O:$O, '5OctTo11Oct'!$J:$J, $A184)</f>
        <v>0</v>
      </c>
      <c r="AE184" s="121">
        <f>SUMIFS('5OctTo11Oct'!$P:$P, '5OctTo11Oct'!$J:$J, $A184)</f>
        <v>0</v>
      </c>
      <c r="AF184" s="123">
        <f t="shared" si="5"/>
        <v>0</v>
      </c>
      <c r="AG184" s="121">
        <f>SUMIFS('28SepTo4Oct'!$L:$L, '28SepTo4Oct'!$J:$J, $A184)</f>
        <v>0</v>
      </c>
      <c r="AH184" s="121">
        <f>SUMIFS('28SepTo4Oct'!$K:$K, '28SepTo4Oct'!$J:$J, $A184)</f>
        <v>0</v>
      </c>
      <c r="AI184" s="121">
        <f>SUMIFS('28SepTo4Oct'!$O:$O, '28SepTo4Oct'!$J:$J, $A184)</f>
        <v>0</v>
      </c>
      <c r="AJ184" s="121">
        <f>SUMIFS('28SepTo4Oct'!$P:$P, '28SepTo4Oct'!$J:$J, $A184)</f>
        <v>0</v>
      </c>
      <c r="AK184" s="123">
        <f t="shared" si="6"/>
        <v>0</v>
      </c>
      <c r="AL184" s="121">
        <f>SUMIFS('21SepTo27Sep'!$L:$L, '21SepTo27Sep'!$J:$J, $A184)</f>
        <v>0</v>
      </c>
      <c r="AM184" s="121">
        <f>SUMIFS('21SepTo27Sep'!$K:$K, '21SepTo27Sep'!$J:$J, $A184)</f>
        <v>0</v>
      </c>
      <c r="AN184" s="121">
        <f>SUMIFS('21SepTo27Sep'!$O:$O, '21SepTo27Sep'!$J:$J, $A184)</f>
        <v>0</v>
      </c>
      <c r="AO184" s="121">
        <f>SUMIFS('21SepTo27Sep'!$P:$P, '21SepTo27Sep'!$J:$J, $A184)</f>
        <v>0</v>
      </c>
      <c r="AP184" s="123">
        <f t="shared" si="7"/>
        <v>0</v>
      </c>
      <c r="AQ184" s="121">
        <f>SUMIFS('14SepTo20Sep'!$L:$L, '14SepTo20Sep'!$J:$J, $A184)</f>
        <v>0</v>
      </c>
      <c r="AR184" s="121">
        <f>SUMIFS('14SepTo20Sep'!$K:$K, '14SepTo20Sep'!$J:$J, $A184)</f>
        <v>0</v>
      </c>
      <c r="AS184" s="121">
        <f>SUMIFS('14SepTo20Sep'!$O:$O, '14SepTo20Sep'!$J:$J, $A184)</f>
        <v>0</v>
      </c>
      <c r="AT184" s="121">
        <f>SUMIFS('14SepTo20Sep'!$P:$P, '14SepTo20Sep'!$J:$J, $A184)</f>
        <v>0</v>
      </c>
      <c r="AU184" s="123">
        <f t="shared" si="8"/>
        <v>0</v>
      </c>
      <c r="AV184" s="121">
        <f>SUMIFS('7SepTo13Sep'!$L:$L, '7SepTo13Sep'!$J:$J, $A184)</f>
        <v>0</v>
      </c>
      <c r="AW184" s="121">
        <f>SUMIFS('7SepTo13Sep'!$K:$K, '7SepTo13Sep'!$J:$J, $A184)</f>
        <v>0</v>
      </c>
      <c r="AX184" s="121">
        <f>SUMIFS('7SepTo13Sep'!$O:$O, '7SepTo13Sep'!$J:$J, $A184)</f>
        <v>0</v>
      </c>
      <c r="AY184" s="121">
        <f>SUMIFS('7SepTo13Sep'!$P:$P, '7SepTo13Sep'!$J:$J, $A184)</f>
        <v>0</v>
      </c>
      <c r="AZ184" s="123">
        <f t="shared" si="9"/>
        <v>0</v>
      </c>
      <c r="BA184" s="121">
        <f>SUMIFS('31AugTo6Sep'!$L:$L, '31AugTo6Sep'!$J:$J, $A184)</f>
        <v>0</v>
      </c>
      <c r="BB184" s="121">
        <f>SUMIFS('31AugTo6Sep'!$K:$K, '31AugTo6Sep'!$J:$J, $A184)</f>
        <v>0</v>
      </c>
      <c r="BC184" s="121">
        <f>SUMIFS('31AugTo6Sep'!$O:$O, '31AugTo6Sep'!$J:$J, $A184)</f>
        <v>0</v>
      </c>
      <c r="BD184" s="121">
        <f>SUMIFS('31AugTo6Sep'!$P:$P, '31AugTo6Sep'!$J:$J, $A184)</f>
        <v>0</v>
      </c>
      <c r="BE184" s="123">
        <f t="shared" si="10"/>
        <v>0</v>
      </c>
      <c r="BF184" s="121">
        <f>SUMIFS('24AugTo29Aug'!$L:$L, '24AugTo29Aug'!$J:$J, $A184)</f>
        <v>0</v>
      </c>
      <c r="BG184" s="121">
        <f>SUMIFS('24AugTo29Aug'!$K:$K, '24AugTo29Aug'!$J:$J, $A184)</f>
        <v>0</v>
      </c>
      <c r="BH184" s="121">
        <f>SUMIFS('24AugTo29Aug'!$O:$O, '24AugTo29Aug'!$J:$J, $A184)</f>
        <v>0</v>
      </c>
      <c r="BI184" s="121">
        <f>SUMIFS('24AugTo29Aug'!$P:$P, '24AugTo29Aug'!$J:$J, $A184)</f>
        <v>0</v>
      </c>
      <c r="BJ184" s="123">
        <f t="shared" si="11"/>
        <v>0</v>
      </c>
      <c r="BK184" s="121">
        <f>SUMIFS('17AugTo21Aug'!$L:$L, '17AugTo21Aug'!$J:$J, $A184)</f>
        <v>0</v>
      </c>
      <c r="BL184" s="121">
        <f>SUMIFS('17AugTo21Aug'!$K:$K, '17AugTo21Aug'!$J:$J, $A184)</f>
        <v>0</v>
      </c>
      <c r="BM184" s="121">
        <f>SUMIFS('17AugTo21Aug'!$O:$O, '17AugTo21Aug'!$J:$J, $A184)</f>
        <v>0</v>
      </c>
      <c r="BN184" s="121">
        <f>SUMIFS('17AugTo21Aug'!$P:$P, '17AugTo21Aug'!$J:$J, $A184)</f>
        <v>0</v>
      </c>
      <c r="BO184" s="123">
        <f t="shared" si="12"/>
        <v>0</v>
      </c>
      <c r="BP184" s="121">
        <f>SUMIFS('10AugTo16Aug'!$L:$L, '10AugTo16Aug'!$J:$J, $A184)</f>
        <v>0</v>
      </c>
      <c r="BQ184" s="121">
        <f>SUMIFS('10AugTo16Aug'!$K:$K, '10AugTo16Aug'!$J:$J, $A184)</f>
        <v>0</v>
      </c>
      <c r="BR184" s="121">
        <f>SUMIFS('10AugTo16Aug'!$O:$O, '10AugTo16Aug'!$J:$J, $A184)</f>
        <v>0</v>
      </c>
      <c r="BS184" s="121">
        <f>SUMIFS('10AugTo16Aug'!$P:$P, '10AugTo16Aug'!$J:$J, $A184)</f>
        <v>0</v>
      </c>
      <c r="BT184" s="123">
        <f t="shared" si="13"/>
        <v>0</v>
      </c>
      <c r="BU184" s="121">
        <f>SUMIFS('3AugTo9Aug'!$L:$L, '3AugTo9Aug'!$J:$J, $A184)</f>
        <v>1</v>
      </c>
      <c r="BV184" s="121">
        <f>SUMIFS('3AugTo9Aug'!$K:$K, '3AugTo9Aug'!$J:$J, $A184)</f>
        <v>3</v>
      </c>
      <c r="BW184" s="121">
        <f>SUMIFS('3AugTo9Aug'!$O:$O, '3AugTo9Aug'!$J:$J, $A184)</f>
        <v>2.63</v>
      </c>
      <c r="BX184" s="121">
        <f>SUMIFS('3AugTo9Aug'!$P:$P, '3AugTo9Aug'!$J:$J, $A184)</f>
        <v>21.95</v>
      </c>
      <c r="BY184" s="123">
        <f t="shared" si="14"/>
        <v>11.981776765375853</v>
      </c>
      <c r="BZ184" s="121">
        <f>SUMIFS('27JulyTo2Aug'!$L:$L, '27JulyTo2Aug'!$J:$J, $A184)</f>
        <v>0</v>
      </c>
      <c r="CA184" s="121">
        <f>SUMIFS('27JulyTo2Aug'!$K:$K, '27JulyTo2Aug'!$J:$J, $A184)</f>
        <v>0</v>
      </c>
      <c r="CB184" s="121">
        <f>SUMIFS('27JulyTo2Aug'!$O:$O, '27JulyTo2Aug'!$J:$J, $A184)</f>
        <v>0</v>
      </c>
      <c r="CC184" s="121">
        <f>SUMIFS('27JulyTo2Aug'!$P:$P, '27JulyTo2Aug'!$J:$J, $A184)</f>
        <v>0</v>
      </c>
      <c r="CD184" s="123">
        <f t="shared" si="15"/>
        <v>0</v>
      </c>
    </row>
    <row r="185" spans="1:82" ht="14.25" customHeight="1" x14ac:dyDescent="0.3">
      <c r="A185" s="124" t="s">
        <v>781</v>
      </c>
      <c r="B185" s="120" t="str">
        <f t="shared" si="18"/>
        <v>NO TRAFFIC</v>
      </c>
      <c r="C185" s="121">
        <f>SUMIFS('9NovTo15Nov'!$L:$L, '9NovTo15Nov'!$J:$J, $A185)</f>
        <v>0</v>
      </c>
      <c r="D185" s="121">
        <f>SUMIFS('9NovTo15Nov'!$K:$K, '9NovTo15Nov'!$J:$J, $A185)</f>
        <v>0</v>
      </c>
      <c r="E185" s="121">
        <f>SUMIFS('9NovTo15Nov'!$O:$O, '9NovTo15Nov'!$J:$J, $A185)</f>
        <v>0</v>
      </c>
      <c r="F185" s="121">
        <f>SUMIFS('9NovTo15Nov'!$P:$P, '9NovTo15Nov'!$J:$J, $A185)</f>
        <v>0</v>
      </c>
      <c r="G185" s="122">
        <f t="shared" si="0"/>
        <v>0</v>
      </c>
      <c r="H185" s="121">
        <f>SUMIFS('2NovTo8Nov'!$L:$L, '2NovTo8Nov'!$J:$J, $A185)</f>
        <v>0</v>
      </c>
      <c r="I185" s="121">
        <f>SUMIFS('2NovTo8Nov'!$K:$K, '2NovTo8Nov'!$J:$J, $A185)</f>
        <v>0</v>
      </c>
      <c r="J185" s="121">
        <f>SUMIFS('2NovTo8Nov'!$O:$O, '2NovTo8Nov'!$J:$J, $A185)</f>
        <v>0</v>
      </c>
      <c r="K185" s="121">
        <f>SUMIFS('2NovTo8Nov'!$P:$P, '2NovTo8Nov'!$J:$J, $A185)</f>
        <v>0</v>
      </c>
      <c r="L185" s="122">
        <f t="shared" si="1"/>
        <v>0</v>
      </c>
      <c r="M185" s="121">
        <f>SUMIFS('26OctTo1Nov'!$L:$L, '26OctTo1Nov'!$J:$J, $A185)</f>
        <v>0</v>
      </c>
      <c r="N185" s="121">
        <f>SUMIFS('26OctTo1Nov'!$K:$K, '26OctTo1Nov'!$J:$J, $A185)</f>
        <v>0</v>
      </c>
      <c r="O185" s="121">
        <f>SUMIFS('26OctTo1Nov'!$O:$O, '26OctTo1Nov'!$J:$J, $A185)</f>
        <v>0</v>
      </c>
      <c r="P185" s="121">
        <f>SUMIFS('26OctTo1Nov'!$P:$P, '26OctTo1Nov'!$J:$J, $A185)</f>
        <v>0</v>
      </c>
      <c r="Q185" s="122">
        <f t="shared" si="2"/>
        <v>0</v>
      </c>
      <c r="R185" s="121">
        <f>SUMIFS('19OctTo25Oct'!$L:$L, '19OctTo25Oct'!$J:$J, $A185)</f>
        <v>0</v>
      </c>
      <c r="S185" s="121">
        <f>SUMIFS('19OctTo25Oct'!$K:$K, '19OctTo25Oct'!$J:$J, $A185)</f>
        <v>0</v>
      </c>
      <c r="T185" s="121">
        <f>SUMIFS('19OctTo25Oct'!$O:$O, '19OctTo25Oct'!$J:$J, $A185)</f>
        <v>0</v>
      </c>
      <c r="U185" s="121">
        <f>SUMIFS('19OctTo25Oct'!$P:$P, '19OctTo25Oct'!$J:$J, $A185)</f>
        <v>0</v>
      </c>
      <c r="V185" s="122">
        <f t="shared" si="3"/>
        <v>0</v>
      </c>
      <c r="W185" s="121">
        <f>SUMIFS('12OctTo18Oct'!$L:$L, '12OctTo18Oct'!$J:$J, $A185)</f>
        <v>0</v>
      </c>
      <c r="X185" s="121">
        <f>SUMIFS('12OctTo18Oct'!$K:$K, '12OctTo18Oct'!$J:$J, $A185)</f>
        <v>0</v>
      </c>
      <c r="Y185" s="121">
        <f>SUMIFS('12OctTo18Oct'!$O:$O, '12OctTo18Oct'!$J:$J, $A185)</f>
        <v>0</v>
      </c>
      <c r="Z185" s="121">
        <f>SUMIFS('12OctTo18Oct'!$P:$P, '12OctTo18Oct'!$J:$J, $A185)</f>
        <v>0</v>
      </c>
      <c r="AA185" s="122">
        <f t="shared" si="4"/>
        <v>0</v>
      </c>
      <c r="AB185" s="121">
        <f>SUMIFS('5OctTo11Oct'!$L:$L, '5OctTo11Oct'!$J:$J, $A185)</f>
        <v>0</v>
      </c>
      <c r="AC185" s="121">
        <f>SUMIFS('5OctTo11Oct'!$K:$K, '5OctTo11Oct'!$J:$J, $A185)</f>
        <v>0</v>
      </c>
      <c r="AD185" s="121">
        <f>SUMIFS('5OctTo11Oct'!$O:$O, '5OctTo11Oct'!$J:$J, $A185)</f>
        <v>0</v>
      </c>
      <c r="AE185" s="121">
        <f>SUMIFS('5OctTo11Oct'!$P:$P, '5OctTo11Oct'!$J:$J, $A185)</f>
        <v>0</v>
      </c>
      <c r="AF185" s="123">
        <f t="shared" si="5"/>
        <v>0</v>
      </c>
      <c r="AG185" s="121">
        <f>SUMIFS('28SepTo4Oct'!$L:$L, '28SepTo4Oct'!$J:$J, $A185)</f>
        <v>0</v>
      </c>
      <c r="AH185" s="121">
        <f>SUMIFS('28SepTo4Oct'!$K:$K, '28SepTo4Oct'!$J:$J, $A185)</f>
        <v>0</v>
      </c>
      <c r="AI185" s="121">
        <f>SUMIFS('28SepTo4Oct'!$O:$O, '28SepTo4Oct'!$J:$J, $A185)</f>
        <v>0</v>
      </c>
      <c r="AJ185" s="121">
        <f>SUMIFS('28SepTo4Oct'!$P:$P, '28SepTo4Oct'!$J:$J, $A185)</f>
        <v>0</v>
      </c>
      <c r="AK185" s="123">
        <f t="shared" si="6"/>
        <v>0</v>
      </c>
      <c r="AL185" s="121">
        <f>SUMIFS('21SepTo27Sep'!$L:$L, '21SepTo27Sep'!$J:$J, $A185)</f>
        <v>0</v>
      </c>
      <c r="AM185" s="121">
        <f>SUMIFS('21SepTo27Sep'!$K:$K, '21SepTo27Sep'!$J:$J, $A185)</f>
        <v>0</v>
      </c>
      <c r="AN185" s="121">
        <f>SUMIFS('21SepTo27Sep'!$O:$O, '21SepTo27Sep'!$J:$J, $A185)</f>
        <v>0</v>
      </c>
      <c r="AO185" s="121">
        <f>SUMIFS('21SepTo27Sep'!$P:$P, '21SepTo27Sep'!$J:$J, $A185)</f>
        <v>0</v>
      </c>
      <c r="AP185" s="123">
        <f t="shared" si="7"/>
        <v>0</v>
      </c>
      <c r="AQ185" s="121">
        <f>SUMIFS('14SepTo20Sep'!$L:$L, '14SepTo20Sep'!$J:$J, $A185)</f>
        <v>0</v>
      </c>
      <c r="AR185" s="121">
        <f>SUMIFS('14SepTo20Sep'!$K:$K, '14SepTo20Sep'!$J:$J, $A185)</f>
        <v>0</v>
      </c>
      <c r="AS185" s="121">
        <f>SUMIFS('14SepTo20Sep'!$O:$O, '14SepTo20Sep'!$J:$J, $A185)</f>
        <v>0</v>
      </c>
      <c r="AT185" s="121">
        <f>SUMIFS('14SepTo20Sep'!$P:$P, '14SepTo20Sep'!$J:$J, $A185)</f>
        <v>0</v>
      </c>
      <c r="AU185" s="123">
        <f t="shared" si="8"/>
        <v>0</v>
      </c>
      <c r="AV185" s="121">
        <f>SUMIFS('7SepTo13Sep'!$L:$L, '7SepTo13Sep'!$J:$J, $A185)</f>
        <v>0</v>
      </c>
      <c r="AW185" s="121">
        <f>SUMIFS('7SepTo13Sep'!$K:$K, '7SepTo13Sep'!$J:$J, $A185)</f>
        <v>0</v>
      </c>
      <c r="AX185" s="121">
        <f>SUMIFS('7SepTo13Sep'!$O:$O, '7SepTo13Sep'!$J:$J, $A185)</f>
        <v>0</v>
      </c>
      <c r="AY185" s="121">
        <f>SUMIFS('7SepTo13Sep'!$P:$P, '7SepTo13Sep'!$J:$J, $A185)</f>
        <v>0</v>
      </c>
      <c r="AZ185" s="123">
        <f t="shared" si="9"/>
        <v>0</v>
      </c>
      <c r="BA185" s="121">
        <f>SUMIFS('31AugTo6Sep'!$L:$L, '31AugTo6Sep'!$J:$J, $A185)</f>
        <v>0</v>
      </c>
      <c r="BB185" s="121">
        <f>SUMIFS('31AugTo6Sep'!$K:$K, '31AugTo6Sep'!$J:$J, $A185)</f>
        <v>0</v>
      </c>
      <c r="BC185" s="121">
        <f>SUMIFS('31AugTo6Sep'!$O:$O, '31AugTo6Sep'!$J:$J, $A185)</f>
        <v>0</v>
      </c>
      <c r="BD185" s="121">
        <f>SUMIFS('31AugTo6Sep'!$P:$P, '31AugTo6Sep'!$J:$J, $A185)</f>
        <v>0</v>
      </c>
      <c r="BE185" s="123">
        <f t="shared" si="10"/>
        <v>0</v>
      </c>
      <c r="BF185" s="121">
        <f>SUMIFS('24AugTo29Aug'!$L:$L, '24AugTo29Aug'!$J:$J, $A185)</f>
        <v>0</v>
      </c>
      <c r="BG185" s="121">
        <f>SUMIFS('24AugTo29Aug'!$K:$K, '24AugTo29Aug'!$J:$J, $A185)</f>
        <v>0</v>
      </c>
      <c r="BH185" s="121">
        <f>SUMIFS('24AugTo29Aug'!$O:$O, '24AugTo29Aug'!$J:$J, $A185)</f>
        <v>0</v>
      </c>
      <c r="BI185" s="121">
        <f>SUMIFS('24AugTo29Aug'!$P:$P, '24AugTo29Aug'!$J:$J, $A185)</f>
        <v>0</v>
      </c>
      <c r="BJ185" s="123">
        <f t="shared" si="11"/>
        <v>0</v>
      </c>
      <c r="BK185" s="121">
        <f>SUMIFS('17AugTo21Aug'!$L:$L, '17AugTo21Aug'!$J:$J, $A185)</f>
        <v>0</v>
      </c>
      <c r="BL185" s="121">
        <f>SUMIFS('17AugTo21Aug'!$K:$K, '17AugTo21Aug'!$J:$J, $A185)</f>
        <v>0</v>
      </c>
      <c r="BM185" s="121">
        <f>SUMIFS('17AugTo21Aug'!$O:$O, '17AugTo21Aug'!$J:$J, $A185)</f>
        <v>0</v>
      </c>
      <c r="BN185" s="121">
        <f>SUMIFS('17AugTo21Aug'!$P:$P, '17AugTo21Aug'!$J:$J, $A185)</f>
        <v>0</v>
      </c>
      <c r="BO185" s="123">
        <f t="shared" si="12"/>
        <v>0</v>
      </c>
      <c r="BP185" s="121">
        <f>SUMIFS('10AugTo16Aug'!$L:$L, '10AugTo16Aug'!$J:$J, $A185)</f>
        <v>0</v>
      </c>
      <c r="BQ185" s="121">
        <f>SUMIFS('10AugTo16Aug'!$K:$K, '10AugTo16Aug'!$J:$J, $A185)</f>
        <v>0</v>
      </c>
      <c r="BR185" s="121">
        <f>SUMIFS('10AugTo16Aug'!$O:$O, '10AugTo16Aug'!$J:$J, $A185)</f>
        <v>0</v>
      </c>
      <c r="BS185" s="121">
        <f>SUMIFS('10AugTo16Aug'!$P:$P, '10AugTo16Aug'!$J:$J, $A185)</f>
        <v>0</v>
      </c>
      <c r="BT185" s="123">
        <f t="shared" si="13"/>
        <v>0</v>
      </c>
      <c r="BU185" s="121">
        <f>SUMIFS('3AugTo9Aug'!$L:$L, '3AugTo9Aug'!$J:$J, $A185)</f>
        <v>1</v>
      </c>
      <c r="BV185" s="121">
        <f>SUMIFS('3AugTo9Aug'!$K:$K, '3AugTo9Aug'!$J:$J, $A185)</f>
        <v>7</v>
      </c>
      <c r="BW185" s="121">
        <f>SUMIFS('3AugTo9Aug'!$O:$O, '3AugTo9Aug'!$J:$J, $A185)</f>
        <v>2.75</v>
      </c>
      <c r="BX185" s="121">
        <f>SUMIFS('3AugTo9Aug'!$P:$P, '3AugTo9Aug'!$J:$J, $A185)</f>
        <v>24.94</v>
      </c>
      <c r="BY185" s="123">
        <f t="shared" si="14"/>
        <v>11.026463512429832</v>
      </c>
      <c r="BZ185" s="121">
        <f>SUMIFS('27JulyTo2Aug'!$L:$L, '27JulyTo2Aug'!$J:$J, $A185)</f>
        <v>0</v>
      </c>
      <c r="CA185" s="121">
        <f>SUMIFS('27JulyTo2Aug'!$K:$K, '27JulyTo2Aug'!$J:$J, $A185)</f>
        <v>0</v>
      </c>
      <c r="CB185" s="121">
        <f>SUMIFS('27JulyTo2Aug'!$O:$O, '27JulyTo2Aug'!$J:$J, $A185)</f>
        <v>0</v>
      </c>
      <c r="CC185" s="121">
        <f>SUMIFS('27JulyTo2Aug'!$P:$P, '27JulyTo2Aug'!$J:$J, $A185)</f>
        <v>0</v>
      </c>
      <c r="CD185" s="123">
        <f t="shared" si="15"/>
        <v>0</v>
      </c>
    </row>
    <row r="186" spans="1:82" ht="14.25" customHeight="1" x14ac:dyDescent="0.3">
      <c r="A186" s="124" t="s">
        <v>786</v>
      </c>
      <c r="B186" s="120" t="str">
        <f t="shared" si="18"/>
        <v>NO TRAFFIC</v>
      </c>
      <c r="C186" s="121">
        <f>SUMIFS('9NovTo15Nov'!$L:$L, '9NovTo15Nov'!$J:$J, $A186)</f>
        <v>0</v>
      </c>
      <c r="D186" s="121">
        <f>SUMIFS('9NovTo15Nov'!$K:$K, '9NovTo15Nov'!$J:$J, $A186)</f>
        <v>0</v>
      </c>
      <c r="E186" s="121">
        <f>SUMIFS('9NovTo15Nov'!$O:$O, '9NovTo15Nov'!$J:$J, $A186)</f>
        <v>0</v>
      </c>
      <c r="F186" s="121">
        <f>SUMIFS('9NovTo15Nov'!$P:$P, '9NovTo15Nov'!$J:$J, $A186)</f>
        <v>0</v>
      </c>
      <c r="G186" s="122">
        <f t="shared" si="0"/>
        <v>0</v>
      </c>
      <c r="H186" s="121">
        <f>SUMIFS('2NovTo8Nov'!$L:$L, '2NovTo8Nov'!$J:$J, $A186)</f>
        <v>0</v>
      </c>
      <c r="I186" s="121">
        <f>SUMIFS('2NovTo8Nov'!$K:$K, '2NovTo8Nov'!$J:$J, $A186)</f>
        <v>0</v>
      </c>
      <c r="J186" s="121">
        <f>SUMIFS('2NovTo8Nov'!$O:$O, '2NovTo8Nov'!$J:$J, $A186)</f>
        <v>0</v>
      </c>
      <c r="K186" s="121">
        <f>SUMIFS('2NovTo8Nov'!$P:$P, '2NovTo8Nov'!$J:$J, $A186)</f>
        <v>0</v>
      </c>
      <c r="L186" s="122">
        <f t="shared" si="1"/>
        <v>0</v>
      </c>
      <c r="M186" s="121">
        <f>SUMIFS('26OctTo1Nov'!$L:$L, '26OctTo1Nov'!$J:$J, $A186)</f>
        <v>0</v>
      </c>
      <c r="N186" s="121">
        <f>SUMIFS('26OctTo1Nov'!$K:$K, '26OctTo1Nov'!$J:$J, $A186)</f>
        <v>0</v>
      </c>
      <c r="O186" s="121">
        <f>SUMIFS('26OctTo1Nov'!$O:$O, '26OctTo1Nov'!$J:$J, $A186)</f>
        <v>0</v>
      </c>
      <c r="P186" s="121">
        <f>SUMIFS('26OctTo1Nov'!$P:$P, '26OctTo1Nov'!$J:$J, $A186)</f>
        <v>0</v>
      </c>
      <c r="Q186" s="122">
        <f t="shared" si="2"/>
        <v>0</v>
      </c>
      <c r="R186" s="121">
        <f>SUMIFS('19OctTo25Oct'!$L:$L, '19OctTo25Oct'!$J:$J, $A186)</f>
        <v>0</v>
      </c>
      <c r="S186" s="121">
        <f>SUMIFS('19OctTo25Oct'!$K:$K, '19OctTo25Oct'!$J:$J, $A186)</f>
        <v>0</v>
      </c>
      <c r="T186" s="121">
        <f>SUMIFS('19OctTo25Oct'!$O:$O, '19OctTo25Oct'!$J:$J, $A186)</f>
        <v>0</v>
      </c>
      <c r="U186" s="121">
        <f>SUMIFS('19OctTo25Oct'!$P:$P, '19OctTo25Oct'!$J:$J, $A186)</f>
        <v>0</v>
      </c>
      <c r="V186" s="122">
        <f t="shared" si="3"/>
        <v>0</v>
      </c>
      <c r="W186" s="121">
        <f>SUMIFS('12OctTo18Oct'!$L:$L, '12OctTo18Oct'!$J:$J, $A186)</f>
        <v>0</v>
      </c>
      <c r="X186" s="121">
        <f>SUMIFS('12OctTo18Oct'!$K:$K, '12OctTo18Oct'!$J:$J, $A186)</f>
        <v>0</v>
      </c>
      <c r="Y186" s="121">
        <f>SUMIFS('12OctTo18Oct'!$O:$O, '12OctTo18Oct'!$J:$J, $A186)</f>
        <v>0</v>
      </c>
      <c r="Z186" s="121">
        <f>SUMIFS('12OctTo18Oct'!$P:$P, '12OctTo18Oct'!$J:$J, $A186)</f>
        <v>0</v>
      </c>
      <c r="AA186" s="122">
        <f t="shared" si="4"/>
        <v>0</v>
      </c>
      <c r="AB186" s="121">
        <f>SUMIFS('5OctTo11Oct'!$L:$L, '5OctTo11Oct'!$J:$J, $A186)</f>
        <v>0</v>
      </c>
      <c r="AC186" s="121">
        <f>SUMIFS('5OctTo11Oct'!$K:$K, '5OctTo11Oct'!$J:$J, $A186)</f>
        <v>0</v>
      </c>
      <c r="AD186" s="121">
        <f>SUMIFS('5OctTo11Oct'!$O:$O, '5OctTo11Oct'!$J:$J, $A186)</f>
        <v>0</v>
      </c>
      <c r="AE186" s="121">
        <f>SUMIFS('5OctTo11Oct'!$P:$P, '5OctTo11Oct'!$J:$J, $A186)</f>
        <v>0</v>
      </c>
      <c r="AF186" s="123">
        <f t="shared" si="5"/>
        <v>0</v>
      </c>
      <c r="AG186" s="121">
        <f>SUMIFS('28SepTo4Oct'!$L:$L, '28SepTo4Oct'!$J:$J, $A186)</f>
        <v>0</v>
      </c>
      <c r="AH186" s="121">
        <f>SUMIFS('28SepTo4Oct'!$K:$K, '28SepTo4Oct'!$J:$J, $A186)</f>
        <v>0</v>
      </c>
      <c r="AI186" s="121">
        <f>SUMIFS('28SepTo4Oct'!$O:$O, '28SepTo4Oct'!$J:$J, $A186)</f>
        <v>0</v>
      </c>
      <c r="AJ186" s="121">
        <f>SUMIFS('28SepTo4Oct'!$P:$P, '28SepTo4Oct'!$J:$J, $A186)</f>
        <v>0</v>
      </c>
      <c r="AK186" s="123">
        <f t="shared" si="6"/>
        <v>0</v>
      </c>
      <c r="AL186" s="121">
        <f>SUMIFS('21SepTo27Sep'!$L:$L, '21SepTo27Sep'!$J:$J, $A186)</f>
        <v>0</v>
      </c>
      <c r="AM186" s="121">
        <f>SUMIFS('21SepTo27Sep'!$K:$K, '21SepTo27Sep'!$J:$J, $A186)</f>
        <v>0</v>
      </c>
      <c r="AN186" s="121">
        <f>SUMIFS('21SepTo27Sep'!$O:$O, '21SepTo27Sep'!$J:$J, $A186)</f>
        <v>0</v>
      </c>
      <c r="AO186" s="121">
        <f>SUMIFS('21SepTo27Sep'!$P:$P, '21SepTo27Sep'!$J:$J, $A186)</f>
        <v>0</v>
      </c>
      <c r="AP186" s="123">
        <f t="shared" si="7"/>
        <v>0</v>
      </c>
      <c r="AQ186" s="121">
        <f>SUMIFS('14SepTo20Sep'!$L:$L, '14SepTo20Sep'!$J:$J, $A186)</f>
        <v>0</v>
      </c>
      <c r="AR186" s="121">
        <f>SUMIFS('14SepTo20Sep'!$K:$K, '14SepTo20Sep'!$J:$J, $A186)</f>
        <v>0</v>
      </c>
      <c r="AS186" s="121">
        <f>SUMIFS('14SepTo20Sep'!$O:$O, '14SepTo20Sep'!$J:$J, $A186)</f>
        <v>0</v>
      </c>
      <c r="AT186" s="121">
        <f>SUMIFS('14SepTo20Sep'!$P:$P, '14SepTo20Sep'!$J:$J, $A186)</f>
        <v>0</v>
      </c>
      <c r="AU186" s="123">
        <f t="shared" si="8"/>
        <v>0</v>
      </c>
      <c r="AV186" s="121">
        <f>SUMIFS('7SepTo13Sep'!$L:$L, '7SepTo13Sep'!$J:$J, $A186)</f>
        <v>0</v>
      </c>
      <c r="AW186" s="121">
        <f>SUMIFS('7SepTo13Sep'!$K:$K, '7SepTo13Sep'!$J:$J, $A186)</f>
        <v>0</v>
      </c>
      <c r="AX186" s="121">
        <f>SUMIFS('7SepTo13Sep'!$O:$O, '7SepTo13Sep'!$J:$J, $A186)</f>
        <v>0</v>
      </c>
      <c r="AY186" s="121">
        <f>SUMIFS('7SepTo13Sep'!$P:$P, '7SepTo13Sep'!$J:$J, $A186)</f>
        <v>0</v>
      </c>
      <c r="AZ186" s="123">
        <f t="shared" si="9"/>
        <v>0</v>
      </c>
      <c r="BA186" s="121">
        <f>SUMIFS('31AugTo6Sep'!$L:$L, '31AugTo6Sep'!$J:$J, $A186)</f>
        <v>0</v>
      </c>
      <c r="BB186" s="121">
        <f>SUMIFS('31AugTo6Sep'!$K:$K, '31AugTo6Sep'!$J:$J, $A186)</f>
        <v>0</v>
      </c>
      <c r="BC186" s="121">
        <f>SUMIFS('31AugTo6Sep'!$O:$O, '31AugTo6Sep'!$J:$J, $A186)</f>
        <v>0</v>
      </c>
      <c r="BD186" s="121">
        <f>SUMIFS('31AugTo6Sep'!$P:$P, '31AugTo6Sep'!$J:$J, $A186)</f>
        <v>0</v>
      </c>
      <c r="BE186" s="123">
        <f t="shared" si="10"/>
        <v>0</v>
      </c>
      <c r="BF186" s="121">
        <f>SUMIFS('24AugTo29Aug'!$L:$L, '24AugTo29Aug'!$J:$J, $A186)</f>
        <v>0</v>
      </c>
      <c r="BG186" s="121">
        <f>SUMIFS('24AugTo29Aug'!$K:$K, '24AugTo29Aug'!$J:$J, $A186)</f>
        <v>0</v>
      </c>
      <c r="BH186" s="121">
        <f>SUMIFS('24AugTo29Aug'!$O:$O, '24AugTo29Aug'!$J:$J, $A186)</f>
        <v>0</v>
      </c>
      <c r="BI186" s="121">
        <f>SUMIFS('24AugTo29Aug'!$P:$P, '24AugTo29Aug'!$J:$J, $A186)</f>
        <v>0</v>
      </c>
      <c r="BJ186" s="123">
        <f t="shared" si="11"/>
        <v>0</v>
      </c>
      <c r="BK186" s="121">
        <f>SUMIFS('17AugTo21Aug'!$L:$L, '17AugTo21Aug'!$J:$J, $A186)</f>
        <v>0</v>
      </c>
      <c r="BL186" s="121">
        <f>SUMIFS('17AugTo21Aug'!$K:$K, '17AugTo21Aug'!$J:$J, $A186)</f>
        <v>0</v>
      </c>
      <c r="BM186" s="121">
        <f>SUMIFS('17AugTo21Aug'!$O:$O, '17AugTo21Aug'!$J:$J, $A186)</f>
        <v>0</v>
      </c>
      <c r="BN186" s="121">
        <f>SUMIFS('17AugTo21Aug'!$P:$P, '17AugTo21Aug'!$J:$J, $A186)</f>
        <v>0</v>
      </c>
      <c r="BO186" s="123">
        <f t="shared" si="12"/>
        <v>0</v>
      </c>
      <c r="BP186" s="121">
        <f>SUMIFS('10AugTo16Aug'!$L:$L, '10AugTo16Aug'!$J:$J, $A186)</f>
        <v>0</v>
      </c>
      <c r="BQ186" s="121">
        <f>SUMIFS('10AugTo16Aug'!$K:$K, '10AugTo16Aug'!$J:$J, $A186)</f>
        <v>0</v>
      </c>
      <c r="BR186" s="121">
        <f>SUMIFS('10AugTo16Aug'!$O:$O, '10AugTo16Aug'!$J:$J, $A186)</f>
        <v>0</v>
      </c>
      <c r="BS186" s="121">
        <f>SUMIFS('10AugTo16Aug'!$P:$P, '10AugTo16Aug'!$J:$J, $A186)</f>
        <v>0</v>
      </c>
      <c r="BT186" s="123">
        <f t="shared" si="13"/>
        <v>0</v>
      </c>
      <c r="BU186" s="121">
        <f>SUMIFS('3AugTo9Aug'!$L:$L, '3AugTo9Aug'!$J:$J, $A186)</f>
        <v>4</v>
      </c>
      <c r="BV186" s="121">
        <f>SUMIFS('3AugTo9Aug'!$K:$K, '3AugTo9Aug'!$J:$J, $A186)</f>
        <v>9</v>
      </c>
      <c r="BW186" s="121">
        <f>SUMIFS('3AugTo9Aug'!$O:$O, '3AugTo9Aug'!$J:$J, $A186)</f>
        <v>9.51</v>
      </c>
      <c r="BX186" s="121">
        <f>SUMIFS('3AugTo9Aug'!$P:$P, '3AugTo9Aug'!$J:$J, $A186)</f>
        <v>24.94</v>
      </c>
      <c r="BY186" s="123">
        <f t="shared" si="14"/>
        <v>38.131515637530065</v>
      </c>
      <c r="BZ186" s="121">
        <f>SUMIFS('27JulyTo2Aug'!$L:$L, '27JulyTo2Aug'!$J:$J, $A186)</f>
        <v>0</v>
      </c>
      <c r="CA186" s="121">
        <f>SUMIFS('27JulyTo2Aug'!$K:$K, '27JulyTo2Aug'!$J:$J, $A186)</f>
        <v>0</v>
      </c>
      <c r="CB186" s="121">
        <f>SUMIFS('27JulyTo2Aug'!$O:$O, '27JulyTo2Aug'!$J:$J, $A186)</f>
        <v>0</v>
      </c>
      <c r="CC186" s="121">
        <f>SUMIFS('27JulyTo2Aug'!$P:$P, '27JulyTo2Aug'!$J:$J, $A186)</f>
        <v>0</v>
      </c>
      <c r="CD186" s="123">
        <f t="shared" si="15"/>
        <v>0</v>
      </c>
    </row>
    <row r="187" spans="1:82" ht="14.25" customHeight="1" x14ac:dyDescent="0.3">
      <c r="A187" s="124" t="s">
        <v>793</v>
      </c>
      <c r="B187" s="120" t="str">
        <f t="shared" si="18"/>
        <v>NO TRAFFIC</v>
      </c>
      <c r="C187" s="121">
        <f>SUMIFS('9NovTo15Nov'!$L:$L, '9NovTo15Nov'!$J:$J, $A187)</f>
        <v>0</v>
      </c>
      <c r="D187" s="121">
        <f>SUMIFS('9NovTo15Nov'!$K:$K, '9NovTo15Nov'!$J:$J, $A187)</f>
        <v>0</v>
      </c>
      <c r="E187" s="121">
        <f>SUMIFS('9NovTo15Nov'!$O:$O, '9NovTo15Nov'!$J:$J, $A187)</f>
        <v>0</v>
      </c>
      <c r="F187" s="121">
        <f>SUMIFS('9NovTo15Nov'!$P:$P, '9NovTo15Nov'!$J:$J, $A187)</f>
        <v>0</v>
      </c>
      <c r="G187" s="122">
        <f t="shared" si="0"/>
        <v>0</v>
      </c>
      <c r="H187" s="121">
        <f>SUMIFS('2NovTo8Nov'!$L:$L, '2NovTo8Nov'!$J:$J, $A187)</f>
        <v>0</v>
      </c>
      <c r="I187" s="121">
        <f>SUMIFS('2NovTo8Nov'!$K:$K, '2NovTo8Nov'!$J:$J, $A187)</f>
        <v>0</v>
      </c>
      <c r="J187" s="121">
        <f>SUMIFS('2NovTo8Nov'!$O:$O, '2NovTo8Nov'!$J:$J, $A187)</f>
        <v>0</v>
      </c>
      <c r="K187" s="121">
        <f>SUMIFS('2NovTo8Nov'!$P:$P, '2NovTo8Nov'!$J:$J, $A187)</f>
        <v>0</v>
      </c>
      <c r="L187" s="122">
        <f t="shared" si="1"/>
        <v>0</v>
      </c>
      <c r="M187" s="121">
        <f>SUMIFS('26OctTo1Nov'!$L:$L, '26OctTo1Nov'!$J:$J, $A187)</f>
        <v>0</v>
      </c>
      <c r="N187" s="121">
        <f>SUMIFS('26OctTo1Nov'!$K:$K, '26OctTo1Nov'!$J:$J, $A187)</f>
        <v>0</v>
      </c>
      <c r="O187" s="121">
        <f>SUMIFS('26OctTo1Nov'!$O:$O, '26OctTo1Nov'!$J:$J, $A187)</f>
        <v>0</v>
      </c>
      <c r="P187" s="121">
        <f>SUMIFS('26OctTo1Nov'!$P:$P, '26OctTo1Nov'!$J:$J, $A187)</f>
        <v>0</v>
      </c>
      <c r="Q187" s="122">
        <f t="shared" si="2"/>
        <v>0</v>
      </c>
      <c r="R187" s="121">
        <f>SUMIFS('19OctTo25Oct'!$L:$L, '19OctTo25Oct'!$J:$J, $A187)</f>
        <v>0</v>
      </c>
      <c r="S187" s="121">
        <f>SUMIFS('19OctTo25Oct'!$K:$K, '19OctTo25Oct'!$J:$J, $A187)</f>
        <v>0</v>
      </c>
      <c r="T187" s="121">
        <f>SUMIFS('19OctTo25Oct'!$O:$O, '19OctTo25Oct'!$J:$J, $A187)</f>
        <v>0</v>
      </c>
      <c r="U187" s="121">
        <f>SUMIFS('19OctTo25Oct'!$P:$P, '19OctTo25Oct'!$J:$J, $A187)</f>
        <v>0</v>
      </c>
      <c r="V187" s="122">
        <f t="shared" si="3"/>
        <v>0</v>
      </c>
      <c r="W187" s="121">
        <f>SUMIFS('12OctTo18Oct'!$L:$L, '12OctTo18Oct'!$J:$J, $A187)</f>
        <v>0</v>
      </c>
      <c r="X187" s="121">
        <f>SUMIFS('12OctTo18Oct'!$K:$K, '12OctTo18Oct'!$J:$J, $A187)</f>
        <v>0</v>
      </c>
      <c r="Y187" s="121">
        <f>SUMIFS('12OctTo18Oct'!$O:$O, '12OctTo18Oct'!$J:$J, $A187)</f>
        <v>0</v>
      </c>
      <c r="Z187" s="121">
        <f>SUMIFS('12OctTo18Oct'!$P:$P, '12OctTo18Oct'!$J:$J, $A187)</f>
        <v>0</v>
      </c>
      <c r="AA187" s="122">
        <f t="shared" si="4"/>
        <v>0</v>
      </c>
      <c r="AB187" s="121">
        <f>SUMIFS('5OctTo11Oct'!$L:$L, '5OctTo11Oct'!$J:$J, $A187)</f>
        <v>0</v>
      </c>
      <c r="AC187" s="121">
        <f>SUMIFS('5OctTo11Oct'!$K:$K, '5OctTo11Oct'!$J:$J, $A187)</f>
        <v>0</v>
      </c>
      <c r="AD187" s="121">
        <f>SUMIFS('5OctTo11Oct'!$O:$O, '5OctTo11Oct'!$J:$J, $A187)</f>
        <v>0</v>
      </c>
      <c r="AE187" s="121">
        <f>SUMIFS('5OctTo11Oct'!$P:$P, '5OctTo11Oct'!$J:$J, $A187)</f>
        <v>0</v>
      </c>
      <c r="AF187" s="123">
        <f t="shared" si="5"/>
        <v>0</v>
      </c>
      <c r="AG187" s="121">
        <f>SUMIFS('28SepTo4Oct'!$L:$L, '28SepTo4Oct'!$J:$J, $A187)</f>
        <v>0</v>
      </c>
      <c r="AH187" s="121">
        <f>SUMIFS('28SepTo4Oct'!$K:$K, '28SepTo4Oct'!$J:$J, $A187)</f>
        <v>0</v>
      </c>
      <c r="AI187" s="121">
        <f>SUMIFS('28SepTo4Oct'!$O:$O, '28SepTo4Oct'!$J:$J, $A187)</f>
        <v>0</v>
      </c>
      <c r="AJ187" s="121">
        <f>SUMIFS('28SepTo4Oct'!$P:$P, '28SepTo4Oct'!$J:$J, $A187)</f>
        <v>0</v>
      </c>
      <c r="AK187" s="123">
        <f t="shared" si="6"/>
        <v>0</v>
      </c>
      <c r="AL187" s="121">
        <f>SUMIFS('21SepTo27Sep'!$L:$L, '21SepTo27Sep'!$J:$J, $A187)</f>
        <v>0</v>
      </c>
      <c r="AM187" s="121">
        <f>SUMIFS('21SepTo27Sep'!$K:$K, '21SepTo27Sep'!$J:$J, $A187)</f>
        <v>0</v>
      </c>
      <c r="AN187" s="121">
        <f>SUMIFS('21SepTo27Sep'!$O:$O, '21SepTo27Sep'!$J:$J, $A187)</f>
        <v>0</v>
      </c>
      <c r="AO187" s="121">
        <f>SUMIFS('21SepTo27Sep'!$P:$P, '21SepTo27Sep'!$J:$J, $A187)</f>
        <v>0</v>
      </c>
      <c r="AP187" s="123">
        <f t="shared" si="7"/>
        <v>0</v>
      </c>
      <c r="AQ187" s="121">
        <f>SUMIFS('14SepTo20Sep'!$L:$L, '14SepTo20Sep'!$J:$J, $A187)</f>
        <v>0</v>
      </c>
      <c r="AR187" s="121">
        <f>SUMIFS('14SepTo20Sep'!$K:$K, '14SepTo20Sep'!$J:$J, $A187)</f>
        <v>0</v>
      </c>
      <c r="AS187" s="121">
        <f>SUMIFS('14SepTo20Sep'!$O:$O, '14SepTo20Sep'!$J:$J, $A187)</f>
        <v>0</v>
      </c>
      <c r="AT187" s="121">
        <f>SUMIFS('14SepTo20Sep'!$P:$P, '14SepTo20Sep'!$J:$J, $A187)</f>
        <v>0</v>
      </c>
      <c r="AU187" s="123">
        <f t="shared" si="8"/>
        <v>0</v>
      </c>
      <c r="AV187" s="121">
        <f>SUMIFS('7SepTo13Sep'!$L:$L, '7SepTo13Sep'!$J:$J, $A187)</f>
        <v>0</v>
      </c>
      <c r="AW187" s="121">
        <f>SUMIFS('7SepTo13Sep'!$K:$K, '7SepTo13Sep'!$J:$J, $A187)</f>
        <v>0</v>
      </c>
      <c r="AX187" s="121">
        <f>SUMIFS('7SepTo13Sep'!$O:$O, '7SepTo13Sep'!$J:$J, $A187)</f>
        <v>0</v>
      </c>
      <c r="AY187" s="121">
        <f>SUMIFS('7SepTo13Sep'!$P:$P, '7SepTo13Sep'!$J:$J, $A187)</f>
        <v>0</v>
      </c>
      <c r="AZ187" s="123">
        <f t="shared" si="9"/>
        <v>0</v>
      </c>
      <c r="BA187" s="121">
        <f>SUMIFS('31AugTo6Sep'!$L:$L, '31AugTo6Sep'!$J:$J, $A187)</f>
        <v>0</v>
      </c>
      <c r="BB187" s="121">
        <f>SUMIFS('31AugTo6Sep'!$K:$K, '31AugTo6Sep'!$J:$J, $A187)</f>
        <v>0</v>
      </c>
      <c r="BC187" s="121">
        <f>SUMIFS('31AugTo6Sep'!$O:$O, '31AugTo6Sep'!$J:$J, $A187)</f>
        <v>0</v>
      </c>
      <c r="BD187" s="121">
        <f>SUMIFS('31AugTo6Sep'!$P:$P, '31AugTo6Sep'!$J:$J, $A187)</f>
        <v>0</v>
      </c>
      <c r="BE187" s="123">
        <f t="shared" si="10"/>
        <v>0</v>
      </c>
      <c r="BF187" s="121">
        <f>SUMIFS('24AugTo29Aug'!$L:$L, '24AugTo29Aug'!$J:$J, $A187)</f>
        <v>0</v>
      </c>
      <c r="BG187" s="121">
        <f>SUMIFS('24AugTo29Aug'!$K:$K, '24AugTo29Aug'!$J:$J, $A187)</f>
        <v>0</v>
      </c>
      <c r="BH187" s="121">
        <f>SUMIFS('24AugTo29Aug'!$O:$O, '24AugTo29Aug'!$J:$J, $A187)</f>
        <v>0</v>
      </c>
      <c r="BI187" s="121">
        <f>SUMIFS('24AugTo29Aug'!$P:$P, '24AugTo29Aug'!$J:$J, $A187)</f>
        <v>0</v>
      </c>
      <c r="BJ187" s="123">
        <f t="shared" si="11"/>
        <v>0</v>
      </c>
      <c r="BK187" s="121">
        <f>SUMIFS('17AugTo21Aug'!$L:$L, '17AugTo21Aug'!$J:$J, $A187)</f>
        <v>0</v>
      </c>
      <c r="BL187" s="121">
        <f>SUMIFS('17AugTo21Aug'!$K:$K, '17AugTo21Aug'!$J:$J, $A187)</f>
        <v>0</v>
      </c>
      <c r="BM187" s="121">
        <f>SUMIFS('17AugTo21Aug'!$O:$O, '17AugTo21Aug'!$J:$J, $A187)</f>
        <v>0</v>
      </c>
      <c r="BN187" s="121">
        <f>SUMIFS('17AugTo21Aug'!$P:$P, '17AugTo21Aug'!$J:$J, $A187)</f>
        <v>0</v>
      </c>
      <c r="BO187" s="123">
        <f t="shared" si="12"/>
        <v>0</v>
      </c>
      <c r="BP187" s="121">
        <f>SUMIFS('10AugTo16Aug'!$L:$L, '10AugTo16Aug'!$J:$J, $A187)</f>
        <v>0</v>
      </c>
      <c r="BQ187" s="121">
        <f>SUMIFS('10AugTo16Aug'!$K:$K, '10AugTo16Aug'!$J:$J, $A187)</f>
        <v>0</v>
      </c>
      <c r="BR187" s="121">
        <f>SUMIFS('10AugTo16Aug'!$O:$O, '10AugTo16Aug'!$J:$J, $A187)</f>
        <v>0</v>
      </c>
      <c r="BS187" s="121">
        <f>SUMIFS('10AugTo16Aug'!$P:$P, '10AugTo16Aug'!$J:$J, $A187)</f>
        <v>0</v>
      </c>
      <c r="BT187" s="123">
        <f t="shared" si="13"/>
        <v>0</v>
      </c>
      <c r="BU187" s="121">
        <f>SUMIFS('3AugTo9Aug'!$L:$L, '3AugTo9Aug'!$J:$J, $A187)</f>
        <v>1</v>
      </c>
      <c r="BV187" s="121">
        <f>SUMIFS('3AugTo9Aug'!$K:$K, '3AugTo9Aug'!$J:$J, $A187)</f>
        <v>1</v>
      </c>
      <c r="BW187" s="121">
        <f>SUMIFS('3AugTo9Aug'!$O:$O, '3AugTo9Aug'!$J:$J, $A187)</f>
        <v>3.27</v>
      </c>
      <c r="BX187" s="121">
        <f>SUMIFS('3AugTo9Aug'!$P:$P, '3AugTo9Aug'!$J:$J, $A187)</f>
        <v>24.94</v>
      </c>
      <c r="BY187" s="123">
        <f t="shared" si="14"/>
        <v>13.111467522052928</v>
      </c>
      <c r="BZ187" s="121">
        <f>SUMIFS('27JulyTo2Aug'!$L:$L, '27JulyTo2Aug'!$J:$J, $A187)</f>
        <v>0</v>
      </c>
      <c r="CA187" s="121">
        <f>SUMIFS('27JulyTo2Aug'!$K:$K, '27JulyTo2Aug'!$J:$J, $A187)</f>
        <v>0</v>
      </c>
      <c r="CB187" s="121">
        <f>SUMIFS('27JulyTo2Aug'!$O:$O, '27JulyTo2Aug'!$J:$J, $A187)</f>
        <v>0</v>
      </c>
      <c r="CC187" s="121">
        <f>SUMIFS('27JulyTo2Aug'!$P:$P, '27JulyTo2Aug'!$J:$J, $A187)</f>
        <v>0</v>
      </c>
      <c r="CD187" s="123">
        <f t="shared" si="15"/>
        <v>0</v>
      </c>
    </row>
    <row r="188" spans="1:82" ht="14.25" customHeight="1" x14ac:dyDescent="0.3">
      <c r="A188" s="124" t="s">
        <v>799</v>
      </c>
      <c r="B188" s="120" t="str">
        <f t="shared" si="18"/>
        <v>NO TRAFFIC</v>
      </c>
      <c r="C188" s="121">
        <f>SUMIFS('9NovTo15Nov'!$L:$L, '9NovTo15Nov'!$J:$J, $A188)</f>
        <v>0</v>
      </c>
      <c r="D188" s="121">
        <f>SUMIFS('9NovTo15Nov'!$K:$K, '9NovTo15Nov'!$J:$J, $A188)</f>
        <v>0</v>
      </c>
      <c r="E188" s="121">
        <f>SUMIFS('9NovTo15Nov'!$O:$O, '9NovTo15Nov'!$J:$J, $A188)</f>
        <v>0</v>
      </c>
      <c r="F188" s="121">
        <f>SUMIFS('9NovTo15Nov'!$P:$P, '9NovTo15Nov'!$J:$J, $A188)</f>
        <v>0</v>
      </c>
      <c r="G188" s="122">
        <f t="shared" si="0"/>
        <v>0</v>
      </c>
      <c r="H188" s="121">
        <f>SUMIFS('2NovTo8Nov'!$L:$L, '2NovTo8Nov'!$J:$J, $A188)</f>
        <v>0</v>
      </c>
      <c r="I188" s="121">
        <f>SUMIFS('2NovTo8Nov'!$K:$K, '2NovTo8Nov'!$J:$J, $A188)</f>
        <v>0</v>
      </c>
      <c r="J188" s="121">
        <f>SUMIFS('2NovTo8Nov'!$O:$O, '2NovTo8Nov'!$J:$J, $A188)</f>
        <v>0</v>
      </c>
      <c r="K188" s="121">
        <f>SUMIFS('2NovTo8Nov'!$P:$P, '2NovTo8Nov'!$J:$J, $A188)</f>
        <v>0</v>
      </c>
      <c r="L188" s="122">
        <f t="shared" si="1"/>
        <v>0</v>
      </c>
      <c r="M188" s="121">
        <f>SUMIFS('26OctTo1Nov'!$L:$L, '26OctTo1Nov'!$J:$J, $A188)</f>
        <v>0</v>
      </c>
      <c r="N188" s="121">
        <f>SUMIFS('26OctTo1Nov'!$K:$K, '26OctTo1Nov'!$J:$J, $A188)</f>
        <v>0</v>
      </c>
      <c r="O188" s="121">
        <f>SUMIFS('26OctTo1Nov'!$O:$O, '26OctTo1Nov'!$J:$J, $A188)</f>
        <v>0</v>
      </c>
      <c r="P188" s="121">
        <f>SUMIFS('26OctTo1Nov'!$P:$P, '26OctTo1Nov'!$J:$J, $A188)</f>
        <v>0</v>
      </c>
      <c r="Q188" s="122">
        <f t="shared" si="2"/>
        <v>0</v>
      </c>
      <c r="R188" s="121">
        <f>SUMIFS('19OctTo25Oct'!$L:$L, '19OctTo25Oct'!$J:$J, $A188)</f>
        <v>0</v>
      </c>
      <c r="S188" s="121">
        <f>SUMIFS('19OctTo25Oct'!$K:$K, '19OctTo25Oct'!$J:$J, $A188)</f>
        <v>0</v>
      </c>
      <c r="T188" s="121">
        <f>SUMIFS('19OctTo25Oct'!$O:$O, '19OctTo25Oct'!$J:$J, $A188)</f>
        <v>0</v>
      </c>
      <c r="U188" s="121">
        <f>SUMIFS('19OctTo25Oct'!$P:$P, '19OctTo25Oct'!$J:$J, $A188)</f>
        <v>0</v>
      </c>
      <c r="V188" s="122">
        <f t="shared" si="3"/>
        <v>0</v>
      </c>
      <c r="W188" s="121">
        <f>SUMIFS('12OctTo18Oct'!$L:$L, '12OctTo18Oct'!$J:$J, $A188)</f>
        <v>0</v>
      </c>
      <c r="X188" s="121">
        <f>SUMIFS('12OctTo18Oct'!$K:$K, '12OctTo18Oct'!$J:$J, $A188)</f>
        <v>0</v>
      </c>
      <c r="Y188" s="121">
        <f>SUMIFS('12OctTo18Oct'!$O:$O, '12OctTo18Oct'!$J:$J, $A188)</f>
        <v>0</v>
      </c>
      <c r="Z188" s="121">
        <f>SUMIFS('12OctTo18Oct'!$P:$P, '12OctTo18Oct'!$J:$J, $A188)</f>
        <v>0</v>
      </c>
      <c r="AA188" s="122">
        <f t="shared" si="4"/>
        <v>0</v>
      </c>
      <c r="AB188" s="121">
        <f>SUMIFS('5OctTo11Oct'!$L:$L, '5OctTo11Oct'!$J:$J, $A188)</f>
        <v>0</v>
      </c>
      <c r="AC188" s="121">
        <f>SUMIFS('5OctTo11Oct'!$K:$K, '5OctTo11Oct'!$J:$J, $A188)</f>
        <v>0</v>
      </c>
      <c r="AD188" s="121">
        <f>SUMIFS('5OctTo11Oct'!$O:$O, '5OctTo11Oct'!$J:$J, $A188)</f>
        <v>0</v>
      </c>
      <c r="AE188" s="121">
        <f>SUMIFS('5OctTo11Oct'!$P:$P, '5OctTo11Oct'!$J:$J, $A188)</f>
        <v>0</v>
      </c>
      <c r="AF188" s="123">
        <f t="shared" si="5"/>
        <v>0</v>
      </c>
      <c r="AG188" s="121">
        <f>SUMIFS('28SepTo4Oct'!$L:$L, '28SepTo4Oct'!$J:$J, $A188)</f>
        <v>0</v>
      </c>
      <c r="AH188" s="121">
        <f>SUMIFS('28SepTo4Oct'!$K:$K, '28SepTo4Oct'!$J:$J, $A188)</f>
        <v>0</v>
      </c>
      <c r="AI188" s="121">
        <f>SUMIFS('28SepTo4Oct'!$O:$O, '28SepTo4Oct'!$J:$J, $A188)</f>
        <v>0</v>
      </c>
      <c r="AJ188" s="121">
        <f>SUMIFS('28SepTo4Oct'!$P:$P, '28SepTo4Oct'!$J:$J, $A188)</f>
        <v>0</v>
      </c>
      <c r="AK188" s="123">
        <f t="shared" si="6"/>
        <v>0</v>
      </c>
      <c r="AL188" s="121">
        <f>SUMIFS('21SepTo27Sep'!$L:$L, '21SepTo27Sep'!$J:$J, $A188)</f>
        <v>0</v>
      </c>
      <c r="AM188" s="121">
        <f>SUMIFS('21SepTo27Sep'!$K:$K, '21SepTo27Sep'!$J:$J, $A188)</f>
        <v>0</v>
      </c>
      <c r="AN188" s="121">
        <f>SUMIFS('21SepTo27Sep'!$O:$O, '21SepTo27Sep'!$J:$J, $A188)</f>
        <v>0</v>
      </c>
      <c r="AO188" s="121">
        <f>SUMIFS('21SepTo27Sep'!$P:$P, '21SepTo27Sep'!$J:$J, $A188)</f>
        <v>0</v>
      </c>
      <c r="AP188" s="123">
        <f t="shared" si="7"/>
        <v>0</v>
      </c>
      <c r="AQ188" s="121">
        <f>SUMIFS('14SepTo20Sep'!$L:$L, '14SepTo20Sep'!$J:$J, $A188)</f>
        <v>0</v>
      </c>
      <c r="AR188" s="121">
        <f>SUMIFS('14SepTo20Sep'!$K:$K, '14SepTo20Sep'!$J:$J, $A188)</f>
        <v>0</v>
      </c>
      <c r="AS188" s="121">
        <f>SUMIFS('14SepTo20Sep'!$O:$O, '14SepTo20Sep'!$J:$J, $A188)</f>
        <v>0</v>
      </c>
      <c r="AT188" s="121">
        <f>SUMIFS('14SepTo20Sep'!$P:$P, '14SepTo20Sep'!$J:$J, $A188)</f>
        <v>0</v>
      </c>
      <c r="AU188" s="123">
        <f t="shared" si="8"/>
        <v>0</v>
      </c>
      <c r="AV188" s="121">
        <f>SUMIFS('7SepTo13Sep'!$L:$L, '7SepTo13Sep'!$J:$J, $A188)</f>
        <v>0</v>
      </c>
      <c r="AW188" s="121">
        <f>SUMIFS('7SepTo13Sep'!$K:$K, '7SepTo13Sep'!$J:$J, $A188)</f>
        <v>0</v>
      </c>
      <c r="AX188" s="121">
        <f>SUMIFS('7SepTo13Sep'!$O:$O, '7SepTo13Sep'!$J:$J, $A188)</f>
        <v>0</v>
      </c>
      <c r="AY188" s="121">
        <f>SUMIFS('7SepTo13Sep'!$P:$P, '7SepTo13Sep'!$J:$J, $A188)</f>
        <v>0</v>
      </c>
      <c r="AZ188" s="123">
        <f t="shared" si="9"/>
        <v>0</v>
      </c>
      <c r="BA188" s="121">
        <f>SUMIFS('31AugTo6Sep'!$L:$L, '31AugTo6Sep'!$J:$J, $A188)</f>
        <v>0</v>
      </c>
      <c r="BB188" s="121">
        <f>SUMIFS('31AugTo6Sep'!$K:$K, '31AugTo6Sep'!$J:$J, $A188)</f>
        <v>0</v>
      </c>
      <c r="BC188" s="121">
        <f>SUMIFS('31AugTo6Sep'!$O:$O, '31AugTo6Sep'!$J:$J, $A188)</f>
        <v>0</v>
      </c>
      <c r="BD188" s="121">
        <f>SUMIFS('31AugTo6Sep'!$P:$P, '31AugTo6Sep'!$J:$J, $A188)</f>
        <v>0</v>
      </c>
      <c r="BE188" s="123">
        <f t="shared" si="10"/>
        <v>0</v>
      </c>
      <c r="BF188" s="121">
        <f>SUMIFS('24AugTo29Aug'!$L:$L, '24AugTo29Aug'!$J:$J, $A188)</f>
        <v>0</v>
      </c>
      <c r="BG188" s="121">
        <f>SUMIFS('24AugTo29Aug'!$K:$K, '24AugTo29Aug'!$J:$J, $A188)</f>
        <v>0</v>
      </c>
      <c r="BH188" s="121">
        <f>SUMIFS('24AugTo29Aug'!$O:$O, '24AugTo29Aug'!$J:$J, $A188)</f>
        <v>0</v>
      </c>
      <c r="BI188" s="121">
        <f>SUMIFS('24AugTo29Aug'!$P:$P, '24AugTo29Aug'!$J:$J, $A188)</f>
        <v>0</v>
      </c>
      <c r="BJ188" s="123">
        <f t="shared" si="11"/>
        <v>0</v>
      </c>
      <c r="BK188" s="121">
        <f>SUMIFS('17AugTo21Aug'!$L:$L, '17AugTo21Aug'!$J:$J, $A188)</f>
        <v>0</v>
      </c>
      <c r="BL188" s="121">
        <f>SUMIFS('17AugTo21Aug'!$K:$K, '17AugTo21Aug'!$J:$J, $A188)</f>
        <v>0</v>
      </c>
      <c r="BM188" s="121">
        <f>SUMIFS('17AugTo21Aug'!$O:$O, '17AugTo21Aug'!$J:$J, $A188)</f>
        <v>0</v>
      </c>
      <c r="BN188" s="121">
        <f>SUMIFS('17AugTo21Aug'!$P:$P, '17AugTo21Aug'!$J:$J, $A188)</f>
        <v>0</v>
      </c>
      <c r="BO188" s="123">
        <f t="shared" si="12"/>
        <v>0</v>
      </c>
      <c r="BP188" s="121">
        <f>SUMIFS('10AugTo16Aug'!$L:$L, '10AugTo16Aug'!$J:$J, $A188)</f>
        <v>0</v>
      </c>
      <c r="BQ188" s="121">
        <f>SUMIFS('10AugTo16Aug'!$K:$K, '10AugTo16Aug'!$J:$J, $A188)</f>
        <v>0</v>
      </c>
      <c r="BR188" s="121">
        <f>SUMIFS('10AugTo16Aug'!$O:$O, '10AugTo16Aug'!$J:$J, $A188)</f>
        <v>0</v>
      </c>
      <c r="BS188" s="121">
        <f>SUMIFS('10AugTo16Aug'!$P:$P, '10AugTo16Aug'!$J:$J, $A188)</f>
        <v>0</v>
      </c>
      <c r="BT188" s="123">
        <f t="shared" si="13"/>
        <v>0</v>
      </c>
      <c r="BU188" s="121">
        <f>SUMIFS('3AugTo9Aug'!$L:$L, '3AugTo9Aug'!$J:$J, $A188)</f>
        <v>2</v>
      </c>
      <c r="BV188" s="121">
        <f>SUMIFS('3AugTo9Aug'!$K:$K, '3AugTo9Aug'!$J:$J, $A188)</f>
        <v>102</v>
      </c>
      <c r="BW188" s="121">
        <f>SUMIFS('3AugTo9Aug'!$O:$O, '3AugTo9Aug'!$J:$J, $A188)</f>
        <v>7.95</v>
      </c>
      <c r="BX188" s="121">
        <f>SUMIFS('3AugTo9Aug'!$P:$P, '3AugTo9Aug'!$J:$J, $A188)</f>
        <v>49.88</v>
      </c>
      <c r="BY188" s="123">
        <f t="shared" si="14"/>
        <v>15.938251804330392</v>
      </c>
      <c r="BZ188" s="121">
        <f>SUMIFS('27JulyTo2Aug'!$L:$L, '27JulyTo2Aug'!$J:$J, $A188)</f>
        <v>0</v>
      </c>
      <c r="CA188" s="121">
        <f>SUMIFS('27JulyTo2Aug'!$K:$K, '27JulyTo2Aug'!$J:$J, $A188)</f>
        <v>0</v>
      </c>
      <c r="CB188" s="121">
        <f>SUMIFS('27JulyTo2Aug'!$O:$O, '27JulyTo2Aug'!$J:$J, $A188)</f>
        <v>0</v>
      </c>
      <c r="CC188" s="121">
        <f>SUMIFS('27JulyTo2Aug'!$P:$P, '27JulyTo2Aug'!$J:$J, $A188)</f>
        <v>0</v>
      </c>
      <c r="CD188" s="123">
        <f t="shared" si="15"/>
        <v>0</v>
      </c>
    </row>
    <row r="189" spans="1:82" ht="14.25" customHeight="1" x14ac:dyDescent="0.3">
      <c r="A189" s="124" t="s">
        <v>801</v>
      </c>
      <c r="B189" s="120" t="str">
        <f t="shared" si="18"/>
        <v>NO TRAFFIC</v>
      </c>
      <c r="C189" s="121">
        <f>SUMIFS('9NovTo15Nov'!$L:$L, '9NovTo15Nov'!$J:$J, $A189)</f>
        <v>0</v>
      </c>
      <c r="D189" s="121">
        <f>SUMIFS('9NovTo15Nov'!$K:$K, '9NovTo15Nov'!$J:$J, $A189)</f>
        <v>0</v>
      </c>
      <c r="E189" s="121">
        <f>SUMIFS('9NovTo15Nov'!$O:$O, '9NovTo15Nov'!$J:$J, $A189)</f>
        <v>0</v>
      </c>
      <c r="F189" s="121">
        <f>SUMIFS('9NovTo15Nov'!$P:$P, '9NovTo15Nov'!$J:$J, $A189)</f>
        <v>0</v>
      </c>
      <c r="G189" s="122">
        <f t="shared" si="0"/>
        <v>0</v>
      </c>
      <c r="H189" s="121">
        <f>SUMIFS('2NovTo8Nov'!$L:$L, '2NovTo8Nov'!$J:$J, $A189)</f>
        <v>0</v>
      </c>
      <c r="I189" s="121">
        <f>SUMIFS('2NovTo8Nov'!$K:$K, '2NovTo8Nov'!$J:$J, $A189)</f>
        <v>0</v>
      </c>
      <c r="J189" s="121">
        <f>SUMIFS('2NovTo8Nov'!$O:$O, '2NovTo8Nov'!$J:$J, $A189)</f>
        <v>0</v>
      </c>
      <c r="K189" s="121">
        <f>SUMIFS('2NovTo8Nov'!$P:$P, '2NovTo8Nov'!$J:$J, $A189)</f>
        <v>0</v>
      </c>
      <c r="L189" s="122">
        <f t="shared" si="1"/>
        <v>0</v>
      </c>
      <c r="M189" s="121">
        <f>SUMIFS('26OctTo1Nov'!$L:$L, '26OctTo1Nov'!$J:$J, $A189)</f>
        <v>0</v>
      </c>
      <c r="N189" s="121">
        <f>SUMIFS('26OctTo1Nov'!$K:$K, '26OctTo1Nov'!$J:$J, $A189)</f>
        <v>0</v>
      </c>
      <c r="O189" s="121">
        <f>SUMIFS('26OctTo1Nov'!$O:$O, '26OctTo1Nov'!$J:$J, $A189)</f>
        <v>0</v>
      </c>
      <c r="P189" s="121">
        <f>SUMIFS('26OctTo1Nov'!$P:$P, '26OctTo1Nov'!$J:$J, $A189)</f>
        <v>0</v>
      </c>
      <c r="Q189" s="122">
        <f t="shared" si="2"/>
        <v>0</v>
      </c>
      <c r="R189" s="121">
        <f>SUMIFS('19OctTo25Oct'!$L:$L, '19OctTo25Oct'!$J:$J, $A189)</f>
        <v>0</v>
      </c>
      <c r="S189" s="121">
        <f>SUMIFS('19OctTo25Oct'!$K:$K, '19OctTo25Oct'!$J:$J, $A189)</f>
        <v>0</v>
      </c>
      <c r="T189" s="121">
        <f>SUMIFS('19OctTo25Oct'!$O:$O, '19OctTo25Oct'!$J:$J, $A189)</f>
        <v>0</v>
      </c>
      <c r="U189" s="121">
        <f>SUMIFS('19OctTo25Oct'!$P:$P, '19OctTo25Oct'!$J:$J, $A189)</f>
        <v>0</v>
      </c>
      <c r="V189" s="122">
        <f t="shared" si="3"/>
        <v>0</v>
      </c>
      <c r="W189" s="121">
        <f>SUMIFS('12OctTo18Oct'!$L:$L, '12OctTo18Oct'!$J:$J, $A189)</f>
        <v>0</v>
      </c>
      <c r="X189" s="121">
        <f>SUMIFS('12OctTo18Oct'!$K:$K, '12OctTo18Oct'!$J:$J, $A189)</f>
        <v>0</v>
      </c>
      <c r="Y189" s="121">
        <f>SUMIFS('12OctTo18Oct'!$O:$O, '12OctTo18Oct'!$J:$J, $A189)</f>
        <v>0</v>
      </c>
      <c r="Z189" s="121">
        <f>SUMIFS('12OctTo18Oct'!$P:$P, '12OctTo18Oct'!$J:$J, $A189)</f>
        <v>0</v>
      </c>
      <c r="AA189" s="122">
        <f t="shared" si="4"/>
        <v>0</v>
      </c>
      <c r="AB189" s="121">
        <f>SUMIFS('5OctTo11Oct'!$L:$L, '5OctTo11Oct'!$J:$J, $A189)</f>
        <v>0</v>
      </c>
      <c r="AC189" s="121">
        <f>SUMIFS('5OctTo11Oct'!$K:$K, '5OctTo11Oct'!$J:$J, $A189)</f>
        <v>0</v>
      </c>
      <c r="AD189" s="121">
        <f>SUMIFS('5OctTo11Oct'!$O:$O, '5OctTo11Oct'!$J:$J, $A189)</f>
        <v>0</v>
      </c>
      <c r="AE189" s="121">
        <f>SUMIFS('5OctTo11Oct'!$P:$P, '5OctTo11Oct'!$J:$J, $A189)</f>
        <v>0</v>
      </c>
      <c r="AF189" s="123">
        <f t="shared" si="5"/>
        <v>0</v>
      </c>
      <c r="AG189" s="121">
        <f>SUMIFS('28SepTo4Oct'!$L:$L, '28SepTo4Oct'!$J:$J, $A189)</f>
        <v>0</v>
      </c>
      <c r="AH189" s="121">
        <f>SUMIFS('28SepTo4Oct'!$K:$K, '28SepTo4Oct'!$J:$J, $A189)</f>
        <v>0</v>
      </c>
      <c r="AI189" s="121">
        <f>SUMIFS('28SepTo4Oct'!$O:$O, '28SepTo4Oct'!$J:$J, $A189)</f>
        <v>0</v>
      </c>
      <c r="AJ189" s="121">
        <f>SUMIFS('28SepTo4Oct'!$P:$P, '28SepTo4Oct'!$J:$J, $A189)</f>
        <v>0</v>
      </c>
      <c r="AK189" s="123">
        <f t="shared" si="6"/>
        <v>0</v>
      </c>
      <c r="AL189" s="121">
        <f>SUMIFS('21SepTo27Sep'!$L:$L, '21SepTo27Sep'!$J:$J, $A189)</f>
        <v>0</v>
      </c>
      <c r="AM189" s="121">
        <f>SUMIFS('21SepTo27Sep'!$K:$K, '21SepTo27Sep'!$J:$J, $A189)</f>
        <v>0</v>
      </c>
      <c r="AN189" s="121">
        <f>SUMIFS('21SepTo27Sep'!$O:$O, '21SepTo27Sep'!$J:$J, $A189)</f>
        <v>0</v>
      </c>
      <c r="AO189" s="121">
        <f>SUMIFS('21SepTo27Sep'!$P:$P, '21SepTo27Sep'!$J:$J, $A189)</f>
        <v>0</v>
      </c>
      <c r="AP189" s="123">
        <f t="shared" si="7"/>
        <v>0</v>
      </c>
      <c r="AQ189" s="121">
        <f>SUMIFS('14SepTo20Sep'!$L:$L, '14SepTo20Sep'!$J:$J, $A189)</f>
        <v>0</v>
      </c>
      <c r="AR189" s="121">
        <f>SUMIFS('14SepTo20Sep'!$K:$K, '14SepTo20Sep'!$J:$J, $A189)</f>
        <v>0</v>
      </c>
      <c r="AS189" s="121">
        <f>SUMIFS('14SepTo20Sep'!$O:$O, '14SepTo20Sep'!$J:$J, $A189)</f>
        <v>0</v>
      </c>
      <c r="AT189" s="121">
        <f>SUMIFS('14SepTo20Sep'!$P:$P, '14SepTo20Sep'!$J:$J, $A189)</f>
        <v>0</v>
      </c>
      <c r="AU189" s="123">
        <f t="shared" si="8"/>
        <v>0</v>
      </c>
      <c r="AV189" s="121">
        <f>SUMIFS('7SepTo13Sep'!$L:$L, '7SepTo13Sep'!$J:$J, $A189)</f>
        <v>0</v>
      </c>
      <c r="AW189" s="121">
        <f>SUMIFS('7SepTo13Sep'!$K:$K, '7SepTo13Sep'!$J:$J, $A189)</f>
        <v>0</v>
      </c>
      <c r="AX189" s="121">
        <f>SUMIFS('7SepTo13Sep'!$O:$O, '7SepTo13Sep'!$J:$J, $A189)</f>
        <v>0</v>
      </c>
      <c r="AY189" s="121">
        <f>SUMIFS('7SepTo13Sep'!$P:$P, '7SepTo13Sep'!$J:$J, $A189)</f>
        <v>0</v>
      </c>
      <c r="AZ189" s="123">
        <f t="shared" si="9"/>
        <v>0</v>
      </c>
      <c r="BA189" s="121">
        <f>SUMIFS('31AugTo6Sep'!$L:$L, '31AugTo6Sep'!$J:$J, $A189)</f>
        <v>0</v>
      </c>
      <c r="BB189" s="121">
        <f>SUMIFS('31AugTo6Sep'!$K:$K, '31AugTo6Sep'!$J:$J, $A189)</f>
        <v>0</v>
      </c>
      <c r="BC189" s="121">
        <f>SUMIFS('31AugTo6Sep'!$O:$O, '31AugTo6Sep'!$J:$J, $A189)</f>
        <v>0</v>
      </c>
      <c r="BD189" s="121">
        <f>SUMIFS('31AugTo6Sep'!$P:$P, '31AugTo6Sep'!$J:$J, $A189)</f>
        <v>0</v>
      </c>
      <c r="BE189" s="123">
        <f t="shared" si="10"/>
        <v>0</v>
      </c>
      <c r="BF189" s="121">
        <f>SUMIFS('24AugTo29Aug'!$L:$L, '24AugTo29Aug'!$J:$J, $A189)</f>
        <v>0</v>
      </c>
      <c r="BG189" s="121">
        <f>SUMIFS('24AugTo29Aug'!$K:$K, '24AugTo29Aug'!$J:$J, $A189)</f>
        <v>0</v>
      </c>
      <c r="BH189" s="121">
        <f>SUMIFS('24AugTo29Aug'!$O:$O, '24AugTo29Aug'!$J:$J, $A189)</f>
        <v>0</v>
      </c>
      <c r="BI189" s="121">
        <f>SUMIFS('24AugTo29Aug'!$P:$P, '24AugTo29Aug'!$J:$J, $A189)</f>
        <v>0</v>
      </c>
      <c r="BJ189" s="123">
        <f t="shared" si="11"/>
        <v>0</v>
      </c>
      <c r="BK189" s="121">
        <f>SUMIFS('17AugTo21Aug'!$L:$L, '17AugTo21Aug'!$J:$J, $A189)</f>
        <v>0</v>
      </c>
      <c r="BL189" s="121">
        <f>SUMIFS('17AugTo21Aug'!$K:$K, '17AugTo21Aug'!$J:$J, $A189)</f>
        <v>0</v>
      </c>
      <c r="BM189" s="121">
        <f>SUMIFS('17AugTo21Aug'!$O:$O, '17AugTo21Aug'!$J:$J, $A189)</f>
        <v>0</v>
      </c>
      <c r="BN189" s="121">
        <f>SUMIFS('17AugTo21Aug'!$P:$P, '17AugTo21Aug'!$J:$J, $A189)</f>
        <v>0</v>
      </c>
      <c r="BO189" s="123">
        <f t="shared" si="12"/>
        <v>0</v>
      </c>
      <c r="BP189" s="121">
        <f>SUMIFS('10AugTo16Aug'!$L:$L, '10AugTo16Aug'!$J:$J, $A189)</f>
        <v>0</v>
      </c>
      <c r="BQ189" s="121">
        <f>SUMIFS('10AugTo16Aug'!$K:$K, '10AugTo16Aug'!$J:$J, $A189)</f>
        <v>0</v>
      </c>
      <c r="BR189" s="121">
        <f>SUMIFS('10AugTo16Aug'!$O:$O, '10AugTo16Aug'!$J:$J, $A189)</f>
        <v>0</v>
      </c>
      <c r="BS189" s="121">
        <f>SUMIFS('10AugTo16Aug'!$P:$P, '10AugTo16Aug'!$J:$J, $A189)</f>
        <v>0</v>
      </c>
      <c r="BT189" s="123">
        <f t="shared" si="13"/>
        <v>0</v>
      </c>
      <c r="BU189" s="121">
        <f>SUMIFS('3AugTo9Aug'!$L:$L, '3AugTo9Aug'!$J:$J, $A189)</f>
        <v>5</v>
      </c>
      <c r="BV189" s="121">
        <f>SUMIFS('3AugTo9Aug'!$K:$K, '3AugTo9Aug'!$J:$J, $A189)</f>
        <v>36</v>
      </c>
      <c r="BW189" s="121">
        <f>SUMIFS('3AugTo9Aug'!$O:$O, '3AugTo9Aug'!$J:$J, $A189)</f>
        <v>15.17</v>
      </c>
      <c r="BX189" s="121">
        <f>SUMIFS('3AugTo9Aug'!$P:$P, '3AugTo9Aug'!$J:$J, $A189)</f>
        <v>49.88</v>
      </c>
      <c r="BY189" s="123">
        <f t="shared" si="14"/>
        <v>30.412991178829191</v>
      </c>
      <c r="BZ189" s="121">
        <f>SUMIFS('27JulyTo2Aug'!$L:$L, '27JulyTo2Aug'!$J:$J, $A189)</f>
        <v>0</v>
      </c>
      <c r="CA189" s="121">
        <f>SUMIFS('27JulyTo2Aug'!$K:$K, '27JulyTo2Aug'!$J:$J, $A189)</f>
        <v>0</v>
      </c>
      <c r="CB189" s="121">
        <f>SUMIFS('27JulyTo2Aug'!$O:$O, '27JulyTo2Aug'!$J:$J, $A189)</f>
        <v>0</v>
      </c>
      <c r="CC189" s="121">
        <f>SUMIFS('27JulyTo2Aug'!$P:$P, '27JulyTo2Aug'!$J:$J, $A189)</f>
        <v>0</v>
      </c>
      <c r="CD189" s="123">
        <f t="shared" si="15"/>
        <v>0</v>
      </c>
    </row>
    <row r="190" spans="1:82" ht="14.25" customHeight="1" x14ac:dyDescent="0.3">
      <c r="A190" s="124" t="s">
        <v>803</v>
      </c>
      <c r="B190" s="120" t="str">
        <f t="shared" si="18"/>
        <v>NO TRAFFIC</v>
      </c>
      <c r="C190" s="121">
        <f>SUMIFS('9NovTo15Nov'!$L:$L, '9NovTo15Nov'!$J:$J, $A190)</f>
        <v>0</v>
      </c>
      <c r="D190" s="121">
        <f>SUMIFS('9NovTo15Nov'!$K:$K, '9NovTo15Nov'!$J:$J, $A190)</f>
        <v>0</v>
      </c>
      <c r="E190" s="121">
        <f>SUMIFS('9NovTo15Nov'!$O:$O, '9NovTo15Nov'!$J:$J, $A190)</f>
        <v>0</v>
      </c>
      <c r="F190" s="121">
        <f>SUMIFS('9NovTo15Nov'!$P:$P, '9NovTo15Nov'!$J:$J, $A190)</f>
        <v>0</v>
      </c>
      <c r="G190" s="122">
        <f t="shared" si="0"/>
        <v>0</v>
      </c>
      <c r="H190" s="121">
        <f>SUMIFS('2NovTo8Nov'!$L:$L, '2NovTo8Nov'!$J:$J, $A190)</f>
        <v>0</v>
      </c>
      <c r="I190" s="121">
        <f>SUMIFS('2NovTo8Nov'!$K:$K, '2NovTo8Nov'!$J:$J, $A190)</f>
        <v>0</v>
      </c>
      <c r="J190" s="121">
        <f>SUMIFS('2NovTo8Nov'!$O:$O, '2NovTo8Nov'!$J:$J, $A190)</f>
        <v>0</v>
      </c>
      <c r="K190" s="121">
        <f>SUMIFS('2NovTo8Nov'!$P:$P, '2NovTo8Nov'!$J:$J, $A190)</f>
        <v>0</v>
      </c>
      <c r="L190" s="122">
        <f t="shared" si="1"/>
        <v>0</v>
      </c>
      <c r="M190" s="121">
        <f>SUMIFS('26OctTo1Nov'!$L:$L, '26OctTo1Nov'!$J:$J, $A190)</f>
        <v>0</v>
      </c>
      <c r="N190" s="121">
        <f>SUMIFS('26OctTo1Nov'!$K:$K, '26OctTo1Nov'!$J:$J, $A190)</f>
        <v>0</v>
      </c>
      <c r="O190" s="121">
        <f>SUMIFS('26OctTo1Nov'!$O:$O, '26OctTo1Nov'!$J:$J, $A190)</f>
        <v>0</v>
      </c>
      <c r="P190" s="121">
        <f>SUMIFS('26OctTo1Nov'!$P:$P, '26OctTo1Nov'!$J:$J, $A190)</f>
        <v>0</v>
      </c>
      <c r="Q190" s="122">
        <f t="shared" si="2"/>
        <v>0</v>
      </c>
      <c r="R190" s="121">
        <f>SUMIFS('19OctTo25Oct'!$L:$L, '19OctTo25Oct'!$J:$J, $A190)</f>
        <v>0</v>
      </c>
      <c r="S190" s="121">
        <f>SUMIFS('19OctTo25Oct'!$K:$K, '19OctTo25Oct'!$J:$J, $A190)</f>
        <v>0</v>
      </c>
      <c r="T190" s="121">
        <f>SUMIFS('19OctTo25Oct'!$O:$O, '19OctTo25Oct'!$J:$J, $A190)</f>
        <v>0</v>
      </c>
      <c r="U190" s="121">
        <f>SUMIFS('19OctTo25Oct'!$P:$P, '19OctTo25Oct'!$J:$J, $A190)</f>
        <v>0</v>
      </c>
      <c r="V190" s="122">
        <f t="shared" si="3"/>
        <v>0</v>
      </c>
      <c r="W190" s="121">
        <f>SUMIFS('12OctTo18Oct'!$L:$L, '12OctTo18Oct'!$J:$J, $A190)</f>
        <v>0</v>
      </c>
      <c r="X190" s="121">
        <f>SUMIFS('12OctTo18Oct'!$K:$K, '12OctTo18Oct'!$J:$J, $A190)</f>
        <v>0</v>
      </c>
      <c r="Y190" s="121">
        <f>SUMIFS('12OctTo18Oct'!$O:$O, '12OctTo18Oct'!$J:$J, $A190)</f>
        <v>0</v>
      </c>
      <c r="Z190" s="121">
        <f>SUMIFS('12OctTo18Oct'!$P:$P, '12OctTo18Oct'!$J:$J, $A190)</f>
        <v>0</v>
      </c>
      <c r="AA190" s="122">
        <f t="shared" si="4"/>
        <v>0</v>
      </c>
      <c r="AB190" s="121">
        <f>SUMIFS('5OctTo11Oct'!$L:$L, '5OctTo11Oct'!$J:$J, $A190)</f>
        <v>0</v>
      </c>
      <c r="AC190" s="121">
        <f>SUMIFS('5OctTo11Oct'!$K:$K, '5OctTo11Oct'!$J:$J, $A190)</f>
        <v>0</v>
      </c>
      <c r="AD190" s="121">
        <f>SUMIFS('5OctTo11Oct'!$O:$O, '5OctTo11Oct'!$J:$J, $A190)</f>
        <v>0</v>
      </c>
      <c r="AE190" s="121">
        <f>SUMIFS('5OctTo11Oct'!$P:$P, '5OctTo11Oct'!$J:$J, $A190)</f>
        <v>0</v>
      </c>
      <c r="AF190" s="123">
        <f t="shared" si="5"/>
        <v>0</v>
      </c>
      <c r="AG190" s="121">
        <f>SUMIFS('28SepTo4Oct'!$L:$L, '28SepTo4Oct'!$J:$J, $A190)</f>
        <v>0</v>
      </c>
      <c r="AH190" s="121">
        <f>SUMIFS('28SepTo4Oct'!$K:$K, '28SepTo4Oct'!$J:$J, $A190)</f>
        <v>0</v>
      </c>
      <c r="AI190" s="121">
        <f>SUMIFS('28SepTo4Oct'!$O:$O, '28SepTo4Oct'!$J:$J, $A190)</f>
        <v>0</v>
      </c>
      <c r="AJ190" s="121">
        <f>SUMIFS('28SepTo4Oct'!$P:$P, '28SepTo4Oct'!$J:$J, $A190)</f>
        <v>0</v>
      </c>
      <c r="AK190" s="123">
        <f t="shared" si="6"/>
        <v>0</v>
      </c>
      <c r="AL190" s="121">
        <f>SUMIFS('21SepTo27Sep'!$L:$L, '21SepTo27Sep'!$J:$J, $A190)</f>
        <v>0</v>
      </c>
      <c r="AM190" s="121">
        <f>SUMIFS('21SepTo27Sep'!$K:$K, '21SepTo27Sep'!$J:$J, $A190)</f>
        <v>0</v>
      </c>
      <c r="AN190" s="121">
        <f>SUMIFS('21SepTo27Sep'!$O:$O, '21SepTo27Sep'!$J:$J, $A190)</f>
        <v>0</v>
      </c>
      <c r="AO190" s="121">
        <f>SUMIFS('21SepTo27Sep'!$P:$P, '21SepTo27Sep'!$J:$J, $A190)</f>
        <v>0</v>
      </c>
      <c r="AP190" s="123">
        <f t="shared" si="7"/>
        <v>0</v>
      </c>
      <c r="AQ190" s="121">
        <f>SUMIFS('14SepTo20Sep'!$L:$L, '14SepTo20Sep'!$J:$J, $A190)</f>
        <v>0</v>
      </c>
      <c r="AR190" s="121">
        <f>SUMIFS('14SepTo20Sep'!$K:$K, '14SepTo20Sep'!$J:$J, $A190)</f>
        <v>0</v>
      </c>
      <c r="AS190" s="121">
        <f>SUMIFS('14SepTo20Sep'!$O:$O, '14SepTo20Sep'!$J:$J, $A190)</f>
        <v>0</v>
      </c>
      <c r="AT190" s="121">
        <f>SUMIFS('14SepTo20Sep'!$P:$P, '14SepTo20Sep'!$J:$J, $A190)</f>
        <v>0</v>
      </c>
      <c r="AU190" s="123">
        <f t="shared" si="8"/>
        <v>0</v>
      </c>
      <c r="AV190" s="121">
        <f>SUMIFS('7SepTo13Sep'!$L:$L, '7SepTo13Sep'!$J:$J, $A190)</f>
        <v>0</v>
      </c>
      <c r="AW190" s="121">
        <f>SUMIFS('7SepTo13Sep'!$K:$K, '7SepTo13Sep'!$J:$J, $A190)</f>
        <v>0</v>
      </c>
      <c r="AX190" s="121">
        <f>SUMIFS('7SepTo13Sep'!$O:$O, '7SepTo13Sep'!$J:$J, $A190)</f>
        <v>0</v>
      </c>
      <c r="AY190" s="121">
        <f>SUMIFS('7SepTo13Sep'!$P:$P, '7SepTo13Sep'!$J:$J, $A190)</f>
        <v>0</v>
      </c>
      <c r="AZ190" s="123">
        <f t="shared" si="9"/>
        <v>0</v>
      </c>
      <c r="BA190" s="121">
        <f>SUMIFS('31AugTo6Sep'!$L:$L, '31AugTo6Sep'!$J:$J, $A190)</f>
        <v>0</v>
      </c>
      <c r="BB190" s="121">
        <f>SUMIFS('31AugTo6Sep'!$K:$K, '31AugTo6Sep'!$J:$J, $A190)</f>
        <v>0</v>
      </c>
      <c r="BC190" s="121">
        <f>SUMIFS('31AugTo6Sep'!$O:$O, '31AugTo6Sep'!$J:$J, $A190)</f>
        <v>0</v>
      </c>
      <c r="BD190" s="121">
        <f>SUMIFS('31AugTo6Sep'!$P:$P, '31AugTo6Sep'!$J:$J, $A190)</f>
        <v>0</v>
      </c>
      <c r="BE190" s="123">
        <f t="shared" si="10"/>
        <v>0</v>
      </c>
      <c r="BF190" s="121">
        <f>SUMIFS('24AugTo29Aug'!$L:$L, '24AugTo29Aug'!$J:$J, $A190)</f>
        <v>0</v>
      </c>
      <c r="BG190" s="121">
        <f>SUMIFS('24AugTo29Aug'!$K:$K, '24AugTo29Aug'!$J:$J, $A190)</f>
        <v>0</v>
      </c>
      <c r="BH190" s="121">
        <f>SUMIFS('24AugTo29Aug'!$O:$O, '24AugTo29Aug'!$J:$J, $A190)</f>
        <v>0</v>
      </c>
      <c r="BI190" s="121">
        <f>SUMIFS('24AugTo29Aug'!$P:$P, '24AugTo29Aug'!$J:$J, $A190)</f>
        <v>0</v>
      </c>
      <c r="BJ190" s="123">
        <f t="shared" si="11"/>
        <v>0</v>
      </c>
      <c r="BK190" s="121">
        <f>SUMIFS('17AugTo21Aug'!$L:$L, '17AugTo21Aug'!$J:$J, $A190)</f>
        <v>0</v>
      </c>
      <c r="BL190" s="121">
        <f>SUMIFS('17AugTo21Aug'!$K:$K, '17AugTo21Aug'!$J:$J, $A190)</f>
        <v>0</v>
      </c>
      <c r="BM190" s="121">
        <f>SUMIFS('17AugTo21Aug'!$O:$O, '17AugTo21Aug'!$J:$J, $A190)</f>
        <v>0</v>
      </c>
      <c r="BN190" s="121">
        <f>SUMIFS('17AugTo21Aug'!$P:$P, '17AugTo21Aug'!$J:$J, $A190)</f>
        <v>0</v>
      </c>
      <c r="BO190" s="123">
        <f t="shared" si="12"/>
        <v>0</v>
      </c>
      <c r="BP190" s="121">
        <f>SUMIFS('10AugTo16Aug'!$L:$L, '10AugTo16Aug'!$J:$J, $A190)</f>
        <v>0</v>
      </c>
      <c r="BQ190" s="121">
        <f>SUMIFS('10AugTo16Aug'!$K:$K, '10AugTo16Aug'!$J:$J, $A190)</f>
        <v>0</v>
      </c>
      <c r="BR190" s="121">
        <f>SUMIFS('10AugTo16Aug'!$O:$O, '10AugTo16Aug'!$J:$J, $A190)</f>
        <v>0</v>
      </c>
      <c r="BS190" s="121">
        <f>SUMIFS('10AugTo16Aug'!$P:$P, '10AugTo16Aug'!$J:$J, $A190)</f>
        <v>0</v>
      </c>
      <c r="BT190" s="123">
        <f t="shared" si="13"/>
        <v>0</v>
      </c>
      <c r="BU190" s="121">
        <f>SUMIFS('3AugTo9Aug'!$L:$L, '3AugTo9Aug'!$J:$J, $A190)</f>
        <v>5</v>
      </c>
      <c r="BV190" s="121">
        <f>SUMIFS('3AugTo9Aug'!$K:$K, '3AugTo9Aug'!$J:$J, $A190)</f>
        <v>30</v>
      </c>
      <c r="BW190" s="121">
        <f>SUMIFS('3AugTo9Aug'!$O:$O, '3AugTo9Aug'!$J:$J, $A190)</f>
        <v>16.37</v>
      </c>
      <c r="BX190" s="121">
        <f>SUMIFS('3AugTo9Aug'!$P:$P, '3AugTo9Aug'!$J:$J, $A190)</f>
        <v>24.94</v>
      </c>
      <c r="BY190" s="123">
        <f t="shared" si="14"/>
        <v>65.637530072173206</v>
      </c>
      <c r="BZ190" s="121">
        <f>SUMIFS('27JulyTo2Aug'!$L:$L, '27JulyTo2Aug'!$J:$J, $A190)</f>
        <v>0</v>
      </c>
      <c r="CA190" s="121">
        <f>SUMIFS('27JulyTo2Aug'!$K:$K, '27JulyTo2Aug'!$J:$J, $A190)</f>
        <v>0</v>
      </c>
      <c r="CB190" s="121">
        <f>SUMIFS('27JulyTo2Aug'!$O:$O, '27JulyTo2Aug'!$J:$J, $A190)</f>
        <v>0</v>
      </c>
      <c r="CC190" s="121">
        <f>SUMIFS('27JulyTo2Aug'!$P:$P, '27JulyTo2Aug'!$J:$J, $A190)</f>
        <v>0</v>
      </c>
      <c r="CD190" s="123">
        <f t="shared" si="15"/>
        <v>0</v>
      </c>
    </row>
    <row r="191" spans="1:82" ht="14.25" customHeight="1" x14ac:dyDescent="0.3">
      <c r="A191" s="124" t="s">
        <v>812</v>
      </c>
      <c r="B191" s="120" t="str">
        <f t="shared" si="18"/>
        <v>NO TRAFFIC</v>
      </c>
      <c r="C191" s="121">
        <f>SUMIFS('9NovTo15Nov'!$L:$L, '9NovTo15Nov'!$J:$J, $A191)</f>
        <v>0</v>
      </c>
      <c r="D191" s="121">
        <f>SUMIFS('9NovTo15Nov'!$K:$K, '9NovTo15Nov'!$J:$J, $A191)</f>
        <v>0</v>
      </c>
      <c r="E191" s="121">
        <f>SUMIFS('9NovTo15Nov'!$O:$O, '9NovTo15Nov'!$J:$J, $A191)</f>
        <v>0</v>
      </c>
      <c r="F191" s="121">
        <f>SUMIFS('9NovTo15Nov'!$P:$P, '9NovTo15Nov'!$J:$J, $A191)</f>
        <v>0</v>
      </c>
      <c r="G191" s="122">
        <f t="shared" si="0"/>
        <v>0</v>
      </c>
      <c r="H191" s="121">
        <f>SUMIFS('2NovTo8Nov'!$L:$L, '2NovTo8Nov'!$J:$J, $A191)</f>
        <v>0</v>
      </c>
      <c r="I191" s="121">
        <f>SUMIFS('2NovTo8Nov'!$K:$K, '2NovTo8Nov'!$J:$J, $A191)</f>
        <v>0</v>
      </c>
      <c r="J191" s="121">
        <f>SUMIFS('2NovTo8Nov'!$O:$O, '2NovTo8Nov'!$J:$J, $A191)</f>
        <v>0</v>
      </c>
      <c r="K191" s="121">
        <f>SUMIFS('2NovTo8Nov'!$P:$P, '2NovTo8Nov'!$J:$J, $A191)</f>
        <v>0</v>
      </c>
      <c r="L191" s="122">
        <f t="shared" si="1"/>
        <v>0</v>
      </c>
      <c r="M191" s="121">
        <f>SUMIFS('26OctTo1Nov'!$L:$L, '26OctTo1Nov'!$J:$J, $A191)</f>
        <v>0</v>
      </c>
      <c r="N191" s="121">
        <f>SUMIFS('26OctTo1Nov'!$K:$K, '26OctTo1Nov'!$J:$J, $A191)</f>
        <v>0</v>
      </c>
      <c r="O191" s="121">
        <f>SUMIFS('26OctTo1Nov'!$O:$O, '26OctTo1Nov'!$J:$J, $A191)</f>
        <v>0</v>
      </c>
      <c r="P191" s="121">
        <f>SUMIFS('26OctTo1Nov'!$P:$P, '26OctTo1Nov'!$J:$J, $A191)</f>
        <v>0</v>
      </c>
      <c r="Q191" s="122">
        <f t="shared" si="2"/>
        <v>0</v>
      </c>
      <c r="R191" s="121">
        <f>SUMIFS('19OctTo25Oct'!$L:$L, '19OctTo25Oct'!$J:$J, $A191)</f>
        <v>0</v>
      </c>
      <c r="S191" s="121">
        <f>SUMIFS('19OctTo25Oct'!$K:$K, '19OctTo25Oct'!$J:$J, $A191)</f>
        <v>0</v>
      </c>
      <c r="T191" s="121">
        <f>SUMIFS('19OctTo25Oct'!$O:$O, '19OctTo25Oct'!$J:$J, $A191)</f>
        <v>0</v>
      </c>
      <c r="U191" s="121">
        <f>SUMIFS('19OctTo25Oct'!$P:$P, '19OctTo25Oct'!$J:$J, $A191)</f>
        <v>0</v>
      </c>
      <c r="V191" s="122">
        <f t="shared" si="3"/>
        <v>0</v>
      </c>
      <c r="W191" s="121">
        <f>SUMIFS('12OctTo18Oct'!$L:$L, '12OctTo18Oct'!$J:$J, $A191)</f>
        <v>0</v>
      </c>
      <c r="X191" s="121">
        <f>SUMIFS('12OctTo18Oct'!$K:$K, '12OctTo18Oct'!$J:$J, $A191)</f>
        <v>0</v>
      </c>
      <c r="Y191" s="121">
        <f>SUMIFS('12OctTo18Oct'!$O:$O, '12OctTo18Oct'!$J:$J, $A191)</f>
        <v>0</v>
      </c>
      <c r="Z191" s="121">
        <f>SUMIFS('12OctTo18Oct'!$P:$P, '12OctTo18Oct'!$J:$J, $A191)</f>
        <v>0</v>
      </c>
      <c r="AA191" s="122">
        <f t="shared" si="4"/>
        <v>0</v>
      </c>
      <c r="AB191" s="121">
        <f>SUMIFS('5OctTo11Oct'!$L:$L, '5OctTo11Oct'!$J:$J, $A191)</f>
        <v>0</v>
      </c>
      <c r="AC191" s="121">
        <f>SUMIFS('5OctTo11Oct'!$K:$K, '5OctTo11Oct'!$J:$J, $A191)</f>
        <v>0</v>
      </c>
      <c r="AD191" s="121">
        <f>SUMIFS('5OctTo11Oct'!$O:$O, '5OctTo11Oct'!$J:$J, $A191)</f>
        <v>0</v>
      </c>
      <c r="AE191" s="121">
        <f>SUMIFS('5OctTo11Oct'!$P:$P, '5OctTo11Oct'!$J:$J, $A191)</f>
        <v>0</v>
      </c>
      <c r="AF191" s="123">
        <f t="shared" si="5"/>
        <v>0</v>
      </c>
      <c r="AG191" s="121">
        <f>SUMIFS('28SepTo4Oct'!$L:$L, '28SepTo4Oct'!$J:$J, $A191)</f>
        <v>0</v>
      </c>
      <c r="AH191" s="121">
        <f>SUMIFS('28SepTo4Oct'!$K:$K, '28SepTo4Oct'!$J:$J, $A191)</f>
        <v>0</v>
      </c>
      <c r="AI191" s="121">
        <f>SUMIFS('28SepTo4Oct'!$O:$O, '28SepTo4Oct'!$J:$J, $A191)</f>
        <v>0</v>
      </c>
      <c r="AJ191" s="121">
        <f>SUMIFS('28SepTo4Oct'!$P:$P, '28SepTo4Oct'!$J:$J, $A191)</f>
        <v>0</v>
      </c>
      <c r="AK191" s="123">
        <f t="shared" si="6"/>
        <v>0</v>
      </c>
      <c r="AL191" s="121">
        <f>SUMIFS('21SepTo27Sep'!$L:$L, '21SepTo27Sep'!$J:$J, $A191)</f>
        <v>0</v>
      </c>
      <c r="AM191" s="121">
        <f>SUMIFS('21SepTo27Sep'!$K:$K, '21SepTo27Sep'!$J:$J, $A191)</f>
        <v>0</v>
      </c>
      <c r="AN191" s="121">
        <f>SUMIFS('21SepTo27Sep'!$O:$O, '21SepTo27Sep'!$J:$J, $A191)</f>
        <v>0</v>
      </c>
      <c r="AO191" s="121">
        <f>SUMIFS('21SepTo27Sep'!$P:$P, '21SepTo27Sep'!$J:$J, $A191)</f>
        <v>0</v>
      </c>
      <c r="AP191" s="123">
        <f t="shared" si="7"/>
        <v>0</v>
      </c>
      <c r="AQ191" s="121">
        <f>SUMIFS('14SepTo20Sep'!$L:$L, '14SepTo20Sep'!$J:$J, $A191)</f>
        <v>0</v>
      </c>
      <c r="AR191" s="121">
        <f>SUMIFS('14SepTo20Sep'!$K:$K, '14SepTo20Sep'!$J:$J, $A191)</f>
        <v>0</v>
      </c>
      <c r="AS191" s="121">
        <f>SUMIFS('14SepTo20Sep'!$O:$O, '14SepTo20Sep'!$J:$J, $A191)</f>
        <v>0</v>
      </c>
      <c r="AT191" s="121">
        <f>SUMIFS('14SepTo20Sep'!$P:$P, '14SepTo20Sep'!$J:$J, $A191)</f>
        <v>0</v>
      </c>
      <c r="AU191" s="123">
        <f t="shared" si="8"/>
        <v>0</v>
      </c>
      <c r="AV191" s="121">
        <f>SUMIFS('7SepTo13Sep'!$L:$L, '7SepTo13Sep'!$J:$J, $A191)</f>
        <v>0</v>
      </c>
      <c r="AW191" s="121">
        <f>SUMIFS('7SepTo13Sep'!$K:$K, '7SepTo13Sep'!$J:$J, $A191)</f>
        <v>0</v>
      </c>
      <c r="AX191" s="121">
        <f>SUMIFS('7SepTo13Sep'!$O:$O, '7SepTo13Sep'!$J:$J, $A191)</f>
        <v>0</v>
      </c>
      <c r="AY191" s="121">
        <f>SUMIFS('7SepTo13Sep'!$P:$P, '7SepTo13Sep'!$J:$J, $A191)</f>
        <v>0</v>
      </c>
      <c r="AZ191" s="123">
        <f t="shared" si="9"/>
        <v>0</v>
      </c>
      <c r="BA191" s="121">
        <f>SUMIFS('31AugTo6Sep'!$L:$L, '31AugTo6Sep'!$J:$J, $A191)</f>
        <v>0</v>
      </c>
      <c r="BB191" s="121">
        <f>SUMIFS('31AugTo6Sep'!$K:$K, '31AugTo6Sep'!$J:$J, $A191)</f>
        <v>0</v>
      </c>
      <c r="BC191" s="121">
        <f>SUMIFS('31AugTo6Sep'!$O:$O, '31AugTo6Sep'!$J:$J, $A191)</f>
        <v>0</v>
      </c>
      <c r="BD191" s="121">
        <f>SUMIFS('31AugTo6Sep'!$P:$P, '31AugTo6Sep'!$J:$J, $A191)</f>
        <v>0</v>
      </c>
      <c r="BE191" s="123">
        <f t="shared" si="10"/>
        <v>0</v>
      </c>
      <c r="BF191" s="121">
        <f>SUMIFS('24AugTo29Aug'!$L:$L, '24AugTo29Aug'!$J:$J, $A191)</f>
        <v>0</v>
      </c>
      <c r="BG191" s="121">
        <f>SUMIFS('24AugTo29Aug'!$K:$K, '24AugTo29Aug'!$J:$J, $A191)</f>
        <v>0</v>
      </c>
      <c r="BH191" s="121">
        <f>SUMIFS('24AugTo29Aug'!$O:$O, '24AugTo29Aug'!$J:$J, $A191)</f>
        <v>0</v>
      </c>
      <c r="BI191" s="121">
        <f>SUMIFS('24AugTo29Aug'!$P:$P, '24AugTo29Aug'!$J:$J, $A191)</f>
        <v>0</v>
      </c>
      <c r="BJ191" s="123">
        <f t="shared" si="11"/>
        <v>0</v>
      </c>
      <c r="BK191" s="121">
        <f>SUMIFS('17AugTo21Aug'!$L:$L, '17AugTo21Aug'!$J:$J, $A191)</f>
        <v>0</v>
      </c>
      <c r="BL191" s="121">
        <f>SUMIFS('17AugTo21Aug'!$K:$K, '17AugTo21Aug'!$J:$J, $A191)</f>
        <v>0</v>
      </c>
      <c r="BM191" s="121">
        <f>SUMIFS('17AugTo21Aug'!$O:$O, '17AugTo21Aug'!$J:$J, $A191)</f>
        <v>0</v>
      </c>
      <c r="BN191" s="121">
        <f>SUMIFS('17AugTo21Aug'!$P:$P, '17AugTo21Aug'!$J:$J, $A191)</f>
        <v>0</v>
      </c>
      <c r="BO191" s="123">
        <f t="shared" si="12"/>
        <v>0</v>
      </c>
      <c r="BP191" s="121">
        <f>SUMIFS('10AugTo16Aug'!$L:$L, '10AugTo16Aug'!$J:$J, $A191)</f>
        <v>0</v>
      </c>
      <c r="BQ191" s="121">
        <f>SUMIFS('10AugTo16Aug'!$K:$K, '10AugTo16Aug'!$J:$J, $A191)</f>
        <v>0</v>
      </c>
      <c r="BR191" s="121">
        <f>SUMIFS('10AugTo16Aug'!$O:$O, '10AugTo16Aug'!$J:$J, $A191)</f>
        <v>0</v>
      </c>
      <c r="BS191" s="121">
        <f>SUMIFS('10AugTo16Aug'!$P:$P, '10AugTo16Aug'!$J:$J, $A191)</f>
        <v>0</v>
      </c>
      <c r="BT191" s="123">
        <f t="shared" si="13"/>
        <v>0</v>
      </c>
      <c r="BU191" s="121">
        <f>SUMIFS('3AugTo9Aug'!$L:$L, '3AugTo9Aug'!$J:$J, $A191)</f>
        <v>1</v>
      </c>
      <c r="BV191" s="121">
        <f>SUMIFS('3AugTo9Aug'!$K:$K, '3AugTo9Aug'!$J:$J, $A191)</f>
        <v>2</v>
      </c>
      <c r="BW191" s="121">
        <f>SUMIFS('3AugTo9Aug'!$O:$O, '3AugTo9Aug'!$J:$J, $A191)</f>
        <v>2.9</v>
      </c>
      <c r="BX191" s="121">
        <f>SUMIFS('3AugTo9Aug'!$P:$P, '3AugTo9Aug'!$J:$J, $A191)</f>
        <v>24.94</v>
      </c>
      <c r="BY191" s="123">
        <f t="shared" si="14"/>
        <v>11.627906976744185</v>
      </c>
      <c r="BZ191" s="121">
        <f>SUMIFS('27JulyTo2Aug'!$L:$L, '27JulyTo2Aug'!$J:$J, $A191)</f>
        <v>0</v>
      </c>
      <c r="CA191" s="121">
        <f>SUMIFS('27JulyTo2Aug'!$K:$K, '27JulyTo2Aug'!$J:$J, $A191)</f>
        <v>0</v>
      </c>
      <c r="CB191" s="121">
        <f>SUMIFS('27JulyTo2Aug'!$O:$O, '27JulyTo2Aug'!$J:$J, $A191)</f>
        <v>0</v>
      </c>
      <c r="CC191" s="121">
        <f>SUMIFS('27JulyTo2Aug'!$P:$P, '27JulyTo2Aug'!$J:$J, $A191)</f>
        <v>0</v>
      </c>
      <c r="CD191" s="123">
        <f t="shared" si="15"/>
        <v>0</v>
      </c>
    </row>
    <row r="192" spans="1:82" ht="14.25" customHeight="1" x14ac:dyDescent="0.3">
      <c r="A192" s="124" t="s">
        <v>814</v>
      </c>
      <c r="B192" s="120" t="str">
        <f t="shared" si="18"/>
        <v>NO TRAFFIC</v>
      </c>
      <c r="C192" s="121">
        <f>SUMIFS('9NovTo15Nov'!$L:$L, '9NovTo15Nov'!$J:$J, $A192)</f>
        <v>0</v>
      </c>
      <c r="D192" s="121">
        <f>SUMIFS('9NovTo15Nov'!$K:$K, '9NovTo15Nov'!$J:$J, $A192)</f>
        <v>0</v>
      </c>
      <c r="E192" s="121">
        <f>SUMIFS('9NovTo15Nov'!$O:$O, '9NovTo15Nov'!$J:$J, $A192)</f>
        <v>0</v>
      </c>
      <c r="F192" s="121">
        <f>SUMIFS('9NovTo15Nov'!$P:$P, '9NovTo15Nov'!$J:$J, $A192)</f>
        <v>0</v>
      </c>
      <c r="G192" s="122">
        <f t="shared" si="0"/>
        <v>0</v>
      </c>
      <c r="H192" s="121">
        <f>SUMIFS('2NovTo8Nov'!$L:$L, '2NovTo8Nov'!$J:$J, $A192)</f>
        <v>0</v>
      </c>
      <c r="I192" s="121">
        <f>SUMIFS('2NovTo8Nov'!$K:$K, '2NovTo8Nov'!$J:$J, $A192)</f>
        <v>0</v>
      </c>
      <c r="J192" s="121">
        <f>SUMIFS('2NovTo8Nov'!$O:$O, '2NovTo8Nov'!$J:$J, $A192)</f>
        <v>0</v>
      </c>
      <c r="K192" s="121">
        <f>SUMIFS('2NovTo8Nov'!$P:$P, '2NovTo8Nov'!$J:$J, $A192)</f>
        <v>0</v>
      </c>
      <c r="L192" s="122">
        <f t="shared" si="1"/>
        <v>0</v>
      </c>
      <c r="M192" s="121">
        <f>SUMIFS('26OctTo1Nov'!$L:$L, '26OctTo1Nov'!$J:$J, $A192)</f>
        <v>0</v>
      </c>
      <c r="N192" s="121">
        <f>SUMIFS('26OctTo1Nov'!$K:$K, '26OctTo1Nov'!$J:$J, $A192)</f>
        <v>0</v>
      </c>
      <c r="O192" s="121">
        <f>SUMIFS('26OctTo1Nov'!$O:$O, '26OctTo1Nov'!$J:$J, $A192)</f>
        <v>0</v>
      </c>
      <c r="P192" s="121">
        <f>SUMIFS('26OctTo1Nov'!$P:$P, '26OctTo1Nov'!$J:$J, $A192)</f>
        <v>0</v>
      </c>
      <c r="Q192" s="122">
        <f t="shared" si="2"/>
        <v>0</v>
      </c>
      <c r="R192" s="121">
        <f>SUMIFS('19OctTo25Oct'!$L:$L, '19OctTo25Oct'!$J:$J, $A192)</f>
        <v>0</v>
      </c>
      <c r="S192" s="121">
        <f>SUMIFS('19OctTo25Oct'!$K:$K, '19OctTo25Oct'!$J:$J, $A192)</f>
        <v>0</v>
      </c>
      <c r="T192" s="121">
        <f>SUMIFS('19OctTo25Oct'!$O:$O, '19OctTo25Oct'!$J:$J, $A192)</f>
        <v>0</v>
      </c>
      <c r="U192" s="121">
        <f>SUMIFS('19OctTo25Oct'!$P:$P, '19OctTo25Oct'!$J:$J, $A192)</f>
        <v>0</v>
      </c>
      <c r="V192" s="122">
        <f t="shared" si="3"/>
        <v>0</v>
      </c>
      <c r="W192" s="121">
        <f>SUMIFS('12OctTo18Oct'!$L:$L, '12OctTo18Oct'!$J:$J, $A192)</f>
        <v>0</v>
      </c>
      <c r="X192" s="121">
        <f>SUMIFS('12OctTo18Oct'!$K:$K, '12OctTo18Oct'!$J:$J, $A192)</f>
        <v>0</v>
      </c>
      <c r="Y192" s="121">
        <f>SUMIFS('12OctTo18Oct'!$O:$O, '12OctTo18Oct'!$J:$J, $A192)</f>
        <v>0</v>
      </c>
      <c r="Z192" s="121">
        <f>SUMIFS('12OctTo18Oct'!$P:$P, '12OctTo18Oct'!$J:$J, $A192)</f>
        <v>0</v>
      </c>
      <c r="AA192" s="122">
        <f t="shared" si="4"/>
        <v>0</v>
      </c>
      <c r="AB192" s="121">
        <f>SUMIFS('5OctTo11Oct'!$L:$L, '5OctTo11Oct'!$J:$J, $A192)</f>
        <v>0</v>
      </c>
      <c r="AC192" s="121">
        <f>SUMIFS('5OctTo11Oct'!$K:$K, '5OctTo11Oct'!$J:$J, $A192)</f>
        <v>0</v>
      </c>
      <c r="AD192" s="121">
        <f>SUMIFS('5OctTo11Oct'!$O:$O, '5OctTo11Oct'!$J:$J, $A192)</f>
        <v>0</v>
      </c>
      <c r="AE192" s="121">
        <f>SUMIFS('5OctTo11Oct'!$P:$P, '5OctTo11Oct'!$J:$J, $A192)</f>
        <v>0</v>
      </c>
      <c r="AF192" s="123">
        <f t="shared" si="5"/>
        <v>0</v>
      </c>
      <c r="AG192" s="121">
        <f>SUMIFS('28SepTo4Oct'!$L:$L, '28SepTo4Oct'!$J:$J, $A192)</f>
        <v>0</v>
      </c>
      <c r="AH192" s="121">
        <f>SUMIFS('28SepTo4Oct'!$K:$K, '28SepTo4Oct'!$J:$J, $A192)</f>
        <v>0</v>
      </c>
      <c r="AI192" s="121">
        <f>SUMIFS('28SepTo4Oct'!$O:$O, '28SepTo4Oct'!$J:$J, $A192)</f>
        <v>0</v>
      </c>
      <c r="AJ192" s="121">
        <f>SUMIFS('28SepTo4Oct'!$P:$P, '28SepTo4Oct'!$J:$J, $A192)</f>
        <v>0</v>
      </c>
      <c r="AK192" s="123">
        <f t="shared" si="6"/>
        <v>0</v>
      </c>
      <c r="AL192" s="121">
        <f>SUMIFS('21SepTo27Sep'!$L:$L, '21SepTo27Sep'!$J:$J, $A192)</f>
        <v>0</v>
      </c>
      <c r="AM192" s="121">
        <f>SUMIFS('21SepTo27Sep'!$K:$K, '21SepTo27Sep'!$J:$J, $A192)</f>
        <v>0</v>
      </c>
      <c r="AN192" s="121">
        <f>SUMIFS('21SepTo27Sep'!$O:$O, '21SepTo27Sep'!$J:$J, $A192)</f>
        <v>0</v>
      </c>
      <c r="AO192" s="121">
        <f>SUMIFS('21SepTo27Sep'!$P:$P, '21SepTo27Sep'!$J:$J, $A192)</f>
        <v>0</v>
      </c>
      <c r="AP192" s="123">
        <f t="shared" si="7"/>
        <v>0</v>
      </c>
      <c r="AQ192" s="121">
        <f>SUMIFS('14SepTo20Sep'!$L:$L, '14SepTo20Sep'!$J:$J, $A192)</f>
        <v>0</v>
      </c>
      <c r="AR192" s="121">
        <f>SUMIFS('14SepTo20Sep'!$K:$K, '14SepTo20Sep'!$J:$J, $A192)</f>
        <v>0</v>
      </c>
      <c r="AS192" s="121">
        <f>SUMIFS('14SepTo20Sep'!$O:$O, '14SepTo20Sep'!$J:$J, $A192)</f>
        <v>0</v>
      </c>
      <c r="AT192" s="121">
        <f>SUMIFS('14SepTo20Sep'!$P:$P, '14SepTo20Sep'!$J:$J, $A192)</f>
        <v>0</v>
      </c>
      <c r="AU192" s="123">
        <f t="shared" si="8"/>
        <v>0</v>
      </c>
      <c r="AV192" s="121">
        <f>SUMIFS('7SepTo13Sep'!$L:$L, '7SepTo13Sep'!$J:$J, $A192)</f>
        <v>0</v>
      </c>
      <c r="AW192" s="121">
        <f>SUMIFS('7SepTo13Sep'!$K:$K, '7SepTo13Sep'!$J:$J, $A192)</f>
        <v>0</v>
      </c>
      <c r="AX192" s="121">
        <f>SUMIFS('7SepTo13Sep'!$O:$O, '7SepTo13Sep'!$J:$J, $A192)</f>
        <v>0</v>
      </c>
      <c r="AY192" s="121">
        <f>SUMIFS('7SepTo13Sep'!$P:$P, '7SepTo13Sep'!$J:$J, $A192)</f>
        <v>0</v>
      </c>
      <c r="AZ192" s="123">
        <f t="shared" si="9"/>
        <v>0</v>
      </c>
      <c r="BA192" s="121">
        <f>SUMIFS('31AugTo6Sep'!$L:$L, '31AugTo6Sep'!$J:$J, $A192)</f>
        <v>0</v>
      </c>
      <c r="BB192" s="121">
        <f>SUMIFS('31AugTo6Sep'!$K:$K, '31AugTo6Sep'!$J:$J, $A192)</f>
        <v>0</v>
      </c>
      <c r="BC192" s="121">
        <f>SUMIFS('31AugTo6Sep'!$O:$O, '31AugTo6Sep'!$J:$J, $A192)</f>
        <v>0</v>
      </c>
      <c r="BD192" s="121">
        <f>SUMIFS('31AugTo6Sep'!$P:$P, '31AugTo6Sep'!$J:$J, $A192)</f>
        <v>0</v>
      </c>
      <c r="BE192" s="123">
        <f t="shared" si="10"/>
        <v>0</v>
      </c>
      <c r="BF192" s="121">
        <f>SUMIFS('24AugTo29Aug'!$L:$L, '24AugTo29Aug'!$J:$J, $A192)</f>
        <v>0</v>
      </c>
      <c r="BG192" s="121">
        <f>SUMIFS('24AugTo29Aug'!$K:$K, '24AugTo29Aug'!$J:$J, $A192)</f>
        <v>0</v>
      </c>
      <c r="BH192" s="121">
        <f>SUMIFS('24AugTo29Aug'!$O:$O, '24AugTo29Aug'!$J:$J, $A192)</f>
        <v>0</v>
      </c>
      <c r="BI192" s="121">
        <f>SUMIFS('24AugTo29Aug'!$P:$P, '24AugTo29Aug'!$J:$J, $A192)</f>
        <v>0</v>
      </c>
      <c r="BJ192" s="123">
        <f t="shared" si="11"/>
        <v>0</v>
      </c>
      <c r="BK192" s="121">
        <f>SUMIFS('17AugTo21Aug'!$L:$L, '17AugTo21Aug'!$J:$J, $A192)</f>
        <v>0</v>
      </c>
      <c r="BL192" s="121">
        <f>SUMIFS('17AugTo21Aug'!$K:$K, '17AugTo21Aug'!$J:$J, $A192)</f>
        <v>0</v>
      </c>
      <c r="BM192" s="121">
        <f>SUMIFS('17AugTo21Aug'!$O:$O, '17AugTo21Aug'!$J:$J, $A192)</f>
        <v>0</v>
      </c>
      <c r="BN192" s="121">
        <f>SUMIFS('17AugTo21Aug'!$P:$P, '17AugTo21Aug'!$J:$J, $A192)</f>
        <v>0</v>
      </c>
      <c r="BO192" s="123">
        <f t="shared" si="12"/>
        <v>0</v>
      </c>
      <c r="BP192" s="121">
        <f>SUMIFS('10AugTo16Aug'!$L:$L, '10AugTo16Aug'!$J:$J, $A192)</f>
        <v>0</v>
      </c>
      <c r="BQ192" s="121">
        <f>SUMIFS('10AugTo16Aug'!$K:$K, '10AugTo16Aug'!$J:$J, $A192)</f>
        <v>0</v>
      </c>
      <c r="BR192" s="121">
        <f>SUMIFS('10AugTo16Aug'!$O:$O, '10AugTo16Aug'!$J:$J, $A192)</f>
        <v>0</v>
      </c>
      <c r="BS192" s="121">
        <f>SUMIFS('10AugTo16Aug'!$P:$P, '10AugTo16Aug'!$J:$J, $A192)</f>
        <v>0</v>
      </c>
      <c r="BT192" s="123">
        <f t="shared" si="13"/>
        <v>0</v>
      </c>
      <c r="BU192" s="121">
        <f>SUMIFS('3AugTo9Aug'!$L:$L, '3AugTo9Aug'!$J:$J, $A192)</f>
        <v>1</v>
      </c>
      <c r="BV192" s="121">
        <f>SUMIFS('3AugTo9Aug'!$K:$K, '3AugTo9Aug'!$J:$J, $A192)</f>
        <v>3</v>
      </c>
      <c r="BW192" s="121">
        <f>SUMIFS('3AugTo9Aug'!$O:$O, '3AugTo9Aug'!$J:$J, $A192)</f>
        <v>2.1800000000000002</v>
      </c>
      <c r="BX192" s="121">
        <f>SUMIFS('3AugTo9Aug'!$P:$P, '3AugTo9Aug'!$J:$J, $A192)</f>
        <v>24.94</v>
      </c>
      <c r="BY192" s="123">
        <f t="shared" si="14"/>
        <v>8.7409783480352843</v>
      </c>
      <c r="BZ192" s="121">
        <f>SUMIFS('27JulyTo2Aug'!$L:$L, '27JulyTo2Aug'!$J:$J, $A192)</f>
        <v>0</v>
      </c>
      <c r="CA192" s="121">
        <f>SUMIFS('27JulyTo2Aug'!$K:$K, '27JulyTo2Aug'!$J:$J, $A192)</f>
        <v>0</v>
      </c>
      <c r="CB192" s="121">
        <f>SUMIFS('27JulyTo2Aug'!$O:$O, '27JulyTo2Aug'!$J:$J, $A192)</f>
        <v>0</v>
      </c>
      <c r="CC192" s="121">
        <f>SUMIFS('27JulyTo2Aug'!$P:$P, '27JulyTo2Aug'!$J:$J, $A192)</f>
        <v>0</v>
      </c>
      <c r="CD192" s="123">
        <f t="shared" si="15"/>
        <v>0</v>
      </c>
    </row>
    <row r="193" spans="1:82" ht="14.25" customHeight="1" x14ac:dyDescent="0.3">
      <c r="A193" s="124" t="s">
        <v>822</v>
      </c>
      <c r="B193" s="120" t="str">
        <f t="shared" si="18"/>
        <v>NO TRAFFIC</v>
      </c>
      <c r="C193" s="121">
        <f>SUMIFS('9NovTo15Nov'!$L:$L, '9NovTo15Nov'!$J:$J, $A193)</f>
        <v>0</v>
      </c>
      <c r="D193" s="121">
        <f>SUMIFS('9NovTo15Nov'!$K:$K, '9NovTo15Nov'!$J:$J, $A193)</f>
        <v>0</v>
      </c>
      <c r="E193" s="121">
        <f>SUMIFS('9NovTo15Nov'!$O:$O, '9NovTo15Nov'!$J:$J, $A193)</f>
        <v>0</v>
      </c>
      <c r="F193" s="121">
        <f>SUMIFS('9NovTo15Nov'!$P:$P, '9NovTo15Nov'!$J:$J, $A193)</f>
        <v>0</v>
      </c>
      <c r="G193" s="122">
        <f t="shared" si="0"/>
        <v>0</v>
      </c>
      <c r="H193" s="121">
        <f>SUMIFS('2NovTo8Nov'!$L:$L, '2NovTo8Nov'!$J:$J, $A193)</f>
        <v>0</v>
      </c>
      <c r="I193" s="121">
        <f>SUMIFS('2NovTo8Nov'!$K:$K, '2NovTo8Nov'!$J:$J, $A193)</f>
        <v>0</v>
      </c>
      <c r="J193" s="121">
        <f>SUMIFS('2NovTo8Nov'!$O:$O, '2NovTo8Nov'!$J:$J, $A193)</f>
        <v>0</v>
      </c>
      <c r="K193" s="121">
        <f>SUMIFS('2NovTo8Nov'!$P:$P, '2NovTo8Nov'!$J:$J, $A193)</f>
        <v>0</v>
      </c>
      <c r="L193" s="122">
        <f t="shared" si="1"/>
        <v>0</v>
      </c>
      <c r="M193" s="121">
        <f>SUMIFS('26OctTo1Nov'!$L:$L, '26OctTo1Nov'!$J:$J, $A193)</f>
        <v>0</v>
      </c>
      <c r="N193" s="121">
        <f>SUMIFS('26OctTo1Nov'!$K:$K, '26OctTo1Nov'!$J:$J, $A193)</f>
        <v>0</v>
      </c>
      <c r="O193" s="121">
        <f>SUMIFS('26OctTo1Nov'!$O:$O, '26OctTo1Nov'!$J:$J, $A193)</f>
        <v>0</v>
      </c>
      <c r="P193" s="121">
        <f>SUMIFS('26OctTo1Nov'!$P:$P, '26OctTo1Nov'!$J:$J, $A193)</f>
        <v>0</v>
      </c>
      <c r="Q193" s="122">
        <f t="shared" si="2"/>
        <v>0</v>
      </c>
      <c r="R193" s="121">
        <f>SUMIFS('19OctTo25Oct'!$L:$L, '19OctTo25Oct'!$J:$J, $A193)</f>
        <v>0</v>
      </c>
      <c r="S193" s="121">
        <f>SUMIFS('19OctTo25Oct'!$K:$K, '19OctTo25Oct'!$J:$J, $A193)</f>
        <v>0</v>
      </c>
      <c r="T193" s="121">
        <f>SUMIFS('19OctTo25Oct'!$O:$O, '19OctTo25Oct'!$J:$J, $A193)</f>
        <v>0</v>
      </c>
      <c r="U193" s="121">
        <f>SUMIFS('19OctTo25Oct'!$P:$P, '19OctTo25Oct'!$J:$J, $A193)</f>
        <v>0</v>
      </c>
      <c r="V193" s="122">
        <f t="shared" si="3"/>
        <v>0</v>
      </c>
      <c r="W193" s="121">
        <f>SUMIFS('12OctTo18Oct'!$L:$L, '12OctTo18Oct'!$J:$J, $A193)</f>
        <v>0</v>
      </c>
      <c r="X193" s="121">
        <f>SUMIFS('12OctTo18Oct'!$K:$K, '12OctTo18Oct'!$J:$J, $A193)</f>
        <v>0</v>
      </c>
      <c r="Y193" s="121">
        <f>SUMIFS('12OctTo18Oct'!$O:$O, '12OctTo18Oct'!$J:$J, $A193)</f>
        <v>0</v>
      </c>
      <c r="Z193" s="121">
        <f>SUMIFS('12OctTo18Oct'!$P:$P, '12OctTo18Oct'!$J:$J, $A193)</f>
        <v>0</v>
      </c>
      <c r="AA193" s="122">
        <f t="shared" si="4"/>
        <v>0</v>
      </c>
      <c r="AB193" s="121">
        <f>SUMIFS('5OctTo11Oct'!$L:$L, '5OctTo11Oct'!$J:$J, $A193)</f>
        <v>0</v>
      </c>
      <c r="AC193" s="121">
        <f>SUMIFS('5OctTo11Oct'!$K:$K, '5OctTo11Oct'!$J:$J, $A193)</f>
        <v>0</v>
      </c>
      <c r="AD193" s="121">
        <f>SUMIFS('5OctTo11Oct'!$O:$O, '5OctTo11Oct'!$J:$J, $A193)</f>
        <v>0</v>
      </c>
      <c r="AE193" s="121">
        <f>SUMIFS('5OctTo11Oct'!$P:$P, '5OctTo11Oct'!$J:$J, $A193)</f>
        <v>0</v>
      </c>
      <c r="AF193" s="123">
        <f t="shared" si="5"/>
        <v>0</v>
      </c>
      <c r="AG193" s="121">
        <f>SUMIFS('28SepTo4Oct'!$L:$L, '28SepTo4Oct'!$J:$J, $A193)</f>
        <v>0</v>
      </c>
      <c r="AH193" s="121">
        <f>SUMIFS('28SepTo4Oct'!$K:$K, '28SepTo4Oct'!$J:$J, $A193)</f>
        <v>0</v>
      </c>
      <c r="AI193" s="121">
        <f>SUMIFS('28SepTo4Oct'!$O:$O, '28SepTo4Oct'!$J:$J, $A193)</f>
        <v>0</v>
      </c>
      <c r="AJ193" s="121">
        <f>SUMIFS('28SepTo4Oct'!$P:$P, '28SepTo4Oct'!$J:$J, $A193)</f>
        <v>0</v>
      </c>
      <c r="AK193" s="123">
        <f t="shared" si="6"/>
        <v>0</v>
      </c>
      <c r="AL193" s="121">
        <f>SUMIFS('21SepTo27Sep'!$L:$L, '21SepTo27Sep'!$J:$J, $A193)</f>
        <v>0</v>
      </c>
      <c r="AM193" s="121">
        <f>SUMIFS('21SepTo27Sep'!$K:$K, '21SepTo27Sep'!$J:$J, $A193)</f>
        <v>0</v>
      </c>
      <c r="AN193" s="121">
        <f>SUMIFS('21SepTo27Sep'!$O:$O, '21SepTo27Sep'!$J:$J, $A193)</f>
        <v>0</v>
      </c>
      <c r="AO193" s="121">
        <f>SUMIFS('21SepTo27Sep'!$P:$P, '21SepTo27Sep'!$J:$J, $A193)</f>
        <v>0</v>
      </c>
      <c r="AP193" s="123">
        <f t="shared" si="7"/>
        <v>0</v>
      </c>
      <c r="AQ193" s="121">
        <f>SUMIFS('14SepTo20Sep'!$L:$L, '14SepTo20Sep'!$J:$J, $A193)</f>
        <v>0</v>
      </c>
      <c r="AR193" s="121">
        <f>SUMIFS('14SepTo20Sep'!$K:$K, '14SepTo20Sep'!$J:$J, $A193)</f>
        <v>0</v>
      </c>
      <c r="AS193" s="121">
        <f>SUMIFS('14SepTo20Sep'!$O:$O, '14SepTo20Sep'!$J:$J, $A193)</f>
        <v>0</v>
      </c>
      <c r="AT193" s="121">
        <f>SUMIFS('14SepTo20Sep'!$P:$P, '14SepTo20Sep'!$J:$J, $A193)</f>
        <v>0</v>
      </c>
      <c r="AU193" s="123">
        <f t="shared" si="8"/>
        <v>0</v>
      </c>
      <c r="AV193" s="121">
        <f>SUMIFS('7SepTo13Sep'!$L:$L, '7SepTo13Sep'!$J:$J, $A193)</f>
        <v>0</v>
      </c>
      <c r="AW193" s="121">
        <f>SUMIFS('7SepTo13Sep'!$K:$K, '7SepTo13Sep'!$J:$J, $A193)</f>
        <v>0</v>
      </c>
      <c r="AX193" s="121">
        <f>SUMIFS('7SepTo13Sep'!$O:$O, '7SepTo13Sep'!$J:$J, $A193)</f>
        <v>0</v>
      </c>
      <c r="AY193" s="121">
        <f>SUMIFS('7SepTo13Sep'!$P:$P, '7SepTo13Sep'!$J:$J, $A193)</f>
        <v>0</v>
      </c>
      <c r="AZ193" s="123">
        <f t="shared" si="9"/>
        <v>0</v>
      </c>
      <c r="BA193" s="121">
        <f>SUMIFS('31AugTo6Sep'!$L:$L, '31AugTo6Sep'!$J:$J, $A193)</f>
        <v>0</v>
      </c>
      <c r="BB193" s="121">
        <f>SUMIFS('31AugTo6Sep'!$K:$K, '31AugTo6Sep'!$J:$J, $A193)</f>
        <v>0</v>
      </c>
      <c r="BC193" s="121">
        <f>SUMIFS('31AugTo6Sep'!$O:$O, '31AugTo6Sep'!$J:$J, $A193)</f>
        <v>0</v>
      </c>
      <c r="BD193" s="121">
        <f>SUMIFS('31AugTo6Sep'!$P:$P, '31AugTo6Sep'!$J:$J, $A193)</f>
        <v>0</v>
      </c>
      <c r="BE193" s="123">
        <f t="shared" si="10"/>
        <v>0</v>
      </c>
      <c r="BF193" s="121">
        <f>SUMIFS('24AugTo29Aug'!$L:$L, '24AugTo29Aug'!$J:$J, $A193)</f>
        <v>0</v>
      </c>
      <c r="BG193" s="121">
        <f>SUMIFS('24AugTo29Aug'!$K:$K, '24AugTo29Aug'!$J:$J, $A193)</f>
        <v>0</v>
      </c>
      <c r="BH193" s="121">
        <f>SUMIFS('24AugTo29Aug'!$O:$O, '24AugTo29Aug'!$J:$J, $A193)</f>
        <v>0</v>
      </c>
      <c r="BI193" s="121">
        <f>SUMIFS('24AugTo29Aug'!$P:$P, '24AugTo29Aug'!$J:$J, $A193)</f>
        <v>0</v>
      </c>
      <c r="BJ193" s="123">
        <f t="shared" si="11"/>
        <v>0</v>
      </c>
      <c r="BK193" s="121">
        <f>SUMIFS('17AugTo21Aug'!$L:$L, '17AugTo21Aug'!$J:$J, $A193)</f>
        <v>0</v>
      </c>
      <c r="BL193" s="121">
        <f>SUMIFS('17AugTo21Aug'!$K:$K, '17AugTo21Aug'!$J:$J, $A193)</f>
        <v>0</v>
      </c>
      <c r="BM193" s="121">
        <f>SUMIFS('17AugTo21Aug'!$O:$O, '17AugTo21Aug'!$J:$J, $A193)</f>
        <v>0</v>
      </c>
      <c r="BN193" s="121">
        <f>SUMIFS('17AugTo21Aug'!$P:$P, '17AugTo21Aug'!$J:$J, $A193)</f>
        <v>0</v>
      </c>
      <c r="BO193" s="123">
        <f t="shared" si="12"/>
        <v>0</v>
      </c>
      <c r="BP193" s="121">
        <f>SUMIFS('10AugTo16Aug'!$L:$L, '10AugTo16Aug'!$J:$J, $A193)</f>
        <v>0</v>
      </c>
      <c r="BQ193" s="121">
        <f>SUMIFS('10AugTo16Aug'!$K:$K, '10AugTo16Aug'!$J:$J, $A193)</f>
        <v>0</v>
      </c>
      <c r="BR193" s="121">
        <f>SUMIFS('10AugTo16Aug'!$O:$O, '10AugTo16Aug'!$J:$J, $A193)</f>
        <v>0</v>
      </c>
      <c r="BS193" s="121">
        <f>SUMIFS('10AugTo16Aug'!$P:$P, '10AugTo16Aug'!$J:$J, $A193)</f>
        <v>0</v>
      </c>
      <c r="BT193" s="123">
        <f t="shared" si="13"/>
        <v>0</v>
      </c>
      <c r="BU193" s="121">
        <f>SUMIFS('3AugTo9Aug'!$L:$L, '3AugTo9Aug'!$J:$J, $A193)</f>
        <v>0</v>
      </c>
      <c r="BV193" s="121">
        <f>SUMIFS('3AugTo9Aug'!$K:$K, '3AugTo9Aug'!$J:$J, $A193)</f>
        <v>0</v>
      </c>
      <c r="BW193" s="121">
        <f>SUMIFS('3AugTo9Aug'!$O:$O, '3AugTo9Aug'!$J:$J, $A193)</f>
        <v>0</v>
      </c>
      <c r="BX193" s="121">
        <f>SUMIFS('3AugTo9Aug'!$P:$P, '3AugTo9Aug'!$J:$J, $A193)</f>
        <v>0</v>
      </c>
      <c r="BY193" s="123">
        <f t="shared" si="14"/>
        <v>0</v>
      </c>
      <c r="BZ193" s="121">
        <f>SUMIFS('27JulyTo2Aug'!$L:$L, '27JulyTo2Aug'!$J:$J, $A193)</f>
        <v>1</v>
      </c>
      <c r="CA193" s="121">
        <f>SUMIFS('27JulyTo2Aug'!$K:$K, '27JulyTo2Aug'!$J:$J, $A193)</f>
        <v>1</v>
      </c>
      <c r="CB193" s="121">
        <f>SUMIFS('27JulyTo2Aug'!$O:$O, '27JulyTo2Aug'!$J:$J, $A193)</f>
        <v>1.98</v>
      </c>
      <c r="CC193" s="121">
        <f>SUMIFS('27JulyTo2Aug'!$P:$P, '27JulyTo2Aug'!$J:$J, $A193)</f>
        <v>74.849999999999994</v>
      </c>
      <c r="CD193" s="123">
        <f t="shared" si="15"/>
        <v>2.6452905811623246</v>
      </c>
    </row>
    <row r="194" spans="1:82" ht="14.25" customHeight="1" x14ac:dyDescent="0.3">
      <c r="A194" s="124" t="s">
        <v>825</v>
      </c>
      <c r="B194" s="120" t="str">
        <f t="shared" si="18"/>
        <v>NO TRAFFIC</v>
      </c>
      <c r="C194" s="121">
        <f>SUMIFS('9NovTo15Nov'!$L:$L, '9NovTo15Nov'!$J:$J, $A194)</f>
        <v>0</v>
      </c>
      <c r="D194" s="121">
        <f>SUMIFS('9NovTo15Nov'!$K:$K, '9NovTo15Nov'!$J:$J, $A194)</f>
        <v>0</v>
      </c>
      <c r="E194" s="121">
        <f>SUMIFS('9NovTo15Nov'!$O:$O, '9NovTo15Nov'!$J:$J, $A194)</f>
        <v>0</v>
      </c>
      <c r="F194" s="121">
        <f>SUMIFS('9NovTo15Nov'!$P:$P, '9NovTo15Nov'!$J:$J, $A194)</f>
        <v>0</v>
      </c>
      <c r="G194" s="122">
        <f t="shared" si="0"/>
        <v>0</v>
      </c>
      <c r="H194" s="121">
        <f>SUMIFS('2NovTo8Nov'!$L:$L, '2NovTo8Nov'!$J:$J, $A194)</f>
        <v>0</v>
      </c>
      <c r="I194" s="121">
        <f>SUMIFS('2NovTo8Nov'!$K:$K, '2NovTo8Nov'!$J:$J, $A194)</f>
        <v>0</v>
      </c>
      <c r="J194" s="121">
        <f>SUMIFS('2NovTo8Nov'!$O:$O, '2NovTo8Nov'!$J:$J, $A194)</f>
        <v>0</v>
      </c>
      <c r="K194" s="121">
        <f>SUMIFS('2NovTo8Nov'!$P:$P, '2NovTo8Nov'!$J:$J, $A194)</f>
        <v>0</v>
      </c>
      <c r="L194" s="122">
        <f t="shared" si="1"/>
        <v>0</v>
      </c>
      <c r="M194" s="121">
        <f>SUMIFS('26OctTo1Nov'!$L:$L, '26OctTo1Nov'!$J:$J, $A194)</f>
        <v>0</v>
      </c>
      <c r="N194" s="121">
        <f>SUMIFS('26OctTo1Nov'!$K:$K, '26OctTo1Nov'!$J:$J, $A194)</f>
        <v>0</v>
      </c>
      <c r="O194" s="121">
        <f>SUMIFS('26OctTo1Nov'!$O:$O, '26OctTo1Nov'!$J:$J, $A194)</f>
        <v>0</v>
      </c>
      <c r="P194" s="121">
        <f>SUMIFS('26OctTo1Nov'!$P:$P, '26OctTo1Nov'!$J:$J, $A194)</f>
        <v>0</v>
      </c>
      <c r="Q194" s="122">
        <f t="shared" si="2"/>
        <v>0</v>
      </c>
      <c r="R194" s="121">
        <f>SUMIFS('19OctTo25Oct'!$L:$L, '19OctTo25Oct'!$J:$J, $A194)</f>
        <v>0</v>
      </c>
      <c r="S194" s="121">
        <f>SUMIFS('19OctTo25Oct'!$K:$K, '19OctTo25Oct'!$J:$J, $A194)</f>
        <v>0</v>
      </c>
      <c r="T194" s="121">
        <f>SUMIFS('19OctTo25Oct'!$O:$O, '19OctTo25Oct'!$J:$J, $A194)</f>
        <v>0</v>
      </c>
      <c r="U194" s="121">
        <f>SUMIFS('19OctTo25Oct'!$P:$P, '19OctTo25Oct'!$J:$J, $A194)</f>
        <v>0</v>
      </c>
      <c r="V194" s="122">
        <f t="shared" si="3"/>
        <v>0</v>
      </c>
      <c r="W194" s="121">
        <f>SUMIFS('12OctTo18Oct'!$L:$L, '12OctTo18Oct'!$J:$J, $A194)</f>
        <v>0</v>
      </c>
      <c r="X194" s="121">
        <f>SUMIFS('12OctTo18Oct'!$K:$K, '12OctTo18Oct'!$J:$J, $A194)</f>
        <v>0</v>
      </c>
      <c r="Y194" s="121">
        <f>SUMIFS('12OctTo18Oct'!$O:$O, '12OctTo18Oct'!$J:$J, $A194)</f>
        <v>0</v>
      </c>
      <c r="Z194" s="121">
        <f>SUMIFS('12OctTo18Oct'!$P:$P, '12OctTo18Oct'!$J:$J, $A194)</f>
        <v>0</v>
      </c>
      <c r="AA194" s="122">
        <f t="shared" si="4"/>
        <v>0</v>
      </c>
      <c r="AB194" s="121">
        <f>SUMIFS('5OctTo11Oct'!$L:$L, '5OctTo11Oct'!$J:$J, $A194)</f>
        <v>0</v>
      </c>
      <c r="AC194" s="121">
        <f>SUMIFS('5OctTo11Oct'!$K:$K, '5OctTo11Oct'!$J:$J, $A194)</f>
        <v>0</v>
      </c>
      <c r="AD194" s="121">
        <f>SUMIFS('5OctTo11Oct'!$O:$O, '5OctTo11Oct'!$J:$J, $A194)</f>
        <v>0</v>
      </c>
      <c r="AE194" s="121">
        <f>SUMIFS('5OctTo11Oct'!$P:$P, '5OctTo11Oct'!$J:$J, $A194)</f>
        <v>0</v>
      </c>
      <c r="AF194" s="123">
        <f t="shared" si="5"/>
        <v>0</v>
      </c>
      <c r="AG194" s="121">
        <f>SUMIFS('28SepTo4Oct'!$L:$L, '28SepTo4Oct'!$J:$J, $A194)</f>
        <v>0</v>
      </c>
      <c r="AH194" s="121">
        <f>SUMIFS('28SepTo4Oct'!$K:$K, '28SepTo4Oct'!$J:$J, $A194)</f>
        <v>0</v>
      </c>
      <c r="AI194" s="121">
        <f>SUMIFS('28SepTo4Oct'!$O:$O, '28SepTo4Oct'!$J:$J, $A194)</f>
        <v>0</v>
      </c>
      <c r="AJ194" s="121">
        <f>SUMIFS('28SepTo4Oct'!$P:$P, '28SepTo4Oct'!$J:$J, $A194)</f>
        <v>0</v>
      </c>
      <c r="AK194" s="123">
        <f t="shared" si="6"/>
        <v>0</v>
      </c>
      <c r="AL194" s="121">
        <f>SUMIFS('21SepTo27Sep'!$L:$L, '21SepTo27Sep'!$J:$J, $A194)</f>
        <v>0</v>
      </c>
      <c r="AM194" s="121">
        <f>SUMIFS('21SepTo27Sep'!$K:$K, '21SepTo27Sep'!$J:$J, $A194)</f>
        <v>0</v>
      </c>
      <c r="AN194" s="121">
        <f>SUMIFS('21SepTo27Sep'!$O:$O, '21SepTo27Sep'!$J:$J, $A194)</f>
        <v>0</v>
      </c>
      <c r="AO194" s="121">
        <f>SUMIFS('21SepTo27Sep'!$P:$P, '21SepTo27Sep'!$J:$J, $A194)</f>
        <v>0</v>
      </c>
      <c r="AP194" s="123">
        <f t="shared" si="7"/>
        <v>0</v>
      </c>
      <c r="AQ194" s="121">
        <f>SUMIFS('14SepTo20Sep'!$L:$L, '14SepTo20Sep'!$J:$J, $A194)</f>
        <v>0</v>
      </c>
      <c r="AR194" s="121">
        <f>SUMIFS('14SepTo20Sep'!$K:$K, '14SepTo20Sep'!$J:$J, $A194)</f>
        <v>0</v>
      </c>
      <c r="AS194" s="121">
        <f>SUMIFS('14SepTo20Sep'!$O:$O, '14SepTo20Sep'!$J:$J, $A194)</f>
        <v>0</v>
      </c>
      <c r="AT194" s="121">
        <f>SUMIFS('14SepTo20Sep'!$P:$P, '14SepTo20Sep'!$J:$J, $A194)</f>
        <v>0</v>
      </c>
      <c r="AU194" s="123">
        <f t="shared" si="8"/>
        <v>0</v>
      </c>
      <c r="AV194" s="121">
        <f>SUMIFS('7SepTo13Sep'!$L:$L, '7SepTo13Sep'!$J:$J, $A194)</f>
        <v>0</v>
      </c>
      <c r="AW194" s="121">
        <f>SUMIFS('7SepTo13Sep'!$K:$K, '7SepTo13Sep'!$J:$J, $A194)</f>
        <v>0</v>
      </c>
      <c r="AX194" s="121">
        <f>SUMIFS('7SepTo13Sep'!$O:$O, '7SepTo13Sep'!$J:$J, $A194)</f>
        <v>0</v>
      </c>
      <c r="AY194" s="121">
        <f>SUMIFS('7SepTo13Sep'!$P:$P, '7SepTo13Sep'!$J:$J, $A194)</f>
        <v>0</v>
      </c>
      <c r="AZ194" s="123">
        <f t="shared" si="9"/>
        <v>0</v>
      </c>
      <c r="BA194" s="121">
        <f>SUMIFS('31AugTo6Sep'!$L:$L, '31AugTo6Sep'!$J:$J, $A194)</f>
        <v>0</v>
      </c>
      <c r="BB194" s="121">
        <f>SUMIFS('31AugTo6Sep'!$K:$K, '31AugTo6Sep'!$J:$J, $A194)</f>
        <v>0</v>
      </c>
      <c r="BC194" s="121">
        <f>SUMIFS('31AugTo6Sep'!$O:$O, '31AugTo6Sep'!$J:$J, $A194)</f>
        <v>0</v>
      </c>
      <c r="BD194" s="121">
        <f>SUMIFS('31AugTo6Sep'!$P:$P, '31AugTo6Sep'!$J:$J, $A194)</f>
        <v>0</v>
      </c>
      <c r="BE194" s="123">
        <f t="shared" si="10"/>
        <v>0</v>
      </c>
      <c r="BF194" s="121">
        <f>SUMIFS('24AugTo29Aug'!$L:$L, '24AugTo29Aug'!$J:$J, $A194)</f>
        <v>0</v>
      </c>
      <c r="BG194" s="121">
        <f>SUMIFS('24AugTo29Aug'!$K:$K, '24AugTo29Aug'!$J:$J, $A194)</f>
        <v>0</v>
      </c>
      <c r="BH194" s="121">
        <f>SUMIFS('24AugTo29Aug'!$O:$O, '24AugTo29Aug'!$J:$J, $A194)</f>
        <v>0</v>
      </c>
      <c r="BI194" s="121">
        <f>SUMIFS('24AugTo29Aug'!$P:$P, '24AugTo29Aug'!$J:$J, $A194)</f>
        <v>0</v>
      </c>
      <c r="BJ194" s="123">
        <f t="shared" si="11"/>
        <v>0</v>
      </c>
      <c r="BK194" s="121">
        <f>SUMIFS('17AugTo21Aug'!$L:$L, '17AugTo21Aug'!$J:$J, $A194)</f>
        <v>0</v>
      </c>
      <c r="BL194" s="121">
        <f>SUMIFS('17AugTo21Aug'!$K:$K, '17AugTo21Aug'!$J:$J, $A194)</f>
        <v>0</v>
      </c>
      <c r="BM194" s="121">
        <f>SUMIFS('17AugTo21Aug'!$O:$O, '17AugTo21Aug'!$J:$J, $A194)</f>
        <v>0</v>
      </c>
      <c r="BN194" s="121">
        <f>SUMIFS('17AugTo21Aug'!$P:$P, '17AugTo21Aug'!$J:$J, $A194)</f>
        <v>0</v>
      </c>
      <c r="BO194" s="123">
        <f t="shared" si="12"/>
        <v>0</v>
      </c>
      <c r="BP194" s="121">
        <f>SUMIFS('10AugTo16Aug'!$L:$L, '10AugTo16Aug'!$J:$J, $A194)</f>
        <v>0</v>
      </c>
      <c r="BQ194" s="121">
        <f>SUMIFS('10AugTo16Aug'!$K:$K, '10AugTo16Aug'!$J:$J, $A194)</f>
        <v>0</v>
      </c>
      <c r="BR194" s="121">
        <f>SUMIFS('10AugTo16Aug'!$O:$O, '10AugTo16Aug'!$J:$J, $A194)</f>
        <v>0</v>
      </c>
      <c r="BS194" s="121">
        <f>SUMIFS('10AugTo16Aug'!$P:$P, '10AugTo16Aug'!$J:$J, $A194)</f>
        <v>0</v>
      </c>
      <c r="BT194" s="123">
        <f t="shared" si="13"/>
        <v>0</v>
      </c>
      <c r="BU194" s="121">
        <f>SUMIFS('3AugTo9Aug'!$L:$L, '3AugTo9Aug'!$J:$J, $A194)</f>
        <v>0</v>
      </c>
      <c r="BV194" s="121">
        <f>SUMIFS('3AugTo9Aug'!$K:$K, '3AugTo9Aug'!$J:$J, $A194)</f>
        <v>0</v>
      </c>
      <c r="BW194" s="121">
        <f>SUMIFS('3AugTo9Aug'!$O:$O, '3AugTo9Aug'!$J:$J, $A194)</f>
        <v>0</v>
      </c>
      <c r="BX194" s="121">
        <f>SUMIFS('3AugTo9Aug'!$P:$P, '3AugTo9Aug'!$J:$J, $A194)</f>
        <v>0</v>
      </c>
      <c r="BY194" s="123">
        <f t="shared" si="14"/>
        <v>0</v>
      </c>
      <c r="BZ194" s="121">
        <f>SUMIFS('27JulyTo2Aug'!$L:$L, '27JulyTo2Aug'!$J:$J, $A194)</f>
        <v>1</v>
      </c>
      <c r="CA194" s="121">
        <f>SUMIFS('27JulyTo2Aug'!$K:$K, '27JulyTo2Aug'!$J:$J, $A194)</f>
        <v>4</v>
      </c>
      <c r="CB194" s="121">
        <f>SUMIFS('27JulyTo2Aug'!$O:$O, '27JulyTo2Aug'!$J:$J, $A194)</f>
        <v>3.5</v>
      </c>
      <c r="CC194" s="121">
        <f>SUMIFS('27JulyTo2Aug'!$P:$P, '27JulyTo2Aug'!$J:$J, $A194)</f>
        <v>24.94</v>
      </c>
      <c r="CD194" s="123">
        <f t="shared" si="15"/>
        <v>14.033680834001602</v>
      </c>
    </row>
    <row r="195" spans="1:82" ht="14.25" customHeight="1" x14ac:dyDescent="0.3">
      <c r="A195" s="124" t="s">
        <v>826</v>
      </c>
      <c r="B195" s="120" t="str">
        <f t="shared" si="18"/>
        <v>NO TRAFFIC</v>
      </c>
      <c r="C195" s="121">
        <f>SUMIFS('9NovTo15Nov'!$L:$L, '9NovTo15Nov'!$J:$J, $A195)</f>
        <v>0</v>
      </c>
      <c r="D195" s="121">
        <f>SUMIFS('9NovTo15Nov'!$K:$K, '9NovTo15Nov'!$J:$J, $A195)</f>
        <v>0</v>
      </c>
      <c r="E195" s="121">
        <f>SUMIFS('9NovTo15Nov'!$O:$O, '9NovTo15Nov'!$J:$J, $A195)</f>
        <v>0</v>
      </c>
      <c r="F195" s="121">
        <f>SUMIFS('9NovTo15Nov'!$P:$P, '9NovTo15Nov'!$J:$J, $A195)</f>
        <v>0</v>
      </c>
      <c r="G195" s="122">
        <f t="shared" si="0"/>
        <v>0</v>
      </c>
      <c r="H195" s="121">
        <f>SUMIFS('2NovTo8Nov'!$L:$L, '2NovTo8Nov'!$J:$J, $A195)</f>
        <v>0</v>
      </c>
      <c r="I195" s="121">
        <f>SUMIFS('2NovTo8Nov'!$K:$K, '2NovTo8Nov'!$J:$J, $A195)</f>
        <v>0</v>
      </c>
      <c r="J195" s="121">
        <f>SUMIFS('2NovTo8Nov'!$O:$O, '2NovTo8Nov'!$J:$J, $A195)</f>
        <v>0</v>
      </c>
      <c r="K195" s="121">
        <f>SUMIFS('2NovTo8Nov'!$P:$P, '2NovTo8Nov'!$J:$J, $A195)</f>
        <v>0</v>
      </c>
      <c r="L195" s="122">
        <f t="shared" si="1"/>
        <v>0</v>
      </c>
      <c r="M195" s="121">
        <f>SUMIFS('26OctTo1Nov'!$L:$L, '26OctTo1Nov'!$J:$J, $A195)</f>
        <v>0</v>
      </c>
      <c r="N195" s="121">
        <f>SUMIFS('26OctTo1Nov'!$K:$K, '26OctTo1Nov'!$J:$J, $A195)</f>
        <v>0</v>
      </c>
      <c r="O195" s="121">
        <f>SUMIFS('26OctTo1Nov'!$O:$O, '26OctTo1Nov'!$J:$J, $A195)</f>
        <v>0</v>
      </c>
      <c r="P195" s="121">
        <f>SUMIFS('26OctTo1Nov'!$P:$P, '26OctTo1Nov'!$J:$J, $A195)</f>
        <v>0</v>
      </c>
      <c r="Q195" s="122">
        <f t="shared" si="2"/>
        <v>0</v>
      </c>
      <c r="R195" s="121">
        <f>SUMIFS('19OctTo25Oct'!$L:$L, '19OctTo25Oct'!$J:$J, $A195)</f>
        <v>0</v>
      </c>
      <c r="S195" s="121">
        <f>SUMIFS('19OctTo25Oct'!$K:$K, '19OctTo25Oct'!$J:$J, $A195)</f>
        <v>0</v>
      </c>
      <c r="T195" s="121">
        <f>SUMIFS('19OctTo25Oct'!$O:$O, '19OctTo25Oct'!$J:$J, $A195)</f>
        <v>0</v>
      </c>
      <c r="U195" s="121">
        <f>SUMIFS('19OctTo25Oct'!$P:$P, '19OctTo25Oct'!$J:$J, $A195)</f>
        <v>0</v>
      </c>
      <c r="V195" s="122">
        <f t="shared" si="3"/>
        <v>0</v>
      </c>
      <c r="W195" s="121">
        <f>SUMIFS('12OctTo18Oct'!$L:$L, '12OctTo18Oct'!$J:$J, $A195)</f>
        <v>0</v>
      </c>
      <c r="X195" s="121">
        <f>SUMIFS('12OctTo18Oct'!$K:$K, '12OctTo18Oct'!$J:$J, $A195)</f>
        <v>0</v>
      </c>
      <c r="Y195" s="121">
        <f>SUMIFS('12OctTo18Oct'!$O:$O, '12OctTo18Oct'!$J:$J, $A195)</f>
        <v>0</v>
      </c>
      <c r="Z195" s="121">
        <f>SUMIFS('12OctTo18Oct'!$P:$P, '12OctTo18Oct'!$J:$J, $A195)</f>
        <v>0</v>
      </c>
      <c r="AA195" s="122">
        <f t="shared" si="4"/>
        <v>0</v>
      </c>
      <c r="AB195" s="121">
        <f>SUMIFS('5OctTo11Oct'!$L:$L, '5OctTo11Oct'!$J:$J, $A195)</f>
        <v>0</v>
      </c>
      <c r="AC195" s="121">
        <f>SUMIFS('5OctTo11Oct'!$K:$K, '5OctTo11Oct'!$J:$J, $A195)</f>
        <v>0</v>
      </c>
      <c r="AD195" s="121">
        <f>SUMIFS('5OctTo11Oct'!$O:$O, '5OctTo11Oct'!$J:$J, $A195)</f>
        <v>0</v>
      </c>
      <c r="AE195" s="121">
        <f>SUMIFS('5OctTo11Oct'!$P:$P, '5OctTo11Oct'!$J:$J, $A195)</f>
        <v>0</v>
      </c>
      <c r="AF195" s="123">
        <f t="shared" si="5"/>
        <v>0</v>
      </c>
      <c r="AG195" s="121">
        <f>SUMIFS('28SepTo4Oct'!$L:$L, '28SepTo4Oct'!$J:$J, $A195)</f>
        <v>0</v>
      </c>
      <c r="AH195" s="121">
        <f>SUMIFS('28SepTo4Oct'!$K:$K, '28SepTo4Oct'!$J:$J, $A195)</f>
        <v>0</v>
      </c>
      <c r="AI195" s="121">
        <f>SUMIFS('28SepTo4Oct'!$O:$O, '28SepTo4Oct'!$J:$J, $A195)</f>
        <v>0</v>
      </c>
      <c r="AJ195" s="121">
        <f>SUMIFS('28SepTo4Oct'!$P:$P, '28SepTo4Oct'!$J:$J, $A195)</f>
        <v>0</v>
      </c>
      <c r="AK195" s="123">
        <f t="shared" si="6"/>
        <v>0</v>
      </c>
      <c r="AL195" s="121">
        <f>SUMIFS('21SepTo27Sep'!$L:$L, '21SepTo27Sep'!$J:$J, $A195)</f>
        <v>0</v>
      </c>
      <c r="AM195" s="121">
        <f>SUMIFS('21SepTo27Sep'!$K:$K, '21SepTo27Sep'!$J:$J, $A195)</f>
        <v>0</v>
      </c>
      <c r="AN195" s="121">
        <f>SUMIFS('21SepTo27Sep'!$O:$O, '21SepTo27Sep'!$J:$J, $A195)</f>
        <v>0</v>
      </c>
      <c r="AO195" s="121">
        <f>SUMIFS('21SepTo27Sep'!$P:$P, '21SepTo27Sep'!$J:$J, $A195)</f>
        <v>0</v>
      </c>
      <c r="AP195" s="123">
        <f t="shared" si="7"/>
        <v>0</v>
      </c>
      <c r="AQ195" s="121">
        <f>SUMIFS('14SepTo20Sep'!$L:$L, '14SepTo20Sep'!$J:$J, $A195)</f>
        <v>0</v>
      </c>
      <c r="AR195" s="121">
        <f>SUMIFS('14SepTo20Sep'!$K:$K, '14SepTo20Sep'!$J:$J, $A195)</f>
        <v>0</v>
      </c>
      <c r="AS195" s="121">
        <f>SUMIFS('14SepTo20Sep'!$O:$O, '14SepTo20Sep'!$J:$J, $A195)</f>
        <v>0</v>
      </c>
      <c r="AT195" s="121">
        <f>SUMIFS('14SepTo20Sep'!$P:$P, '14SepTo20Sep'!$J:$J, $A195)</f>
        <v>0</v>
      </c>
      <c r="AU195" s="123">
        <f t="shared" si="8"/>
        <v>0</v>
      </c>
      <c r="AV195" s="121">
        <f>SUMIFS('7SepTo13Sep'!$L:$L, '7SepTo13Sep'!$J:$J, $A195)</f>
        <v>0</v>
      </c>
      <c r="AW195" s="121">
        <f>SUMIFS('7SepTo13Sep'!$K:$K, '7SepTo13Sep'!$J:$J, $A195)</f>
        <v>0</v>
      </c>
      <c r="AX195" s="121">
        <f>SUMIFS('7SepTo13Sep'!$O:$O, '7SepTo13Sep'!$J:$J, $A195)</f>
        <v>0</v>
      </c>
      <c r="AY195" s="121">
        <f>SUMIFS('7SepTo13Sep'!$P:$P, '7SepTo13Sep'!$J:$J, $A195)</f>
        <v>0</v>
      </c>
      <c r="AZ195" s="123">
        <f t="shared" si="9"/>
        <v>0</v>
      </c>
      <c r="BA195" s="121">
        <f>SUMIFS('31AugTo6Sep'!$L:$L, '31AugTo6Sep'!$J:$J, $A195)</f>
        <v>0</v>
      </c>
      <c r="BB195" s="121">
        <f>SUMIFS('31AugTo6Sep'!$K:$K, '31AugTo6Sep'!$J:$J, $A195)</f>
        <v>0</v>
      </c>
      <c r="BC195" s="121">
        <f>SUMIFS('31AugTo6Sep'!$O:$O, '31AugTo6Sep'!$J:$J, $A195)</f>
        <v>0</v>
      </c>
      <c r="BD195" s="121">
        <f>SUMIFS('31AugTo6Sep'!$P:$P, '31AugTo6Sep'!$J:$J, $A195)</f>
        <v>0</v>
      </c>
      <c r="BE195" s="123">
        <f t="shared" si="10"/>
        <v>0</v>
      </c>
      <c r="BF195" s="121">
        <f>SUMIFS('24AugTo29Aug'!$L:$L, '24AugTo29Aug'!$J:$J, $A195)</f>
        <v>0</v>
      </c>
      <c r="BG195" s="121">
        <f>SUMIFS('24AugTo29Aug'!$K:$K, '24AugTo29Aug'!$J:$J, $A195)</f>
        <v>0</v>
      </c>
      <c r="BH195" s="121">
        <f>SUMIFS('24AugTo29Aug'!$O:$O, '24AugTo29Aug'!$J:$J, $A195)</f>
        <v>0</v>
      </c>
      <c r="BI195" s="121">
        <f>SUMIFS('24AugTo29Aug'!$P:$P, '24AugTo29Aug'!$J:$J, $A195)</f>
        <v>0</v>
      </c>
      <c r="BJ195" s="123">
        <f t="shared" si="11"/>
        <v>0</v>
      </c>
      <c r="BK195" s="121">
        <f>SUMIFS('17AugTo21Aug'!$L:$L, '17AugTo21Aug'!$J:$J, $A195)</f>
        <v>0</v>
      </c>
      <c r="BL195" s="121">
        <f>SUMIFS('17AugTo21Aug'!$K:$K, '17AugTo21Aug'!$J:$J, $A195)</f>
        <v>0</v>
      </c>
      <c r="BM195" s="121">
        <f>SUMIFS('17AugTo21Aug'!$O:$O, '17AugTo21Aug'!$J:$J, $A195)</f>
        <v>0</v>
      </c>
      <c r="BN195" s="121">
        <f>SUMIFS('17AugTo21Aug'!$P:$P, '17AugTo21Aug'!$J:$J, $A195)</f>
        <v>0</v>
      </c>
      <c r="BO195" s="123">
        <f t="shared" si="12"/>
        <v>0</v>
      </c>
      <c r="BP195" s="121">
        <f>SUMIFS('10AugTo16Aug'!$L:$L, '10AugTo16Aug'!$J:$J, $A195)</f>
        <v>0</v>
      </c>
      <c r="BQ195" s="121">
        <f>SUMIFS('10AugTo16Aug'!$K:$K, '10AugTo16Aug'!$J:$J, $A195)</f>
        <v>0</v>
      </c>
      <c r="BR195" s="121">
        <f>SUMIFS('10AugTo16Aug'!$O:$O, '10AugTo16Aug'!$J:$J, $A195)</f>
        <v>0</v>
      </c>
      <c r="BS195" s="121">
        <f>SUMIFS('10AugTo16Aug'!$P:$P, '10AugTo16Aug'!$J:$J, $A195)</f>
        <v>0</v>
      </c>
      <c r="BT195" s="123">
        <f t="shared" si="13"/>
        <v>0</v>
      </c>
      <c r="BU195" s="121">
        <f>SUMIFS('3AugTo9Aug'!$L:$L, '3AugTo9Aug'!$J:$J, $A195)</f>
        <v>0</v>
      </c>
      <c r="BV195" s="121">
        <f>SUMIFS('3AugTo9Aug'!$K:$K, '3AugTo9Aug'!$J:$J, $A195)</f>
        <v>0</v>
      </c>
      <c r="BW195" s="121">
        <f>SUMIFS('3AugTo9Aug'!$O:$O, '3AugTo9Aug'!$J:$J, $A195)</f>
        <v>0</v>
      </c>
      <c r="BX195" s="121">
        <f>SUMIFS('3AugTo9Aug'!$P:$P, '3AugTo9Aug'!$J:$J, $A195)</f>
        <v>0</v>
      </c>
      <c r="BY195" s="123">
        <f t="shared" si="14"/>
        <v>0</v>
      </c>
      <c r="BZ195" s="121">
        <f>SUMIFS('27JulyTo2Aug'!$L:$L, '27JulyTo2Aug'!$J:$J, $A195)</f>
        <v>1</v>
      </c>
      <c r="CA195" s="121">
        <f>SUMIFS('27JulyTo2Aug'!$K:$K, '27JulyTo2Aug'!$J:$J, $A195)</f>
        <v>1</v>
      </c>
      <c r="CB195" s="121">
        <f>SUMIFS('27JulyTo2Aug'!$O:$O, '27JulyTo2Aug'!$J:$J, $A195)</f>
        <v>2.64</v>
      </c>
      <c r="CC195" s="121">
        <f>SUMIFS('27JulyTo2Aug'!$P:$P, '27JulyTo2Aug'!$J:$J, $A195)</f>
        <v>24.94</v>
      </c>
      <c r="CD195" s="123">
        <f t="shared" si="15"/>
        <v>10.585404971932638</v>
      </c>
    </row>
    <row r="196" spans="1:82" ht="14.25" customHeight="1" x14ac:dyDescent="0.3">
      <c r="A196" s="124" t="s">
        <v>827</v>
      </c>
      <c r="B196" s="120" t="str">
        <f t="shared" ref="B196:B218" si="19">IF(
    (E196+J196+O196+T196+Y196)=0,
    "NO TRAFFIC",
    IF(
        (F196+K196+P196+U196+Z196)=0,
        "CLICKS NO SALES",
        IF(
            ((E196+J196+O196+T196+Y196)/(F196+K196+P196+U196+Z196)*100)&lt;=35,
            "WINNER",
            "HIGH ACOS"
        )
    )
)</f>
        <v>NO TRAFFIC</v>
      </c>
      <c r="C196" s="121">
        <f>SUMIFS('9NovTo15Nov'!$L:$L, '9NovTo15Nov'!$J:$J, $A196)</f>
        <v>0</v>
      </c>
      <c r="D196" s="121">
        <f>SUMIFS('9NovTo15Nov'!$K:$K, '9NovTo15Nov'!$J:$J, $A196)</f>
        <v>0</v>
      </c>
      <c r="E196" s="121">
        <f>SUMIFS('9NovTo15Nov'!$O:$O, '9NovTo15Nov'!$J:$J, $A196)</f>
        <v>0</v>
      </c>
      <c r="F196" s="121">
        <f>SUMIFS('9NovTo15Nov'!$P:$P, '9NovTo15Nov'!$J:$J, $A196)</f>
        <v>0</v>
      </c>
      <c r="G196" s="122">
        <f t="shared" si="0"/>
        <v>0</v>
      </c>
      <c r="H196" s="121">
        <f>SUMIFS('2NovTo8Nov'!$L:$L, '2NovTo8Nov'!$J:$J, $A196)</f>
        <v>0</v>
      </c>
      <c r="I196" s="121">
        <f>SUMIFS('2NovTo8Nov'!$K:$K, '2NovTo8Nov'!$J:$J, $A196)</f>
        <v>0</v>
      </c>
      <c r="J196" s="121">
        <f>SUMIFS('2NovTo8Nov'!$O:$O, '2NovTo8Nov'!$J:$J, $A196)</f>
        <v>0</v>
      </c>
      <c r="K196" s="121">
        <f>SUMIFS('2NovTo8Nov'!$P:$P, '2NovTo8Nov'!$J:$J, $A196)</f>
        <v>0</v>
      </c>
      <c r="L196" s="122">
        <f t="shared" si="1"/>
        <v>0</v>
      </c>
      <c r="M196" s="121">
        <f>SUMIFS('26OctTo1Nov'!$L:$L, '26OctTo1Nov'!$J:$J, $A196)</f>
        <v>0</v>
      </c>
      <c r="N196" s="121">
        <f>SUMIFS('26OctTo1Nov'!$K:$K, '26OctTo1Nov'!$J:$J, $A196)</f>
        <v>0</v>
      </c>
      <c r="O196" s="121">
        <f>SUMIFS('26OctTo1Nov'!$O:$O, '26OctTo1Nov'!$J:$J, $A196)</f>
        <v>0</v>
      </c>
      <c r="P196" s="121">
        <f>SUMIFS('26OctTo1Nov'!$P:$P, '26OctTo1Nov'!$J:$J, $A196)</f>
        <v>0</v>
      </c>
      <c r="Q196" s="122">
        <f t="shared" si="2"/>
        <v>0</v>
      </c>
      <c r="R196" s="121">
        <f>SUMIFS('19OctTo25Oct'!$L:$L, '19OctTo25Oct'!$J:$J, $A196)</f>
        <v>0</v>
      </c>
      <c r="S196" s="121">
        <f>SUMIFS('19OctTo25Oct'!$K:$K, '19OctTo25Oct'!$J:$J, $A196)</f>
        <v>0</v>
      </c>
      <c r="T196" s="121">
        <f>SUMIFS('19OctTo25Oct'!$O:$O, '19OctTo25Oct'!$J:$J, $A196)</f>
        <v>0</v>
      </c>
      <c r="U196" s="121">
        <f>SUMIFS('19OctTo25Oct'!$P:$P, '19OctTo25Oct'!$J:$J, $A196)</f>
        <v>0</v>
      </c>
      <c r="V196" s="122">
        <f t="shared" si="3"/>
        <v>0</v>
      </c>
      <c r="W196" s="121">
        <f>SUMIFS('12OctTo18Oct'!$L:$L, '12OctTo18Oct'!$J:$J, $A196)</f>
        <v>0</v>
      </c>
      <c r="X196" s="121">
        <f>SUMIFS('12OctTo18Oct'!$K:$K, '12OctTo18Oct'!$J:$J, $A196)</f>
        <v>0</v>
      </c>
      <c r="Y196" s="121">
        <f>SUMIFS('12OctTo18Oct'!$O:$O, '12OctTo18Oct'!$J:$J, $A196)</f>
        <v>0</v>
      </c>
      <c r="Z196" s="121">
        <f>SUMIFS('12OctTo18Oct'!$P:$P, '12OctTo18Oct'!$J:$J, $A196)</f>
        <v>0</v>
      </c>
      <c r="AA196" s="122">
        <f t="shared" si="4"/>
        <v>0</v>
      </c>
      <c r="AB196" s="121">
        <f>SUMIFS('5OctTo11Oct'!$L:$L, '5OctTo11Oct'!$J:$J, $A196)</f>
        <v>0</v>
      </c>
      <c r="AC196" s="121">
        <f>SUMIFS('5OctTo11Oct'!$K:$K, '5OctTo11Oct'!$J:$J, $A196)</f>
        <v>0</v>
      </c>
      <c r="AD196" s="121">
        <f>SUMIFS('5OctTo11Oct'!$O:$O, '5OctTo11Oct'!$J:$J, $A196)</f>
        <v>0</v>
      </c>
      <c r="AE196" s="121">
        <f>SUMIFS('5OctTo11Oct'!$P:$P, '5OctTo11Oct'!$J:$J, $A196)</f>
        <v>0</v>
      </c>
      <c r="AF196" s="123">
        <f t="shared" si="5"/>
        <v>0</v>
      </c>
      <c r="AG196" s="121">
        <f>SUMIFS('28SepTo4Oct'!$L:$L, '28SepTo4Oct'!$J:$J, $A196)</f>
        <v>0</v>
      </c>
      <c r="AH196" s="121">
        <f>SUMIFS('28SepTo4Oct'!$K:$K, '28SepTo4Oct'!$J:$J, $A196)</f>
        <v>0</v>
      </c>
      <c r="AI196" s="121">
        <f>SUMIFS('28SepTo4Oct'!$O:$O, '28SepTo4Oct'!$J:$J, $A196)</f>
        <v>0</v>
      </c>
      <c r="AJ196" s="121">
        <f>SUMIFS('28SepTo4Oct'!$P:$P, '28SepTo4Oct'!$J:$J, $A196)</f>
        <v>0</v>
      </c>
      <c r="AK196" s="123">
        <f t="shared" si="6"/>
        <v>0</v>
      </c>
      <c r="AL196" s="121">
        <f>SUMIFS('21SepTo27Sep'!$L:$L, '21SepTo27Sep'!$J:$J, $A196)</f>
        <v>0</v>
      </c>
      <c r="AM196" s="121">
        <f>SUMIFS('21SepTo27Sep'!$K:$K, '21SepTo27Sep'!$J:$J, $A196)</f>
        <v>0</v>
      </c>
      <c r="AN196" s="121">
        <f>SUMIFS('21SepTo27Sep'!$O:$O, '21SepTo27Sep'!$J:$J, $A196)</f>
        <v>0</v>
      </c>
      <c r="AO196" s="121">
        <f>SUMIFS('21SepTo27Sep'!$P:$P, '21SepTo27Sep'!$J:$J, $A196)</f>
        <v>0</v>
      </c>
      <c r="AP196" s="123">
        <f t="shared" si="7"/>
        <v>0</v>
      </c>
      <c r="AQ196" s="121">
        <f>SUMIFS('14SepTo20Sep'!$L:$L, '14SepTo20Sep'!$J:$J, $A196)</f>
        <v>0</v>
      </c>
      <c r="AR196" s="121">
        <f>SUMIFS('14SepTo20Sep'!$K:$K, '14SepTo20Sep'!$J:$J, $A196)</f>
        <v>0</v>
      </c>
      <c r="AS196" s="121">
        <f>SUMIFS('14SepTo20Sep'!$O:$O, '14SepTo20Sep'!$J:$J, $A196)</f>
        <v>0</v>
      </c>
      <c r="AT196" s="121">
        <f>SUMIFS('14SepTo20Sep'!$P:$P, '14SepTo20Sep'!$J:$J, $A196)</f>
        <v>0</v>
      </c>
      <c r="AU196" s="123">
        <f t="shared" si="8"/>
        <v>0</v>
      </c>
      <c r="AV196" s="121">
        <f>SUMIFS('7SepTo13Sep'!$L:$L, '7SepTo13Sep'!$J:$J, $A196)</f>
        <v>0</v>
      </c>
      <c r="AW196" s="121">
        <f>SUMIFS('7SepTo13Sep'!$K:$K, '7SepTo13Sep'!$J:$J, $A196)</f>
        <v>0</v>
      </c>
      <c r="AX196" s="121">
        <f>SUMIFS('7SepTo13Sep'!$O:$O, '7SepTo13Sep'!$J:$J, $A196)</f>
        <v>0</v>
      </c>
      <c r="AY196" s="121">
        <f>SUMIFS('7SepTo13Sep'!$P:$P, '7SepTo13Sep'!$J:$J, $A196)</f>
        <v>0</v>
      </c>
      <c r="AZ196" s="123">
        <f t="shared" si="9"/>
        <v>0</v>
      </c>
      <c r="BA196" s="121">
        <f>SUMIFS('31AugTo6Sep'!$L:$L, '31AugTo6Sep'!$J:$J, $A196)</f>
        <v>0</v>
      </c>
      <c r="BB196" s="121">
        <f>SUMIFS('31AugTo6Sep'!$K:$K, '31AugTo6Sep'!$J:$J, $A196)</f>
        <v>0</v>
      </c>
      <c r="BC196" s="121">
        <f>SUMIFS('31AugTo6Sep'!$O:$O, '31AugTo6Sep'!$J:$J, $A196)</f>
        <v>0</v>
      </c>
      <c r="BD196" s="121">
        <f>SUMIFS('31AugTo6Sep'!$P:$P, '31AugTo6Sep'!$J:$J, $A196)</f>
        <v>0</v>
      </c>
      <c r="BE196" s="123">
        <f t="shared" si="10"/>
        <v>0</v>
      </c>
      <c r="BF196" s="121">
        <f>SUMIFS('24AugTo29Aug'!$L:$L, '24AugTo29Aug'!$J:$J, $A196)</f>
        <v>0</v>
      </c>
      <c r="BG196" s="121">
        <f>SUMIFS('24AugTo29Aug'!$K:$K, '24AugTo29Aug'!$J:$J, $A196)</f>
        <v>0</v>
      </c>
      <c r="BH196" s="121">
        <f>SUMIFS('24AugTo29Aug'!$O:$O, '24AugTo29Aug'!$J:$J, $A196)</f>
        <v>0</v>
      </c>
      <c r="BI196" s="121">
        <f>SUMIFS('24AugTo29Aug'!$P:$P, '24AugTo29Aug'!$J:$J, $A196)</f>
        <v>0</v>
      </c>
      <c r="BJ196" s="123">
        <f t="shared" si="11"/>
        <v>0</v>
      </c>
      <c r="BK196" s="121">
        <f>SUMIFS('17AugTo21Aug'!$L:$L, '17AugTo21Aug'!$J:$J, $A196)</f>
        <v>0</v>
      </c>
      <c r="BL196" s="121">
        <f>SUMIFS('17AugTo21Aug'!$K:$K, '17AugTo21Aug'!$J:$J, $A196)</f>
        <v>0</v>
      </c>
      <c r="BM196" s="121">
        <f>SUMIFS('17AugTo21Aug'!$O:$O, '17AugTo21Aug'!$J:$J, $A196)</f>
        <v>0</v>
      </c>
      <c r="BN196" s="121">
        <f>SUMIFS('17AugTo21Aug'!$P:$P, '17AugTo21Aug'!$J:$J, $A196)</f>
        <v>0</v>
      </c>
      <c r="BO196" s="123">
        <f t="shared" si="12"/>
        <v>0</v>
      </c>
      <c r="BP196" s="121">
        <f>SUMIFS('10AugTo16Aug'!$L:$L, '10AugTo16Aug'!$J:$J, $A196)</f>
        <v>0</v>
      </c>
      <c r="BQ196" s="121">
        <f>SUMIFS('10AugTo16Aug'!$K:$K, '10AugTo16Aug'!$J:$J, $A196)</f>
        <v>0</v>
      </c>
      <c r="BR196" s="121">
        <f>SUMIFS('10AugTo16Aug'!$O:$O, '10AugTo16Aug'!$J:$J, $A196)</f>
        <v>0</v>
      </c>
      <c r="BS196" s="121">
        <f>SUMIFS('10AugTo16Aug'!$P:$P, '10AugTo16Aug'!$J:$J, $A196)</f>
        <v>0</v>
      </c>
      <c r="BT196" s="123">
        <f t="shared" si="13"/>
        <v>0</v>
      </c>
      <c r="BU196" s="121">
        <f>SUMIFS('3AugTo9Aug'!$L:$L, '3AugTo9Aug'!$J:$J, $A196)</f>
        <v>0</v>
      </c>
      <c r="BV196" s="121">
        <f>SUMIFS('3AugTo9Aug'!$K:$K, '3AugTo9Aug'!$J:$J, $A196)</f>
        <v>0</v>
      </c>
      <c r="BW196" s="121">
        <f>SUMIFS('3AugTo9Aug'!$O:$O, '3AugTo9Aug'!$J:$J, $A196)</f>
        <v>0</v>
      </c>
      <c r="BX196" s="121">
        <f>SUMIFS('3AugTo9Aug'!$P:$P, '3AugTo9Aug'!$J:$J, $A196)</f>
        <v>0</v>
      </c>
      <c r="BY196" s="123">
        <f t="shared" si="14"/>
        <v>0</v>
      </c>
      <c r="BZ196" s="121">
        <f>SUMIFS('27JulyTo2Aug'!$L:$L, '27JulyTo2Aug'!$J:$J, $A196)</f>
        <v>1</v>
      </c>
      <c r="CA196" s="121">
        <f>SUMIFS('27JulyTo2Aug'!$K:$K, '27JulyTo2Aug'!$J:$J, $A196)</f>
        <v>1</v>
      </c>
      <c r="CB196" s="121">
        <f>SUMIFS('27JulyTo2Aug'!$O:$O, '27JulyTo2Aug'!$J:$J, $A196)</f>
        <v>2.95</v>
      </c>
      <c r="CC196" s="121">
        <f>SUMIFS('27JulyTo2Aug'!$P:$P, '27JulyTo2Aug'!$J:$J, $A196)</f>
        <v>24.94</v>
      </c>
      <c r="CD196" s="123">
        <f t="shared" si="15"/>
        <v>11.828388131515638</v>
      </c>
    </row>
    <row r="197" spans="1:82" ht="14.25" customHeight="1" x14ac:dyDescent="0.3">
      <c r="A197" s="124" t="s">
        <v>828</v>
      </c>
      <c r="B197" s="120" t="str">
        <f t="shared" si="19"/>
        <v>NO TRAFFIC</v>
      </c>
      <c r="C197" s="121">
        <f>SUMIFS('9NovTo15Nov'!$L:$L, '9NovTo15Nov'!$J:$J, $A197)</f>
        <v>0</v>
      </c>
      <c r="D197" s="121">
        <f>SUMIFS('9NovTo15Nov'!$K:$K, '9NovTo15Nov'!$J:$J, $A197)</f>
        <v>0</v>
      </c>
      <c r="E197" s="121">
        <f>SUMIFS('9NovTo15Nov'!$O:$O, '9NovTo15Nov'!$J:$J, $A197)</f>
        <v>0</v>
      </c>
      <c r="F197" s="121">
        <f>SUMIFS('9NovTo15Nov'!$P:$P, '9NovTo15Nov'!$J:$J, $A197)</f>
        <v>0</v>
      </c>
      <c r="G197" s="122">
        <f t="shared" si="0"/>
        <v>0</v>
      </c>
      <c r="H197" s="121">
        <f>SUMIFS('2NovTo8Nov'!$L:$L, '2NovTo8Nov'!$J:$J, $A197)</f>
        <v>0</v>
      </c>
      <c r="I197" s="121">
        <f>SUMIFS('2NovTo8Nov'!$K:$K, '2NovTo8Nov'!$J:$J, $A197)</f>
        <v>0</v>
      </c>
      <c r="J197" s="121">
        <f>SUMIFS('2NovTo8Nov'!$O:$O, '2NovTo8Nov'!$J:$J, $A197)</f>
        <v>0</v>
      </c>
      <c r="K197" s="121">
        <f>SUMIFS('2NovTo8Nov'!$P:$P, '2NovTo8Nov'!$J:$J, $A197)</f>
        <v>0</v>
      </c>
      <c r="L197" s="122">
        <f t="shared" si="1"/>
        <v>0</v>
      </c>
      <c r="M197" s="121">
        <f>SUMIFS('26OctTo1Nov'!$L:$L, '26OctTo1Nov'!$J:$J, $A197)</f>
        <v>0</v>
      </c>
      <c r="N197" s="121">
        <f>SUMIFS('26OctTo1Nov'!$K:$K, '26OctTo1Nov'!$J:$J, $A197)</f>
        <v>0</v>
      </c>
      <c r="O197" s="121">
        <f>SUMIFS('26OctTo1Nov'!$O:$O, '26OctTo1Nov'!$J:$J, $A197)</f>
        <v>0</v>
      </c>
      <c r="P197" s="121">
        <f>SUMIFS('26OctTo1Nov'!$P:$P, '26OctTo1Nov'!$J:$J, $A197)</f>
        <v>0</v>
      </c>
      <c r="Q197" s="122">
        <f t="shared" si="2"/>
        <v>0</v>
      </c>
      <c r="R197" s="121">
        <f>SUMIFS('19OctTo25Oct'!$L:$L, '19OctTo25Oct'!$J:$J, $A197)</f>
        <v>0</v>
      </c>
      <c r="S197" s="121">
        <f>SUMIFS('19OctTo25Oct'!$K:$K, '19OctTo25Oct'!$J:$J, $A197)</f>
        <v>0</v>
      </c>
      <c r="T197" s="121">
        <f>SUMIFS('19OctTo25Oct'!$O:$O, '19OctTo25Oct'!$J:$J, $A197)</f>
        <v>0</v>
      </c>
      <c r="U197" s="121">
        <f>SUMIFS('19OctTo25Oct'!$P:$P, '19OctTo25Oct'!$J:$J, $A197)</f>
        <v>0</v>
      </c>
      <c r="V197" s="122">
        <f t="shared" si="3"/>
        <v>0</v>
      </c>
      <c r="W197" s="121">
        <f>SUMIFS('12OctTo18Oct'!$L:$L, '12OctTo18Oct'!$J:$J, $A197)</f>
        <v>0</v>
      </c>
      <c r="X197" s="121">
        <f>SUMIFS('12OctTo18Oct'!$K:$K, '12OctTo18Oct'!$J:$J, $A197)</f>
        <v>0</v>
      </c>
      <c r="Y197" s="121">
        <f>SUMIFS('12OctTo18Oct'!$O:$O, '12OctTo18Oct'!$J:$J, $A197)</f>
        <v>0</v>
      </c>
      <c r="Z197" s="121">
        <f>SUMIFS('12OctTo18Oct'!$P:$P, '12OctTo18Oct'!$J:$J, $A197)</f>
        <v>0</v>
      </c>
      <c r="AA197" s="122">
        <f t="shared" si="4"/>
        <v>0</v>
      </c>
      <c r="AB197" s="121">
        <f>SUMIFS('5OctTo11Oct'!$L:$L, '5OctTo11Oct'!$J:$J, $A197)</f>
        <v>0</v>
      </c>
      <c r="AC197" s="121">
        <f>SUMIFS('5OctTo11Oct'!$K:$K, '5OctTo11Oct'!$J:$J, $A197)</f>
        <v>0</v>
      </c>
      <c r="AD197" s="121">
        <f>SUMIFS('5OctTo11Oct'!$O:$O, '5OctTo11Oct'!$J:$J, $A197)</f>
        <v>0</v>
      </c>
      <c r="AE197" s="121">
        <f>SUMIFS('5OctTo11Oct'!$P:$P, '5OctTo11Oct'!$J:$J, $A197)</f>
        <v>0</v>
      </c>
      <c r="AF197" s="123">
        <f t="shared" si="5"/>
        <v>0</v>
      </c>
      <c r="AG197" s="121">
        <f>SUMIFS('28SepTo4Oct'!$L:$L, '28SepTo4Oct'!$J:$J, $A197)</f>
        <v>0</v>
      </c>
      <c r="AH197" s="121">
        <f>SUMIFS('28SepTo4Oct'!$K:$K, '28SepTo4Oct'!$J:$J, $A197)</f>
        <v>0</v>
      </c>
      <c r="AI197" s="121">
        <f>SUMIFS('28SepTo4Oct'!$O:$O, '28SepTo4Oct'!$J:$J, $A197)</f>
        <v>0</v>
      </c>
      <c r="AJ197" s="121">
        <f>SUMIFS('28SepTo4Oct'!$P:$P, '28SepTo4Oct'!$J:$J, $A197)</f>
        <v>0</v>
      </c>
      <c r="AK197" s="123">
        <f t="shared" si="6"/>
        <v>0</v>
      </c>
      <c r="AL197" s="121">
        <f>SUMIFS('21SepTo27Sep'!$L:$L, '21SepTo27Sep'!$J:$J, $A197)</f>
        <v>0</v>
      </c>
      <c r="AM197" s="121">
        <f>SUMIFS('21SepTo27Sep'!$K:$K, '21SepTo27Sep'!$J:$J, $A197)</f>
        <v>0</v>
      </c>
      <c r="AN197" s="121">
        <f>SUMIFS('21SepTo27Sep'!$O:$O, '21SepTo27Sep'!$J:$J, $A197)</f>
        <v>0</v>
      </c>
      <c r="AO197" s="121">
        <f>SUMIFS('21SepTo27Sep'!$P:$P, '21SepTo27Sep'!$J:$J, $A197)</f>
        <v>0</v>
      </c>
      <c r="AP197" s="123">
        <f t="shared" si="7"/>
        <v>0</v>
      </c>
      <c r="AQ197" s="121">
        <f>SUMIFS('14SepTo20Sep'!$L:$L, '14SepTo20Sep'!$J:$J, $A197)</f>
        <v>0</v>
      </c>
      <c r="AR197" s="121">
        <f>SUMIFS('14SepTo20Sep'!$K:$K, '14SepTo20Sep'!$J:$J, $A197)</f>
        <v>0</v>
      </c>
      <c r="AS197" s="121">
        <f>SUMIFS('14SepTo20Sep'!$O:$O, '14SepTo20Sep'!$J:$J, $A197)</f>
        <v>0</v>
      </c>
      <c r="AT197" s="121">
        <f>SUMIFS('14SepTo20Sep'!$P:$P, '14SepTo20Sep'!$J:$J, $A197)</f>
        <v>0</v>
      </c>
      <c r="AU197" s="123">
        <f t="shared" si="8"/>
        <v>0</v>
      </c>
      <c r="AV197" s="121">
        <f>SUMIFS('7SepTo13Sep'!$L:$L, '7SepTo13Sep'!$J:$J, $A197)</f>
        <v>0</v>
      </c>
      <c r="AW197" s="121">
        <f>SUMIFS('7SepTo13Sep'!$K:$K, '7SepTo13Sep'!$J:$J, $A197)</f>
        <v>0</v>
      </c>
      <c r="AX197" s="121">
        <f>SUMIFS('7SepTo13Sep'!$O:$O, '7SepTo13Sep'!$J:$J, $A197)</f>
        <v>0</v>
      </c>
      <c r="AY197" s="121">
        <f>SUMIFS('7SepTo13Sep'!$P:$P, '7SepTo13Sep'!$J:$J, $A197)</f>
        <v>0</v>
      </c>
      <c r="AZ197" s="123">
        <f t="shared" si="9"/>
        <v>0</v>
      </c>
      <c r="BA197" s="121">
        <f>SUMIFS('31AugTo6Sep'!$L:$L, '31AugTo6Sep'!$J:$J, $A197)</f>
        <v>0</v>
      </c>
      <c r="BB197" s="121">
        <f>SUMIFS('31AugTo6Sep'!$K:$K, '31AugTo6Sep'!$J:$J, $A197)</f>
        <v>0</v>
      </c>
      <c r="BC197" s="121">
        <f>SUMIFS('31AugTo6Sep'!$O:$O, '31AugTo6Sep'!$J:$J, $A197)</f>
        <v>0</v>
      </c>
      <c r="BD197" s="121">
        <f>SUMIFS('31AugTo6Sep'!$P:$P, '31AugTo6Sep'!$J:$J, $A197)</f>
        <v>0</v>
      </c>
      <c r="BE197" s="123">
        <f t="shared" si="10"/>
        <v>0</v>
      </c>
      <c r="BF197" s="121">
        <f>SUMIFS('24AugTo29Aug'!$L:$L, '24AugTo29Aug'!$J:$J, $A197)</f>
        <v>0</v>
      </c>
      <c r="BG197" s="121">
        <f>SUMIFS('24AugTo29Aug'!$K:$K, '24AugTo29Aug'!$J:$J, $A197)</f>
        <v>0</v>
      </c>
      <c r="BH197" s="121">
        <f>SUMIFS('24AugTo29Aug'!$O:$O, '24AugTo29Aug'!$J:$J, $A197)</f>
        <v>0</v>
      </c>
      <c r="BI197" s="121">
        <f>SUMIFS('24AugTo29Aug'!$P:$P, '24AugTo29Aug'!$J:$J, $A197)</f>
        <v>0</v>
      </c>
      <c r="BJ197" s="123">
        <f t="shared" si="11"/>
        <v>0</v>
      </c>
      <c r="BK197" s="121">
        <f>SUMIFS('17AugTo21Aug'!$L:$L, '17AugTo21Aug'!$J:$J, $A197)</f>
        <v>0</v>
      </c>
      <c r="BL197" s="121">
        <f>SUMIFS('17AugTo21Aug'!$K:$K, '17AugTo21Aug'!$J:$J, $A197)</f>
        <v>0</v>
      </c>
      <c r="BM197" s="121">
        <f>SUMIFS('17AugTo21Aug'!$O:$O, '17AugTo21Aug'!$J:$J, $A197)</f>
        <v>0</v>
      </c>
      <c r="BN197" s="121">
        <f>SUMIFS('17AugTo21Aug'!$P:$P, '17AugTo21Aug'!$J:$J, $A197)</f>
        <v>0</v>
      </c>
      <c r="BO197" s="123">
        <f t="shared" si="12"/>
        <v>0</v>
      </c>
      <c r="BP197" s="121">
        <f>SUMIFS('10AugTo16Aug'!$L:$L, '10AugTo16Aug'!$J:$J, $A197)</f>
        <v>0</v>
      </c>
      <c r="BQ197" s="121">
        <f>SUMIFS('10AugTo16Aug'!$K:$K, '10AugTo16Aug'!$J:$J, $A197)</f>
        <v>0</v>
      </c>
      <c r="BR197" s="121">
        <f>SUMIFS('10AugTo16Aug'!$O:$O, '10AugTo16Aug'!$J:$J, $A197)</f>
        <v>0</v>
      </c>
      <c r="BS197" s="121">
        <f>SUMIFS('10AugTo16Aug'!$P:$P, '10AugTo16Aug'!$J:$J, $A197)</f>
        <v>0</v>
      </c>
      <c r="BT197" s="123">
        <f t="shared" si="13"/>
        <v>0</v>
      </c>
      <c r="BU197" s="121">
        <f>SUMIFS('3AugTo9Aug'!$L:$L, '3AugTo9Aug'!$J:$J, $A197)</f>
        <v>0</v>
      </c>
      <c r="BV197" s="121">
        <f>SUMIFS('3AugTo9Aug'!$K:$K, '3AugTo9Aug'!$J:$J, $A197)</f>
        <v>0</v>
      </c>
      <c r="BW197" s="121">
        <f>SUMIFS('3AugTo9Aug'!$O:$O, '3AugTo9Aug'!$J:$J, $A197)</f>
        <v>0</v>
      </c>
      <c r="BX197" s="121">
        <f>SUMIFS('3AugTo9Aug'!$P:$P, '3AugTo9Aug'!$J:$J, $A197)</f>
        <v>0</v>
      </c>
      <c r="BY197" s="123">
        <f t="shared" si="14"/>
        <v>0</v>
      </c>
      <c r="BZ197" s="121">
        <f>SUMIFS('27JulyTo2Aug'!$L:$L, '27JulyTo2Aug'!$J:$J, $A197)</f>
        <v>1</v>
      </c>
      <c r="CA197" s="121">
        <f>SUMIFS('27JulyTo2Aug'!$K:$K, '27JulyTo2Aug'!$J:$J, $A197)</f>
        <v>1</v>
      </c>
      <c r="CB197" s="121">
        <f>SUMIFS('27JulyTo2Aug'!$O:$O, '27JulyTo2Aug'!$J:$J, $A197)</f>
        <v>1.62</v>
      </c>
      <c r="CC197" s="121">
        <f>SUMIFS('27JulyTo2Aug'!$P:$P, '27JulyTo2Aug'!$J:$J, $A197)</f>
        <v>49.88</v>
      </c>
      <c r="CD197" s="123">
        <f t="shared" si="15"/>
        <v>3.2477947072975142</v>
      </c>
    </row>
    <row r="198" spans="1:82" ht="14.25" customHeight="1" x14ac:dyDescent="0.3">
      <c r="A198" s="124" t="s">
        <v>829</v>
      </c>
      <c r="B198" s="120" t="str">
        <f t="shared" si="19"/>
        <v>NO TRAFFIC</v>
      </c>
      <c r="C198" s="121">
        <f>SUMIFS('9NovTo15Nov'!$L:$L, '9NovTo15Nov'!$J:$J, $A198)</f>
        <v>0</v>
      </c>
      <c r="D198" s="121">
        <f>SUMIFS('9NovTo15Nov'!$K:$K, '9NovTo15Nov'!$J:$J, $A198)</f>
        <v>0</v>
      </c>
      <c r="E198" s="121">
        <f>SUMIFS('9NovTo15Nov'!$O:$O, '9NovTo15Nov'!$J:$J, $A198)</f>
        <v>0</v>
      </c>
      <c r="F198" s="121">
        <f>SUMIFS('9NovTo15Nov'!$P:$P, '9NovTo15Nov'!$J:$J, $A198)</f>
        <v>0</v>
      </c>
      <c r="G198" s="122">
        <f t="shared" si="0"/>
        <v>0</v>
      </c>
      <c r="H198" s="121">
        <f>SUMIFS('2NovTo8Nov'!$L:$L, '2NovTo8Nov'!$J:$J, $A198)</f>
        <v>0</v>
      </c>
      <c r="I198" s="121">
        <f>SUMIFS('2NovTo8Nov'!$K:$K, '2NovTo8Nov'!$J:$J, $A198)</f>
        <v>0</v>
      </c>
      <c r="J198" s="121">
        <f>SUMIFS('2NovTo8Nov'!$O:$O, '2NovTo8Nov'!$J:$J, $A198)</f>
        <v>0</v>
      </c>
      <c r="K198" s="121">
        <f>SUMIFS('2NovTo8Nov'!$P:$P, '2NovTo8Nov'!$J:$J, $A198)</f>
        <v>0</v>
      </c>
      <c r="L198" s="122">
        <f t="shared" si="1"/>
        <v>0</v>
      </c>
      <c r="M198" s="121">
        <f>SUMIFS('26OctTo1Nov'!$L:$L, '26OctTo1Nov'!$J:$J, $A198)</f>
        <v>0</v>
      </c>
      <c r="N198" s="121">
        <f>SUMIFS('26OctTo1Nov'!$K:$K, '26OctTo1Nov'!$J:$J, $A198)</f>
        <v>0</v>
      </c>
      <c r="O198" s="121">
        <f>SUMIFS('26OctTo1Nov'!$O:$O, '26OctTo1Nov'!$J:$J, $A198)</f>
        <v>0</v>
      </c>
      <c r="P198" s="121">
        <f>SUMIFS('26OctTo1Nov'!$P:$P, '26OctTo1Nov'!$J:$J, $A198)</f>
        <v>0</v>
      </c>
      <c r="Q198" s="122">
        <f t="shared" si="2"/>
        <v>0</v>
      </c>
      <c r="R198" s="121">
        <f>SUMIFS('19OctTo25Oct'!$L:$L, '19OctTo25Oct'!$J:$J, $A198)</f>
        <v>0</v>
      </c>
      <c r="S198" s="121">
        <f>SUMIFS('19OctTo25Oct'!$K:$K, '19OctTo25Oct'!$J:$J, $A198)</f>
        <v>0</v>
      </c>
      <c r="T198" s="121">
        <f>SUMIFS('19OctTo25Oct'!$O:$O, '19OctTo25Oct'!$J:$J, $A198)</f>
        <v>0</v>
      </c>
      <c r="U198" s="121">
        <f>SUMIFS('19OctTo25Oct'!$P:$P, '19OctTo25Oct'!$J:$J, $A198)</f>
        <v>0</v>
      </c>
      <c r="V198" s="122">
        <f t="shared" si="3"/>
        <v>0</v>
      </c>
      <c r="W198" s="121">
        <f>SUMIFS('12OctTo18Oct'!$L:$L, '12OctTo18Oct'!$J:$J, $A198)</f>
        <v>0</v>
      </c>
      <c r="X198" s="121">
        <f>SUMIFS('12OctTo18Oct'!$K:$K, '12OctTo18Oct'!$J:$J, $A198)</f>
        <v>0</v>
      </c>
      <c r="Y198" s="121">
        <f>SUMIFS('12OctTo18Oct'!$O:$O, '12OctTo18Oct'!$J:$J, $A198)</f>
        <v>0</v>
      </c>
      <c r="Z198" s="121">
        <f>SUMIFS('12OctTo18Oct'!$P:$P, '12OctTo18Oct'!$J:$J, $A198)</f>
        <v>0</v>
      </c>
      <c r="AA198" s="122">
        <f t="shared" si="4"/>
        <v>0</v>
      </c>
      <c r="AB198" s="121">
        <f>SUMIFS('5OctTo11Oct'!$L:$L, '5OctTo11Oct'!$J:$J, $A198)</f>
        <v>0</v>
      </c>
      <c r="AC198" s="121">
        <f>SUMIFS('5OctTo11Oct'!$K:$K, '5OctTo11Oct'!$J:$J, $A198)</f>
        <v>0</v>
      </c>
      <c r="AD198" s="121">
        <f>SUMIFS('5OctTo11Oct'!$O:$O, '5OctTo11Oct'!$J:$J, $A198)</f>
        <v>0</v>
      </c>
      <c r="AE198" s="121">
        <f>SUMIFS('5OctTo11Oct'!$P:$P, '5OctTo11Oct'!$J:$J, $A198)</f>
        <v>0</v>
      </c>
      <c r="AF198" s="123">
        <f t="shared" si="5"/>
        <v>0</v>
      </c>
      <c r="AG198" s="121">
        <f>SUMIFS('28SepTo4Oct'!$L:$L, '28SepTo4Oct'!$J:$J, $A198)</f>
        <v>0</v>
      </c>
      <c r="AH198" s="121">
        <f>SUMIFS('28SepTo4Oct'!$K:$K, '28SepTo4Oct'!$J:$J, $A198)</f>
        <v>0</v>
      </c>
      <c r="AI198" s="121">
        <f>SUMIFS('28SepTo4Oct'!$O:$O, '28SepTo4Oct'!$J:$J, $A198)</f>
        <v>0</v>
      </c>
      <c r="AJ198" s="121">
        <f>SUMIFS('28SepTo4Oct'!$P:$P, '28SepTo4Oct'!$J:$J, $A198)</f>
        <v>0</v>
      </c>
      <c r="AK198" s="123">
        <f t="shared" si="6"/>
        <v>0</v>
      </c>
      <c r="AL198" s="121">
        <f>SUMIFS('21SepTo27Sep'!$L:$L, '21SepTo27Sep'!$J:$J, $A198)</f>
        <v>0</v>
      </c>
      <c r="AM198" s="121">
        <f>SUMIFS('21SepTo27Sep'!$K:$K, '21SepTo27Sep'!$J:$J, $A198)</f>
        <v>0</v>
      </c>
      <c r="AN198" s="121">
        <f>SUMIFS('21SepTo27Sep'!$O:$O, '21SepTo27Sep'!$J:$J, $A198)</f>
        <v>0</v>
      </c>
      <c r="AO198" s="121">
        <f>SUMIFS('21SepTo27Sep'!$P:$P, '21SepTo27Sep'!$J:$J, $A198)</f>
        <v>0</v>
      </c>
      <c r="AP198" s="123">
        <f t="shared" si="7"/>
        <v>0</v>
      </c>
      <c r="AQ198" s="121">
        <f>SUMIFS('14SepTo20Sep'!$L:$L, '14SepTo20Sep'!$J:$J, $A198)</f>
        <v>0</v>
      </c>
      <c r="AR198" s="121">
        <f>SUMIFS('14SepTo20Sep'!$K:$K, '14SepTo20Sep'!$J:$J, $A198)</f>
        <v>0</v>
      </c>
      <c r="AS198" s="121">
        <f>SUMIFS('14SepTo20Sep'!$O:$O, '14SepTo20Sep'!$J:$J, $A198)</f>
        <v>0</v>
      </c>
      <c r="AT198" s="121">
        <f>SUMIFS('14SepTo20Sep'!$P:$P, '14SepTo20Sep'!$J:$J, $A198)</f>
        <v>0</v>
      </c>
      <c r="AU198" s="123">
        <f t="shared" si="8"/>
        <v>0</v>
      </c>
      <c r="AV198" s="121">
        <f>SUMIFS('7SepTo13Sep'!$L:$L, '7SepTo13Sep'!$J:$J, $A198)</f>
        <v>0</v>
      </c>
      <c r="AW198" s="121">
        <f>SUMIFS('7SepTo13Sep'!$K:$K, '7SepTo13Sep'!$J:$J, $A198)</f>
        <v>0</v>
      </c>
      <c r="AX198" s="121">
        <f>SUMIFS('7SepTo13Sep'!$O:$O, '7SepTo13Sep'!$J:$J, $A198)</f>
        <v>0</v>
      </c>
      <c r="AY198" s="121">
        <f>SUMIFS('7SepTo13Sep'!$P:$P, '7SepTo13Sep'!$J:$J, $A198)</f>
        <v>0</v>
      </c>
      <c r="AZ198" s="123">
        <f t="shared" si="9"/>
        <v>0</v>
      </c>
      <c r="BA198" s="121">
        <f>SUMIFS('31AugTo6Sep'!$L:$L, '31AugTo6Sep'!$J:$J, $A198)</f>
        <v>0</v>
      </c>
      <c r="BB198" s="121">
        <f>SUMIFS('31AugTo6Sep'!$K:$K, '31AugTo6Sep'!$J:$J, $A198)</f>
        <v>0</v>
      </c>
      <c r="BC198" s="121">
        <f>SUMIFS('31AugTo6Sep'!$O:$O, '31AugTo6Sep'!$J:$J, $A198)</f>
        <v>0</v>
      </c>
      <c r="BD198" s="121">
        <f>SUMIFS('31AugTo6Sep'!$P:$P, '31AugTo6Sep'!$J:$J, $A198)</f>
        <v>0</v>
      </c>
      <c r="BE198" s="123">
        <f t="shared" si="10"/>
        <v>0</v>
      </c>
      <c r="BF198" s="121">
        <f>SUMIFS('24AugTo29Aug'!$L:$L, '24AugTo29Aug'!$J:$J, $A198)</f>
        <v>0</v>
      </c>
      <c r="BG198" s="121">
        <f>SUMIFS('24AugTo29Aug'!$K:$K, '24AugTo29Aug'!$J:$J, $A198)</f>
        <v>0</v>
      </c>
      <c r="BH198" s="121">
        <f>SUMIFS('24AugTo29Aug'!$O:$O, '24AugTo29Aug'!$J:$J, $A198)</f>
        <v>0</v>
      </c>
      <c r="BI198" s="121">
        <f>SUMIFS('24AugTo29Aug'!$P:$P, '24AugTo29Aug'!$J:$J, $A198)</f>
        <v>0</v>
      </c>
      <c r="BJ198" s="123">
        <f t="shared" si="11"/>
        <v>0</v>
      </c>
      <c r="BK198" s="121">
        <f>SUMIFS('17AugTo21Aug'!$L:$L, '17AugTo21Aug'!$J:$J, $A198)</f>
        <v>0</v>
      </c>
      <c r="BL198" s="121">
        <f>SUMIFS('17AugTo21Aug'!$K:$K, '17AugTo21Aug'!$J:$J, $A198)</f>
        <v>0</v>
      </c>
      <c r="BM198" s="121">
        <f>SUMIFS('17AugTo21Aug'!$O:$O, '17AugTo21Aug'!$J:$J, $A198)</f>
        <v>0</v>
      </c>
      <c r="BN198" s="121">
        <f>SUMIFS('17AugTo21Aug'!$P:$P, '17AugTo21Aug'!$J:$J, $A198)</f>
        <v>0</v>
      </c>
      <c r="BO198" s="123">
        <f t="shared" si="12"/>
        <v>0</v>
      </c>
      <c r="BP198" s="121">
        <f>SUMIFS('10AugTo16Aug'!$L:$L, '10AugTo16Aug'!$J:$J, $A198)</f>
        <v>0</v>
      </c>
      <c r="BQ198" s="121">
        <f>SUMIFS('10AugTo16Aug'!$K:$K, '10AugTo16Aug'!$J:$J, $A198)</f>
        <v>0</v>
      </c>
      <c r="BR198" s="121">
        <f>SUMIFS('10AugTo16Aug'!$O:$O, '10AugTo16Aug'!$J:$J, $A198)</f>
        <v>0</v>
      </c>
      <c r="BS198" s="121">
        <f>SUMIFS('10AugTo16Aug'!$P:$P, '10AugTo16Aug'!$J:$J, $A198)</f>
        <v>0</v>
      </c>
      <c r="BT198" s="123">
        <f t="shared" si="13"/>
        <v>0</v>
      </c>
      <c r="BU198" s="121">
        <f>SUMIFS('3AugTo9Aug'!$L:$L, '3AugTo9Aug'!$J:$J, $A198)</f>
        <v>0</v>
      </c>
      <c r="BV198" s="121">
        <f>SUMIFS('3AugTo9Aug'!$K:$K, '3AugTo9Aug'!$J:$J, $A198)</f>
        <v>0</v>
      </c>
      <c r="BW198" s="121">
        <f>SUMIFS('3AugTo9Aug'!$O:$O, '3AugTo9Aug'!$J:$J, $A198)</f>
        <v>0</v>
      </c>
      <c r="BX198" s="121">
        <f>SUMIFS('3AugTo9Aug'!$P:$P, '3AugTo9Aug'!$J:$J, $A198)</f>
        <v>0</v>
      </c>
      <c r="BY198" s="123">
        <f t="shared" si="14"/>
        <v>0</v>
      </c>
      <c r="BZ198" s="121">
        <f>SUMIFS('27JulyTo2Aug'!$L:$L, '27JulyTo2Aug'!$J:$J, $A198)</f>
        <v>1</v>
      </c>
      <c r="CA198" s="121">
        <f>SUMIFS('27JulyTo2Aug'!$K:$K, '27JulyTo2Aug'!$J:$J, $A198)</f>
        <v>2</v>
      </c>
      <c r="CB198" s="121">
        <f>SUMIFS('27JulyTo2Aug'!$O:$O, '27JulyTo2Aug'!$J:$J, $A198)</f>
        <v>4.13</v>
      </c>
      <c r="CC198" s="121">
        <f>SUMIFS('27JulyTo2Aug'!$P:$P, '27JulyTo2Aug'!$J:$J, $A198)</f>
        <v>24.94</v>
      </c>
      <c r="CD198" s="123">
        <f t="shared" si="15"/>
        <v>16.559743384121891</v>
      </c>
    </row>
    <row r="199" spans="1:82" ht="14.25" customHeight="1" x14ac:dyDescent="0.3">
      <c r="A199" s="130" t="s">
        <v>830</v>
      </c>
      <c r="B199" s="120" t="str">
        <f t="shared" si="19"/>
        <v>NO TRAFFIC</v>
      </c>
      <c r="C199" s="121">
        <f>SUMIFS('9NovTo15Nov'!$L:$L, '9NovTo15Nov'!$J:$J, $A199)</f>
        <v>0</v>
      </c>
      <c r="D199" s="121">
        <f>SUMIFS('9NovTo15Nov'!$K:$K, '9NovTo15Nov'!$J:$J, $A199)</f>
        <v>0</v>
      </c>
      <c r="E199" s="121">
        <f>SUMIFS('9NovTo15Nov'!$O:$O, '9NovTo15Nov'!$J:$J, $A199)</f>
        <v>0</v>
      </c>
      <c r="F199" s="121">
        <f>SUMIFS('9NovTo15Nov'!$P:$P, '9NovTo15Nov'!$J:$J, $A199)</f>
        <v>0</v>
      </c>
      <c r="G199" s="122">
        <f t="shared" si="0"/>
        <v>0</v>
      </c>
      <c r="H199" s="121">
        <f>SUMIFS('2NovTo8Nov'!$L:$L, '2NovTo8Nov'!$J:$J, $A199)</f>
        <v>0</v>
      </c>
      <c r="I199" s="121">
        <f>SUMIFS('2NovTo8Nov'!$K:$K, '2NovTo8Nov'!$J:$J, $A199)</f>
        <v>0</v>
      </c>
      <c r="J199" s="121">
        <f>SUMIFS('2NovTo8Nov'!$O:$O, '2NovTo8Nov'!$J:$J, $A199)</f>
        <v>0</v>
      </c>
      <c r="K199" s="121">
        <f>SUMIFS('2NovTo8Nov'!$P:$P, '2NovTo8Nov'!$J:$J, $A199)</f>
        <v>0</v>
      </c>
      <c r="L199" s="122">
        <f t="shared" si="1"/>
        <v>0</v>
      </c>
      <c r="M199" s="121">
        <f>SUMIFS('26OctTo1Nov'!$L:$L, '26OctTo1Nov'!$J:$J, $A199)</f>
        <v>0</v>
      </c>
      <c r="N199" s="121">
        <f>SUMIFS('26OctTo1Nov'!$K:$K, '26OctTo1Nov'!$J:$J, $A199)</f>
        <v>0</v>
      </c>
      <c r="O199" s="121">
        <f>SUMIFS('26OctTo1Nov'!$O:$O, '26OctTo1Nov'!$J:$J, $A199)</f>
        <v>0</v>
      </c>
      <c r="P199" s="121">
        <f>SUMIFS('26OctTo1Nov'!$P:$P, '26OctTo1Nov'!$J:$J, $A199)</f>
        <v>0</v>
      </c>
      <c r="Q199" s="122">
        <f t="shared" si="2"/>
        <v>0</v>
      </c>
      <c r="R199" s="121">
        <f>SUMIFS('19OctTo25Oct'!$L:$L, '19OctTo25Oct'!$J:$J, $A199)</f>
        <v>0</v>
      </c>
      <c r="S199" s="121">
        <f>SUMIFS('19OctTo25Oct'!$K:$K, '19OctTo25Oct'!$J:$J, $A199)</f>
        <v>0</v>
      </c>
      <c r="T199" s="121">
        <f>SUMIFS('19OctTo25Oct'!$O:$O, '19OctTo25Oct'!$J:$J, $A199)</f>
        <v>0</v>
      </c>
      <c r="U199" s="121">
        <f>SUMIFS('19OctTo25Oct'!$P:$P, '19OctTo25Oct'!$J:$J, $A199)</f>
        <v>0</v>
      </c>
      <c r="V199" s="122">
        <f t="shared" si="3"/>
        <v>0</v>
      </c>
      <c r="W199" s="121">
        <f>SUMIFS('12OctTo18Oct'!$L:$L, '12OctTo18Oct'!$J:$J, $A199)</f>
        <v>0</v>
      </c>
      <c r="X199" s="121">
        <f>SUMIFS('12OctTo18Oct'!$K:$K, '12OctTo18Oct'!$J:$J, $A199)</f>
        <v>0</v>
      </c>
      <c r="Y199" s="121">
        <f>SUMIFS('12OctTo18Oct'!$O:$O, '12OctTo18Oct'!$J:$J, $A199)</f>
        <v>0</v>
      </c>
      <c r="Z199" s="121">
        <f>SUMIFS('12OctTo18Oct'!$P:$P, '12OctTo18Oct'!$J:$J, $A199)</f>
        <v>0</v>
      </c>
      <c r="AA199" s="122">
        <f t="shared" si="4"/>
        <v>0</v>
      </c>
      <c r="AB199" s="121">
        <f>SUMIFS('5OctTo11Oct'!$L:$L, '5OctTo11Oct'!$J:$J, $A199)</f>
        <v>0</v>
      </c>
      <c r="AC199" s="121">
        <f>SUMIFS('5OctTo11Oct'!$K:$K, '5OctTo11Oct'!$J:$J, $A199)</f>
        <v>0</v>
      </c>
      <c r="AD199" s="121">
        <f>SUMIFS('5OctTo11Oct'!$O:$O, '5OctTo11Oct'!$J:$J, $A199)</f>
        <v>0</v>
      </c>
      <c r="AE199" s="121">
        <f>SUMIFS('5OctTo11Oct'!$P:$P, '5OctTo11Oct'!$J:$J, $A199)</f>
        <v>0</v>
      </c>
      <c r="AF199" s="123">
        <f t="shared" si="5"/>
        <v>0</v>
      </c>
      <c r="AG199" s="129">
        <f>SUMIFS('28SepTo4Oct'!$L:$L, '28SepTo4Oct'!$J:$J, $A199)</f>
        <v>0</v>
      </c>
      <c r="AH199" s="129">
        <f>SUMIFS('28SepTo4Oct'!$K:$K, '28SepTo4Oct'!$J:$J, $A199)</f>
        <v>0</v>
      </c>
      <c r="AI199" s="121">
        <f>SUMIFS('28SepTo4Oct'!$O:$O, '28SepTo4Oct'!$J:$J, $A199)</f>
        <v>0</v>
      </c>
      <c r="AJ199" s="129">
        <f>SUMIFS('28SepTo4Oct'!$P:$P, '28SepTo4Oct'!$J:$J, $A199)</f>
        <v>0</v>
      </c>
      <c r="AK199" s="123">
        <f t="shared" si="6"/>
        <v>0</v>
      </c>
      <c r="AL199" s="129">
        <f>SUMIFS('21SepTo27Sep'!$L:$L, '21SepTo27Sep'!$J:$J, $A199)</f>
        <v>0</v>
      </c>
      <c r="AM199" s="129">
        <f>SUMIFS('21SepTo27Sep'!$K:$K, '21SepTo27Sep'!$J:$J, $A199)</f>
        <v>0</v>
      </c>
      <c r="AN199" s="121">
        <f>SUMIFS('21SepTo27Sep'!$O:$O, '21SepTo27Sep'!$J:$J, $A199)</f>
        <v>0</v>
      </c>
      <c r="AO199" s="129">
        <f>SUMIFS('21SepTo27Sep'!$P:$P, '21SepTo27Sep'!$J:$J, $A199)</f>
        <v>0</v>
      </c>
      <c r="AP199" s="123">
        <f t="shared" si="7"/>
        <v>0</v>
      </c>
      <c r="AQ199" s="129">
        <f>SUMIFS('14SepTo20Sep'!$L:$L, '14SepTo20Sep'!$J:$J, $A199)</f>
        <v>0</v>
      </c>
      <c r="AR199" s="129">
        <f>SUMIFS('14SepTo20Sep'!$K:$K, '14SepTo20Sep'!$J:$J, $A199)</f>
        <v>0</v>
      </c>
      <c r="AS199" s="121">
        <f>SUMIFS('14SepTo20Sep'!$O:$O, '14SepTo20Sep'!$J:$J, $A199)</f>
        <v>0</v>
      </c>
      <c r="AT199" s="129">
        <f>SUMIFS('14SepTo20Sep'!$P:$P, '14SepTo20Sep'!$J:$J, $A199)</f>
        <v>0</v>
      </c>
      <c r="AU199" s="123">
        <f t="shared" si="8"/>
        <v>0</v>
      </c>
      <c r="AV199" s="129">
        <f>SUMIFS('7SepTo13Sep'!$L:$L, '7SepTo13Sep'!$J:$J, $A199)</f>
        <v>0</v>
      </c>
      <c r="AW199" s="129">
        <f>SUMIFS('7SepTo13Sep'!$K:$K, '7SepTo13Sep'!$J:$J, $A199)</f>
        <v>0</v>
      </c>
      <c r="AX199" s="121">
        <f>SUMIFS('7SepTo13Sep'!$O:$O, '7SepTo13Sep'!$J:$J, $A199)</f>
        <v>0</v>
      </c>
      <c r="AY199" s="129">
        <f>SUMIFS('7SepTo13Sep'!$P:$P, '7SepTo13Sep'!$J:$J, $A199)</f>
        <v>0</v>
      </c>
      <c r="AZ199" s="123">
        <f t="shared" si="9"/>
        <v>0</v>
      </c>
      <c r="BA199" s="129">
        <f>SUMIFS('31AugTo6Sep'!$L:$L, '31AugTo6Sep'!$J:$J, $A199)</f>
        <v>0</v>
      </c>
      <c r="BB199" s="129">
        <f>SUMIFS('31AugTo6Sep'!$K:$K, '31AugTo6Sep'!$J:$J, $A199)</f>
        <v>0</v>
      </c>
      <c r="BC199" s="121">
        <f>SUMIFS('31AugTo6Sep'!$O:$O, '31AugTo6Sep'!$J:$J, $A199)</f>
        <v>0</v>
      </c>
      <c r="BD199" s="129">
        <f>SUMIFS('31AugTo6Sep'!$P:$P, '31AugTo6Sep'!$J:$J, $A199)</f>
        <v>0</v>
      </c>
      <c r="BE199" s="123">
        <f t="shared" si="10"/>
        <v>0</v>
      </c>
      <c r="BF199" s="129">
        <f>SUMIFS('24AugTo29Aug'!$L:$L, '24AugTo29Aug'!$J:$J, $A199)</f>
        <v>0</v>
      </c>
      <c r="BG199" s="129">
        <f>SUMIFS('24AugTo29Aug'!$K:$K, '24AugTo29Aug'!$J:$J, $A199)</f>
        <v>0</v>
      </c>
      <c r="BH199" s="121">
        <f>SUMIFS('24AugTo29Aug'!$O:$O, '24AugTo29Aug'!$J:$J, $A199)</f>
        <v>0</v>
      </c>
      <c r="BI199" s="129">
        <f>SUMIFS('24AugTo29Aug'!$P:$P, '24AugTo29Aug'!$J:$J, $A199)</f>
        <v>0</v>
      </c>
      <c r="BJ199" s="123">
        <f t="shared" si="11"/>
        <v>0</v>
      </c>
      <c r="BK199" s="129">
        <f>SUMIFS('17AugTo21Aug'!$L:$L, '17AugTo21Aug'!$J:$J, $A199)</f>
        <v>0</v>
      </c>
      <c r="BL199" s="129">
        <f>SUMIFS('17AugTo21Aug'!$K:$K, '17AugTo21Aug'!$J:$J, $A199)</f>
        <v>0</v>
      </c>
      <c r="BM199" s="121">
        <f>SUMIFS('17AugTo21Aug'!$O:$O, '17AugTo21Aug'!$J:$J, $A199)</f>
        <v>0</v>
      </c>
      <c r="BN199" s="129">
        <f>SUMIFS('17AugTo21Aug'!$P:$P, '17AugTo21Aug'!$J:$J, $A199)</f>
        <v>0</v>
      </c>
      <c r="BO199" s="123">
        <f t="shared" si="12"/>
        <v>0</v>
      </c>
      <c r="BP199" s="129">
        <f>SUMIFS('10AugTo16Aug'!$L:$L, '10AugTo16Aug'!$J:$J, $A199)</f>
        <v>0</v>
      </c>
      <c r="BQ199" s="129">
        <f>SUMIFS('10AugTo16Aug'!$K:$K, '10AugTo16Aug'!$J:$J, $A199)</f>
        <v>0</v>
      </c>
      <c r="BR199" s="121">
        <f>SUMIFS('10AugTo16Aug'!$O:$O, '10AugTo16Aug'!$J:$J, $A199)</f>
        <v>0</v>
      </c>
      <c r="BS199" s="129">
        <f>SUMIFS('10AugTo16Aug'!$P:$P, '10AugTo16Aug'!$J:$J, $A199)</f>
        <v>0</v>
      </c>
      <c r="BT199" s="123">
        <f t="shared" si="13"/>
        <v>0</v>
      </c>
      <c r="BU199" s="129">
        <f>SUMIFS('3AugTo9Aug'!$L:$L, '3AugTo9Aug'!$J:$J, $A199)</f>
        <v>0</v>
      </c>
      <c r="BV199" s="129">
        <f>SUMIFS('3AugTo9Aug'!$K:$K, '3AugTo9Aug'!$J:$J, $A199)</f>
        <v>0</v>
      </c>
      <c r="BW199" s="121">
        <f>SUMIFS('3AugTo9Aug'!$O:$O, '3AugTo9Aug'!$J:$J, $A199)</f>
        <v>0</v>
      </c>
      <c r="BX199" s="129">
        <f>SUMIFS('3AugTo9Aug'!$P:$P, '3AugTo9Aug'!$J:$J, $A199)</f>
        <v>0</v>
      </c>
      <c r="BY199" s="123">
        <f t="shared" si="14"/>
        <v>0</v>
      </c>
      <c r="BZ199" s="129">
        <f>SUMIFS('27JulyTo2Aug'!$L:$L, '27JulyTo2Aug'!$J:$J, $A199)</f>
        <v>1</v>
      </c>
      <c r="CA199" s="129">
        <f>SUMIFS('27JulyTo2Aug'!$K:$K, '27JulyTo2Aug'!$J:$J, $A199)</f>
        <v>1</v>
      </c>
      <c r="CB199" s="121">
        <f>SUMIFS('27JulyTo2Aug'!$O:$O, '27JulyTo2Aug'!$J:$J, $A199)</f>
        <v>2.4900000000000002</v>
      </c>
      <c r="CC199" s="129">
        <f>SUMIFS('27JulyTo2Aug'!$P:$P, '27JulyTo2Aug'!$J:$J, $A199)</f>
        <v>24.94</v>
      </c>
      <c r="CD199" s="123">
        <f t="shared" si="15"/>
        <v>9.9839615076182842</v>
      </c>
    </row>
    <row r="200" spans="1:82" ht="14.25" customHeight="1" x14ac:dyDescent="0.3">
      <c r="A200" s="124" t="s">
        <v>831</v>
      </c>
      <c r="B200" s="120" t="str">
        <f t="shared" si="19"/>
        <v>NO TRAFFIC</v>
      </c>
      <c r="C200" s="121">
        <f>SUMIFS('9NovTo15Nov'!$L:$L, '9NovTo15Nov'!$J:$J, $A200)</f>
        <v>0</v>
      </c>
      <c r="D200" s="121">
        <f>SUMIFS('9NovTo15Nov'!$K:$K, '9NovTo15Nov'!$J:$J, $A200)</f>
        <v>0</v>
      </c>
      <c r="E200" s="121">
        <f>SUMIFS('9NovTo15Nov'!$O:$O, '9NovTo15Nov'!$J:$J, $A200)</f>
        <v>0</v>
      </c>
      <c r="F200" s="121">
        <f>SUMIFS('9NovTo15Nov'!$P:$P, '9NovTo15Nov'!$J:$J, $A200)</f>
        <v>0</v>
      </c>
      <c r="G200" s="122">
        <f t="shared" si="0"/>
        <v>0</v>
      </c>
      <c r="H200" s="121">
        <f>SUMIFS('2NovTo8Nov'!$L:$L, '2NovTo8Nov'!$J:$J, $A200)</f>
        <v>0</v>
      </c>
      <c r="I200" s="121">
        <f>SUMIFS('2NovTo8Nov'!$K:$K, '2NovTo8Nov'!$J:$J, $A200)</f>
        <v>0</v>
      </c>
      <c r="J200" s="121">
        <f>SUMIFS('2NovTo8Nov'!$O:$O, '2NovTo8Nov'!$J:$J, $A200)</f>
        <v>0</v>
      </c>
      <c r="K200" s="121">
        <f>SUMIFS('2NovTo8Nov'!$P:$P, '2NovTo8Nov'!$J:$J, $A200)</f>
        <v>0</v>
      </c>
      <c r="L200" s="122">
        <f t="shared" si="1"/>
        <v>0</v>
      </c>
      <c r="M200" s="121">
        <f>SUMIFS('26OctTo1Nov'!$L:$L, '26OctTo1Nov'!$J:$J, $A200)</f>
        <v>0</v>
      </c>
      <c r="N200" s="121">
        <f>SUMIFS('26OctTo1Nov'!$K:$K, '26OctTo1Nov'!$J:$J, $A200)</f>
        <v>0</v>
      </c>
      <c r="O200" s="121">
        <f>SUMIFS('26OctTo1Nov'!$O:$O, '26OctTo1Nov'!$J:$J, $A200)</f>
        <v>0</v>
      </c>
      <c r="P200" s="121">
        <f>SUMIFS('26OctTo1Nov'!$P:$P, '26OctTo1Nov'!$J:$J, $A200)</f>
        <v>0</v>
      </c>
      <c r="Q200" s="122">
        <f t="shared" si="2"/>
        <v>0</v>
      </c>
      <c r="R200" s="121">
        <f>SUMIFS('19OctTo25Oct'!$L:$L, '19OctTo25Oct'!$J:$J, $A200)</f>
        <v>0</v>
      </c>
      <c r="S200" s="121">
        <f>SUMIFS('19OctTo25Oct'!$K:$K, '19OctTo25Oct'!$J:$J, $A200)</f>
        <v>0</v>
      </c>
      <c r="T200" s="121">
        <f>SUMIFS('19OctTo25Oct'!$O:$O, '19OctTo25Oct'!$J:$J, $A200)</f>
        <v>0</v>
      </c>
      <c r="U200" s="121">
        <f>SUMIFS('19OctTo25Oct'!$P:$P, '19OctTo25Oct'!$J:$J, $A200)</f>
        <v>0</v>
      </c>
      <c r="V200" s="122">
        <f t="shared" si="3"/>
        <v>0</v>
      </c>
      <c r="W200" s="121">
        <f>SUMIFS('12OctTo18Oct'!$L:$L, '12OctTo18Oct'!$J:$J, $A200)</f>
        <v>0</v>
      </c>
      <c r="X200" s="121">
        <f>SUMIFS('12OctTo18Oct'!$K:$K, '12OctTo18Oct'!$J:$J, $A200)</f>
        <v>0</v>
      </c>
      <c r="Y200" s="121">
        <f>SUMIFS('12OctTo18Oct'!$O:$O, '12OctTo18Oct'!$J:$J, $A200)</f>
        <v>0</v>
      </c>
      <c r="Z200" s="121">
        <f>SUMIFS('12OctTo18Oct'!$P:$P, '12OctTo18Oct'!$J:$J, $A200)</f>
        <v>0</v>
      </c>
      <c r="AA200" s="122">
        <f t="shared" si="4"/>
        <v>0</v>
      </c>
      <c r="AB200" s="121">
        <f>SUMIFS('5OctTo11Oct'!$L:$L, '5OctTo11Oct'!$J:$J, $A200)</f>
        <v>0</v>
      </c>
      <c r="AC200" s="121">
        <f>SUMIFS('5OctTo11Oct'!$K:$K, '5OctTo11Oct'!$J:$J, $A200)</f>
        <v>0</v>
      </c>
      <c r="AD200" s="121">
        <f>SUMIFS('5OctTo11Oct'!$O:$O, '5OctTo11Oct'!$J:$J, $A200)</f>
        <v>0</v>
      </c>
      <c r="AE200" s="121">
        <f>SUMIFS('5OctTo11Oct'!$P:$P, '5OctTo11Oct'!$J:$J, $A200)</f>
        <v>0</v>
      </c>
      <c r="AF200" s="123">
        <f t="shared" si="5"/>
        <v>0</v>
      </c>
      <c r="AG200" s="121">
        <f>SUMIFS('28SepTo4Oct'!$L:$L, '28SepTo4Oct'!$J:$J, $A200)</f>
        <v>0</v>
      </c>
      <c r="AH200" s="121">
        <f>SUMIFS('28SepTo4Oct'!$K:$K, '28SepTo4Oct'!$J:$J, $A200)</f>
        <v>0</v>
      </c>
      <c r="AI200" s="121">
        <f>SUMIFS('28SepTo4Oct'!$O:$O, '28SepTo4Oct'!$J:$J, $A200)</f>
        <v>0</v>
      </c>
      <c r="AJ200" s="121">
        <f>SUMIFS('28SepTo4Oct'!$P:$P, '28SepTo4Oct'!$J:$J, $A200)</f>
        <v>0</v>
      </c>
      <c r="AK200" s="123">
        <f t="shared" si="6"/>
        <v>0</v>
      </c>
      <c r="AL200" s="121">
        <f>SUMIFS('21SepTo27Sep'!$L:$L, '21SepTo27Sep'!$J:$J, $A200)</f>
        <v>0</v>
      </c>
      <c r="AM200" s="121">
        <f>SUMIFS('21SepTo27Sep'!$K:$K, '21SepTo27Sep'!$J:$J, $A200)</f>
        <v>0</v>
      </c>
      <c r="AN200" s="121">
        <f>SUMIFS('21SepTo27Sep'!$O:$O, '21SepTo27Sep'!$J:$J, $A200)</f>
        <v>0</v>
      </c>
      <c r="AO200" s="121">
        <f>SUMIFS('21SepTo27Sep'!$P:$P, '21SepTo27Sep'!$J:$J, $A200)</f>
        <v>0</v>
      </c>
      <c r="AP200" s="123">
        <f t="shared" si="7"/>
        <v>0</v>
      </c>
      <c r="AQ200" s="121">
        <f>SUMIFS('14SepTo20Sep'!$L:$L, '14SepTo20Sep'!$J:$J, $A200)</f>
        <v>0</v>
      </c>
      <c r="AR200" s="121">
        <f>SUMIFS('14SepTo20Sep'!$K:$K, '14SepTo20Sep'!$J:$J, $A200)</f>
        <v>0</v>
      </c>
      <c r="AS200" s="121">
        <f>SUMIFS('14SepTo20Sep'!$O:$O, '14SepTo20Sep'!$J:$J, $A200)</f>
        <v>0</v>
      </c>
      <c r="AT200" s="121">
        <f>SUMIFS('14SepTo20Sep'!$P:$P, '14SepTo20Sep'!$J:$J, $A200)</f>
        <v>0</v>
      </c>
      <c r="AU200" s="123">
        <f t="shared" si="8"/>
        <v>0</v>
      </c>
      <c r="AV200" s="121">
        <f>SUMIFS('7SepTo13Sep'!$L:$L, '7SepTo13Sep'!$J:$J, $A200)</f>
        <v>0</v>
      </c>
      <c r="AW200" s="121">
        <f>SUMIFS('7SepTo13Sep'!$K:$K, '7SepTo13Sep'!$J:$J, $A200)</f>
        <v>0</v>
      </c>
      <c r="AX200" s="121">
        <f>SUMIFS('7SepTo13Sep'!$O:$O, '7SepTo13Sep'!$J:$J, $A200)</f>
        <v>0</v>
      </c>
      <c r="AY200" s="121">
        <f>SUMIFS('7SepTo13Sep'!$P:$P, '7SepTo13Sep'!$J:$J, $A200)</f>
        <v>0</v>
      </c>
      <c r="AZ200" s="123">
        <f t="shared" si="9"/>
        <v>0</v>
      </c>
      <c r="BA200" s="121">
        <f>SUMIFS('31AugTo6Sep'!$L:$L, '31AugTo6Sep'!$J:$J, $A200)</f>
        <v>0</v>
      </c>
      <c r="BB200" s="121">
        <f>SUMIFS('31AugTo6Sep'!$K:$K, '31AugTo6Sep'!$J:$J, $A200)</f>
        <v>0</v>
      </c>
      <c r="BC200" s="121">
        <f>SUMIFS('31AugTo6Sep'!$O:$O, '31AugTo6Sep'!$J:$J, $A200)</f>
        <v>0</v>
      </c>
      <c r="BD200" s="121">
        <f>SUMIFS('31AugTo6Sep'!$P:$P, '31AugTo6Sep'!$J:$J, $A200)</f>
        <v>0</v>
      </c>
      <c r="BE200" s="123">
        <f t="shared" si="10"/>
        <v>0</v>
      </c>
      <c r="BF200" s="121">
        <f>SUMIFS('24AugTo29Aug'!$L:$L, '24AugTo29Aug'!$J:$J, $A200)</f>
        <v>0</v>
      </c>
      <c r="BG200" s="121">
        <f>SUMIFS('24AugTo29Aug'!$K:$K, '24AugTo29Aug'!$J:$J, $A200)</f>
        <v>0</v>
      </c>
      <c r="BH200" s="121">
        <f>SUMIFS('24AugTo29Aug'!$O:$O, '24AugTo29Aug'!$J:$J, $A200)</f>
        <v>0</v>
      </c>
      <c r="BI200" s="121">
        <f>SUMIFS('24AugTo29Aug'!$P:$P, '24AugTo29Aug'!$J:$J, $A200)</f>
        <v>0</v>
      </c>
      <c r="BJ200" s="123">
        <f t="shared" si="11"/>
        <v>0</v>
      </c>
      <c r="BK200" s="121">
        <f>SUMIFS('17AugTo21Aug'!$L:$L, '17AugTo21Aug'!$J:$J, $A200)</f>
        <v>0</v>
      </c>
      <c r="BL200" s="121">
        <f>SUMIFS('17AugTo21Aug'!$K:$K, '17AugTo21Aug'!$J:$J, $A200)</f>
        <v>0</v>
      </c>
      <c r="BM200" s="121">
        <f>SUMIFS('17AugTo21Aug'!$O:$O, '17AugTo21Aug'!$J:$J, $A200)</f>
        <v>0</v>
      </c>
      <c r="BN200" s="121">
        <f>SUMIFS('17AugTo21Aug'!$P:$P, '17AugTo21Aug'!$J:$J, $A200)</f>
        <v>0</v>
      </c>
      <c r="BO200" s="123">
        <f t="shared" si="12"/>
        <v>0</v>
      </c>
      <c r="BP200" s="121">
        <f>SUMIFS('10AugTo16Aug'!$L:$L, '10AugTo16Aug'!$J:$J, $A200)</f>
        <v>0</v>
      </c>
      <c r="BQ200" s="121">
        <f>SUMIFS('10AugTo16Aug'!$K:$K, '10AugTo16Aug'!$J:$J, $A200)</f>
        <v>0</v>
      </c>
      <c r="BR200" s="121">
        <f>SUMIFS('10AugTo16Aug'!$O:$O, '10AugTo16Aug'!$J:$J, $A200)</f>
        <v>0</v>
      </c>
      <c r="BS200" s="121">
        <f>SUMIFS('10AugTo16Aug'!$P:$P, '10AugTo16Aug'!$J:$J, $A200)</f>
        <v>0</v>
      </c>
      <c r="BT200" s="123">
        <f t="shared" si="13"/>
        <v>0</v>
      </c>
      <c r="BU200" s="121">
        <f>SUMIFS('3AugTo9Aug'!$L:$L, '3AugTo9Aug'!$J:$J, $A200)</f>
        <v>0</v>
      </c>
      <c r="BV200" s="121">
        <f>SUMIFS('3AugTo9Aug'!$K:$K, '3AugTo9Aug'!$J:$J, $A200)</f>
        <v>0</v>
      </c>
      <c r="BW200" s="121">
        <f>SUMIFS('3AugTo9Aug'!$O:$O, '3AugTo9Aug'!$J:$J, $A200)</f>
        <v>0</v>
      </c>
      <c r="BX200" s="121">
        <f>SUMIFS('3AugTo9Aug'!$P:$P, '3AugTo9Aug'!$J:$J, $A200)</f>
        <v>0</v>
      </c>
      <c r="BY200" s="123">
        <f t="shared" si="14"/>
        <v>0</v>
      </c>
      <c r="BZ200" s="121">
        <f>SUMIFS('27JulyTo2Aug'!$L:$L, '27JulyTo2Aug'!$J:$J, $A200)</f>
        <v>1</v>
      </c>
      <c r="CA200" s="121">
        <f>SUMIFS('27JulyTo2Aug'!$K:$K, '27JulyTo2Aug'!$J:$J, $A200)</f>
        <v>1</v>
      </c>
      <c r="CB200" s="121">
        <f>SUMIFS('27JulyTo2Aug'!$O:$O, '27JulyTo2Aug'!$J:$J, $A200)</f>
        <v>1.36</v>
      </c>
      <c r="CC200" s="121">
        <f>SUMIFS('27JulyTo2Aug'!$P:$P, '27JulyTo2Aug'!$J:$J, $A200)</f>
        <v>24.94</v>
      </c>
      <c r="CD200" s="123">
        <f t="shared" si="15"/>
        <v>5.4530874097834801</v>
      </c>
    </row>
    <row r="201" spans="1:82" ht="14.25" customHeight="1" x14ac:dyDescent="0.3">
      <c r="A201" s="124" t="s">
        <v>832</v>
      </c>
      <c r="B201" s="120" t="str">
        <f t="shared" si="19"/>
        <v>NO TRAFFIC</v>
      </c>
      <c r="C201" s="121">
        <f>SUMIFS('9NovTo15Nov'!$L:$L, '9NovTo15Nov'!$J:$J, $A201)</f>
        <v>0</v>
      </c>
      <c r="D201" s="121">
        <f>SUMIFS('9NovTo15Nov'!$K:$K, '9NovTo15Nov'!$J:$J, $A201)</f>
        <v>0</v>
      </c>
      <c r="E201" s="121">
        <f>SUMIFS('9NovTo15Nov'!$O:$O, '9NovTo15Nov'!$J:$J, $A201)</f>
        <v>0</v>
      </c>
      <c r="F201" s="121">
        <f>SUMIFS('9NovTo15Nov'!$P:$P, '9NovTo15Nov'!$J:$J, $A201)</f>
        <v>0</v>
      </c>
      <c r="G201" s="122">
        <f t="shared" si="0"/>
        <v>0</v>
      </c>
      <c r="H201" s="121">
        <f>SUMIFS('2NovTo8Nov'!$L:$L, '2NovTo8Nov'!$J:$J, $A201)</f>
        <v>0</v>
      </c>
      <c r="I201" s="121">
        <f>SUMIFS('2NovTo8Nov'!$K:$K, '2NovTo8Nov'!$J:$J, $A201)</f>
        <v>0</v>
      </c>
      <c r="J201" s="121">
        <f>SUMIFS('2NovTo8Nov'!$O:$O, '2NovTo8Nov'!$J:$J, $A201)</f>
        <v>0</v>
      </c>
      <c r="K201" s="121">
        <f>SUMIFS('2NovTo8Nov'!$P:$P, '2NovTo8Nov'!$J:$J, $A201)</f>
        <v>0</v>
      </c>
      <c r="L201" s="122">
        <f t="shared" si="1"/>
        <v>0</v>
      </c>
      <c r="M201" s="121">
        <f>SUMIFS('26OctTo1Nov'!$L:$L, '26OctTo1Nov'!$J:$J, $A201)</f>
        <v>0</v>
      </c>
      <c r="N201" s="121">
        <f>SUMIFS('26OctTo1Nov'!$K:$K, '26OctTo1Nov'!$J:$J, $A201)</f>
        <v>0</v>
      </c>
      <c r="O201" s="121">
        <f>SUMIFS('26OctTo1Nov'!$O:$O, '26OctTo1Nov'!$J:$J, $A201)</f>
        <v>0</v>
      </c>
      <c r="P201" s="121">
        <f>SUMIFS('26OctTo1Nov'!$P:$P, '26OctTo1Nov'!$J:$J, $A201)</f>
        <v>0</v>
      </c>
      <c r="Q201" s="122">
        <f t="shared" si="2"/>
        <v>0</v>
      </c>
      <c r="R201" s="121">
        <f>SUMIFS('19OctTo25Oct'!$L:$L, '19OctTo25Oct'!$J:$J, $A201)</f>
        <v>0</v>
      </c>
      <c r="S201" s="121">
        <f>SUMIFS('19OctTo25Oct'!$K:$K, '19OctTo25Oct'!$J:$J, $A201)</f>
        <v>0</v>
      </c>
      <c r="T201" s="121">
        <f>SUMIFS('19OctTo25Oct'!$O:$O, '19OctTo25Oct'!$J:$J, $A201)</f>
        <v>0</v>
      </c>
      <c r="U201" s="121">
        <f>SUMIFS('19OctTo25Oct'!$P:$P, '19OctTo25Oct'!$J:$J, $A201)</f>
        <v>0</v>
      </c>
      <c r="V201" s="122">
        <f t="shared" si="3"/>
        <v>0</v>
      </c>
      <c r="W201" s="121">
        <f>SUMIFS('12OctTo18Oct'!$L:$L, '12OctTo18Oct'!$J:$J, $A201)</f>
        <v>0</v>
      </c>
      <c r="X201" s="121">
        <f>SUMIFS('12OctTo18Oct'!$K:$K, '12OctTo18Oct'!$J:$J, $A201)</f>
        <v>0</v>
      </c>
      <c r="Y201" s="121">
        <f>SUMIFS('12OctTo18Oct'!$O:$O, '12OctTo18Oct'!$J:$J, $A201)</f>
        <v>0</v>
      </c>
      <c r="Z201" s="121">
        <f>SUMIFS('12OctTo18Oct'!$P:$P, '12OctTo18Oct'!$J:$J, $A201)</f>
        <v>0</v>
      </c>
      <c r="AA201" s="122">
        <f t="shared" si="4"/>
        <v>0</v>
      </c>
      <c r="AB201" s="121">
        <f>SUMIFS('5OctTo11Oct'!$L:$L, '5OctTo11Oct'!$J:$J, $A201)</f>
        <v>0</v>
      </c>
      <c r="AC201" s="121">
        <f>SUMIFS('5OctTo11Oct'!$K:$K, '5OctTo11Oct'!$J:$J, $A201)</f>
        <v>0</v>
      </c>
      <c r="AD201" s="121">
        <f>SUMIFS('5OctTo11Oct'!$O:$O, '5OctTo11Oct'!$J:$J, $A201)</f>
        <v>0</v>
      </c>
      <c r="AE201" s="121">
        <f>SUMIFS('5OctTo11Oct'!$P:$P, '5OctTo11Oct'!$J:$J, $A201)</f>
        <v>0</v>
      </c>
      <c r="AF201" s="123">
        <f t="shared" si="5"/>
        <v>0</v>
      </c>
      <c r="AG201" s="121">
        <f>SUMIFS('28SepTo4Oct'!$L:$L, '28SepTo4Oct'!$J:$J, $A201)</f>
        <v>0</v>
      </c>
      <c r="AH201" s="121">
        <f>SUMIFS('28SepTo4Oct'!$K:$K, '28SepTo4Oct'!$J:$J, $A201)</f>
        <v>0</v>
      </c>
      <c r="AI201" s="121">
        <f>SUMIFS('28SepTo4Oct'!$O:$O, '28SepTo4Oct'!$J:$J, $A201)</f>
        <v>0</v>
      </c>
      <c r="AJ201" s="121">
        <f>SUMIFS('28SepTo4Oct'!$P:$P, '28SepTo4Oct'!$J:$J, $A201)</f>
        <v>0</v>
      </c>
      <c r="AK201" s="123">
        <f t="shared" si="6"/>
        <v>0</v>
      </c>
      <c r="AL201" s="121">
        <f>SUMIFS('21SepTo27Sep'!$L:$L, '21SepTo27Sep'!$J:$J, $A201)</f>
        <v>0</v>
      </c>
      <c r="AM201" s="121">
        <f>SUMIFS('21SepTo27Sep'!$K:$K, '21SepTo27Sep'!$J:$J, $A201)</f>
        <v>0</v>
      </c>
      <c r="AN201" s="121">
        <f>SUMIFS('21SepTo27Sep'!$O:$O, '21SepTo27Sep'!$J:$J, $A201)</f>
        <v>0</v>
      </c>
      <c r="AO201" s="121">
        <f>SUMIFS('21SepTo27Sep'!$P:$P, '21SepTo27Sep'!$J:$J, $A201)</f>
        <v>0</v>
      </c>
      <c r="AP201" s="123">
        <f t="shared" si="7"/>
        <v>0</v>
      </c>
      <c r="AQ201" s="121">
        <f>SUMIFS('14SepTo20Sep'!$L:$L, '14SepTo20Sep'!$J:$J, $A201)</f>
        <v>0</v>
      </c>
      <c r="AR201" s="121">
        <f>SUMIFS('14SepTo20Sep'!$K:$K, '14SepTo20Sep'!$J:$J, $A201)</f>
        <v>0</v>
      </c>
      <c r="AS201" s="121">
        <f>SUMIFS('14SepTo20Sep'!$O:$O, '14SepTo20Sep'!$J:$J, $A201)</f>
        <v>0</v>
      </c>
      <c r="AT201" s="121">
        <f>SUMIFS('14SepTo20Sep'!$P:$P, '14SepTo20Sep'!$J:$J, $A201)</f>
        <v>0</v>
      </c>
      <c r="AU201" s="123">
        <f t="shared" si="8"/>
        <v>0</v>
      </c>
      <c r="AV201" s="121">
        <f>SUMIFS('7SepTo13Sep'!$L:$L, '7SepTo13Sep'!$J:$J, $A201)</f>
        <v>0</v>
      </c>
      <c r="AW201" s="121">
        <f>SUMIFS('7SepTo13Sep'!$K:$K, '7SepTo13Sep'!$J:$J, $A201)</f>
        <v>0</v>
      </c>
      <c r="AX201" s="121">
        <f>SUMIFS('7SepTo13Sep'!$O:$O, '7SepTo13Sep'!$J:$J, $A201)</f>
        <v>0</v>
      </c>
      <c r="AY201" s="121">
        <f>SUMIFS('7SepTo13Sep'!$P:$P, '7SepTo13Sep'!$J:$J, $A201)</f>
        <v>0</v>
      </c>
      <c r="AZ201" s="123">
        <f t="shared" si="9"/>
        <v>0</v>
      </c>
      <c r="BA201" s="121">
        <f>SUMIFS('31AugTo6Sep'!$L:$L, '31AugTo6Sep'!$J:$J, $A201)</f>
        <v>0</v>
      </c>
      <c r="BB201" s="121">
        <f>SUMIFS('31AugTo6Sep'!$K:$K, '31AugTo6Sep'!$J:$J, $A201)</f>
        <v>0</v>
      </c>
      <c r="BC201" s="121">
        <f>SUMIFS('31AugTo6Sep'!$O:$O, '31AugTo6Sep'!$J:$J, $A201)</f>
        <v>0</v>
      </c>
      <c r="BD201" s="121">
        <f>SUMIFS('31AugTo6Sep'!$P:$P, '31AugTo6Sep'!$J:$J, $A201)</f>
        <v>0</v>
      </c>
      <c r="BE201" s="123">
        <f t="shared" si="10"/>
        <v>0</v>
      </c>
      <c r="BF201" s="121">
        <f>SUMIFS('24AugTo29Aug'!$L:$L, '24AugTo29Aug'!$J:$J, $A201)</f>
        <v>0</v>
      </c>
      <c r="BG201" s="121">
        <f>SUMIFS('24AugTo29Aug'!$K:$K, '24AugTo29Aug'!$J:$J, $A201)</f>
        <v>0</v>
      </c>
      <c r="BH201" s="121">
        <f>SUMIFS('24AugTo29Aug'!$O:$O, '24AugTo29Aug'!$J:$J, $A201)</f>
        <v>0</v>
      </c>
      <c r="BI201" s="121">
        <f>SUMIFS('24AugTo29Aug'!$P:$P, '24AugTo29Aug'!$J:$J, $A201)</f>
        <v>0</v>
      </c>
      <c r="BJ201" s="123">
        <f t="shared" si="11"/>
        <v>0</v>
      </c>
      <c r="BK201" s="121">
        <f>SUMIFS('17AugTo21Aug'!$L:$L, '17AugTo21Aug'!$J:$J, $A201)</f>
        <v>0</v>
      </c>
      <c r="BL201" s="121">
        <f>SUMIFS('17AugTo21Aug'!$K:$K, '17AugTo21Aug'!$J:$J, $A201)</f>
        <v>0</v>
      </c>
      <c r="BM201" s="121">
        <f>SUMIFS('17AugTo21Aug'!$O:$O, '17AugTo21Aug'!$J:$J, $A201)</f>
        <v>0</v>
      </c>
      <c r="BN201" s="121">
        <f>SUMIFS('17AugTo21Aug'!$P:$P, '17AugTo21Aug'!$J:$J, $A201)</f>
        <v>0</v>
      </c>
      <c r="BO201" s="123">
        <f t="shared" si="12"/>
        <v>0</v>
      </c>
      <c r="BP201" s="121">
        <f>SUMIFS('10AugTo16Aug'!$L:$L, '10AugTo16Aug'!$J:$J, $A201)</f>
        <v>0</v>
      </c>
      <c r="BQ201" s="121">
        <f>SUMIFS('10AugTo16Aug'!$K:$K, '10AugTo16Aug'!$J:$J, $A201)</f>
        <v>0</v>
      </c>
      <c r="BR201" s="121">
        <f>SUMIFS('10AugTo16Aug'!$O:$O, '10AugTo16Aug'!$J:$J, $A201)</f>
        <v>0</v>
      </c>
      <c r="BS201" s="121">
        <f>SUMIFS('10AugTo16Aug'!$P:$P, '10AugTo16Aug'!$J:$J, $A201)</f>
        <v>0</v>
      </c>
      <c r="BT201" s="123">
        <f t="shared" si="13"/>
        <v>0</v>
      </c>
      <c r="BU201" s="121">
        <f>SUMIFS('3AugTo9Aug'!$L:$L, '3AugTo9Aug'!$J:$J, $A201)</f>
        <v>0</v>
      </c>
      <c r="BV201" s="121">
        <f>SUMIFS('3AugTo9Aug'!$K:$K, '3AugTo9Aug'!$J:$J, $A201)</f>
        <v>0</v>
      </c>
      <c r="BW201" s="121">
        <f>SUMIFS('3AugTo9Aug'!$O:$O, '3AugTo9Aug'!$J:$J, $A201)</f>
        <v>0</v>
      </c>
      <c r="BX201" s="121">
        <f>SUMIFS('3AugTo9Aug'!$P:$P, '3AugTo9Aug'!$J:$J, $A201)</f>
        <v>0</v>
      </c>
      <c r="BY201" s="123">
        <f t="shared" si="14"/>
        <v>0</v>
      </c>
      <c r="BZ201" s="121">
        <f>SUMIFS('27JulyTo2Aug'!$L:$L, '27JulyTo2Aug'!$J:$J, $A201)</f>
        <v>1</v>
      </c>
      <c r="CA201" s="121">
        <f>SUMIFS('27JulyTo2Aug'!$K:$K, '27JulyTo2Aug'!$J:$J, $A201)</f>
        <v>1</v>
      </c>
      <c r="CB201" s="121">
        <f>SUMIFS('27JulyTo2Aug'!$O:$O, '27JulyTo2Aug'!$J:$J, $A201)</f>
        <v>2.95</v>
      </c>
      <c r="CC201" s="121">
        <f>SUMIFS('27JulyTo2Aug'!$P:$P, '27JulyTo2Aug'!$J:$J, $A201)</f>
        <v>24.94</v>
      </c>
      <c r="CD201" s="123">
        <f t="shared" si="15"/>
        <v>11.828388131515638</v>
      </c>
    </row>
    <row r="202" spans="1:82" ht="14.25" customHeight="1" x14ac:dyDescent="0.3">
      <c r="A202" s="124" t="s">
        <v>833</v>
      </c>
      <c r="B202" s="120" t="str">
        <f t="shared" si="19"/>
        <v>NO TRAFFIC</v>
      </c>
      <c r="C202" s="121">
        <f>SUMIFS('9NovTo15Nov'!$L:$L, '9NovTo15Nov'!$J:$J, $A202)</f>
        <v>0</v>
      </c>
      <c r="D202" s="121">
        <f>SUMIFS('9NovTo15Nov'!$K:$K, '9NovTo15Nov'!$J:$J, $A202)</f>
        <v>0</v>
      </c>
      <c r="E202" s="121">
        <f>SUMIFS('9NovTo15Nov'!$O:$O, '9NovTo15Nov'!$J:$J, $A202)</f>
        <v>0</v>
      </c>
      <c r="F202" s="121">
        <f>SUMIFS('9NovTo15Nov'!$P:$P, '9NovTo15Nov'!$J:$J, $A202)</f>
        <v>0</v>
      </c>
      <c r="G202" s="122">
        <f t="shared" si="0"/>
        <v>0</v>
      </c>
      <c r="H202" s="121">
        <f>SUMIFS('2NovTo8Nov'!$L:$L, '2NovTo8Nov'!$J:$J, $A202)</f>
        <v>0</v>
      </c>
      <c r="I202" s="121">
        <f>SUMIFS('2NovTo8Nov'!$K:$K, '2NovTo8Nov'!$J:$J, $A202)</f>
        <v>0</v>
      </c>
      <c r="J202" s="121">
        <f>SUMIFS('2NovTo8Nov'!$O:$O, '2NovTo8Nov'!$J:$J, $A202)</f>
        <v>0</v>
      </c>
      <c r="K202" s="121">
        <f>SUMIFS('2NovTo8Nov'!$P:$P, '2NovTo8Nov'!$J:$J, $A202)</f>
        <v>0</v>
      </c>
      <c r="L202" s="122">
        <f t="shared" si="1"/>
        <v>0</v>
      </c>
      <c r="M202" s="121">
        <f>SUMIFS('26OctTo1Nov'!$L:$L, '26OctTo1Nov'!$J:$J, $A202)</f>
        <v>0</v>
      </c>
      <c r="N202" s="121">
        <f>SUMIFS('26OctTo1Nov'!$K:$K, '26OctTo1Nov'!$J:$J, $A202)</f>
        <v>0</v>
      </c>
      <c r="O202" s="121">
        <f>SUMIFS('26OctTo1Nov'!$O:$O, '26OctTo1Nov'!$J:$J, $A202)</f>
        <v>0</v>
      </c>
      <c r="P202" s="121">
        <f>SUMIFS('26OctTo1Nov'!$P:$P, '26OctTo1Nov'!$J:$J, $A202)</f>
        <v>0</v>
      </c>
      <c r="Q202" s="122">
        <f t="shared" si="2"/>
        <v>0</v>
      </c>
      <c r="R202" s="121">
        <f>SUMIFS('19OctTo25Oct'!$L:$L, '19OctTo25Oct'!$J:$J, $A202)</f>
        <v>0</v>
      </c>
      <c r="S202" s="121">
        <f>SUMIFS('19OctTo25Oct'!$K:$K, '19OctTo25Oct'!$J:$J, $A202)</f>
        <v>0</v>
      </c>
      <c r="T202" s="121">
        <f>SUMIFS('19OctTo25Oct'!$O:$O, '19OctTo25Oct'!$J:$J, $A202)</f>
        <v>0</v>
      </c>
      <c r="U202" s="121">
        <f>SUMIFS('19OctTo25Oct'!$P:$P, '19OctTo25Oct'!$J:$J, $A202)</f>
        <v>0</v>
      </c>
      <c r="V202" s="122">
        <f t="shared" si="3"/>
        <v>0</v>
      </c>
      <c r="W202" s="121">
        <f>SUMIFS('12OctTo18Oct'!$L:$L, '12OctTo18Oct'!$J:$J, $A202)</f>
        <v>0</v>
      </c>
      <c r="X202" s="121">
        <f>SUMIFS('12OctTo18Oct'!$K:$K, '12OctTo18Oct'!$J:$J, $A202)</f>
        <v>0</v>
      </c>
      <c r="Y202" s="121">
        <f>SUMIFS('12OctTo18Oct'!$O:$O, '12OctTo18Oct'!$J:$J, $A202)</f>
        <v>0</v>
      </c>
      <c r="Z202" s="121">
        <f>SUMIFS('12OctTo18Oct'!$P:$P, '12OctTo18Oct'!$J:$J, $A202)</f>
        <v>0</v>
      </c>
      <c r="AA202" s="122">
        <f t="shared" si="4"/>
        <v>0</v>
      </c>
      <c r="AB202" s="121">
        <f>SUMIFS('5OctTo11Oct'!$L:$L, '5OctTo11Oct'!$J:$J, $A202)</f>
        <v>0</v>
      </c>
      <c r="AC202" s="121">
        <f>SUMIFS('5OctTo11Oct'!$K:$K, '5OctTo11Oct'!$J:$J, $A202)</f>
        <v>0</v>
      </c>
      <c r="AD202" s="121">
        <f>SUMIFS('5OctTo11Oct'!$O:$O, '5OctTo11Oct'!$J:$J, $A202)</f>
        <v>0</v>
      </c>
      <c r="AE202" s="121">
        <f>SUMIFS('5OctTo11Oct'!$P:$P, '5OctTo11Oct'!$J:$J, $A202)</f>
        <v>0</v>
      </c>
      <c r="AF202" s="123">
        <f t="shared" si="5"/>
        <v>0</v>
      </c>
      <c r="AG202" s="121">
        <f>SUMIFS('28SepTo4Oct'!$L:$L, '28SepTo4Oct'!$J:$J, $A202)</f>
        <v>0</v>
      </c>
      <c r="AH202" s="121">
        <f>SUMIFS('28SepTo4Oct'!$K:$K, '28SepTo4Oct'!$J:$J, $A202)</f>
        <v>0</v>
      </c>
      <c r="AI202" s="121">
        <f>SUMIFS('28SepTo4Oct'!$O:$O, '28SepTo4Oct'!$J:$J, $A202)</f>
        <v>0</v>
      </c>
      <c r="AJ202" s="121">
        <f>SUMIFS('28SepTo4Oct'!$P:$P, '28SepTo4Oct'!$J:$J, $A202)</f>
        <v>0</v>
      </c>
      <c r="AK202" s="123">
        <f t="shared" si="6"/>
        <v>0</v>
      </c>
      <c r="AL202" s="121">
        <f>SUMIFS('21SepTo27Sep'!$L:$L, '21SepTo27Sep'!$J:$J, $A202)</f>
        <v>0</v>
      </c>
      <c r="AM202" s="121">
        <f>SUMIFS('21SepTo27Sep'!$K:$K, '21SepTo27Sep'!$J:$J, $A202)</f>
        <v>0</v>
      </c>
      <c r="AN202" s="121">
        <f>SUMIFS('21SepTo27Sep'!$O:$O, '21SepTo27Sep'!$J:$J, $A202)</f>
        <v>0</v>
      </c>
      <c r="AO202" s="121">
        <f>SUMIFS('21SepTo27Sep'!$P:$P, '21SepTo27Sep'!$J:$J, $A202)</f>
        <v>0</v>
      </c>
      <c r="AP202" s="123">
        <f t="shared" si="7"/>
        <v>0</v>
      </c>
      <c r="AQ202" s="121">
        <f>SUMIFS('14SepTo20Sep'!$L:$L, '14SepTo20Sep'!$J:$J, $A202)</f>
        <v>0</v>
      </c>
      <c r="AR202" s="121">
        <f>SUMIFS('14SepTo20Sep'!$K:$K, '14SepTo20Sep'!$J:$J, $A202)</f>
        <v>0</v>
      </c>
      <c r="AS202" s="121">
        <f>SUMIFS('14SepTo20Sep'!$O:$O, '14SepTo20Sep'!$J:$J, $A202)</f>
        <v>0</v>
      </c>
      <c r="AT202" s="121">
        <f>SUMIFS('14SepTo20Sep'!$P:$P, '14SepTo20Sep'!$J:$J, $A202)</f>
        <v>0</v>
      </c>
      <c r="AU202" s="123">
        <f t="shared" si="8"/>
        <v>0</v>
      </c>
      <c r="AV202" s="121">
        <f>SUMIFS('7SepTo13Sep'!$L:$L, '7SepTo13Sep'!$J:$J, $A202)</f>
        <v>0</v>
      </c>
      <c r="AW202" s="121">
        <f>SUMIFS('7SepTo13Sep'!$K:$K, '7SepTo13Sep'!$J:$J, $A202)</f>
        <v>0</v>
      </c>
      <c r="AX202" s="121">
        <f>SUMIFS('7SepTo13Sep'!$O:$O, '7SepTo13Sep'!$J:$J, $A202)</f>
        <v>0</v>
      </c>
      <c r="AY202" s="121">
        <f>SUMIFS('7SepTo13Sep'!$P:$P, '7SepTo13Sep'!$J:$J, $A202)</f>
        <v>0</v>
      </c>
      <c r="AZ202" s="123">
        <f t="shared" si="9"/>
        <v>0</v>
      </c>
      <c r="BA202" s="121">
        <f>SUMIFS('31AugTo6Sep'!$L:$L, '31AugTo6Sep'!$J:$J, $A202)</f>
        <v>0</v>
      </c>
      <c r="BB202" s="121">
        <f>SUMIFS('31AugTo6Sep'!$K:$K, '31AugTo6Sep'!$J:$J, $A202)</f>
        <v>0</v>
      </c>
      <c r="BC202" s="121">
        <f>SUMIFS('31AugTo6Sep'!$O:$O, '31AugTo6Sep'!$J:$J, $A202)</f>
        <v>0</v>
      </c>
      <c r="BD202" s="121">
        <f>SUMIFS('31AugTo6Sep'!$P:$P, '31AugTo6Sep'!$J:$J, $A202)</f>
        <v>0</v>
      </c>
      <c r="BE202" s="123">
        <f t="shared" si="10"/>
        <v>0</v>
      </c>
      <c r="BF202" s="121">
        <f>SUMIFS('24AugTo29Aug'!$L:$L, '24AugTo29Aug'!$J:$J, $A202)</f>
        <v>0</v>
      </c>
      <c r="BG202" s="121">
        <f>SUMIFS('24AugTo29Aug'!$K:$K, '24AugTo29Aug'!$J:$J, $A202)</f>
        <v>0</v>
      </c>
      <c r="BH202" s="121">
        <f>SUMIFS('24AugTo29Aug'!$O:$O, '24AugTo29Aug'!$J:$J, $A202)</f>
        <v>0</v>
      </c>
      <c r="BI202" s="121">
        <f>SUMIFS('24AugTo29Aug'!$P:$P, '24AugTo29Aug'!$J:$J, $A202)</f>
        <v>0</v>
      </c>
      <c r="BJ202" s="123">
        <f t="shared" si="11"/>
        <v>0</v>
      </c>
      <c r="BK202" s="121">
        <f>SUMIFS('17AugTo21Aug'!$L:$L, '17AugTo21Aug'!$J:$J, $A202)</f>
        <v>0</v>
      </c>
      <c r="BL202" s="121">
        <f>SUMIFS('17AugTo21Aug'!$K:$K, '17AugTo21Aug'!$J:$J, $A202)</f>
        <v>0</v>
      </c>
      <c r="BM202" s="121">
        <f>SUMIFS('17AugTo21Aug'!$O:$O, '17AugTo21Aug'!$J:$J, $A202)</f>
        <v>0</v>
      </c>
      <c r="BN202" s="121">
        <f>SUMIFS('17AugTo21Aug'!$P:$P, '17AugTo21Aug'!$J:$J, $A202)</f>
        <v>0</v>
      </c>
      <c r="BO202" s="123">
        <f t="shared" si="12"/>
        <v>0</v>
      </c>
      <c r="BP202" s="121">
        <f>SUMIFS('10AugTo16Aug'!$L:$L, '10AugTo16Aug'!$J:$J, $A202)</f>
        <v>0</v>
      </c>
      <c r="BQ202" s="121">
        <f>SUMIFS('10AugTo16Aug'!$K:$K, '10AugTo16Aug'!$J:$J, $A202)</f>
        <v>0</v>
      </c>
      <c r="BR202" s="121">
        <f>SUMIFS('10AugTo16Aug'!$O:$O, '10AugTo16Aug'!$J:$J, $A202)</f>
        <v>0</v>
      </c>
      <c r="BS202" s="121">
        <f>SUMIFS('10AugTo16Aug'!$P:$P, '10AugTo16Aug'!$J:$J, $A202)</f>
        <v>0</v>
      </c>
      <c r="BT202" s="123">
        <f t="shared" si="13"/>
        <v>0</v>
      </c>
      <c r="BU202" s="121">
        <f>SUMIFS('3AugTo9Aug'!$L:$L, '3AugTo9Aug'!$J:$J, $A202)</f>
        <v>0</v>
      </c>
      <c r="BV202" s="121">
        <f>SUMIFS('3AugTo9Aug'!$K:$K, '3AugTo9Aug'!$J:$J, $A202)</f>
        <v>0</v>
      </c>
      <c r="BW202" s="121">
        <f>SUMIFS('3AugTo9Aug'!$O:$O, '3AugTo9Aug'!$J:$J, $A202)</f>
        <v>0</v>
      </c>
      <c r="BX202" s="121">
        <f>SUMIFS('3AugTo9Aug'!$P:$P, '3AugTo9Aug'!$J:$J, $A202)</f>
        <v>0</v>
      </c>
      <c r="BY202" s="123">
        <f t="shared" si="14"/>
        <v>0</v>
      </c>
      <c r="BZ202" s="121">
        <f>SUMIFS('27JulyTo2Aug'!$L:$L, '27JulyTo2Aug'!$J:$J, $A202)</f>
        <v>1</v>
      </c>
      <c r="CA202" s="121">
        <f>SUMIFS('27JulyTo2Aug'!$K:$K, '27JulyTo2Aug'!$J:$J, $A202)</f>
        <v>1</v>
      </c>
      <c r="CB202" s="121">
        <f>SUMIFS('27JulyTo2Aug'!$O:$O, '27JulyTo2Aug'!$J:$J, $A202)</f>
        <v>2.31</v>
      </c>
      <c r="CC202" s="121">
        <f>SUMIFS('27JulyTo2Aug'!$P:$P, '27JulyTo2Aug'!$J:$J, $A202)</f>
        <v>24.94</v>
      </c>
      <c r="CD202" s="123">
        <f t="shared" si="15"/>
        <v>9.2622293504410571</v>
      </c>
    </row>
    <row r="203" spans="1:82" ht="14.25" customHeight="1" x14ac:dyDescent="0.3">
      <c r="A203" s="124" t="s">
        <v>835</v>
      </c>
      <c r="B203" s="120" t="str">
        <f t="shared" si="19"/>
        <v>NO TRAFFIC</v>
      </c>
      <c r="C203" s="121">
        <f>SUMIFS('9NovTo15Nov'!$L:$L, '9NovTo15Nov'!$J:$J, $A203)</f>
        <v>0</v>
      </c>
      <c r="D203" s="121">
        <f>SUMIFS('9NovTo15Nov'!$K:$K, '9NovTo15Nov'!$J:$J, $A203)</f>
        <v>0</v>
      </c>
      <c r="E203" s="121">
        <f>SUMIFS('9NovTo15Nov'!$O:$O, '9NovTo15Nov'!$J:$J, $A203)</f>
        <v>0</v>
      </c>
      <c r="F203" s="121">
        <f>SUMIFS('9NovTo15Nov'!$P:$P, '9NovTo15Nov'!$J:$J, $A203)</f>
        <v>0</v>
      </c>
      <c r="G203" s="122">
        <f t="shared" si="0"/>
        <v>0</v>
      </c>
      <c r="H203" s="121">
        <f>SUMIFS('2NovTo8Nov'!$L:$L, '2NovTo8Nov'!$J:$J, $A203)</f>
        <v>0</v>
      </c>
      <c r="I203" s="121">
        <f>SUMIFS('2NovTo8Nov'!$K:$K, '2NovTo8Nov'!$J:$J, $A203)</f>
        <v>0</v>
      </c>
      <c r="J203" s="121">
        <f>SUMIFS('2NovTo8Nov'!$O:$O, '2NovTo8Nov'!$J:$J, $A203)</f>
        <v>0</v>
      </c>
      <c r="K203" s="121">
        <f>SUMIFS('2NovTo8Nov'!$P:$P, '2NovTo8Nov'!$J:$J, $A203)</f>
        <v>0</v>
      </c>
      <c r="L203" s="122">
        <f t="shared" si="1"/>
        <v>0</v>
      </c>
      <c r="M203" s="121">
        <f>SUMIFS('26OctTo1Nov'!$L:$L, '26OctTo1Nov'!$J:$J, $A203)</f>
        <v>0</v>
      </c>
      <c r="N203" s="121">
        <f>SUMIFS('26OctTo1Nov'!$K:$K, '26OctTo1Nov'!$J:$J, $A203)</f>
        <v>0</v>
      </c>
      <c r="O203" s="121">
        <f>SUMIFS('26OctTo1Nov'!$O:$O, '26OctTo1Nov'!$J:$J, $A203)</f>
        <v>0</v>
      </c>
      <c r="P203" s="121">
        <f>SUMIFS('26OctTo1Nov'!$P:$P, '26OctTo1Nov'!$J:$J, $A203)</f>
        <v>0</v>
      </c>
      <c r="Q203" s="122">
        <f t="shared" si="2"/>
        <v>0</v>
      </c>
      <c r="R203" s="121">
        <f>SUMIFS('19OctTo25Oct'!$L:$L, '19OctTo25Oct'!$J:$J, $A203)</f>
        <v>0</v>
      </c>
      <c r="S203" s="121">
        <f>SUMIFS('19OctTo25Oct'!$K:$K, '19OctTo25Oct'!$J:$J, $A203)</f>
        <v>0</v>
      </c>
      <c r="T203" s="121">
        <f>SUMIFS('19OctTo25Oct'!$O:$O, '19OctTo25Oct'!$J:$J, $A203)</f>
        <v>0</v>
      </c>
      <c r="U203" s="121">
        <f>SUMIFS('19OctTo25Oct'!$P:$P, '19OctTo25Oct'!$J:$J, $A203)</f>
        <v>0</v>
      </c>
      <c r="V203" s="122">
        <f t="shared" si="3"/>
        <v>0</v>
      </c>
      <c r="W203" s="121">
        <f>SUMIFS('12OctTo18Oct'!$L:$L, '12OctTo18Oct'!$J:$J, $A203)</f>
        <v>0</v>
      </c>
      <c r="X203" s="121">
        <f>SUMIFS('12OctTo18Oct'!$K:$K, '12OctTo18Oct'!$J:$J, $A203)</f>
        <v>0</v>
      </c>
      <c r="Y203" s="121">
        <f>SUMIFS('12OctTo18Oct'!$O:$O, '12OctTo18Oct'!$J:$J, $A203)</f>
        <v>0</v>
      </c>
      <c r="Z203" s="121">
        <f>SUMIFS('12OctTo18Oct'!$P:$P, '12OctTo18Oct'!$J:$J, $A203)</f>
        <v>0</v>
      </c>
      <c r="AA203" s="122">
        <f t="shared" si="4"/>
        <v>0</v>
      </c>
      <c r="AB203" s="121">
        <f>SUMIFS('5OctTo11Oct'!$L:$L, '5OctTo11Oct'!$J:$J, $A203)</f>
        <v>0</v>
      </c>
      <c r="AC203" s="121">
        <f>SUMIFS('5OctTo11Oct'!$K:$K, '5OctTo11Oct'!$J:$J, $A203)</f>
        <v>0</v>
      </c>
      <c r="AD203" s="121">
        <f>SUMIFS('5OctTo11Oct'!$O:$O, '5OctTo11Oct'!$J:$J, $A203)</f>
        <v>0</v>
      </c>
      <c r="AE203" s="121">
        <f>SUMIFS('5OctTo11Oct'!$P:$P, '5OctTo11Oct'!$J:$J, $A203)</f>
        <v>0</v>
      </c>
      <c r="AF203" s="123">
        <f t="shared" si="5"/>
        <v>0</v>
      </c>
      <c r="AG203" s="121">
        <f>SUMIFS('28SepTo4Oct'!$L:$L, '28SepTo4Oct'!$J:$J, $A203)</f>
        <v>0</v>
      </c>
      <c r="AH203" s="121">
        <f>SUMIFS('28SepTo4Oct'!$K:$K, '28SepTo4Oct'!$J:$J, $A203)</f>
        <v>0</v>
      </c>
      <c r="AI203" s="121">
        <f>SUMIFS('28SepTo4Oct'!$O:$O, '28SepTo4Oct'!$J:$J, $A203)</f>
        <v>0</v>
      </c>
      <c r="AJ203" s="121">
        <f>SUMIFS('28SepTo4Oct'!$P:$P, '28SepTo4Oct'!$J:$J, $A203)</f>
        <v>0</v>
      </c>
      <c r="AK203" s="123">
        <f t="shared" si="6"/>
        <v>0</v>
      </c>
      <c r="AL203" s="121">
        <f>SUMIFS('21SepTo27Sep'!$L:$L, '21SepTo27Sep'!$J:$J, $A203)</f>
        <v>0</v>
      </c>
      <c r="AM203" s="121">
        <f>SUMIFS('21SepTo27Sep'!$K:$K, '21SepTo27Sep'!$J:$J, $A203)</f>
        <v>0</v>
      </c>
      <c r="AN203" s="121">
        <f>SUMIFS('21SepTo27Sep'!$O:$O, '21SepTo27Sep'!$J:$J, $A203)</f>
        <v>0</v>
      </c>
      <c r="AO203" s="121">
        <f>SUMIFS('21SepTo27Sep'!$P:$P, '21SepTo27Sep'!$J:$J, $A203)</f>
        <v>0</v>
      </c>
      <c r="AP203" s="123">
        <f t="shared" si="7"/>
        <v>0</v>
      </c>
      <c r="AQ203" s="121">
        <f>SUMIFS('14SepTo20Sep'!$L:$L, '14SepTo20Sep'!$J:$J, $A203)</f>
        <v>0</v>
      </c>
      <c r="AR203" s="121">
        <f>SUMIFS('14SepTo20Sep'!$K:$K, '14SepTo20Sep'!$J:$J, $A203)</f>
        <v>0</v>
      </c>
      <c r="AS203" s="121">
        <f>SUMIFS('14SepTo20Sep'!$O:$O, '14SepTo20Sep'!$J:$J, $A203)</f>
        <v>0</v>
      </c>
      <c r="AT203" s="121">
        <f>SUMIFS('14SepTo20Sep'!$P:$P, '14SepTo20Sep'!$J:$J, $A203)</f>
        <v>0</v>
      </c>
      <c r="AU203" s="123">
        <f t="shared" si="8"/>
        <v>0</v>
      </c>
      <c r="AV203" s="121">
        <f>SUMIFS('7SepTo13Sep'!$L:$L, '7SepTo13Sep'!$J:$J, $A203)</f>
        <v>0</v>
      </c>
      <c r="AW203" s="121">
        <f>SUMIFS('7SepTo13Sep'!$K:$K, '7SepTo13Sep'!$J:$J, $A203)</f>
        <v>0</v>
      </c>
      <c r="AX203" s="121">
        <f>SUMIFS('7SepTo13Sep'!$O:$O, '7SepTo13Sep'!$J:$J, $A203)</f>
        <v>0</v>
      </c>
      <c r="AY203" s="121">
        <f>SUMIFS('7SepTo13Sep'!$P:$P, '7SepTo13Sep'!$J:$J, $A203)</f>
        <v>0</v>
      </c>
      <c r="AZ203" s="123">
        <f t="shared" si="9"/>
        <v>0</v>
      </c>
      <c r="BA203" s="121">
        <f>SUMIFS('31AugTo6Sep'!$L:$L, '31AugTo6Sep'!$J:$J, $A203)</f>
        <v>0</v>
      </c>
      <c r="BB203" s="121">
        <f>SUMIFS('31AugTo6Sep'!$K:$K, '31AugTo6Sep'!$J:$J, $A203)</f>
        <v>0</v>
      </c>
      <c r="BC203" s="121">
        <f>SUMIFS('31AugTo6Sep'!$O:$O, '31AugTo6Sep'!$J:$J, $A203)</f>
        <v>0</v>
      </c>
      <c r="BD203" s="121">
        <f>SUMIFS('31AugTo6Sep'!$P:$P, '31AugTo6Sep'!$J:$J, $A203)</f>
        <v>0</v>
      </c>
      <c r="BE203" s="123">
        <f t="shared" si="10"/>
        <v>0</v>
      </c>
      <c r="BF203" s="121">
        <f>SUMIFS('24AugTo29Aug'!$L:$L, '24AugTo29Aug'!$J:$J, $A203)</f>
        <v>0</v>
      </c>
      <c r="BG203" s="121">
        <f>SUMIFS('24AugTo29Aug'!$K:$K, '24AugTo29Aug'!$J:$J, $A203)</f>
        <v>0</v>
      </c>
      <c r="BH203" s="121">
        <f>SUMIFS('24AugTo29Aug'!$O:$O, '24AugTo29Aug'!$J:$J, $A203)</f>
        <v>0</v>
      </c>
      <c r="BI203" s="121">
        <f>SUMIFS('24AugTo29Aug'!$P:$P, '24AugTo29Aug'!$J:$J, $A203)</f>
        <v>0</v>
      </c>
      <c r="BJ203" s="123">
        <f t="shared" si="11"/>
        <v>0</v>
      </c>
      <c r="BK203" s="121">
        <f>SUMIFS('17AugTo21Aug'!$L:$L, '17AugTo21Aug'!$J:$J, $A203)</f>
        <v>0</v>
      </c>
      <c r="BL203" s="121">
        <f>SUMIFS('17AugTo21Aug'!$K:$K, '17AugTo21Aug'!$J:$J, $A203)</f>
        <v>0</v>
      </c>
      <c r="BM203" s="121">
        <f>SUMIFS('17AugTo21Aug'!$O:$O, '17AugTo21Aug'!$J:$J, $A203)</f>
        <v>0</v>
      </c>
      <c r="BN203" s="121">
        <f>SUMIFS('17AugTo21Aug'!$P:$P, '17AugTo21Aug'!$J:$J, $A203)</f>
        <v>0</v>
      </c>
      <c r="BO203" s="123">
        <f t="shared" si="12"/>
        <v>0</v>
      </c>
      <c r="BP203" s="121">
        <f>SUMIFS('10AugTo16Aug'!$L:$L, '10AugTo16Aug'!$J:$J, $A203)</f>
        <v>0</v>
      </c>
      <c r="BQ203" s="121">
        <f>SUMIFS('10AugTo16Aug'!$K:$K, '10AugTo16Aug'!$J:$J, $A203)</f>
        <v>0</v>
      </c>
      <c r="BR203" s="121">
        <f>SUMIFS('10AugTo16Aug'!$O:$O, '10AugTo16Aug'!$J:$J, $A203)</f>
        <v>0</v>
      </c>
      <c r="BS203" s="121">
        <f>SUMIFS('10AugTo16Aug'!$P:$P, '10AugTo16Aug'!$J:$J, $A203)</f>
        <v>0</v>
      </c>
      <c r="BT203" s="123">
        <f t="shared" si="13"/>
        <v>0</v>
      </c>
      <c r="BU203" s="121">
        <f>SUMIFS('3AugTo9Aug'!$L:$L, '3AugTo9Aug'!$J:$J, $A203)</f>
        <v>0</v>
      </c>
      <c r="BV203" s="121">
        <f>SUMIFS('3AugTo9Aug'!$K:$K, '3AugTo9Aug'!$J:$J, $A203)</f>
        <v>0</v>
      </c>
      <c r="BW203" s="121">
        <f>SUMIFS('3AugTo9Aug'!$O:$O, '3AugTo9Aug'!$J:$J, $A203)</f>
        <v>0</v>
      </c>
      <c r="BX203" s="121">
        <f>SUMIFS('3AugTo9Aug'!$P:$P, '3AugTo9Aug'!$J:$J, $A203)</f>
        <v>0</v>
      </c>
      <c r="BY203" s="123">
        <f t="shared" si="14"/>
        <v>0</v>
      </c>
      <c r="BZ203" s="121">
        <f>SUMIFS('27JulyTo2Aug'!$L:$L, '27JulyTo2Aug'!$J:$J, $A203)</f>
        <v>1</v>
      </c>
      <c r="CA203" s="121">
        <f>SUMIFS('27JulyTo2Aug'!$K:$K, '27JulyTo2Aug'!$J:$J, $A203)</f>
        <v>2</v>
      </c>
      <c r="CB203" s="121">
        <f>SUMIFS('27JulyTo2Aug'!$O:$O, '27JulyTo2Aug'!$J:$J, $A203)</f>
        <v>1.62</v>
      </c>
      <c r="CC203" s="121">
        <f>SUMIFS('27JulyTo2Aug'!$P:$P, '27JulyTo2Aug'!$J:$J, $A203)</f>
        <v>24.94</v>
      </c>
      <c r="CD203" s="123">
        <f t="shared" si="15"/>
        <v>6.4955894145950284</v>
      </c>
    </row>
    <row r="204" spans="1:82" ht="14.25" customHeight="1" x14ac:dyDescent="0.3">
      <c r="A204" s="124" t="s">
        <v>836</v>
      </c>
      <c r="B204" s="120" t="str">
        <f t="shared" si="19"/>
        <v>NO TRAFFIC</v>
      </c>
      <c r="C204" s="121">
        <f>SUMIFS('9NovTo15Nov'!$L:$L, '9NovTo15Nov'!$J:$J, $A204)</f>
        <v>0</v>
      </c>
      <c r="D204" s="121">
        <f>SUMIFS('9NovTo15Nov'!$K:$K, '9NovTo15Nov'!$J:$J, $A204)</f>
        <v>0</v>
      </c>
      <c r="E204" s="121">
        <f>SUMIFS('9NovTo15Nov'!$O:$O, '9NovTo15Nov'!$J:$J, $A204)</f>
        <v>0</v>
      </c>
      <c r="F204" s="121">
        <f>SUMIFS('9NovTo15Nov'!$P:$P, '9NovTo15Nov'!$J:$J, $A204)</f>
        <v>0</v>
      </c>
      <c r="G204" s="122">
        <f t="shared" si="0"/>
        <v>0</v>
      </c>
      <c r="H204" s="121">
        <f>SUMIFS('2NovTo8Nov'!$L:$L, '2NovTo8Nov'!$J:$J, $A204)</f>
        <v>0</v>
      </c>
      <c r="I204" s="121">
        <f>SUMIFS('2NovTo8Nov'!$K:$K, '2NovTo8Nov'!$J:$J, $A204)</f>
        <v>0</v>
      </c>
      <c r="J204" s="121">
        <f>SUMIFS('2NovTo8Nov'!$O:$O, '2NovTo8Nov'!$J:$J, $A204)</f>
        <v>0</v>
      </c>
      <c r="K204" s="121">
        <f>SUMIFS('2NovTo8Nov'!$P:$P, '2NovTo8Nov'!$J:$J, $A204)</f>
        <v>0</v>
      </c>
      <c r="L204" s="122">
        <f t="shared" si="1"/>
        <v>0</v>
      </c>
      <c r="M204" s="121">
        <f>SUMIFS('26OctTo1Nov'!$L:$L, '26OctTo1Nov'!$J:$J, $A204)</f>
        <v>0</v>
      </c>
      <c r="N204" s="121">
        <f>SUMIFS('26OctTo1Nov'!$K:$K, '26OctTo1Nov'!$J:$J, $A204)</f>
        <v>0</v>
      </c>
      <c r="O204" s="121">
        <f>SUMIFS('26OctTo1Nov'!$O:$O, '26OctTo1Nov'!$J:$J, $A204)</f>
        <v>0</v>
      </c>
      <c r="P204" s="121">
        <f>SUMIFS('26OctTo1Nov'!$P:$P, '26OctTo1Nov'!$J:$J, $A204)</f>
        <v>0</v>
      </c>
      <c r="Q204" s="122">
        <f t="shared" si="2"/>
        <v>0</v>
      </c>
      <c r="R204" s="121">
        <f>SUMIFS('19OctTo25Oct'!$L:$L, '19OctTo25Oct'!$J:$J, $A204)</f>
        <v>0</v>
      </c>
      <c r="S204" s="121">
        <f>SUMIFS('19OctTo25Oct'!$K:$K, '19OctTo25Oct'!$J:$J, $A204)</f>
        <v>0</v>
      </c>
      <c r="T204" s="121">
        <f>SUMIFS('19OctTo25Oct'!$O:$O, '19OctTo25Oct'!$J:$J, $A204)</f>
        <v>0</v>
      </c>
      <c r="U204" s="121">
        <f>SUMIFS('19OctTo25Oct'!$P:$P, '19OctTo25Oct'!$J:$J, $A204)</f>
        <v>0</v>
      </c>
      <c r="V204" s="122">
        <f t="shared" si="3"/>
        <v>0</v>
      </c>
      <c r="W204" s="121">
        <f>SUMIFS('12OctTo18Oct'!$L:$L, '12OctTo18Oct'!$J:$J, $A204)</f>
        <v>0</v>
      </c>
      <c r="X204" s="121">
        <f>SUMIFS('12OctTo18Oct'!$K:$K, '12OctTo18Oct'!$J:$J, $A204)</f>
        <v>0</v>
      </c>
      <c r="Y204" s="121">
        <f>SUMIFS('12OctTo18Oct'!$O:$O, '12OctTo18Oct'!$J:$J, $A204)</f>
        <v>0</v>
      </c>
      <c r="Z204" s="121">
        <f>SUMIFS('12OctTo18Oct'!$P:$P, '12OctTo18Oct'!$J:$J, $A204)</f>
        <v>0</v>
      </c>
      <c r="AA204" s="122">
        <f t="shared" si="4"/>
        <v>0</v>
      </c>
      <c r="AB204" s="121">
        <f>SUMIFS('5OctTo11Oct'!$L:$L, '5OctTo11Oct'!$J:$J, $A204)</f>
        <v>0</v>
      </c>
      <c r="AC204" s="121">
        <f>SUMIFS('5OctTo11Oct'!$K:$K, '5OctTo11Oct'!$J:$J, $A204)</f>
        <v>0</v>
      </c>
      <c r="AD204" s="121">
        <f>SUMIFS('5OctTo11Oct'!$O:$O, '5OctTo11Oct'!$J:$J, $A204)</f>
        <v>0</v>
      </c>
      <c r="AE204" s="121">
        <f>SUMIFS('5OctTo11Oct'!$P:$P, '5OctTo11Oct'!$J:$J, $A204)</f>
        <v>0</v>
      </c>
      <c r="AF204" s="123">
        <f t="shared" si="5"/>
        <v>0</v>
      </c>
      <c r="AG204" s="121">
        <f>SUMIFS('28SepTo4Oct'!$L:$L, '28SepTo4Oct'!$J:$J, $A204)</f>
        <v>0</v>
      </c>
      <c r="AH204" s="121">
        <f>SUMIFS('28SepTo4Oct'!$K:$K, '28SepTo4Oct'!$J:$J, $A204)</f>
        <v>0</v>
      </c>
      <c r="AI204" s="121">
        <f>SUMIFS('28SepTo4Oct'!$O:$O, '28SepTo4Oct'!$J:$J, $A204)</f>
        <v>0</v>
      </c>
      <c r="AJ204" s="121">
        <f>SUMIFS('28SepTo4Oct'!$P:$P, '28SepTo4Oct'!$J:$J, $A204)</f>
        <v>0</v>
      </c>
      <c r="AK204" s="123">
        <f t="shared" si="6"/>
        <v>0</v>
      </c>
      <c r="AL204" s="121">
        <f>SUMIFS('21SepTo27Sep'!$L:$L, '21SepTo27Sep'!$J:$J, $A204)</f>
        <v>0</v>
      </c>
      <c r="AM204" s="121">
        <f>SUMIFS('21SepTo27Sep'!$K:$K, '21SepTo27Sep'!$J:$J, $A204)</f>
        <v>0</v>
      </c>
      <c r="AN204" s="121">
        <f>SUMIFS('21SepTo27Sep'!$O:$O, '21SepTo27Sep'!$J:$J, $A204)</f>
        <v>0</v>
      </c>
      <c r="AO204" s="121">
        <f>SUMIFS('21SepTo27Sep'!$P:$P, '21SepTo27Sep'!$J:$J, $A204)</f>
        <v>0</v>
      </c>
      <c r="AP204" s="123">
        <f t="shared" si="7"/>
        <v>0</v>
      </c>
      <c r="AQ204" s="121">
        <f>SUMIFS('14SepTo20Sep'!$L:$L, '14SepTo20Sep'!$J:$J, $A204)</f>
        <v>0</v>
      </c>
      <c r="AR204" s="121">
        <f>SUMIFS('14SepTo20Sep'!$K:$K, '14SepTo20Sep'!$J:$J, $A204)</f>
        <v>0</v>
      </c>
      <c r="AS204" s="121">
        <f>SUMIFS('14SepTo20Sep'!$O:$O, '14SepTo20Sep'!$J:$J, $A204)</f>
        <v>0</v>
      </c>
      <c r="AT204" s="121">
        <f>SUMIFS('14SepTo20Sep'!$P:$P, '14SepTo20Sep'!$J:$J, $A204)</f>
        <v>0</v>
      </c>
      <c r="AU204" s="123">
        <f t="shared" si="8"/>
        <v>0</v>
      </c>
      <c r="AV204" s="121">
        <f>SUMIFS('7SepTo13Sep'!$L:$L, '7SepTo13Sep'!$J:$J, $A204)</f>
        <v>0</v>
      </c>
      <c r="AW204" s="121">
        <f>SUMIFS('7SepTo13Sep'!$K:$K, '7SepTo13Sep'!$J:$J, $A204)</f>
        <v>0</v>
      </c>
      <c r="AX204" s="121">
        <f>SUMIFS('7SepTo13Sep'!$O:$O, '7SepTo13Sep'!$J:$J, $A204)</f>
        <v>0</v>
      </c>
      <c r="AY204" s="121">
        <f>SUMIFS('7SepTo13Sep'!$P:$P, '7SepTo13Sep'!$J:$J, $A204)</f>
        <v>0</v>
      </c>
      <c r="AZ204" s="123">
        <f t="shared" si="9"/>
        <v>0</v>
      </c>
      <c r="BA204" s="121">
        <f>SUMIFS('31AugTo6Sep'!$L:$L, '31AugTo6Sep'!$J:$J, $A204)</f>
        <v>0</v>
      </c>
      <c r="BB204" s="121">
        <f>SUMIFS('31AugTo6Sep'!$K:$K, '31AugTo6Sep'!$J:$J, $A204)</f>
        <v>0</v>
      </c>
      <c r="BC204" s="121">
        <f>SUMIFS('31AugTo6Sep'!$O:$O, '31AugTo6Sep'!$J:$J, $A204)</f>
        <v>0</v>
      </c>
      <c r="BD204" s="121">
        <f>SUMIFS('31AugTo6Sep'!$P:$P, '31AugTo6Sep'!$J:$J, $A204)</f>
        <v>0</v>
      </c>
      <c r="BE204" s="123">
        <f t="shared" si="10"/>
        <v>0</v>
      </c>
      <c r="BF204" s="121">
        <f>SUMIFS('24AugTo29Aug'!$L:$L, '24AugTo29Aug'!$J:$J, $A204)</f>
        <v>0</v>
      </c>
      <c r="BG204" s="121">
        <f>SUMIFS('24AugTo29Aug'!$K:$K, '24AugTo29Aug'!$J:$J, $A204)</f>
        <v>0</v>
      </c>
      <c r="BH204" s="121">
        <f>SUMIFS('24AugTo29Aug'!$O:$O, '24AugTo29Aug'!$J:$J, $A204)</f>
        <v>0</v>
      </c>
      <c r="BI204" s="121">
        <f>SUMIFS('24AugTo29Aug'!$P:$P, '24AugTo29Aug'!$J:$J, $A204)</f>
        <v>0</v>
      </c>
      <c r="BJ204" s="123">
        <f t="shared" si="11"/>
        <v>0</v>
      </c>
      <c r="BK204" s="121">
        <f>SUMIFS('17AugTo21Aug'!$L:$L, '17AugTo21Aug'!$J:$J, $A204)</f>
        <v>0</v>
      </c>
      <c r="BL204" s="121">
        <f>SUMIFS('17AugTo21Aug'!$K:$K, '17AugTo21Aug'!$J:$J, $A204)</f>
        <v>0</v>
      </c>
      <c r="BM204" s="121">
        <f>SUMIFS('17AugTo21Aug'!$O:$O, '17AugTo21Aug'!$J:$J, $A204)</f>
        <v>0</v>
      </c>
      <c r="BN204" s="121">
        <f>SUMIFS('17AugTo21Aug'!$P:$P, '17AugTo21Aug'!$J:$J, $A204)</f>
        <v>0</v>
      </c>
      <c r="BO204" s="123">
        <f t="shared" si="12"/>
        <v>0</v>
      </c>
      <c r="BP204" s="121">
        <f>SUMIFS('10AugTo16Aug'!$L:$L, '10AugTo16Aug'!$J:$J, $A204)</f>
        <v>0</v>
      </c>
      <c r="BQ204" s="121">
        <f>SUMIFS('10AugTo16Aug'!$K:$K, '10AugTo16Aug'!$J:$J, $A204)</f>
        <v>0</v>
      </c>
      <c r="BR204" s="121">
        <f>SUMIFS('10AugTo16Aug'!$O:$O, '10AugTo16Aug'!$J:$J, $A204)</f>
        <v>0</v>
      </c>
      <c r="BS204" s="121">
        <f>SUMIFS('10AugTo16Aug'!$P:$P, '10AugTo16Aug'!$J:$J, $A204)</f>
        <v>0</v>
      </c>
      <c r="BT204" s="123">
        <f t="shared" si="13"/>
        <v>0</v>
      </c>
      <c r="BU204" s="121">
        <f>SUMIFS('3AugTo9Aug'!$L:$L, '3AugTo9Aug'!$J:$J, $A204)</f>
        <v>0</v>
      </c>
      <c r="BV204" s="121">
        <f>SUMIFS('3AugTo9Aug'!$K:$K, '3AugTo9Aug'!$J:$J, $A204)</f>
        <v>0</v>
      </c>
      <c r="BW204" s="121">
        <f>SUMIFS('3AugTo9Aug'!$O:$O, '3AugTo9Aug'!$J:$J, $A204)</f>
        <v>0</v>
      </c>
      <c r="BX204" s="121">
        <f>SUMIFS('3AugTo9Aug'!$P:$P, '3AugTo9Aug'!$J:$J, $A204)</f>
        <v>0</v>
      </c>
      <c r="BY204" s="123">
        <f t="shared" si="14"/>
        <v>0</v>
      </c>
      <c r="BZ204" s="121">
        <f>SUMIFS('27JulyTo2Aug'!$L:$L, '27JulyTo2Aug'!$J:$J, $A204)</f>
        <v>1</v>
      </c>
      <c r="CA204" s="121">
        <f>SUMIFS('27JulyTo2Aug'!$K:$K, '27JulyTo2Aug'!$J:$J, $A204)</f>
        <v>3</v>
      </c>
      <c r="CB204" s="121">
        <f>SUMIFS('27JulyTo2Aug'!$O:$O, '27JulyTo2Aug'!$J:$J, $A204)</f>
        <v>1.35</v>
      </c>
      <c r="CC204" s="121">
        <f>SUMIFS('27JulyTo2Aug'!$P:$P, '27JulyTo2Aug'!$J:$J, $A204)</f>
        <v>24.94</v>
      </c>
      <c r="CD204" s="123">
        <f t="shared" si="15"/>
        <v>5.4129911788291896</v>
      </c>
    </row>
    <row r="205" spans="1:82" ht="14.25" customHeight="1" x14ac:dyDescent="0.3">
      <c r="A205" s="133" t="s">
        <v>847</v>
      </c>
      <c r="B205" s="120" t="str">
        <f t="shared" si="19"/>
        <v>NO TRAFFIC</v>
      </c>
      <c r="C205" s="121">
        <f>SUMIFS('9NovTo15Nov'!$L:$L, '9NovTo15Nov'!$J:$J, $A205)</f>
        <v>0</v>
      </c>
      <c r="D205" s="121">
        <f>SUMIFS('9NovTo15Nov'!$K:$K, '9NovTo15Nov'!$J:$J, $A205)</f>
        <v>0</v>
      </c>
      <c r="E205" s="121">
        <f>SUMIFS('9NovTo15Nov'!$O:$O, '9NovTo15Nov'!$J:$J, $A205)</f>
        <v>0</v>
      </c>
      <c r="F205" s="121">
        <f>SUMIFS('9NovTo15Nov'!$P:$P, '9NovTo15Nov'!$J:$J, $A205)</f>
        <v>0</v>
      </c>
      <c r="G205" s="122">
        <f t="shared" si="0"/>
        <v>0</v>
      </c>
      <c r="H205" s="121">
        <f>SUMIFS('2NovTo8Nov'!$L:$L, '2NovTo8Nov'!$J:$J, $A205)</f>
        <v>0</v>
      </c>
      <c r="I205" s="121">
        <f>SUMIFS('2NovTo8Nov'!$K:$K, '2NovTo8Nov'!$J:$J, $A205)</f>
        <v>0</v>
      </c>
      <c r="J205" s="121">
        <f>SUMIFS('2NovTo8Nov'!$O:$O, '2NovTo8Nov'!$J:$J, $A205)</f>
        <v>0</v>
      </c>
      <c r="K205" s="121">
        <f>SUMIFS('2NovTo8Nov'!$P:$P, '2NovTo8Nov'!$J:$J, $A205)</f>
        <v>0</v>
      </c>
      <c r="L205" s="122">
        <f t="shared" si="1"/>
        <v>0</v>
      </c>
      <c r="M205" s="121">
        <f>SUMIFS('26OctTo1Nov'!$L:$L, '26OctTo1Nov'!$J:$J, $A205)</f>
        <v>0</v>
      </c>
      <c r="N205" s="121">
        <f>SUMIFS('26OctTo1Nov'!$K:$K, '26OctTo1Nov'!$J:$J, $A205)</f>
        <v>0</v>
      </c>
      <c r="O205" s="121">
        <f>SUMIFS('26OctTo1Nov'!$O:$O, '26OctTo1Nov'!$J:$J, $A205)</f>
        <v>0</v>
      </c>
      <c r="P205" s="121">
        <f>SUMIFS('26OctTo1Nov'!$P:$P, '26OctTo1Nov'!$J:$J, $A205)</f>
        <v>0</v>
      </c>
      <c r="Q205" s="122">
        <f t="shared" si="2"/>
        <v>0</v>
      </c>
      <c r="R205" s="121">
        <f>SUMIFS('19OctTo25Oct'!$L:$L, '19OctTo25Oct'!$J:$J, $A205)</f>
        <v>0</v>
      </c>
      <c r="S205" s="121">
        <f>SUMIFS('19OctTo25Oct'!$K:$K, '19OctTo25Oct'!$J:$J, $A205)</f>
        <v>0</v>
      </c>
      <c r="T205" s="121">
        <f>SUMIFS('19OctTo25Oct'!$O:$O, '19OctTo25Oct'!$J:$J, $A205)</f>
        <v>0</v>
      </c>
      <c r="U205" s="121">
        <f>SUMIFS('19OctTo25Oct'!$P:$P, '19OctTo25Oct'!$J:$J, $A205)</f>
        <v>0</v>
      </c>
      <c r="V205" s="122">
        <f t="shared" si="3"/>
        <v>0</v>
      </c>
      <c r="W205" s="121">
        <f>SUMIFS('12OctTo18Oct'!$L:$L, '12OctTo18Oct'!$J:$J, $A205)</f>
        <v>0</v>
      </c>
      <c r="X205" s="121">
        <f>SUMIFS('12OctTo18Oct'!$K:$K, '12OctTo18Oct'!$J:$J, $A205)</f>
        <v>0</v>
      </c>
      <c r="Y205" s="121">
        <f>SUMIFS('12OctTo18Oct'!$O:$O, '12OctTo18Oct'!$J:$J, $A205)</f>
        <v>0</v>
      </c>
      <c r="Z205" s="121">
        <f>SUMIFS('12OctTo18Oct'!$P:$P, '12OctTo18Oct'!$J:$J, $A205)</f>
        <v>0</v>
      </c>
      <c r="AA205" s="122">
        <f t="shared" si="4"/>
        <v>0</v>
      </c>
      <c r="AB205" s="121">
        <f>SUMIFS('5OctTo11Oct'!$L:$L, '5OctTo11Oct'!$J:$J, $A205)</f>
        <v>0</v>
      </c>
      <c r="AC205" s="121">
        <f>SUMIFS('5OctTo11Oct'!$K:$K, '5OctTo11Oct'!$J:$J, $A205)</f>
        <v>0</v>
      </c>
      <c r="AD205" s="121">
        <f>SUMIFS('5OctTo11Oct'!$O:$O, '5OctTo11Oct'!$J:$J, $A205)</f>
        <v>0</v>
      </c>
      <c r="AE205" s="121">
        <f>SUMIFS('5OctTo11Oct'!$P:$P, '5OctTo11Oct'!$J:$J, $A205)</f>
        <v>0</v>
      </c>
      <c r="AF205" s="123">
        <f t="shared" si="5"/>
        <v>0</v>
      </c>
      <c r="AG205" s="121">
        <f>SUMIFS('28SepTo4Oct'!$L:$L, '28SepTo4Oct'!$J:$J, $A205)</f>
        <v>0</v>
      </c>
      <c r="AH205" s="121">
        <f>SUMIFS('28SepTo4Oct'!$K:$K, '28SepTo4Oct'!$J:$J, $A205)</f>
        <v>0</v>
      </c>
      <c r="AI205" s="121">
        <f>SUMIFS('28SepTo4Oct'!$O:$O, '28SepTo4Oct'!$J:$J, $A205)</f>
        <v>0</v>
      </c>
      <c r="AJ205" s="121">
        <f>SUMIFS('28SepTo4Oct'!$P:$P, '28SepTo4Oct'!$J:$J, $A205)</f>
        <v>0</v>
      </c>
      <c r="AK205" s="123">
        <f t="shared" si="6"/>
        <v>0</v>
      </c>
      <c r="AL205" s="121">
        <f>SUMIFS('21SepTo27Sep'!$L:$L, '21SepTo27Sep'!$J:$J, $A205)</f>
        <v>0</v>
      </c>
      <c r="AM205" s="121">
        <f>SUMIFS('21SepTo27Sep'!$K:$K, '21SepTo27Sep'!$J:$J, $A205)</f>
        <v>0</v>
      </c>
      <c r="AN205" s="121">
        <f>SUMIFS('21SepTo27Sep'!$O:$O, '21SepTo27Sep'!$J:$J, $A205)</f>
        <v>0</v>
      </c>
      <c r="AO205" s="121">
        <f>SUMIFS('21SepTo27Sep'!$P:$P, '21SepTo27Sep'!$J:$J, $A205)</f>
        <v>0</v>
      </c>
      <c r="AP205" s="123">
        <f t="shared" si="7"/>
        <v>0</v>
      </c>
      <c r="AQ205" s="121">
        <f>SUMIFS('14SepTo20Sep'!$L:$L, '14SepTo20Sep'!$J:$J, $A205)</f>
        <v>0</v>
      </c>
      <c r="AR205" s="121">
        <f>SUMIFS('14SepTo20Sep'!$K:$K, '14SepTo20Sep'!$J:$J, $A205)</f>
        <v>0</v>
      </c>
      <c r="AS205" s="121">
        <f>SUMIFS('14SepTo20Sep'!$O:$O, '14SepTo20Sep'!$J:$J, $A205)</f>
        <v>0</v>
      </c>
      <c r="AT205" s="121">
        <f>SUMIFS('14SepTo20Sep'!$P:$P, '14SepTo20Sep'!$J:$J, $A205)</f>
        <v>0</v>
      </c>
      <c r="AU205" s="123">
        <f t="shared" si="8"/>
        <v>0</v>
      </c>
      <c r="AV205" s="121">
        <f>SUMIFS('7SepTo13Sep'!$L:$L, '7SepTo13Sep'!$J:$J, $A205)</f>
        <v>0</v>
      </c>
      <c r="AW205" s="121">
        <f>SUMIFS('7SepTo13Sep'!$K:$K, '7SepTo13Sep'!$J:$J, $A205)</f>
        <v>0</v>
      </c>
      <c r="AX205" s="121">
        <f>SUMIFS('7SepTo13Sep'!$O:$O, '7SepTo13Sep'!$J:$J, $A205)</f>
        <v>0</v>
      </c>
      <c r="AY205" s="121">
        <f>SUMIFS('7SepTo13Sep'!$P:$P, '7SepTo13Sep'!$J:$J, $A205)</f>
        <v>0</v>
      </c>
      <c r="AZ205" s="123">
        <f t="shared" si="9"/>
        <v>0</v>
      </c>
      <c r="BA205" s="121">
        <f>SUMIFS('31AugTo6Sep'!$L:$L, '31AugTo6Sep'!$J:$J, $A205)</f>
        <v>0</v>
      </c>
      <c r="BB205" s="121">
        <f>SUMIFS('31AugTo6Sep'!$K:$K, '31AugTo6Sep'!$J:$J, $A205)</f>
        <v>0</v>
      </c>
      <c r="BC205" s="121">
        <f>SUMIFS('31AugTo6Sep'!$O:$O, '31AugTo6Sep'!$J:$J, $A205)</f>
        <v>0</v>
      </c>
      <c r="BD205" s="121">
        <f>SUMIFS('31AugTo6Sep'!$P:$P, '31AugTo6Sep'!$J:$J, $A205)</f>
        <v>0</v>
      </c>
      <c r="BE205" s="123">
        <f t="shared" si="10"/>
        <v>0</v>
      </c>
      <c r="BF205" s="121">
        <f>SUMIFS('24AugTo29Aug'!$L:$L, '24AugTo29Aug'!$J:$J, $A205)</f>
        <v>0</v>
      </c>
      <c r="BG205" s="121">
        <f>SUMIFS('24AugTo29Aug'!$K:$K, '24AugTo29Aug'!$J:$J, $A205)</f>
        <v>0</v>
      </c>
      <c r="BH205" s="121">
        <f>SUMIFS('24AugTo29Aug'!$O:$O, '24AugTo29Aug'!$J:$J, $A205)</f>
        <v>0</v>
      </c>
      <c r="BI205" s="121">
        <f>SUMIFS('24AugTo29Aug'!$P:$P, '24AugTo29Aug'!$J:$J, $A205)</f>
        <v>0</v>
      </c>
      <c r="BJ205" s="123">
        <f t="shared" si="11"/>
        <v>0</v>
      </c>
      <c r="BK205" s="121">
        <f>SUMIFS('17AugTo21Aug'!$L:$L, '17AugTo21Aug'!$J:$J, $A205)</f>
        <v>0</v>
      </c>
      <c r="BL205" s="121">
        <f>SUMIFS('17AugTo21Aug'!$K:$K, '17AugTo21Aug'!$J:$J, $A205)</f>
        <v>0</v>
      </c>
      <c r="BM205" s="121">
        <f>SUMIFS('17AugTo21Aug'!$O:$O, '17AugTo21Aug'!$J:$J, $A205)</f>
        <v>0</v>
      </c>
      <c r="BN205" s="121">
        <f>SUMIFS('17AugTo21Aug'!$P:$P, '17AugTo21Aug'!$J:$J, $A205)</f>
        <v>0</v>
      </c>
      <c r="BO205" s="123">
        <f t="shared" si="12"/>
        <v>0</v>
      </c>
      <c r="BP205" s="121">
        <f>SUMIFS('10AugTo16Aug'!$L:$L, '10AugTo16Aug'!$J:$J, $A205)</f>
        <v>0</v>
      </c>
      <c r="BQ205" s="121">
        <f>SUMIFS('10AugTo16Aug'!$K:$K, '10AugTo16Aug'!$J:$J, $A205)</f>
        <v>0</v>
      </c>
      <c r="BR205" s="121">
        <f>SUMIFS('10AugTo16Aug'!$O:$O, '10AugTo16Aug'!$J:$J, $A205)</f>
        <v>0</v>
      </c>
      <c r="BS205" s="121">
        <f>SUMIFS('10AugTo16Aug'!$P:$P, '10AugTo16Aug'!$J:$J, $A205)</f>
        <v>0</v>
      </c>
      <c r="BT205" s="123">
        <f t="shared" si="13"/>
        <v>0</v>
      </c>
      <c r="BU205" s="121">
        <f>SUMIFS('3AugTo9Aug'!$L:$L, '3AugTo9Aug'!$J:$J, $A205)</f>
        <v>0</v>
      </c>
      <c r="BV205" s="121">
        <f>SUMIFS('3AugTo9Aug'!$K:$K, '3AugTo9Aug'!$J:$J, $A205)</f>
        <v>0</v>
      </c>
      <c r="BW205" s="121">
        <f>SUMIFS('3AugTo9Aug'!$O:$O, '3AugTo9Aug'!$J:$J, $A205)</f>
        <v>0</v>
      </c>
      <c r="BX205" s="121">
        <f>SUMIFS('3AugTo9Aug'!$P:$P, '3AugTo9Aug'!$J:$J, $A205)</f>
        <v>0</v>
      </c>
      <c r="BY205" s="123">
        <f t="shared" si="14"/>
        <v>0</v>
      </c>
      <c r="BZ205" s="121">
        <f>SUMIFS('27JulyTo2Aug'!$L:$L, '27JulyTo2Aug'!$J:$J, $A205)</f>
        <v>1</v>
      </c>
      <c r="CA205" s="121">
        <f>SUMIFS('27JulyTo2Aug'!$K:$K, '27JulyTo2Aug'!$J:$J, $A205)</f>
        <v>1</v>
      </c>
      <c r="CB205" s="121">
        <f>SUMIFS('27JulyTo2Aug'!$O:$O, '27JulyTo2Aug'!$J:$J, $A205)</f>
        <v>2.95</v>
      </c>
      <c r="CC205" s="121">
        <f>SUMIFS('27JulyTo2Aug'!$P:$P, '27JulyTo2Aug'!$J:$J, $A205)</f>
        <v>24.94</v>
      </c>
      <c r="CD205" s="123">
        <f t="shared" si="15"/>
        <v>11.828388131515638</v>
      </c>
    </row>
    <row r="206" spans="1:82" ht="14.25" customHeight="1" x14ac:dyDescent="0.3">
      <c r="A206" s="124" t="s">
        <v>852</v>
      </c>
      <c r="B206" s="120" t="str">
        <f t="shared" si="19"/>
        <v>NO TRAFFIC</v>
      </c>
      <c r="C206" s="121">
        <f>SUMIFS('9NovTo15Nov'!$L:$L, '9NovTo15Nov'!$J:$J, $A206)</f>
        <v>0</v>
      </c>
      <c r="D206" s="121">
        <f>SUMIFS('9NovTo15Nov'!$K:$K, '9NovTo15Nov'!$J:$J, $A206)</f>
        <v>0</v>
      </c>
      <c r="E206" s="121">
        <f>SUMIFS('9NovTo15Nov'!$O:$O, '9NovTo15Nov'!$J:$J, $A206)</f>
        <v>0</v>
      </c>
      <c r="F206" s="121">
        <f>SUMIFS('9NovTo15Nov'!$P:$P, '9NovTo15Nov'!$J:$J, $A206)</f>
        <v>0</v>
      </c>
      <c r="G206" s="122">
        <f t="shared" si="0"/>
        <v>0</v>
      </c>
      <c r="H206" s="121">
        <f>SUMIFS('2NovTo8Nov'!$L:$L, '2NovTo8Nov'!$J:$J, $A206)</f>
        <v>0</v>
      </c>
      <c r="I206" s="121">
        <f>SUMIFS('2NovTo8Nov'!$K:$K, '2NovTo8Nov'!$J:$J, $A206)</f>
        <v>0</v>
      </c>
      <c r="J206" s="121">
        <f>SUMIFS('2NovTo8Nov'!$O:$O, '2NovTo8Nov'!$J:$J, $A206)</f>
        <v>0</v>
      </c>
      <c r="K206" s="121">
        <f>SUMIFS('2NovTo8Nov'!$P:$P, '2NovTo8Nov'!$J:$J, $A206)</f>
        <v>0</v>
      </c>
      <c r="L206" s="122">
        <f t="shared" si="1"/>
        <v>0</v>
      </c>
      <c r="M206" s="121">
        <f>SUMIFS('26OctTo1Nov'!$L:$L, '26OctTo1Nov'!$J:$J, $A206)</f>
        <v>0</v>
      </c>
      <c r="N206" s="121">
        <f>SUMIFS('26OctTo1Nov'!$K:$K, '26OctTo1Nov'!$J:$J, $A206)</f>
        <v>0</v>
      </c>
      <c r="O206" s="121">
        <f>SUMIFS('26OctTo1Nov'!$O:$O, '26OctTo1Nov'!$J:$J, $A206)</f>
        <v>0</v>
      </c>
      <c r="P206" s="121">
        <f>SUMIFS('26OctTo1Nov'!$P:$P, '26OctTo1Nov'!$J:$J, $A206)</f>
        <v>0</v>
      </c>
      <c r="Q206" s="122">
        <f t="shared" si="2"/>
        <v>0</v>
      </c>
      <c r="R206" s="121">
        <f>SUMIFS('19OctTo25Oct'!$L:$L, '19OctTo25Oct'!$J:$J, $A206)</f>
        <v>0</v>
      </c>
      <c r="S206" s="121">
        <f>SUMIFS('19OctTo25Oct'!$K:$K, '19OctTo25Oct'!$J:$J, $A206)</f>
        <v>0</v>
      </c>
      <c r="T206" s="121">
        <f>SUMIFS('19OctTo25Oct'!$O:$O, '19OctTo25Oct'!$J:$J, $A206)</f>
        <v>0</v>
      </c>
      <c r="U206" s="121">
        <f>SUMIFS('19OctTo25Oct'!$P:$P, '19OctTo25Oct'!$J:$J, $A206)</f>
        <v>0</v>
      </c>
      <c r="V206" s="122">
        <f t="shared" si="3"/>
        <v>0</v>
      </c>
      <c r="W206" s="121">
        <f>SUMIFS('12OctTo18Oct'!$L:$L, '12OctTo18Oct'!$J:$J, $A206)</f>
        <v>0</v>
      </c>
      <c r="X206" s="121">
        <f>SUMIFS('12OctTo18Oct'!$K:$K, '12OctTo18Oct'!$J:$J, $A206)</f>
        <v>0</v>
      </c>
      <c r="Y206" s="121">
        <f>SUMIFS('12OctTo18Oct'!$O:$O, '12OctTo18Oct'!$J:$J, $A206)</f>
        <v>0</v>
      </c>
      <c r="Z206" s="121">
        <f>SUMIFS('12OctTo18Oct'!$P:$P, '12OctTo18Oct'!$J:$J, $A206)</f>
        <v>0</v>
      </c>
      <c r="AA206" s="122">
        <f t="shared" si="4"/>
        <v>0</v>
      </c>
      <c r="AB206" s="121">
        <f>SUMIFS('5OctTo11Oct'!$L:$L, '5OctTo11Oct'!$J:$J, $A206)</f>
        <v>0</v>
      </c>
      <c r="AC206" s="121">
        <f>SUMIFS('5OctTo11Oct'!$K:$K, '5OctTo11Oct'!$J:$J, $A206)</f>
        <v>0</v>
      </c>
      <c r="AD206" s="121">
        <f>SUMIFS('5OctTo11Oct'!$O:$O, '5OctTo11Oct'!$J:$J, $A206)</f>
        <v>0</v>
      </c>
      <c r="AE206" s="121">
        <f>SUMIFS('5OctTo11Oct'!$P:$P, '5OctTo11Oct'!$J:$J, $A206)</f>
        <v>0</v>
      </c>
      <c r="AF206" s="123">
        <f t="shared" si="5"/>
        <v>0</v>
      </c>
      <c r="AG206" s="121">
        <f>SUMIFS('28SepTo4Oct'!$L:$L, '28SepTo4Oct'!$J:$J, $A206)</f>
        <v>0</v>
      </c>
      <c r="AH206" s="121">
        <f>SUMIFS('28SepTo4Oct'!$K:$K, '28SepTo4Oct'!$J:$J, $A206)</f>
        <v>0</v>
      </c>
      <c r="AI206" s="121">
        <f>SUMIFS('28SepTo4Oct'!$O:$O, '28SepTo4Oct'!$J:$J, $A206)</f>
        <v>0</v>
      </c>
      <c r="AJ206" s="121">
        <f>SUMIFS('28SepTo4Oct'!$P:$P, '28SepTo4Oct'!$J:$J, $A206)</f>
        <v>0</v>
      </c>
      <c r="AK206" s="123">
        <f t="shared" si="6"/>
        <v>0</v>
      </c>
      <c r="AL206" s="121">
        <f>SUMIFS('21SepTo27Sep'!$L:$L, '21SepTo27Sep'!$J:$J, $A206)</f>
        <v>0</v>
      </c>
      <c r="AM206" s="121">
        <f>SUMIFS('21SepTo27Sep'!$K:$K, '21SepTo27Sep'!$J:$J, $A206)</f>
        <v>0</v>
      </c>
      <c r="AN206" s="121">
        <f>SUMIFS('21SepTo27Sep'!$O:$O, '21SepTo27Sep'!$J:$J, $A206)</f>
        <v>0</v>
      </c>
      <c r="AO206" s="121">
        <f>SUMIFS('21SepTo27Sep'!$P:$P, '21SepTo27Sep'!$J:$J, $A206)</f>
        <v>0</v>
      </c>
      <c r="AP206" s="123">
        <f t="shared" si="7"/>
        <v>0</v>
      </c>
      <c r="AQ206" s="121">
        <f>SUMIFS('14SepTo20Sep'!$L:$L, '14SepTo20Sep'!$J:$J, $A206)</f>
        <v>0</v>
      </c>
      <c r="AR206" s="121">
        <f>SUMIFS('14SepTo20Sep'!$K:$K, '14SepTo20Sep'!$J:$J, $A206)</f>
        <v>0</v>
      </c>
      <c r="AS206" s="121">
        <f>SUMIFS('14SepTo20Sep'!$O:$O, '14SepTo20Sep'!$J:$J, $A206)</f>
        <v>0</v>
      </c>
      <c r="AT206" s="121">
        <f>SUMIFS('14SepTo20Sep'!$P:$P, '14SepTo20Sep'!$J:$J, $A206)</f>
        <v>0</v>
      </c>
      <c r="AU206" s="123">
        <f t="shared" si="8"/>
        <v>0</v>
      </c>
      <c r="AV206" s="121">
        <f>SUMIFS('7SepTo13Sep'!$L:$L, '7SepTo13Sep'!$J:$J, $A206)</f>
        <v>0</v>
      </c>
      <c r="AW206" s="121">
        <f>SUMIFS('7SepTo13Sep'!$K:$K, '7SepTo13Sep'!$J:$J, $A206)</f>
        <v>0</v>
      </c>
      <c r="AX206" s="121">
        <f>SUMIFS('7SepTo13Sep'!$O:$O, '7SepTo13Sep'!$J:$J, $A206)</f>
        <v>0</v>
      </c>
      <c r="AY206" s="121">
        <f>SUMIFS('7SepTo13Sep'!$P:$P, '7SepTo13Sep'!$J:$J, $A206)</f>
        <v>0</v>
      </c>
      <c r="AZ206" s="123">
        <f t="shared" si="9"/>
        <v>0</v>
      </c>
      <c r="BA206" s="121">
        <f>SUMIFS('31AugTo6Sep'!$L:$L, '31AugTo6Sep'!$J:$J, $A206)</f>
        <v>0</v>
      </c>
      <c r="BB206" s="121">
        <f>SUMIFS('31AugTo6Sep'!$K:$K, '31AugTo6Sep'!$J:$J, $A206)</f>
        <v>0</v>
      </c>
      <c r="BC206" s="121">
        <f>SUMIFS('31AugTo6Sep'!$O:$O, '31AugTo6Sep'!$J:$J, $A206)</f>
        <v>0</v>
      </c>
      <c r="BD206" s="121">
        <f>SUMIFS('31AugTo6Sep'!$P:$P, '31AugTo6Sep'!$J:$J, $A206)</f>
        <v>0</v>
      </c>
      <c r="BE206" s="123">
        <f t="shared" si="10"/>
        <v>0</v>
      </c>
      <c r="BF206" s="121">
        <f>SUMIFS('24AugTo29Aug'!$L:$L, '24AugTo29Aug'!$J:$J, $A206)</f>
        <v>0</v>
      </c>
      <c r="BG206" s="121">
        <f>SUMIFS('24AugTo29Aug'!$K:$K, '24AugTo29Aug'!$J:$J, $A206)</f>
        <v>0</v>
      </c>
      <c r="BH206" s="121">
        <f>SUMIFS('24AugTo29Aug'!$O:$O, '24AugTo29Aug'!$J:$J, $A206)</f>
        <v>0</v>
      </c>
      <c r="BI206" s="121">
        <f>SUMIFS('24AugTo29Aug'!$P:$P, '24AugTo29Aug'!$J:$J, $A206)</f>
        <v>0</v>
      </c>
      <c r="BJ206" s="123">
        <f t="shared" si="11"/>
        <v>0</v>
      </c>
      <c r="BK206" s="121">
        <f>SUMIFS('17AugTo21Aug'!$L:$L, '17AugTo21Aug'!$J:$J, $A206)</f>
        <v>0</v>
      </c>
      <c r="BL206" s="121">
        <f>SUMIFS('17AugTo21Aug'!$K:$K, '17AugTo21Aug'!$J:$J, $A206)</f>
        <v>0</v>
      </c>
      <c r="BM206" s="121">
        <f>SUMIFS('17AugTo21Aug'!$O:$O, '17AugTo21Aug'!$J:$J, $A206)</f>
        <v>0</v>
      </c>
      <c r="BN206" s="121">
        <f>SUMIFS('17AugTo21Aug'!$P:$P, '17AugTo21Aug'!$J:$J, $A206)</f>
        <v>0</v>
      </c>
      <c r="BO206" s="123">
        <f t="shared" si="12"/>
        <v>0</v>
      </c>
      <c r="BP206" s="121">
        <f>SUMIFS('10AugTo16Aug'!$L:$L, '10AugTo16Aug'!$J:$J, $A206)</f>
        <v>0</v>
      </c>
      <c r="BQ206" s="121">
        <f>SUMIFS('10AugTo16Aug'!$K:$K, '10AugTo16Aug'!$J:$J, $A206)</f>
        <v>0</v>
      </c>
      <c r="BR206" s="121">
        <f>SUMIFS('10AugTo16Aug'!$O:$O, '10AugTo16Aug'!$J:$J, $A206)</f>
        <v>0</v>
      </c>
      <c r="BS206" s="121">
        <f>SUMIFS('10AugTo16Aug'!$P:$P, '10AugTo16Aug'!$J:$J, $A206)</f>
        <v>0</v>
      </c>
      <c r="BT206" s="123">
        <f t="shared" si="13"/>
        <v>0</v>
      </c>
      <c r="BU206" s="121">
        <f>SUMIFS('3AugTo9Aug'!$L:$L, '3AugTo9Aug'!$J:$J, $A206)</f>
        <v>0</v>
      </c>
      <c r="BV206" s="121">
        <f>SUMIFS('3AugTo9Aug'!$K:$K, '3AugTo9Aug'!$J:$J, $A206)</f>
        <v>0</v>
      </c>
      <c r="BW206" s="121">
        <f>SUMIFS('3AugTo9Aug'!$O:$O, '3AugTo9Aug'!$J:$J, $A206)</f>
        <v>0</v>
      </c>
      <c r="BX206" s="121">
        <f>SUMIFS('3AugTo9Aug'!$P:$P, '3AugTo9Aug'!$J:$J, $A206)</f>
        <v>0</v>
      </c>
      <c r="BY206" s="123">
        <f t="shared" si="14"/>
        <v>0</v>
      </c>
      <c r="BZ206" s="121">
        <f>SUMIFS('27JulyTo2Aug'!$L:$L, '27JulyTo2Aug'!$J:$J, $A206)</f>
        <v>1</v>
      </c>
      <c r="CA206" s="121">
        <f>SUMIFS('27JulyTo2Aug'!$K:$K, '27JulyTo2Aug'!$J:$J, $A206)</f>
        <v>5</v>
      </c>
      <c r="CB206" s="121">
        <f>SUMIFS('27JulyTo2Aug'!$O:$O, '27JulyTo2Aug'!$J:$J, $A206)</f>
        <v>3.04</v>
      </c>
      <c r="CC206" s="121">
        <f>SUMIFS('27JulyTo2Aug'!$P:$P, '27JulyTo2Aug'!$J:$J, $A206)</f>
        <v>24.95</v>
      </c>
      <c r="CD206" s="123">
        <f t="shared" si="15"/>
        <v>12.18436873747495</v>
      </c>
    </row>
    <row r="207" spans="1:82" ht="14.25" customHeight="1" x14ac:dyDescent="0.3">
      <c r="A207" s="124" t="s">
        <v>853</v>
      </c>
      <c r="B207" s="120" t="str">
        <f t="shared" si="19"/>
        <v>NO TRAFFIC</v>
      </c>
      <c r="C207" s="121">
        <f>SUMIFS('9NovTo15Nov'!$L:$L, '9NovTo15Nov'!$J:$J, $A207)</f>
        <v>0</v>
      </c>
      <c r="D207" s="121">
        <f>SUMIFS('9NovTo15Nov'!$K:$K, '9NovTo15Nov'!$J:$J, $A207)</f>
        <v>0</v>
      </c>
      <c r="E207" s="121">
        <f>SUMIFS('9NovTo15Nov'!$O:$O, '9NovTo15Nov'!$J:$J, $A207)</f>
        <v>0</v>
      </c>
      <c r="F207" s="121">
        <f>SUMIFS('9NovTo15Nov'!$P:$P, '9NovTo15Nov'!$J:$J, $A207)</f>
        <v>0</v>
      </c>
      <c r="G207" s="122">
        <f t="shared" si="0"/>
        <v>0</v>
      </c>
      <c r="H207" s="121">
        <f>SUMIFS('2NovTo8Nov'!$L:$L, '2NovTo8Nov'!$J:$J, $A207)</f>
        <v>0</v>
      </c>
      <c r="I207" s="121">
        <f>SUMIFS('2NovTo8Nov'!$K:$K, '2NovTo8Nov'!$J:$J, $A207)</f>
        <v>0</v>
      </c>
      <c r="J207" s="121">
        <f>SUMIFS('2NovTo8Nov'!$O:$O, '2NovTo8Nov'!$J:$J, $A207)</f>
        <v>0</v>
      </c>
      <c r="K207" s="121">
        <f>SUMIFS('2NovTo8Nov'!$P:$P, '2NovTo8Nov'!$J:$J, $A207)</f>
        <v>0</v>
      </c>
      <c r="L207" s="122">
        <f t="shared" si="1"/>
        <v>0</v>
      </c>
      <c r="M207" s="121">
        <f>SUMIFS('26OctTo1Nov'!$L:$L, '26OctTo1Nov'!$J:$J, $A207)</f>
        <v>0</v>
      </c>
      <c r="N207" s="121">
        <f>SUMIFS('26OctTo1Nov'!$K:$K, '26OctTo1Nov'!$J:$J, $A207)</f>
        <v>0</v>
      </c>
      <c r="O207" s="121">
        <f>SUMIFS('26OctTo1Nov'!$O:$O, '26OctTo1Nov'!$J:$J, $A207)</f>
        <v>0</v>
      </c>
      <c r="P207" s="121">
        <f>SUMIFS('26OctTo1Nov'!$P:$P, '26OctTo1Nov'!$J:$J, $A207)</f>
        <v>0</v>
      </c>
      <c r="Q207" s="122">
        <f t="shared" si="2"/>
        <v>0</v>
      </c>
      <c r="R207" s="121">
        <f>SUMIFS('19OctTo25Oct'!$L:$L, '19OctTo25Oct'!$J:$J, $A207)</f>
        <v>0</v>
      </c>
      <c r="S207" s="121">
        <f>SUMIFS('19OctTo25Oct'!$K:$K, '19OctTo25Oct'!$J:$J, $A207)</f>
        <v>0</v>
      </c>
      <c r="T207" s="121">
        <f>SUMIFS('19OctTo25Oct'!$O:$O, '19OctTo25Oct'!$J:$J, $A207)</f>
        <v>0</v>
      </c>
      <c r="U207" s="121">
        <f>SUMIFS('19OctTo25Oct'!$P:$P, '19OctTo25Oct'!$J:$J, $A207)</f>
        <v>0</v>
      </c>
      <c r="V207" s="122">
        <f t="shared" si="3"/>
        <v>0</v>
      </c>
      <c r="W207" s="121">
        <f>SUMIFS('12OctTo18Oct'!$L:$L, '12OctTo18Oct'!$J:$J, $A207)</f>
        <v>0</v>
      </c>
      <c r="X207" s="121">
        <f>SUMIFS('12OctTo18Oct'!$K:$K, '12OctTo18Oct'!$J:$J, $A207)</f>
        <v>0</v>
      </c>
      <c r="Y207" s="121">
        <f>SUMIFS('12OctTo18Oct'!$O:$O, '12OctTo18Oct'!$J:$J, $A207)</f>
        <v>0</v>
      </c>
      <c r="Z207" s="121">
        <f>SUMIFS('12OctTo18Oct'!$P:$P, '12OctTo18Oct'!$J:$J, $A207)</f>
        <v>0</v>
      </c>
      <c r="AA207" s="122">
        <f t="shared" si="4"/>
        <v>0</v>
      </c>
      <c r="AB207" s="121">
        <f>SUMIFS('5OctTo11Oct'!$L:$L, '5OctTo11Oct'!$J:$J, $A207)</f>
        <v>0</v>
      </c>
      <c r="AC207" s="121">
        <f>SUMIFS('5OctTo11Oct'!$K:$K, '5OctTo11Oct'!$J:$J, $A207)</f>
        <v>0</v>
      </c>
      <c r="AD207" s="121">
        <f>SUMIFS('5OctTo11Oct'!$O:$O, '5OctTo11Oct'!$J:$J, $A207)</f>
        <v>0</v>
      </c>
      <c r="AE207" s="121">
        <f>SUMIFS('5OctTo11Oct'!$P:$P, '5OctTo11Oct'!$J:$J, $A207)</f>
        <v>0</v>
      </c>
      <c r="AF207" s="123">
        <f t="shared" si="5"/>
        <v>0</v>
      </c>
      <c r="AG207" s="121">
        <f>SUMIFS('28SepTo4Oct'!$L:$L, '28SepTo4Oct'!$J:$J, $A207)</f>
        <v>0</v>
      </c>
      <c r="AH207" s="121">
        <f>SUMIFS('28SepTo4Oct'!$K:$K, '28SepTo4Oct'!$J:$J, $A207)</f>
        <v>0</v>
      </c>
      <c r="AI207" s="121">
        <f>SUMIFS('28SepTo4Oct'!$O:$O, '28SepTo4Oct'!$J:$J, $A207)</f>
        <v>0</v>
      </c>
      <c r="AJ207" s="121">
        <f>SUMIFS('28SepTo4Oct'!$P:$P, '28SepTo4Oct'!$J:$J, $A207)</f>
        <v>0</v>
      </c>
      <c r="AK207" s="123">
        <f t="shared" si="6"/>
        <v>0</v>
      </c>
      <c r="AL207" s="121">
        <f>SUMIFS('21SepTo27Sep'!$L:$L, '21SepTo27Sep'!$J:$J, $A207)</f>
        <v>0</v>
      </c>
      <c r="AM207" s="121">
        <f>SUMIFS('21SepTo27Sep'!$K:$K, '21SepTo27Sep'!$J:$J, $A207)</f>
        <v>0</v>
      </c>
      <c r="AN207" s="121">
        <f>SUMIFS('21SepTo27Sep'!$O:$O, '21SepTo27Sep'!$J:$J, $A207)</f>
        <v>0</v>
      </c>
      <c r="AO207" s="121">
        <f>SUMIFS('21SepTo27Sep'!$P:$P, '21SepTo27Sep'!$J:$J, $A207)</f>
        <v>0</v>
      </c>
      <c r="AP207" s="123">
        <f t="shared" si="7"/>
        <v>0</v>
      </c>
      <c r="AQ207" s="121">
        <f>SUMIFS('14SepTo20Sep'!$L:$L, '14SepTo20Sep'!$J:$J, $A207)</f>
        <v>0</v>
      </c>
      <c r="AR207" s="121">
        <f>SUMIFS('14SepTo20Sep'!$K:$K, '14SepTo20Sep'!$J:$J, $A207)</f>
        <v>0</v>
      </c>
      <c r="AS207" s="121">
        <f>SUMIFS('14SepTo20Sep'!$O:$O, '14SepTo20Sep'!$J:$J, $A207)</f>
        <v>0</v>
      </c>
      <c r="AT207" s="121">
        <f>SUMIFS('14SepTo20Sep'!$P:$P, '14SepTo20Sep'!$J:$J, $A207)</f>
        <v>0</v>
      </c>
      <c r="AU207" s="123">
        <f t="shared" si="8"/>
        <v>0</v>
      </c>
      <c r="AV207" s="121">
        <f>SUMIFS('7SepTo13Sep'!$L:$L, '7SepTo13Sep'!$J:$J, $A207)</f>
        <v>0</v>
      </c>
      <c r="AW207" s="121">
        <f>SUMIFS('7SepTo13Sep'!$K:$K, '7SepTo13Sep'!$J:$J, $A207)</f>
        <v>0</v>
      </c>
      <c r="AX207" s="121">
        <f>SUMIFS('7SepTo13Sep'!$O:$O, '7SepTo13Sep'!$J:$J, $A207)</f>
        <v>0</v>
      </c>
      <c r="AY207" s="121">
        <f>SUMIFS('7SepTo13Sep'!$P:$P, '7SepTo13Sep'!$J:$J, $A207)</f>
        <v>0</v>
      </c>
      <c r="AZ207" s="123">
        <f t="shared" si="9"/>
        <v>0</v>
      </c>
      <c r="BA207" s="121">
        <f>SUMIFS('31AugTo6Sep'!$L:$L, '31AugTo6Sep'!$J:$J, $A207)</f>
        <v>0</v>
      </c>
      <c r="BB207" s="121">
        <f>SUMIFS('31AugTo6Sep'!$K:$K, '31AugTo6Sep'!$J:$J, $A207)</f>
        <v>0</v>
      </c>
      <c r="BC207" s="121">
        <f>SUMIFS('31AugTo6Sep'!$O:$O, '31AugTo6Sep'!$J:$J, $A207)</f>
        <v>0</v>
      </c>
      <c r="BD207" s="121">
        <f>SUMIFS('31AugTo6Sep'!$P:$P, '31AugTo6Sep'!$J:$J, $A207)</f>
        <v>0</v>
      </c>
      <c r="BE207" s="123">
        <f t="shared" si="10"/>
        <v>0</v>
      </c>
      <c r="BF207" s="121">
        <f>SUMIFS('24AugTo29Aug'!$L:$L, '24AugTo29Aug'!$J:$J, $A207)</f>
        <v>0</v>
      </c>
      <c r="BG207" s="121">
        <f>SUMIFS('24AugTo29Aug'!$K:$K, '24AugTo29Aug'!$J:$J, $A207)</f>
        <v>0</v>
      </c>
      <c r="BH207" s="121">
        <f>SUMIFS('24AugTo29Aug'!$O:$O, '24AugTo29Aug'!$J:$J, $A207)</f>
        <v>0</v>
      </c>
      <c r="BI207" s="121">
        <f>SUMIFS('24AugTo29Aug'!$P:$P, '24AugTo29Aug'!$J:$J, $A207)</f>
        <v>0</v>
      </c>
      <c r="BJ207" s="123">
        <f t="shared" si="11"/>
        <v>0</v>
      </c>
      <c r="BK207" s="121">
        <f>SUMIFS('17AugTo21Aug'!$L:$L, '17AugTo21Aug'!$J:$J, $A207)</f>
        <v>0</v>
      </c>
      <c r="BL207" s="121">
        <f>SUMIFS('17AugTo21Aug'!$K:$K, '17AugTo21Aug'!$J:$J, $A207)</f>
        <v>0</v>
      </c>
      <c r="BM207" s="121">
        <f>SUMIFS('17AugTo21Aug'!$O:$O, '17AugTo21Aug'!$J:$J, $A207)</f>
        <v>0</v>
      </c>
      <c r="BN207" s="121">
        <f>SUMIFS('17AugTo21Aug'!$P:$P, '17AugTo21Aug'!$J:$J, $A207)</f>
        <v>0</v>
      </c>
      <c r="BO207" s="123">
        <f t="shared" si="12"/>
        <v>0</v>
      </c>
      <c r="BP207" s="121">
        <f>SUMIFS('10AugTo16Aug'!$L:$L, '10AugTo16Aug'!$J:$J, $A207)</f>
        <v>0</v>
      </c>
      <c r="BQ207" s="121">
        <f>SUMIFS('10AugTo16Aug'!$K:$K, '10AugTo16Aug'!$J:$J, $A207)</f>
        <v>0</v>
      </c>
      <c r="BR207" s="121">
        <f>SUMIFS('10AugTo16Aug'!$O:$O, '10AugTo16Aug'!$J:$J, $A207)</f>
        <v>0</v>
      </c>
      <c r="BS207" s="121">
        <f>SUMIFS('10AugTo16Aug'!$P:$P, '10AugTo16Aug'!$J:$J, $A207)</f>
        <v>0</v>
      </c>
      <c r="BT207" s="123">
        <f t="shared" si="13"/>
        <v>0</v>
      </c>
      <c r="BU207" s="121">
        <f>SUMIFS('3AugTo9Aug'!$L:$L, '3AugTo9Aug'!$J:$J, $A207)</f>
        <v>0</v>
      </c>
      <c r="BV207" s="121">
        <f>SUMIFS('3AugTo9Aug'!$K:$K, '3AugTo9Aug'!$J:$J, $A207)</f>
        <v>0</v>
      </c>
      <c r="BW207" s="121">
        <f>SUMIFS('3AugTo9Aug'!$O:$O, '3AugTo9Aug'!$J:$J, $A207)</f>
        <v>0</v>
      </c>
      <c r="BX207" s="121">
        <f>SUMIFS('3AugTo9Aug'!$P:$P, '3AugTo9Aug'!$J:$J, $A207)</f>
        <v>0</v>
      </c>
      <c r="BY207" s="123">
        <f t="shared" si="14"/>
        <v>0</v>
      </c>
      <c r="BZ207" s="121">
        <f>SUMIFS('27JulyTo2Aug'!$L:$L, '27JulyTo2Aug'!$J:$J, $A207)</f>
        <v>1</v>
      </c>
      <c r="CA207" s="121">
        <f>SUMIFS('27JulyTo2Aug'!$K:$K, '27JulyTo2Aug'!$J:$J, $A207)</f>
        <v>14</v>
      </c>
      <c r="CB207" s="121">
        <f>SUMIFS('27JulyTo2Aug'!$O:$O, '27JulyTo2Aug'!$J:$J, $A207)</f>
        <v>3.93</v>
      </c>
      <c r="CC207" s="121">
        <f>SUMIFS('27JulyTo2Aug'!$P:$P, '27JulyTo2Aug'!$J:$J, $A207)</f>
        <v>24.95</v>
      </c>
      <c r="CD207" s="123">
        <f t="shared" si="15"/>
        <v>15.751503006012024</v>
      </c>
    </row>
    <row r="208" spans="1:82" ht="14.25" customHeight="1" x14ac:dyDescent="0.3">
      <c r="A208" s="124" t="s">
        <v>856</v>
      </c>
      <c r="B208" s="120" t="str">
        <f t="shared" si="19"/>
        <v>NO TRAFFIC</v>
      </c>
      <c r="C208" s="121">
        <f>SUMIFS('9NovTo15Nov'!$L:$L, '9NovTo15Nov'!$J:$J, $A208)</f>
        <v>0</v>
      </c>
      <c r="D208" s="121">
        <f>SUMIFS('9NovTo15Nov'!$K:$K, '9NovTo15Nov'!$J:$J, $A208)</f>
        <v>0</v>
      </c>
      <c r="E208" s="121">
        <f>SUMIFS('9NovTo15Nov'!$O:$O, '9NovTo15Nov'!$J:$J, $A208)</f>
        <v>0</v>
      </c>
      <c r="F208" s="121">
        <f>SUMIFS('9NovTo15Nov'!$P:$P, '9NovTo15Nov'!$J:$J, $A208)</f>
        <v>0</v>
      </c>
      <c r="G208" s="122">
        <f t="shared" si="0"/>
        <v>0</v>
      </c>
      <c r="H208" s="121">
        <f>SUMIFS('2NovTo8Nov'!$L:$L, '2NovTo8Nov'!$J:$J, $A208)</f>
        <v>0</v>
      </c>
      <c r="I208" s="121">
        <f>SUMIFS('2NovTo8Nov'!$K:$K, '2NovTo8Nov'!$J:$J, $A208)</f>
        <v>0</v>
      </c>
      <c r="J208" s="121">
        <f>SUMIFS('2NovTo8Nov'!$O:$O, '2NovTo8Nov'!$J:$J, $A208)</f>
        <v>0</v>
      </c>
      <c r="K208" s="121">
        <f>SUMIFS('2NovTo8Nov'!$P:$P, '2NovTo8Nov'!$J:$J, $A208)</f>
        <v>0</v>
      </c>
      <c r="L208" s="122">
        <f t="shared" si="1"/>
        <v>0</v>
      </c>
      <c r="M208" s="121">
        <f>SUMIFS('26OctTo1Nov'!$L:$L, '26OctTo1Nov'!$J:$J, $A208)</f>
        <v>0</v>
      </c>
      <c r="N208" s="121">
        <f>SUMIFS('26OctTo1Nov'!$K:$K, '26OctTo1Nov'!$J:$J, $A208)</f>
        <v>0</v>
      </c>
      <c r="O208" s="121">
        <f>SUMIFS('26OctTo1Nov'!$O:$O, '26OctTo1Nov'!$J:$J, $A208)</f>
        <v>0</v>
      </c>
      <c r="P208" s="121">
        <f>SUMIFS('26OctTo1Nov'!$P:$P, '26OctTo1Nov'!$J:$J, $A208)</f>
        <v>0</v>
      </c>
      <c r="Q208" s="122">
        <f t="shared" si="2"/>
        <v>0</v>
      </c>
      <c r="R208" s="121">
        <f>SUMIFS('19OctTo25Oct'!$L:$L, '19OctTo25Oct'!$J:$J, $A208)</f>
        <v>0</v>
      </c>
      <c r="S208" s="121">
        <f>SUMIFS('19OctTo25Oct'!$K:$K, '19OctTo25Oct'!$J:$J, $A208)</f>
        <v>0</v>
      </c>
      <c r="T208" s="121">
        <f>SUMIFS('19OctTo25Oct'!$O:$O, '19OctTo25Oct'!$J:$J, $A208)</f>
        <v>0</v>
      </c>
      <c r="U208" s="121">
        <f>SUMIFS('19OctTo25Oct'!$P:$P, '19OctTo25Oct'!$J:$J, $A208)</f>
        <v>0</v>
      </c>
      <c r="V208" s="122">
        <f t="shared" si="3"/>
        <v>0</v>
      </c>
      <c r="W208" s="121">
        <f>SUMIFS('12OctTo18Oct'!$L:$L, '12OctTo18Oct'!$J:$J, $A208)</f>
        <v>0</v>
      </c>
      <c r="X208" s="121">
        <f>SUMIFS('12OctTo18Oct'!$K:$K, '12OctTo18Oct'!$J:$J, $A208)</f>
        <v>0</v>
      </c>
      <c r="Y208" s="121">
        <f>SUMIFS('12OctTo18Oct'!$O:$O, '12OctTo18Oct'!$J:$J, $A208)</f>
        <v>0</v>
      </c>
      <c r="Z208" s="121">
        <f>SUMIFS('12OctTo18Oct'!$P:$P, '12OctTo18Oct'!$J:$J, $A208)</f>
        <v>0</v>
      </c>
      <c r="AA208" s="122">
        <f t="shared" si="4"/>
        <v>0</v>
      </c>
      <c r="AB208" s="121">
        <f>SUMIFS('5OctTo11Oct'!$L:$L, '5OctTo11Oct'!$J:$J, $A208)</f>
        <v>0</v>
      </c>
      <c r="AC208" s="121">
        <f>SUMIFS('5OctTo11Oct'!$K:$K, '5OctTo11Oct'!$J:$J, $A208)</f>
        <v>0</v>
      </c>
      <c r="AD208" s="121">
        <f>SUMIFS('5OctTo11Oct'!$O:$O, '5OctTo11Oct'!$J:$J, $A208)</f>
        <v>0</v>
      </c>
      <c r="AE208" s="121">
        <f>SUMIFS('5OctTo11Oct'!$P:$P, '5OctTo11Oct'!$J:$J, $A208)</f>
        <v>0</v>
      </c>
      <c r="AF208" s="123">
        <f t="shared" si="5"/>
        <v>0</v>
      </c>
      <c r="AG208" s="121">
        <f>SUMIFS('28SepTo4Oct'!$L:$L, '28SepTo4Oct'!$J:$J, $A208)</f>
        <v>0</v>
      </c>
      <c r="AH208" s="121">
        <f>SUMIFS('28SepTo4Oct'!$K:$K, '28SepTo4Oct'!$J:$J, $A208)</f>
        <v>0</v>
      </c>
      <c r="AI208" s="121">
        <f>SUMIFS('28SepTo4Oct'!$O:$O, '28SepTo4Oct'!$J:$J, $A208)</f>
        <v>0</v>
      </c>
      <c r="AJ208" s="121">
        <f>SUMIFS('28SepTo4Oct'!$P:$P, '28SepTo4Oct'!$J:$J, $A208)</f>
        <v>0</v>
      </c>
      <c r="AK208" s="123">
        <f t="shared" si="6"/>
        <v>0</v>
      </c>
      <c r="AL208" s="121">
        <f>SUMIFS('21SepTo27Sep'!$L:$L, '21SepTo27Sep'!$J:$J, $A208)</f>
        <v>0</v>
      </c>
      <c r="AM208" s="121">
        <f>SUMIFS('21SepTo27Sep'!$K:$K, '21SepTo27Sep'!$J:$J, $A208)</f>
        <v>0</v>
      </c>
      <c r="AN208" s="121">
        <f>SUMIFS('21SepTo27Sep'!$O:$O, '21SepTo27Sep'!$J:$J, $A208)</f>
        <v>0</v>
      </c>
      <c r="AO208" s="121">
        <f>SUMIFS('21SepTo27Sep'!$P:$P, '21SepTo27Sep'!$J:$J, $A208)</f>
        <v>0</v>
      </c>
      <c r="AP208" s="123">
        <f t="shared" si="7"/>
        <v>0</v>
      </c>
      <c r="AQ208" s="121">
        <f>SUMIFS('14SepTo20Sep'!$L:$L, '14SepTo20Sep'!$J:$J, $A208)</f>
        <v>0</v>
      </c>
      <c r="AR208" s="121">
        <f>SUMIFS('14SepTo20Sep'!$K:$K, '14SepTo20Sep'!$J:$J, $A208)</f>
        <v>0</v>
      </c>
      <c r="AS208" s="121">
        <f>SUMIFS('14SepTo20Sep'!$O:$O, '14SepTo20Sep'!$J:$J, $A208)</f>
        <v>0</v>
      </c>
      <c r="AT208" s="121">
        <f>SUMIFS('14SepTo20Sep'!$P:$P, '14SepTo20Sep'!$J:$J, $A208)</f>
        <v>0</v>
      </c>
      <c r="AU208" s="123">
        <f t="shared" si="8"/>
        <v>0</v>
      </c>
      <c r="AV208" s="121">
        <f>SUMIFS('7SepTo13Sep'!$L:$L, '7SepTo13Sep'!$J:$J, $A208)</f>
        <v>0</v>
      </c>
      <c r="AW208" s="121">
        <f>SUMIFS('7SepTo13Sep'!$K:$K, '7SepTo13Sep'!$J:$J, $A208)</f>
        <v>0</v>
      </c>
      <c r="AX208" s="121">
        <f>SUMIFS('7SepTo13Sep'!$O:$O, '7SepTo13Sep'!$J:$J, $A208)</f>
        <v>0</v>
      </c>
      <c r="AY208" s="121">
        <f>SUMIFS('7SepTo13Sep'!$P:$P, '7SepTo13Sep'!$J:$J, $A208)</f>
        <v>0</v>
      </c>
      <c r="AZ208" s="123">
        <f t="shared" si="9"/>
        <v>0</v>
      </c>
      <c r="BA208" s="121">
        <f>SUMIFS('31AugTo6Sep'!$L:$L, '31AugTo6Sep'!$J:$J, $A208)</f>
        <v>0</v>
      </c>
      <c r="BB208" s="121">
        <f>SUMIFS('31AugTo6Sep'!$K:$K, '31AugTo6Sep'!$J:$J, $A208)</f>
        <v>0</v>
      </c>
      <c r="BC208" s="121">
        <f>SUMIFS('31AugTo6Sep'!$O:$O, '31AugTo6Sep'!$J:$J, $A208)</f>
        <v>0</v>
      </c>
      <c r="BD208" s="121">
        <f>SUMIFS('31AugTo6Sep'!$P:$P, '31AugTo6Sep'!$J:$J, $A208)</f>
        <v>0</v>
      </c>
      <c r="BE208" s="123">
        <f t="shared" si="10"/>
        <v>0</v>
      </c>
      <c r="BF208" s="121">
        <f>SUMIFS('24AugTo29Aug'!$L:$L, '24AugTo29Aug'!$J:$J, $A208)</f>
        <v>0</v>
      </c>
      <c r="BG208" s="121">
        <f>SUMIFS('24AugTo29Aug'!$K:$K, '24AugTo29Aug'!$J:$J, $A208)</f>
        <v>0</v>
      </c>
      <c r="BH208" s="121">
        <f>SUMIFS('24AugTo29Aug'!$O:$O, '24AugTo29Aug'!$J:$J, $A208)</f>
        <v>0</v>
      </c>
      <c r="BI208" s="121">
        <f>SUMIFS('24AugTo29Aug'!$P:$P, '24AugTo29Aug'!$J:$J, $A208)</f>
        <v>0</v>
      </c>
      <c r="BJ208" s="123">
        <f t="shared" si="11"/>
        <v>0</v>
      </c>
      <c r="BK208" s="121">
        <f>SUMIFS('17AugTo21Aug'!$L:$L, '17AugTo21Aug'!$J:$J, $A208)</f>
        <v>0</v>
      </c>
      <c r="BL208" s="121">
        <f>SUMIFS('17AugTo21Aug'!$K:$K, '17AugTo21Aug'!$J:$J, $A208)</f>
        <v>0</v>
      </c>
      <c r="BM208" s="121">
        <f>SUMIFS('17AugTo21Aug'!$O:$O, '17AugTo21Aug'!$J:$J, $A208)</f>
        <v>0</v>
      </c>
      <c r="BN208" s="121">
        <f>SUMIFS('17AugTo21Aug'!$P:$P, '17AugTo21Aug'!$J:$J, $A208)</f>
        <v>0</v>
      </c>
      <c r="BO208" s="123">
        <f t="shared" si="12"/>
        <v>0</v>
      </c>
      <c r="BP208" s="121">
        <f>SUMIFS('10AugTo16Aug'!$L:$L, '10AugTo16Aug'!$J:$J, $A208)</f>
        <v>0</v>
      </c>
      <c r="BQ208" s="121">
        <f>SUMIFS('10AugTo16Aug'!$K:$K, '10AugTo16Aug'!$J:$J, $A208)</f>
        <v>0</v>
      </c>
      <c r="BR208" s="121">
        <f>SUMIFS('10AugTo16Aug'!$O:$O, '10AugTo16Aug'!$J:$J, $A208)</f>
        <v>0</v>
      </c>
      <c r="BS208" s="121">
        <f>SUMIFS('10AugTo16Aug'!$P:$P, '10AugTo16Aug'!$J:$J, $A208)</f>
        <v>0</v>
      </c>
      <c r="BT208" s="123">
        <f t="shared" si="13"/>
        <v>0</v>
      </c>
      <c r="BU208" s="121">
        <f>SUMIFS('3AugTo9Aug'!$L:$L, '3AugTo9Aug'!$J:$J, $A208)</f>
        <v>0</v>
      </c>
      <c r="BV208" s="121">
        <f>SUMIFS('3AugTo9Aug'!$K:$K, '3AugTo9Aug'!$J:$J, $A208)</f>
        <v>0</v>
      </c>
      <c r="BW208" s="121">
        <f>SUMIFS('3AugTo9Aug'!$O:$O, '3AugTo9Aug'!$J:$J, $A208)</f>
        <v>0</v>
      </c>
      <c r="BX208" s="121">
        <f>SUMIFS('3AugTo9Aug'!$P:$P, '3AugTo9Aug'!$J:$J, $A208)</f>
        <v>0</v>
      </c>
      <c r="BY208" s="123">
        <f t="shared" si="14"/>
        <v>0</v>
      </c>
      <c r="BZ208" s="121">
        <f>SUMIFS('27JulyTo2Aug'!$L:$L, '27JulyTo2Aug'!$J:$J, $A208)</f>
        <v>1</v>
      </c>
      <c r="CA208" s="121">
        <f>SUMIFS('27JulyTo2Aug'!$K:$K, '27JulyTo2Aug'!$J:$J, $A208)</f>
        <v>1</v>
      </c>
      <c r="CB208" s="121">
        <f>SUMIFS('27JulyTo2Aug'!$O:$O, '27JulyTo2Aug'!$J:$J, $A208)</f>
        <v>4.13</v>
      </c>
      <c r="CC208" s="121">
        <f>SUMIFS('27JulyTo2Aug'!$P:$P, '27JulyTo2Aug'!$J:$J, $A208)</f>
        <v>24.94</v>
      </c>
      <c r="CD208" s="123">
        <f t="shared" si="15"/>
        <v>16.559743384121891</v>
      </c>
    </row>
    <row r="209" spans="1:82" ht="14.25" customHeight="1" x14ac:dyDescent="0.3">
      <c r="A209" s="124" t="s">
        <v>857</v>
      </c>
      <c r="B209" s="120" t="str">
        <f t="shared" si="19"/>
        <v>NO TRAFFIC</v>
      </c>
      <c r="C209" s="121">
        <f>SUMIFS('9NovTo15Nov'!$L:$L, '9NovTo15Nov'!$J:$J, $A209)</f>
        <v>0</v>
      </c>
      <c r="D209" s="121">
        <f>SUMIFS('9NovTo15Nov'!$K:$K, '9NovTo15Nov'!$J:$J, $A209)</f>
        <v>0</v>
      </c>
      <c r="E209" s="121">
        <f>SUMIFS('9NovTo15Nov'!$O:$O, '9NovTo15Nov'!$J:$J, $A209)</f>
        <v>0</v>
      </c>
      <c r="F209" s="121">
        <f>SUMIFS('9NovTo15Nov'!$P:$P, '9NovTo15Nov'!$J:$J, $A209)</f>
        <v>0</v>
      </c>
      <c r="G209" s="122">
        <f t="shared" si="0"/>
        <v>0</v>
      </c>
      <c r="H209" s="121">
        <f>SUMIFS('2NovTo8Nov'!$L:$L, '2NovTo8Nov'!$J:$J, $A209)</f>
        <v>0</v>
      </c>
      <c r="I209" s="121">
        <f>SUMIFS('2NovTo8Nov'!$K:$K, '2NovTo8Nov'!$J:$J, $A209)</f>
        <v>0</v>
      </c>
      <c r="J209" s="121">
        <f>SUMIFS('2NovTo8Nov'!$O:$O, '2NovTo8Nov'!$J:$J, $A209)</f>
        <v>0</v>
      </c>
      <c r="K209" s="121">
        <f>SUMIFS('2NovTo8Nov'!$P:$P, '2NovTo8Nov'!$J:$J, $A209)</f>
        <v>0</v>
      </c>
      <c r="L209" s="122">
        <f t="shared" si="1"/>
        <v>0</v>
      </c>
      <c r="M209" s="121">
        <f>SUMIFS('26OctTo1Nov'!$L:$L, '26OctTo1Nov'!$J:$J, $A209)</f>
        <v>0</v>
      </c>
      <c r="N209" s="121">
        <f>SUMIFS('26OctTo1Nov'!$K:$K, '26OctTo1Nov'!$J:$J, $A209)</f>
        <v>0</v>
      </c>
      <c r="O209" s="121">
        <f>SUMIFS('26OctTo1Nov'!$O:$O, '26OctTo1Nov'!$J:$J, $A209)</f>
        <v>0</v>
      </c>
      <c r="P209" s="121">
        <f>SUMIFS('26OctTo1Nov'!$P:$P, '26OctTo1Nov'!$J:$J, $A209)</f>
        <v>0</v>
      </c>
      <c r="Q209" s="122">
        <f t="shared" si="2"/>
        <v>0</v>
      </c>
      <c r="R209" s="121">
        <f>SUMIFS('19OctTo25Oct'!$L:$L, '19OctTo25Oct'!$J:$J, $A209)</f>
        <v>0</v>
      </c>
      <c r="S209" s="121">
        <f>SUMIFS('19OctTo25Oct'!$K:$K, '19OctTo25Oct'!$J:$J, $A209)</f>
        <v>0</v>
      </c>
      <c r="T209" s="121">
        <f>SUMIFS('19OctTo25Oct'!$O:$O, '19OctTo25Oct'!$J:$J, $A209)</f>
        <v>0</v>
      </c>
      <c r="U209" s="121">
        <f>SUMIFS('19OctTo25Oct'!$P:$P, '19OctTo25Oct'!$J:$J, $A209)</f>
        <v>0</v>
      </c>
      <c r="V209" s="122">
        <f t="shared" si="3"/>
        <v>0</v>
      </c>
      <c r="W209" s="121">
        <f>SUMIFS('12OctTo18Oct'!$L:$L, '12OctTo18Oct'!$J:$J, $A209)</f>
        <v>0</v>
      </c>
      <c r="X209" s="121">
        <f>SUMIFS('12OctTo18Oct'!$K:$K, '12OctTo18Oct'!$J:$J, $A209)</f>
        <v>0</v>
      </c>
      <c r="Y209" s="121">
        <f>SUMIFS('12OctTo18Oct'!$O:$O, '12OctTo18Oct'!$J:$J, $A209)</f>
        <v>0</v>
      </c>
      <c r="Z209" s="121">
        <f>SUMIFS('12OctTo18Oct'!$P:$P, '12OctTo18Oct'!$J:$J, $A209)</f>
        <v>0</v>
      </c>
      <c r="AA209" s="122">
        <f t="shared" si="4"/>
        <v>0</v>
      </c>
      <c r="AB209" s="121">
        <f>SUMIFS('5OctTo11Oct'!$L:$L, '5OctTo11Oct'!$J:$J, $A209)</f>
        <v>0</v>
      </c>
      <c r="AC209" s="121">
        <f>SUMIFS('5OctTo11Oct'!$K:$K, '5OctTo11Oct'!$J:$J, $A209)</f>
        <v>0</v>
      </c>
      <c r="AD209" s="121">
        <f>SUMIFS('5OctTo11Oct'!$O:$O, '5OctTo11Oct'!$J:$J, $A209)</f>
        <v>0</v>
      </c>
      <c r="AE209" s="121">
        <f>SUMIFS('5OctTo11Oct'!$P:$P, '5OctTo11Oct'!$J:$J, $A209)</f>
        <v>0</v>
      </c>
      <c r="AF209" s="123">
        <f t="shared" si="5"/>
        <v>0</v>
      </c>
      <c r="AG209" s="121">
        <f>SUMIFS('28SepTo4Oct'!$L:$L, '28SepTo4Oct'!$J:$J, $A209)</f>
        <v>0</v>
      </c>
      <c r="AH209" s="121">
        <f>SUMIFS('28SepTo4Oct'!$K:$K, '28SepTo4Oct'!$J:$J, $A209)</f>
        <v>0</v>
      </c>
      <c r="AI209" s="121">
        <f>SUMIFS('28SepTo4Oct'!$O:$O, '28SepTo4Oct'!$J:$J, $A209)</f>
        <v>0</v>
      </c>
      <c r="AJ209" s="121">
        <f>SUMIFS('28SepTo4Oct'!$P:$P, '28SepTo4Oct'!$J:$J, $A209)</f>
        <v>0</v>
      </c>
      <c r="AK209" s="123">
        <f t="shared" si="6"/>
        <v>0</v>
      </c>
      <c r="AL209" s="121">
        <f>SUMIFS('21SepTo27Sep'!$L:$L, '21SepTo27Sep'!$J:$J, $A209)</f>
        <v>0</v>
      </c>
      <c r="AM209" s="121">
        <f>SUMIFS('21SepTo27Sep'!$K:$K, '21SepTo27Sep'!$J:$J, $A209)</f>
        <v>0</v>
      </c>
      <c r="AN209" s="121">
        <f>SUMIFS('21SepTo27Sep'!$O:$O, '21SepTo27Sep'!$J:$J, $A209)</f>
        <v>0</v>
      </c>
      <c r="AO209" s="121">
        <f>SUMIFS('21SepTo27Sep'!$P:$P, '21SepTo27Sep'!$J:$J, $A209)</f>
        <v>0</v>
      </c>
      <c r="AP209" s="123">
        <f t="shared" si="7"/>
        <v>0</v>
      </c>
      <c r="AQ209" s="121">
        <f>SUMIFS('14SepTo20Sep'!$L:$L, '14SepTo20Sep'!$J:$J, $A209)</f>
        <v>0</v>
      </c>
      <c r="AR209" s="121">
        <f>SUMIFS('14SepTo20Sep'!$K:$K, '14SepTo20Sep'!$J:$J, $A209)</f>
        <v>0</v>
      </c>
      <c r="AS209" s="121">
        <f>SUMIFS('14SepTo20Sep'!$O:$O, '14SepTo20Sep'!$J:$J, $A209)</f>
        <v>0</v>
      </c>
      <c r="AT209" s="121">
        <f>SUMIFS('14SepTo20Sep'!$P:$P, '14SepTo20Sep'!$J:$J, $A209)</f>
        <v>0</v>
      </c>
      <c r="AU209" s="123">
        <f t="shared" si="8"/>
        <v>0</v>
      </c>
      <c r="AV209" s="121">
        <f>SUMIFS('7SepTo13Sep'!$L:$L, '7SepTo13Sep'!$J:$J, $A209)</f>
        <v>0</v>
      </c>
      <c r="AW209" s="121">
        <f>SUMIFS('7SepTo13Sep'!$K:$K, '7SepTo13Sep'!$J:$J, $A209)</f>
        <v>0</v>
      </c>
      <c r="AX209" s="121">
        <f>SUMIFS('7SepTo13Sep'!$O:$O, '7SepTo13Sep'!$J:$J, $A209)</f>
        <v>0</v>
      </c>
      <c r="AY209" s="121">
        <f>SUMIFS('7SepTo13Sep'!$P:$P, '7SepTo13Sep'!$J:$J, $A209)</f>
        <v>0</v>
      </c>
      <c r="AZ209" s="123">
        <f t="shared" si="9"/>
        <v>0</v>
      </c>
      <c r="BA209" s="121">
        <f>SUMIFS('31AugTo6Sep'!$L:$L, '31AugTo6Sep'!$J:$J, $A209)</f>
        <v>0</v>
      </c>
      <c r="BB209" s="121">
        <f>SUMIFS('31AugTo6Sep'!$K:$K, '31AugTo6Sep'!$J:$J, $A209)</f>
        <v>0</v>
      </c>
      <c r="BC209" s="121">
        <f>SUMIFS('31AugTo6Sep'!$O:$O, '31AugTo6Sep'!$J:$J, $A209)</f>
        <v>0</v>
      </c>
      <c r="BD209" s="121">
        <f>SUMIFS('31AugTo6Sep'!$P:$P, '31AugTo6Sep'!$J:$J, $A209)</f>
        <v>0</v>
      </c>
      <c r="BE209" s="123">
        <f t="shared" si="10"/>
        <v>0</v>
      </c>
      <c r="BF209" s="121">
        <f>SUMIFS('24AugTo29Aug'!$L:$L, '24AugTo29Aug'!$J:$J, $A209)</f>
        <v>0</v>
      </c>
      <c r="BG209" s="121">
        <f>SUMIFS('24AugTo29Aug'!$K:$K, '24AugTo29Aug'!$J:$J, $A209)</f>
        <v>0</v>
      </c>
      <c r="BH209" s="121">
        <f>SUMIFS('24AugTo29Aug'!$O:$O, '24AugTo29Aug'!$J:$J, $A209)</f>
        <v>0</v>
      </c>
      <c r="BI209" s="121">
        <f>SUMIFS('24AugTo29Aug'!$P:$P, '24AugTo29Aug'!$J:$J, $A209)</f>
        <v>0</v>
      </c>
      <c r="BJ209" s="123">
        <f t="shared" si="11"/>
        <v>0</v>
      </c>
      <c r="BK209" s="121">
        <f>SUMIFS('17AugTo21Aug'!$L:$L, '17AugTo21Aug'!$J:$J, $A209)</f>
        <v>0</v>
      </c>
      <c r="BL209" s="121">
        <f>SUMIFS('17AugTo21Aug'!$K:$K, '17AugTo21Aug'!$J:$J, $A209)</f>
        <v>0</v>
      </c>
      <c r="BM209" s="121">
        <f>SUMIFS('17AugTo21Aug'!$O:$O, '17AugTo21Aug'!$J:$J, $A209)</f>
        <v>0</v>
      </c>
      <c r="BN209" s="121">
        <f>SUMIFS('17AugTo21Aug'!$P:$P, '17AugTo21Aug'!$J:$J, $A209)</f>
        <v>0</v>
      </c>
      <c r="BO209" s="123">
        <f t="shared" si="12"/>
        <v>0</v>
      </c>
      <c r="BP209" s="121">
        <f>SUMIFS('10AugTo16Aug'!$L:$L, '10AugTo16Aug'!$J:$J, $A209)</f>
        <v>0</v>
      </c>
      <c r="BQ209" s="121">
        <f>SUMIFS('10AugTo16Aug'!$K:$K, '10AugTo16Aug'!$J:$J, $A209)</f>
        <v>0</v>
      </c>
      <c r="BR209" s="121">
        <f>SUMIFS('10AugTo16Aug'!$O:$O, '10AugTo16Aug'!$J:$J, $A209)</f>
        <v>0</v>
      </c>
      <c r="BS209" s="121">
        <f>SUMIFS('10AugTo16Aug'!$P:$P, '10AugTo16Aug'!$J:$J, $A209)</f>
        <v>0</v>
      </c>
      <c r="BT209" s="123">
        <f t="shared" si="13"/>
        <v>0</v>
      </c>
      <c r="BU209" s="121">
        <f>SUMIFS('3AugTo9Aug'!$L:$L, '3AugTo9Aug'!$J:$J, $A209)</f>
        <v>0</v>
      </c>
      <c r="BV209" s="121">
        <f>SUMIFS('3AugTo9Aug'!$K:$K, '3AugTo9Aug'!$J:$J, $A209)</f>
        <v>0</v>
      </c>
      <c r="BW209" s="121">
        <f>SUMIFS('3AugTo9Aug'!$O:$O, '3AugTo9Aug'!$J:$J, $A209)</f>
        <v>0</v>
      </c>
      <c r="BX209" s="121">
        <f>SUMIFS('3AugTo9Aug'!$P:$P, '3AugTo9Aug'!$J:$J, $A209)</f>
        <v>0</v>
      </c>
      <c r="BY209" s="123">
        <f t="shared" si="14"/>
        <v>0</v>
      </c>
      <c r="BZ209" s="121">
        <f>SUMIFS('27JulyTo2Aug'!$L:$L, '27JulyTo2Aug'!$J:$J, $A209)</f>
        <v>1</v>
      </c>
      <c r="CA209" s="121">
        <f>SUMIFS('27JulyTo2Aug'!$K:$K, '27JulyTo2Aug'!$J:$J, $A209)</f>
        <v>1</v>
      </c>
      <c r="CB209" s="121">
        <f>SUMIFS('27JulyTo2Aug'!$O:$O, '27JulyTo2Aug'!$J:$J, $A209)</f>
        <v>2.5</v>
      </c>
      <c r="CC209" s="121">
        <f>SUMIFS('27JulyTo2Aug'!$P:$P, '27JulyTo2Aug'!$J:$J, $A209)</f>
        <v>24.94</v>
      </c>
      <c r="CD209" s="123">
        <f t="shared" si="15"/>
        <v>10.024057738572575</v>
      </c>
    </row>
    <row r="210" spans="1:82" ht="14.25" customHeight="1" x14ac:dyDescent="0.3">
      <c r="A210" s="124" t="s">
        <v>859</v>
      </c>
      <c r="B210" s="120" t="str">
        <f t="shared" si="19"/>
        <v>NO TRAFFIC</v>
      </c>
      <c r="C210" s="121">
        <f>SUMIFS('9NovTo15Nov'!$L:$L, '9NovTo15Nov'!$J:$J, $A210)</f>
        <v>0</v>
      </c>
      <c r="D210" s="121">
        <f>SUMIFS('9NovTo15Nov'!$K:$K, '9NovTo15Nov'!$J:$J, $A210)</f>
        <v>0</v>
      </c>
      <c r="E210" s="121">
        <f>SUMIFS('9NovTo15Nov'!$O:$O, '9NovTo15Nov'!$J:$J, $A210)</f>
        <v>0</v>
      </c>
      <c r="F210" s="121">
        <f>SUMIFS('9NovTo15Nov'!$P:$P, '9NovTo15Nov'!$J:$J, $A210)</f>
        <v>0</v>
      </c>
      <c r="G210" s="122">
        <f t="shared" si="0"/>
        <v>0</v>
      </c>
      <c r="H210" s="121">
        <f>SUMIFS('2NovTo8Nov'!$L:$L, '2NovTo8Nov'!$J:$J, $A210)</f>
        <v>0</v>
      </c>
      <c r="I210" s="121">
        <f>SUMIFS('2NovTo8Nov'!$K:$K, '2NovTo8Nov'!$J:$J, $A210)</f>
        <v>0</v>
      </c>
      <c r="J210" s="121">
        <f>SUMIFS('2NovTo8Nov'!$O:$O, '2NovTo8Nov'!$J:$J, $A210)</f>
        <v>0</v>
      </c>
      <c r="K210" s="121">
        <f>SUMIFS('2NovTo8Nov'!$P:$P, '2NovTo8Nov'!$J:$J, $A210)</f>
        <v>0</v>
      </c>
      <c r="L210" s="122">
        <f t="shared" si="1"/>
        <v>0</v>
      </c>
      <c r="M210" s="121">
        <f>SUMIFS('26OctTo1Nov'!$L:$L, '26OctTo1Nov'!$J:$J, $A210)</f>
        <v>0</v>
      </c>
      <c r="N210" s="121">
        <f>SUMIFS('26OctTo1Nov'!$K:$K, '26OctTo1Nov'!$J:$J, $A210)</f>
        <v>0</v>
      </c>
      <c r="O210" s="121">
        <f>SUMIFS('26OctTo1Nov'!$O:$O, '26OctTo1Nov'!$J:$J, $A210)</f>
        <v>0</v>
      </c>
      <c r="P210" s="121">
        <f>SUMIFS('26OctTo1Nov'!$P:$P, '26OctTo1Nov'!$J:$J, $A210)</f>
        <v>0</v>
      </c>
      <c r="Q210" s="122">
        <f t="shared" si="2"/>
        <v>0</v>
      </c>
      <c r="R210" s="121">
        <f>SUMIFS('19OctTo25Oct'!$L:$L, '19OctTo25Oct'!$J:$J, $A210)</f>
        <v>0</v>
      </c>
      <c r="S210" s="121">
        <f>SUMIFS('19OctTo25Oct'!$K:$K, '19OctTo25Oct'!$J:$J, $A210)</f>
        <v>0</v>
      </c>
      <c r="T210" s="121">
        <f>SUMIFS('19OctTo25Oct'!$O:$O, '19OctTo25Oct'!$J:$J, $A210)</f>
        <v>0</v>
      </c>
      <c r="U210" s="121">
        <f>SUMIFS('19OctTo25Oct'!$P:$P, '19OctTo25Oct'!$J:$J, $A210)</f>
        <v>0</v>
      </c>
      <c r="V210" s="122">
        <f t="shared" si="3"/>
        <v>0</v>
      </c>
      <c r="W210" s="121">
        <f>SUMIFS('12OctTo18Oct'!$L:$L, '12OctTo18Oct'!$J:$J, $A210)</f>
        <v>0</v>
      </c>
      <c r="X210" s="121">
        <f>SUMIFS('12OctTo18Oct'!$K:$K, '12OctTo18Oct'!$J:$J, $A210)</f>
        <v>0</v>
      </c>
      <c r="Y210" s="121">
        <f>SUMIFS('12OctTo18Oct'!$O:$O, '12OctTo18Oct'!$J:$J, $A210)</f>
        <v>0</v>
      </c>
      <c r="Z210" s="121">
        <f>SUMIFS('12OctTo18Oct'!$P:$P, '12OctTo18Oct'!$J:$J, $A210)</f>
        <v>0</v>
      </c>
      <c r="AA210" s="122">
        <f t="shared" si="4"/>
        <v>0</v>
      </c>
      <c r="AB210" s="121">
        <f>SUMIFS('5OctTo11Oct'!$L:$L, '5OctTo11Oct'!$J:$J, $A210)</f>
        <v>0</v>
      </c>
      <c r="AC210" s="121">
        <f>SUMIFS('5OctTo11Oct'!$K:$K, '5OctTo11Oct'!$J:$J, $A210)</f>
        <v>0</v>
      </c>
      <c r="AD210" s="121">
        <f>SUMIFS('5OctTo11Oct'!$O:$O, '5OctTo11Oct'!$J:$J, $A210)</f>
        <v>0</v>
      </c>
      <c r="AE210" s="121">
        <f>SUMIFS('5OctTo11Oct'!$P:$P, '5OctTo11Oct'!$J:$J, $A210)</f>
        <v>0</v>
      </c>
      <c r="AF210" s="123">
        <f t="shared" si="5"/>
        <v>0</v>
      </c>
      <c r="AG210" s="121">
        <f>SUMIFS('28SepTo4Oct'!$L:$L, '28SepTo4Oct'!$J:$J, $A210)</f>
        <v>0</v>
      </c>
      <c r="AH210" s="121">
        <f>SUMIFS('28SepTo4Oct'!$K:$K, '28SepTo4Oct'!$J:$J, $A210)</f>
        <v>0</v>
      </c>
      <c r="AI210" s="121">
        <f>SUMIFS('28SepTo4Oct'!$O:$O, '28SepTo4Oct'!$J:$J, $A210)</f>
        <v>0</v>
      </c>
      <c r="AJ210" s="121">
        <f>SUMIFS('28SepTo4Oct'!$P:$P, '28SepTo4Oct'!$J:$J, $A210)</f>
        <v>0</v>
      </c>
      <c r="AK210" s="123">
        <f t="shared" si="6"/>
        <v>0</v>
      </c>
      <c r="AL210" s="121">
        <f>SUMIFS('21SepTo27Sep'!$L:$L, '21SepTo27Sep'!$J:$J, $A210)</f>
        <v>0</v>
      </c>
      <c r="AM210" s="121">
        <f>SUMIFS('21SepTo27Sep'!$K:$K, '21SepTo27Sep'!$J:$J, $A210)</f>
        <v>0</v>
      </c>
      <c r="AN210" s="121">
        <f>SUMIFS('21SepTo27Sep'!$O:$O, '21SepTo27Sep'!$J:$J, $A210)</f>
        <v>0</v>
      </c>
      <c r="AO210" s="121">
        <f>SUMIFS('21SepTo27Sep'!$P:$P, '21SepTo27Sep'!$J:$J, $A210)</f>
        <v>0</v>
      </c>
      <c r="AP210" s="123">
        <f t="shared" si="7"/>
        <v>0</v>
      </c>
      <c r="AQ210" s="121">
        <f>SUMIFS('14SepTo20Sep'!$L:$L, '14SepTo20Sep'!$J:$J, $A210)</f>
        <v>0</v>
      </c>
      <c r="AR210" s="121">
        <f>SUMIFS('14SepTo20Sep'!$K:$K, '14SepTo20Sep'!$J:$J, $A210)</f>
        <v>0</v>
      </c>
      <c r="AS210" s="121">
        <f>SUMIFS('14SepTo20Sep'!$O:$O, '14SepTo20Sep'!$J:$J, $A210)</f>
        <v>0</v>
      </c>
      <c r="AT210" s="121">
        <f>SUMIFS('14SepTo20Sep'!$P:$P, '14SepTo20Sep'!$J:$J, $A210)</f>
        <v>0</v>
      </c>
      <c r="AU210" s="123">
        <f t="shared" si="8"/>
        <v>0</v>
      </c>
      <c r="AV210" s="121">
        <f>SUMIFS('7SepTo13Sep'!$L:$L, '7SepTo13Sep'!$J:$J, $A210)</f>
        <v>0</v>
      </c>
      <c r="AW210" s="121">
        <f>SUMIFS('7SepTo13Sep'!$K:$K, '7SepTo13Sep'!$J:$J, $A210)</f>
        <v>0</v>
      </c>
      <c r="AX210" s="121">
        <f>SUMIFS('7SepTo13Sep'!$O:$O, '7SepTo13Sep'!$J:$J, $A210)</f>
        <v>0</v>
      </c>
      <c r="AY210" s="121">
        <f>SUMIFS('7SepTo13Sep'!$P:$P, '7SepTo13Sep'!$J:$J, $A210)</f>
        <v>0</v>
      </c>
      <c r="AZ210" s="123">
        <f t="shared" si="9"/>
        <v>0</v>
      </c>
      <c r="BA210" s="121">
        <f>SUMIFS('31AugTo6Sep'!$L:$L, '31AugTo6Sep'!$J:$J, $A210)</f>
        <v>0</v>
      </c>
      <c r="BB210" s="121">
        <f>SUMIFS('31AugTo6Sep'!$K:$K, '31AugTo6Sep'!$J:$J, $A210)</f>
        <v>0</v>
      </c>
      <c r="BC210" s="121">
        <f>SUMIFS('31AugTo6Sep'!$O:$O, '31AugTo6Sep'!$J:$J, $A210)</f>
        <v>0</v>
      </c>
      <c r="BD210" s="121">
        <f>SUMIFS('31AugTo6Sep'!$P:$P, '31AugTo6Sep'!$J:$J, $A210)</f>
        <v>0</v>
      </c>
      <c r="BE210" s="123">
        <f t="shared" si="10"/>
        <v>0</v>
      </c>
      <c r="BF210" s="121">
        <f>SUMIFS('24AugTo29Aug'!$L:$L, '24AugTo29Aug'!$J:$J, $A210)</f>
        <v>0</v>
      </c>
      <c r="BG210" s="121">
        <f>SUMIFS('24AugTo29Aug'!$K:$K, '24AugTo29Aug'!$J:$J, $A210)</f>
        <v>0</v>
      </c>
      <c r="BH210" s="121">
        <f>SUMIFS('24AugTo29Aug'!$O:$O, '24AugTo29Aug'!$J:$J, $A210)</f>
        <v>0</v>
      </c>
      <c r="BI210" s="121">
        <f>SUMIFS('24AugTo29Aug'!$P:$P, '24AugTo29Aug'!$J:$J, $A210)</f>
        <v>0</v>
      </c>
      <c r="BJ210" s="123">
        <f t="shared" si="11"/>
        <v>0</v>
      </c>
      <c r="BK210" s="121">
        <f>SUMIFS('17AugTo21Aug'!$L:$L, '17AugTo21Aug'!$J:$J, $A210)</f>
        <v>0</v>
      </c>
      <c r="BL210" s="121">
        <f>SUMIFS('17AugTo21Aug'!$K:$K, '17AugTo21Aug'!$J:$J, $A210)</f>
        <v>0</v>
      </c>
      <c r="BM210" s="121">
        <f>SUMIFS('17AugTo21Aug'!$O:$O, '17AugTo21Aug'!$J:$J, $A210)</f>
        <v>0</v>
      </c>
      <c r="BN210" s="121">
        <f>SUMIFS('17AugTo21Aug'!$P:$P, '17AugTo21Aug'!$J:$J, $A210)</f>
        <v>0</v>
      </c>
      <c r="BO210" s="123">
        <f t="shared" si="12"/>
        <v>0</v>
      </c>
      <c r="BP210" s="121">
        <f>SUMIFS('10AugTo16Aug'!$L:$L, '10AugTo16Aug'!$J:$J, $A210)</f>
        <v>0</v>
      </c>
      <c r="BQ210" s="121">
        <f>SUMIFS('10AugTo16Aug'!$K:$K, '10AugTo16Aug'!$J:$J, $A210)</f>
        <v>0</v>
      </c>
      <c r="BR210" s="121">
        <f>SUMIFS('10AugTo16Aug'!$O:$O, '10AugTo16Aug'!$J:$J, $A210)</f>
        <v>0</v>
      </c>
      <c r="BS210" s="121">
        <f>SUMIFS('10AugTo16Aug'!$P:$P, '10AugTo16Aug'!$J:$J, $A210)</f>
        <v>0</v>
      </c>
      <c r="BT210" s="123">
        <f t="shared" si="13"/>
        <v>0</v>
      </c>
      <c r="BU210" s="121">
        <f>SUMIFS('3AugTo9Aug'!$L:$L, '3AugTo9Aug'!$J:$J, $A210)</f>
        <v>0</v>
      </c>
      <c r="BV210" s="121">
        <f>SUMIFS('3AugTo9Aug'!$K:$K, '3AugTo9Aug'!$J:$J, $A210)</f>
        <v>0</v>
      </c>
      <c r="BW210" s="121">
        <f>SUMIFS('3AugTo9Aug'!$O:$O, '3AugTo9Aug'!$J:$J, $A210)</f>
        <v>0</v>
      </c>
      <c r="BX210" s="121">
        <f>SUMIFS('3AugTo9Aug'!$P:$P, '3AugTo9Aug'!$J:$J, $A210)</f>
        <v>0</v>
      </c>
      <c r="BY210" s="123">
        <f t="shared" si="14"/>
        <v>0</v>
      </c>
      <c r="BZ210" s="121">
        <f>SUMIFS('27JulyTo2Aug'!$L:$L, '27JulyTo2Aug'!$J:$J, $A210)</f>
        <v>3</v>
      </c>
      <c r="CA210" s="121">
        <f>SUMIFS('27JulyTo2Aug'!$K:$K, '27JulyTo2Aug'!$J:$J, $A210)</f>
        <v>34</v>
      </c>
      <c r="CB210" s="121">
        <f>SUMIFS('27JulyTo2Aug'!$O:$O, '27JulyTo2Aug'!$J:$J, $A210)</f>
        <v>7.92</v>
      </c>
      <c r="CC210" s="121">
        <f>SUMIFS('27JulyTo2Aug'!$P:$P, '27JulyTo2Aug'!$J:$J, $A210)</f>
        <v>24.94</v>
      </c>
      <c r="CD210" s="123">
        <f t="shared" si="15"/>
        <v>31.756214915797916</v>
      </c>
    </row>
    <row r="211" spans="1:82" ht="14.25" customHeight="1" x14ac:dyDescent="0.3">
      <c r="A211" s="124" t="s">
        <v>861</v>
      </c>
      <c r="B211" s="120" t="str">
        <f t="shared" si="19"/>
        <v>NO TRAFFIC</v>
      </c>
      <c r="C211" s="121">
        <f>SUMIFS('9NovTo15Nov'!$L:$L, '9NovTo15Nov'!$J:$J, $A211)</f>
        <v>0</v>
      </c>
      <c r="D211" s="121">
        <f>SUMIFS('9NovTo15Nov'!$K:$K, '9NovTo15Nov'!$J:$J, $A211)</f>
        <v>0</v>
      </c>
      <c r="E211" s="121">
        <f>SUMIFS('9NovTo15Nov'!$O:$O, '9NovTo15Nov'!$J:$J, $A211)</f>
        <v>0</v>
      </c>
      <c r="F211" s="121">
        <f>SUMIFS('9NovTo15Nov'!$P:$P, '9NovTo15Nov'!$J:$J, $A211)</f>
        <v>0</v>
      </c>
      <c r="G211" s="122">
        <f t="shared" si="0"/>
        <v>0</v>
      </c>
      <c r="H211" s="121">
        <f>SUMIFS('2NovTo8Nov'!$L:$L, '2NovTo8Nov'!$J:$J, $A211)</f>
        <v>0</v>
      </c>
      <c r="I211" s="121">
        <f>SUMIFS('2NovTo8Nov'!$K:$K, '2NovTo8Nov'!$J:$J, $A211)</f>
        <v>0</v>
      </c>
      <c r="J211" s="121">
        <f>SUMIFS('2NovTo8Nov'!$O:$O, '2NovTo8Nov'!$J:$J, $A211)</f>
        <v>0</v>
      </c>
      <c r="K211" s="121">
        <f>SUMIFS('2NovTo8Nov'!$P:$P, '2NovTo8Nov'!$J:$J, $A211)</f>
        <v>0</v>
      </c>
      <c r="L211" s="122">
        <f t="shared" si="1"/>
        <v>0</v>
      </c>
      <c r="M211" s="121">
        <f>SUMIFS('26OctTo1Nov'!$L:$L, '26OctTo1Nov'!$J:$J, $A211)</f>
        <v>0</v>
      </c>
      <c r="N211" s="121">
        <f>SUMIFS('26OctTo1Nov'!$K:$K, '26OctTo1Nov'!$J:$J, $A211)</f>
        <v>0</v>
      </c>
      <c r="O211" s="121">
        <f>SUMIFS('26OctTo1Nov'!$O:$O, '26OctTo1Nov'!$J:$J, $A211)</f>
        <v>0</v>
      </c>
      <c r="P211" s="121">
        <f>SUMIFS('26OctTo1Nov'!$P:$P, '26OctTo1Nov'!$J:$J, $A211)</f>
        <v>0</v>
      </c>
      <c r="Q211" s="122">
        <f t="shared" si="2"/>
        <v>0</v>
      </c>
      <c r="R211" s="121">
        <f>SUMIFS('19OctTo25Oct'!$L:$L, '19OctTo25Oct'!$J:$J, $A211)</f>
        <v>0</v>
      </c>
      <c r="S211" s="121">
        <f>SUMIFS('19OctTo25Oct'!$K:$K, '19OctTo25Oct'!$J:$J, $A211)</f>
        <v>0</v>
      </c>
      <c r="T211" s="121">
        <f>SUMIFS('19OctTo25Oct'!$O:$O, '19OctTo25Oct'!$J:$J, $A211)</f>
        <v>0</v>
      </c>
      <c r="U211" s="121">
        <f>SUMIFS('19OctTo25Oct'!$P:$P, '19OctTo25Oct'!$J:$J, $A211)</f>
        <v>0</v>
      </c>
      <c r="V211" s="122">
        <f t="shared" si="3"/>
        <v>0</v>
      </c>
      <c r="W211" s="121">
        <f>SUMIFS('12OctTo18Oct'!$L:$L, '12OctTo18Oct'!$J:$J, $A211)</f>
        <v>0</v>
      </c>
      <c r="X211" s="121">
        <f>SUMIFS('12OctTo18Oct'!$K:$K, '12OctTo18Oct'!$J:$J, $A211)</f>
        <v>0</v>
      </c>
      <c r="Y211" s="121">
        <f>SUMIFS('12OctTo18Oct'!$O:$O, '12OctTo18Oct'!$J:$J, $A211)</f>
        <v>0</v>
      </c>
      <c r="Z211" s="121">
        <f>SUMIFS('12OctTo18Oct'!$P:$P, '12OctTo18Oct'!$J:$J, $A211)</f>
        <v>0</v>
      </c>
      <c r="AA211" s="122">
        <f t="shared" si="4"/>
        <v>0</v>
      </c>
      <c r="AB211" s="121">
        <f>SUMIFS('5OctTo11Oct'!$L:$L, '5OctTo11Oct'!$J:$J, $A211)</f>
        <v>0</v>
      </c>
      <c r="AC211" s="121">
        <f>SUMIFS('5OctTo11Oct'!$K:$K, '5OctTo11Oct'!$J:$J, $A211)</f>
        <v>0</v>
      </c>
      <c r="AD211" s="121">
        <f>SUMIFS('5OctTo11Oct'!$O:$O, '5OctTo11Oct'!$J:$J, $A211)</f>
        <v>0</v>
      </c>
      <c r="AE211" s="121">
        <f>SUMIFS('5OctTo11Oct'!$P:$P, '5OctTo11Oct'!$J:$J, $A211)</f>
        <v>0</v>
      </c>
      <c r="AF211" s="123">
        <f t="shared" si="5"/>
        <v>0</v>
      </c>
      <c r="AG211" s="121">
        <f>SUMIFS('28SepTo4Oct'!$L:$L, '28SepTo4Oct'!$J:$J, $A211)</f>
        <v>0</v>
      </c>
      <c r="AH211" s="121">
        <f>SUMIFS('28SepTo4Oct'!$K:$K, '28SepTo4Oct'!$J:$J, $A211)</f>
        <v>0</v>
      </c>
      <c r="AI211" s="121">
        <f>SUMIFS('28SepTo4Oct'!$O:$O, '28SepTo4Oct'!$J:$J, $A211)</f>
        <v>0</v>
      </c>
      <c r="AJ211" s="121">
        <f>SUMIFS('28SepTo4Oct'!$P:$P, '28SepTo4Oct'!$J:$J, $A211)</f>
        <v>0</v>
      </c>
      <c r="AK211" s="123">
        <f t="shared" si="6"/>
        <v>0</v>
      </c>
      <c r="AL211" s="121">
        <f>SUMIFS('21SepTo27Sep'!$L:$L, '21SepTo27Sep'!$J:$J, $A211)</f>
        <v>0</v>
      </c>
      <c r="AM211" s="121">
        <f>SUMIFS('21SepTo27Sep'!$K:$K, '21SepTo27Sep'!$J:$J, $A211)</f>
        <v>0</v>
      </c>
      <c r="AN211" s="121">
        <f>SUMIFS('21SepTo27Sep'!$O:$O, '21SepTo27Sep'!$J:$J, $A211)</f>
        <v>0</v>
      </c>
      <c r="AO211" s="121">
        <f>SUMIFS('21SepTo27Sep'!$P:$P, '21SepTo27Sep'!$J:$J, $A211)</f>
        <v>0</v>
      </c>
      <c r="AP211" s="123">
        <f t="shared" si="7"/>
        <v>0</v>
      </c>
      <c r="AQ211" s="121">
        <f>SUMIFS('14SepTo20Sep'!$L:$L, '14SepTo20Sep'!$J:$J, $A211)</f>
        <v>0</v>
      </c>
      <c r="AR211" s="121">
        <f>SUMIFS('14SepTo20Sep'!$K:$K, '14SepTo20Sep'!$J:$J, $A211)</f>
        <v>0</v>
      </c>
      <c r="AS211" s="121">
        <f>SUMIFS('14SepTo20Sep'!$O:$O, '14SepTo20Sep'!$J:$J, $A211)</f>
        <v>0</v>
      </c>
      <c r="AT211" s="121">
        <f>SUMIFS('14SepTo20Sep'!$P:$P, '14SepTo20Sep'!$J:$J, $A211)</f>
        <v>0</v>
      </c>
      <c r="AU211" s="123">
        <f t="shared" si="8"/>
        <v>0</v>
      </c>
      <c r="AV211" s="121">
        <f>SUMIFS('7SepTo13Sep'!$L:$L, '7SepTo13Sep'!$J:$J, $A211)</f>
        <v>0</v>
      </c>
      <c r="AW211" s="121">
        <f>SUMIFS('7SepTo13Sep'!$K:$K, '7SepTo13Sep'!$J:$J, $A211)</f>
        <v>0</v>
      </c>
      <c r="AX211" s="121">
        <f>SUMIFS('7SepTo13Sep'!$O:$O, '7SepTo13Sep'!$J:$J, $A211)</f>
        <v>0</v>
      </c>
      <c r="AY211" s="121">
        <f>SUMIFS('7SepTo13Sep'!$P:$P, '7SepTo13Sep'!$J:$J, $A211)</f>
        <v>0</v>
      </c>
      <c r="AZ211" s="123">
        <f t="shared" si="9"/>
        <v>0</v>
      </c>
      <c r="BA211" s="121">
        <f>SUMIFS('31AugTo6Sep'!$L:$L, '31AugTo6Sep'!$J:$J, $A211)</f>
        <v>0</v>
      </c>
      <c r="BB211" s="121">
        <f>SUMIFS('31AugTo6Sep'!$K:$K, '31AugTo6Sep'!$J:$J, $A211)</f>
        <v>0</v>
      </c>
      <c r="BC211" s="121">
        <f>SUMIFS('31AugTo6Sep'!$O:$O, '31AugTo6Sep'!$J:$J, $A211)</f>
        <v>0</v>
      </c>
      <c r="BD211" s="121">
        <f>SUMIFS('31AugTo6Sep'!$P:$P, '31AugTo6Sep'!$J:$J, $A211)</f>
        <v>0</v>
      </c>
      <c r="BE211" s="123">
        <f t="shared" si="10"/>
        <v>0</v>
      </c>
      <c r="BF211" s="121">
        <f>SUMIFS('24AugTo29Aug'!$L:$L, '24AugTo29Aug'!$J:$J, $A211)</f>
        <v>0</v>
      </c>
      <c r="BG211" s="121">
        <f>SUMIFS('24AugTo29Aug'!$K:$K, '24AugTo29Aug'!$J:$J, $A211)</f>
        <v>0</v>
      </c>
      <c r="BH211" s="121">
        <f>SUMIFS('24AugTo29Aug'!$O:$O, '24AugTo29Aug'!$J:$J, $A211)</f>
        <v>0</v>
      </c>
      <c r="BI211" s="121">
        <f>SUMIFS('24AugTo29Aug'!$P:$P, '24AugTo29Aug'!$J:$J, $A211)</f>
        <v>0</v>
      </c>
      <c r="BJ211" s="123">
        <f t="shared" si="11"/>
        <v>0</v>
      </c>
      <c r="BK211" s="121">
        <f>SUMIFS('17AugTo21Aug'!$L:$L, '17AugTo21Aug'!$J:$J, $A211)</f>
        <v>0</v>
      </c>
      <c r="BL211" s="121">
        <f>SUMIFS('17AugTo21Aug'!$K:$K, '17AugTo21Aug'!$J:$J, $A211)</f>
        <v>0</v>
      </c>
      <c r="BM211" s="121">
        <f>SUMIFS('17AugTo21Aug'!$O:$O, '17AugTo21Aug'!$J:$J, $A211)</f>
        <v>0</v>
      </c>
      <c r="BN211" s="121">
        <f>SUMIFS('17AugTo21Aug'!$P:$P, '17AugTo21Aug'!$J:$J, $A211)</f>
        <v>0</v>
      </c>
      <c r="BO211" s="123">
        <f t="shared" si="12"/>
        <v>0</v>
      </c>
      <c r="BP211" s="121">
        <f>SUMIFS('10AugTo16Aug'!$L:$L, '10AugTo16Aug'!$J:$J, $A211)</f>
        <v>0</v>
      </c>
      <c r="BQ211" s="121">
        <f>SUMIFS('10AugTo16Aug'!$K:$K, '10AugTo16Aug'!$J:$J, $A211)</f>
        <v>0</v>
      </c>
      <c r="BR211" s="121">
        <f>SUMIFS('10AugTo16Aug'!$O:$O, '10AugTo16Aug'!$J:$J, $A211)</f>
        <v>0</v>
      </c>
      <c r="BS211" s="121">
        <f>SUMIFS('10AugTo16Aug'!$P:$P, '10AugTo16Aug'!$J:$J, $A211)</f>
        <v>0</v>
      </c>
      <c r="BT211" s="123">
        <f t="shared" si="13"/>
        <v>0</v>
      </c>
      <c r="BU211" s="121">
        <f>SUMIFS('3AugTo9Aug'!$L:$L, '3AugTo9Aug'!$J:$J, $A211)</f>
        <v>0</v>
      </c>
      <c r="BV211" s="121">
        <f>SUMIFS('3AugTo9Aug'!$K:$K, '3AugTo9Aug'!$J:$J, $A211)</f>
        <v>0</v>
      </c>
      <c r="BW211" s="121">
        <f>SUMIFS('3AugTo9Aug'!$O:$O, '3AugTo9Aug'!$J:$J, $A211)</f>
        <v>0</v>
      </c>
      <c r="BX211" s="121">
        <f>SUMIFS('3AugTo9Aug'!$P:$P, '3AugTo9Aug'!$J:$J, $A211)</f>
        <v>0</v>
      </c>
      <c r="BY211" s="123">
        <f t="shared" si="14"/>
        <v>0</v>
      </c>
      <c r="BZ211" s="121">
        <f>SUMIFS('27JulyTo2Aug'!$L:$L, '27JulyTo2Aug'!$J:$J, $A211)</f>
        <v>1</v>
      </c>
      <c r="CA211" s="121">
        <f>SUMIFS('27JulyTo2Aug'!$K:$K, '27JulyTo2Aug'!$J:$J, $A211)</f>
        <v>2</v>
      </c>
      <c r="CB211" s="121">
        <f>SUMIFS('27JulyTo2Aug'!$O:$O, '27JulyTo2Aug'!$J:$J, $A211)</f>
        <v>2.82</v>
      </c>
      <c r="CC211" s="121">
        <f>SUMIFS('27JulyTo2Aug'!$P:$P, '27JulyTo2Aug'!$J:$J, $A211)</f>
        <v>24.95</v>
      </c>
      <c r="CD211" s="123">
        <f t="shared" si="15"/>
        <v>11.302605210420841</v>
      </c>
    </row>
    <row r="212" spans="1:82" ht="14.25" customHeight="1" x14ac:dyDescent="0.3">
      <c r="A212" s="124" t="s">
        <v>644</v>
      </c>
      <c r="B212" s="120" t="str">
        <f t="shared" si="19"/>
        <v>NO TRAFFIC</v>
      </c>
      <c r="C212" s="121">
        <f>SUMIFS('9NovTo15Nov'!$L:$L, '9NovTo15Nov'!$J:$J, $A212)</f>
        <v>0</v>
      </c>
      <c r="D212" s="121">
        <f>SUMIFS('9NovTo15Nov'!$K:$K, '9NovTo15Nov'!$J:$J, $A212)</f>
        <v>0</v>
      </c>
      <c r="E212" s="121">
        <f>SUMIFS('9NovTo15Nov'!$O:$O, '9NovTo15Nov'!$J:$J, $A212)</f>
        <v>0</v>
      </c>
      <c r="F212" s="121">
        <f>SUMIFS('9NovTo15Nov'!$P:$P, '9NovTo15Nov'!$J:$J, $A212)</f>
        <v>0</v>
      </c>
      <c r="G212" s="122">
        <f t="shared" si="0"/>
        <v>0</v>
      </c>
      <c r="H212" s="121">
        <f>SUMIFS('2NovTo8Nov'!$L:$L, '2NovTo8Nov'!$J:$J, $A212)</f>
        <v>0</v>
      </c>
      <c r="I212" s="121">
        <f>SUMIFS('2NovTo8Nov'!$K:$K, '2NovTo8Nov'!$J:$J, $A212)</f>
        <v>0</v>
      </c>
      <c r="J212" s="121">
        <f>SUMIFS('2NovTo8Nov'!$O:$O, '2NovTo8Nov'!$J:$J, $A212)</f>
        <v>0</v>
      </c>
      <c r="K212" s="121">
        <f>SUMIFS('2NovTo8Nov'!$P:$P, '2NovTo8Nov'!$J:$J, $A212)</f>
        <v>0</v>
      </c>
      <c r="L212" s="122">
        <f t="shared" si="1"/>
        <v>0</v>
      </c>
      <c r="M212" s="121">
        <f>SUMIFS('26OctTo1Nov'!$L:$L, '26OctTo1Nov'!$J:$J, $A212)</f>
        <v>0</v>
      </c>
      <c r="N212" s="121">
        <f>SUMIFS('26OctTo1Nov'!$K:$K, '26OctTo1Nov'!$J:$J, $A212)</f>
        <v>0</v>
      </c>
      <c r="O212" s="121">
        <f>SUMIFS('26OctTo1Nov'!$O:$O, '26OctTo1Nov'!$J:$J, $A212)</f>
        <v>0</v>
      </c>
      <c r="P212" s="121">
        <f>SUMIFS('26OctTo1Nov'!$P:$P, '26OctTo1Nov'!$J:$J, $A212)</f>
        <v>0</v>
      </c>
      <c r="Q212" s="122">
        <f t="shared" si="2"/>
        <v>0</v>
      </c>
      <c r="R212" s="121">
        <f>SUMIFS('19OctTo25Oct'!$L:$L, '19OctTo25Oct'!$J:$J, $A212)</f>
        <v>0</v>
      </c>
      <c r="S212" s="121">
        <f>SUMIFS('19OctTo25Oct'!$K:$K, '19OctTo25Oct'!$J:$J, $A212)</f>
        <v>0</v>
      </c>
      <c r="T212" s="121">
        <f>SUMIFS('19OctTo25Oct'!$O:$O, '19OctTo25Oct'!$J:$J, $A212)</f>
        <v>0</v>
      </c>
      <c r="U212" s="121">
        <f>SUMIFS('19OctTo25Oct'!$P:$P, '19OctTo25Oct'!$J:$J, $A212)</f>
        <v>0</v>
      </c>
      <c r="V212" s="122">
        <f t="shared" si="3"/>
        <v>0</v>
      </c>
      <c r="W212" s="121">
        <f>SUMIFS('12OctTo18Oct'!$L:$L, '12OctTo18Oct'!$J:$J, $A212)</f>
        <v>0</v>
      </c>
      <c r="X212" s="121">
        <f>SUMIFS('12OctTo18Oct'!$K:$K, '12OctTo18Oct'!$J:$J, $A212)</f>
        <v>0</v>
      </c>
      <c r="Y212" s="121">
        <f>SUMIFS('12OctTo18Oct'!$O:$O, '12OctTo18Oct'!$J:$J, $A212)</f>
        <v>0</v>
      </c>
      <c r="Z212" s="121">
        <f>SUMIFS('12OctTo18Oct'!$P:$P, '12OctTo18Oct'!$J:$J, $A212)</f>
        <v>0</v>
      </c>
      <c r="AA212" s="122">
        <f t="shared" si="4"/>
        <v>0</v>
      </c>
      <c r="AB212" s="121">
        <f>SUMIFS('5OctTo11Oct'!$L:$L, '5OctTo11Oct'!$J:$J, $A212)</f>
        <v>0</v>
      </c>
      <c r="AC212" s="121">
        <f>SUMIFS('5OctTo11Oct'!$K:$K, '5OctTo11Oct'!$J:$J, $A212)</f>
        <v>0</v>
      </c>
      <c r="AD212" s="121">
        <f>SUMIFS('5OctTo11Oct'!$O:$O, '5OctTo11Oct'!$J:$J, $A212)</f>
        <v>0</v>
      </c>
      <c r="AE212" s="121">
        <f>SUMIFS('5OctTo11Oct'!$P:$P, '5OctTo11Oct'!$J:$J, $A212)</f>
        <v>0</v>
      </c>
      <c r="AF212" s="123">
        <f t="shared" si="5"/>
        <v>0</v>
      </c>
      <c r="AG212" s="121">
        <f>SUMIFS('28SepTo4Oct'!$L:$L, '28SepTo4Oct'!$J:$J, $A212)</f>
        <v>0</v>
      </c>
      <c r="AH212" s="121">
        <f>SUMIFS('28SepTo4Oct'!$K:$K, '28SepTo4Oct'!$J:$J, $A212)</f>
        <v>0</v>
      </c>
      <c r="AI212" s="121">
        <f>SUMIFS('28SepTo4Oct'!$O:$O, '28SepTo4Oct'!$J:$J, $A212)</f>
        <v>0</v>
      </c>
      <c r="AJ212" s="121">
        <f>SUMIFS('28SepTo4Oct'!$P:$P, '28SepTo4Oct'!$J:$J, $A212)</f>
        <v>0</v>
      </c>
      <c r="AK212" s="123">
        <f t="shared" si="6"/>
        <v>0</v>
      </c>
      <c r="AL212" s="121">
        <f>SUMIFS('21SepTo27Sep'!$L:$L, '21SepTo27Sep'!$J:$J, $A212)</f>
        <v>0</v>
      </c>
      <c r="AM212" s="121">
        <f>SUMIFS('21SepTo27Sep'!$K:$K, '21SepTo27Sep'!$J:$J, $A212)</f>
        <v>0</v>
      </c>
      <c r="AN212" s="121">
        <f>SUMIFS('21SepTo27Sep'!$O:$O, '21SepTo27Sep'!$J:$J, $A212)</f>
        <v>0</v>
      </c>
      <c r="AO212" s="121">
        <f>SUMIFS('21SepTo27Sep'!$P:$P, '21SepTo27Sep'!$J:$J, $A212)</f>
        <v>0</v>
      </c>
      <c r="AP212" s="123">
        <f t="shared" si="7"/>
        <v>0</v>
      </c>
      <c r="AQ212" s="121">
        <f>SUMIFS('14SepTo20Sep'!$L:$L, '14SepTo20Sep'!$J:$J, $A212)</f>
        <v>0</v>
      </c>
      <c r="AR212" s="121">
        <f>SUMIFS('14SepTo20Sep'!$K:$K, '14SepTo20Sep'!$J:$J, $A212)</f>
        <v>0</v>
      </c>
      <c r="AS212" s="121">
        <f>SUMIFS('14SepTo20Sep'!$O:$O, '14SepTo20Sep'!$J:$J, $A212)</f>
        <v>0</v>
      </c>
      <c r="AT212" s="121">
        <f>SUMIFS('14SepTo20Sep'!$P:$P, '14SepTo20Sep'!$J:$J, $A212)</f>
        <v>0</v>
      </c>
      <c r="AU212" s="123">
        <f t="shared" si="8"/>
        <v>0</v>
      </c>
      <c r="AV212" s="121">
        <f>SUMIFS('7SepTo13Sep'!$L:$L, '7SepTo13Sep'!$J:$J, $A212)</f>
        <v>0</v>
      </c>
      <c r="AW212" s="121">
        <f>SUMIFS('7SepTo13Sep'!$K:$K, '7SepTo13Sep'!$J:$J, $A212)</f>
        <v>0</v>
      </c>
      <c r="AX212" s="121">
        <f>SUMIFS('7SepTo13Sep'!$O:$O, '7SepTo13Sep'!$J:$J, $A212)</f>
        <v>0</v>
      </c>
      <c r="AY212" s="121">
        <f>SUMIFS('7SepTo13Sep'!$P:$P, '7SepTo13Sep'!$J:$J, $A212)</f>
        <v>0</v>
      </c>
      <c r="AZ212" s="123">
        <f t="shared" si="9"/>
        <v>0</v>
      </c>
      <c r="BA212" s="121">
        <f>SUMIFS('31AugTo6Sep'!$L:$L, '31AugTo6Sep'!$J:$J, $A212)</f>
        <v>0</v>
      </c>
      <c r="BB212" s="121">
        <f>SUMIFS('31AugTo6Sep'!$K:$K, '31AugTo6Sep'!$J:$J, $A212)</f>
        <v>0</v>
      </c>
      <c r="BC212" s="121">
        <f>SUMIFS('31AugTo6Sep'!$O:$O, '31AugTo6Sep'!$J:$J, $A212)</f>
        <v>0</v>
      </c>
      <c r="BD212" s="121">
        <f>SUMIFS('31AugTo6Sep'!$P:$P, '31AugTo6Sep'!$J:$J, $A212)</f>
        <v>0</v>
      </c>
      <c r="BE212" s="123">
        <f t="shared" si="10"/>
        <v>0</v>
      </c>
      <c r="BF212" s="121">
        <f>SUMIFS('24AugTo29Aug'!$L:$L, '24AugTo29Aug'!$J:$J, $A212)</f>
        <v>0</v>
      </c>
      <c r="BG212" s="121">
        <f>SUMIFS('24AugTo29Aug'!$K:$K, '24AugTo29Aug'!$J:$J, $A212)</f>
        <v>0</v>
      </c>
      <c r="BH212" s="121">
        <f>SUMIFS('24AugTo29Aug'!$O:$O, '24AugTo29Aug'!$J:$J, $A212)</f>
        <v>0</v>
      </c>
      <c r="BI212" s="121">
        <f>SUMIFS('24AugTo29Aug'!$P:$P, '24AugTo29Aug'!$J:$J, $A212)</f>
        <v>0</v>
      </c>
      <c r="BJ212" s="123">
        <f t="shared" si="11"/>
        <v>0</v>
      </c>
      <c r="BK212" s="121">
        <f>SUMIFS('17AugTo21Aug'!$L:$L, '17AugTo21Aug'!$J:$J, $A212)</f>
        <v>0</v>
      </c>
      <c r="BL212" s="121">
        <f>SUMIFS('17AugTo21Aug'!$K:$K, '17AugTo21Aug'!$J:$J, $A212)</f>
        <v>0</v>
      </c>
      <c r="BM212" s="121">
        <f>SUMIFS('17AugTo21Aug'!$O:$O, '17AugTo21Aug'!$J:$J, $A212)</f>
        <v>0</v>
      </c>
      <c r="BN212" s="121">
        <f>SUMIFS('17AugTo21Aug'!$P:$P, '17AugTo21Aug'!$J:$J, $A212)</f>
        <v>0</v>
      </c>
      <c r="BO212" s="123">
        <f t="shared" si="12"/>
        <v>0</v>
      </c>
      <c r="BP212" s="121">
        <f>SUMIFS('10AugTo16Aug'!$L:$L, '10AugTo16Aug'!$J:$J, $A212)</f>
        <v>0</v>
      </c>
      <c r="BQ212" s="121">
        <f>SUMIFS('10AugTo16Aug'!$K:$K, '10AugTo16Aug'!$J:$J, $A212)</f>
        <v>0</v>
      </c>
      <c r="BR212" s="121">
        <f>SUMIFS('10AugTo16Aug'!$O:$O, '10AugTo16Aug'!$J:$J, $A212)</f>
        <v>0</v>
      </c>
      <c r="BS212" s="121">
        <f>SUMIFS('10AugTo16Aug'!$P:$P, '10AugTo16Aug'!$J:$J, $A212)</f>
        <v>0</v>
      </c>
      <c r="BT212" s="123">
        <f t="shared" si="13"/>
        <v>0</v>
      </c>
      <c r="BU212" s="121">
        <f>SUMIFS('3AugTo9Aug'!$L:$L, '3AugTo9Aug'!$J:$J, $A212)</f>
        <v>0</v>
      </c>
      <c r="BV212" s="121">
        <f>SUMIFS('3AugTo9Aug'!$K:$K, '3AugTo9Aug'!$J:$J, $A212)</f>
        <v>0</v>
      </c>
      <c r="BW212" s="121">
        <f>SUMIFS('3AugTo9Aug'!$O:$O, '3AugTo9Aug'!$J:$J, $A212)</f>
        <v>0</v>
      </c>
      <c r="BX212" s="121">
        <f>SUMIFS('3AugTo9Aug'!$P:$P, '3AugTo9Aug'!$J:$J, $A212)</f>
        <v>0</v>
      </c>
      <c r="BY212" s="123">
        <f t="shared" si="14"/>
        <v>0</v>
      </c>
      <c r="BZ212" s="121">
        <f>SUMIFS('27JulyTo2Aug'!$L:$L, '27JulyTo2Aug'!$J:$J, $A212)</f>
        <v>2</v>
      </c>
      <c r="CA212" s="121">
        <f>SUMIFS('27JulyTo2Aug'!$K:$K, '27JulyTo2Aug'!$J:$J, $A212)</f>
        <v>6</v>
      </c>
      <c r="CB212" s="121">
        <f>SUMIFS('27JulyTo2Aug'!$O:$O, '27JulyTo2Aug'!$J:$J, $A212)</f>
        <v>7.08</v>
      </c>
      <c r="CC212" s="121">
        <f>SUMIFS('27JulyTo2Aug'!$P:$P, '27JulyTo2Aug'!$J:$J, $A212)</f>
        <v>49.88</v>
      </c>
      <c r="CD212" s="123">
        <f t="shared" si="15"/>
        <v>14.194065757818763</v>
      </c>
    </row>
    <row r="213" spans="1:82" ht="14.25" customHeight="1" x14ac:dyDescent="0.3">
      <c r="A213" s="124" t="s">
        <v>867</v>
      </c>
      <c r="B213" s="120" t="str">
        <f t="shared" si="19"/>
        <v>NO TRAFFIC</v>
      </c>
      <c r="C213" s="121">
        <f>SUMIFS('9NovTo15Nov'!$L:$L, '9NovTo15Nov'!$J:$J, $A213)</f>
        <v>0</v>
      </c>
      <c r="D213" s="121">
        <f>SUMIFS('9NovTo15Nov'!$K:$K, '9NovTo15Nov'!$J:$J, $A213)</f>
        <v>0</v>
      </c>
      <c r="E213" s="121">
        <f>SUMIFS('9NovTo15Nov'!$O:$O, '9NovTo15Nov'!$J:$J, $A213)</f>
        <v>0</v>
      </c>
      <c r="F213" s="121">
        <f>SUMIFS('9NovTo15Nov'!$P:$P, '9NovTo15Nov'!$J:$J, $A213)</f>
        <v>0</v>
      </c>
      <c r="G213" s="122">
        <f t="shared" si="0"/>
        <v>0</v>
      </c>
      <c r="H213" s="121">
        <f>SUMIFS('2NovTo8Nov'!$L:$L, '2NovTo8Nov'!$J:$J, $A213)</f>
        <v>0</v>
      </c>
      <c r="I213" s="121">
        <f>SUMIFS('2NovTo8Nov'!$K:$K, '2NovTo8Nov'!$J:$J, $A213)</f>
        <v>0</v>
      </c>
      <c r="J213" s="121">
        <f>SUMIFS('2NovTo8Nov'!$O:$O, '2NovTo8Nov'!$J:$J, $A213)</f>
        <v>0</v>
      </c>
      <c r="K213" s="121">
        <f>SUMIFS('2NovTo8Nov'!$P:$P, '2NovTo8Nov'!$J:$J, $A213)</f>
        <v>0</v>
      </c>
      <c r="L213" s="122">
        <f t="shared" si="1"/>
        <v>0</v>
      </c>
      <c r="M213" s="121">
        <f>SUMIFS('26OctTo1Nov'!$L:$L, '26OctTo1Nov'!$J:$J, $A213)</f>
        <v>0</v>
      </c>
      <c r="N213" s="121">
        <f>SUMIFS('26OctTo1Nov'!$K:$K, '26OctTo1Nov'!$J:$J, $A213)</f>
        <v>0</v>
      </c>
      <c r="O213" s="121">
        <f>SUMIFS('26OctTo1Nov'!$O:$O, '26OctTo1Nov'!$J:$J, $A213)</f>
        <v>0</v>
      </c>
      <c r="P213" s="121">
        <f>SUMIFS('26OctTo1Nov'!$P:$P, '26OctTo1Nov'!$J:$J, $A213)</f>
        <v>0</v>
      </c>
      <c r="Q213" s="122">
        <f t="shared" si="2"/>
        <v>0</v>
      </c>
      <c r="R213" s="121">
        <f>SUMIFS('19OctTo25Oct'!$L:$L, '19OctTo25Oct'!$J:$J, $A213)</f>
        <v>0</v>
      </c>
      <c r="S213" s="121">
        <f>SUMIFS('19OctTo25Oct'!$K:$K, '19OctTo25Oct'!$J:$J, $A213)</f>
        <v>0</v>
      </c>
      <c r="T213" s="121">
        <f>SUMIFS('19OctTo25Oct'!$O:$O, '19OctTo25Oct'!$J:$J, $A213)</f>
        <v>0</v>
      </c>
      <c r="U213" s="121">
        <f>SUMIFS('19OctTo25Oct'!$P:$P, '19OctTo25Oct'!$J:$J, $A213)</f>
        <v>0</v>
      </c>
      <c r="V213" s="122">
        <f t="shared" si="3"/>
        <v>0</v>
      </c>
      <c r="W213" s="121">
        <f>SUMIFS('12OctTo18Oct'!$L:$L, '12OctTo18Oct'!$J:$J, $A213)</f>
        <v>0</v>
      </c>
      <c r="X213" s="121">
        <f>SUMIFS('12OctTo18Oct'!$K:$K, '12OctTo18Oct'!$J:$J, $A213)</f>
        <v>0</v>
      </c>
      <c r="Y213" s="121">
        <f>SUMIFS('12OctTo18Oct'!$O:$O, '12OctTo18Oct'!$J:$J, $A213)</f>
        <v>0</v>
      </c>
      <c r="Z213" s="121">
        <f>SUMIFS('12OctTo18Oct'!$P:$P, '12OctTo18Oct'!$J:$J, $A213)</f>
        <v>0</v>
      </c>
      <c r="AA213" s="122">
        <f t="shared" si="4"/>
        <v>0</v>
      </c>
      <c r="AB213" s="121">
        <f>SUMIFS('5OctTo11Oct'!$L:$L, '5OctTo11Oct'!$J:$J, $A213)</f>
        <v>0</v>
      </c>
      <c r="AC213" s="121">
        <f>SUMIFS('5OctTo11Oct'!$K:$K, '5OctTo11Oct'!$J:$J, $A213)</f>
        <v>0</v>
      </c>
      <c r="AD213" s="121">
        <f>SUMIFS('5OctTo11Oct'!$O:$O, '5OctTo11Oct'!$J:$J, $A213)</f>
        <v>0</v>
      </c>
      <c r="AE213" s="121">
        <f>SUMIFS('5OctTo11Oct'!$P:$P, '5OctTo11Oct'!$J:$J, $A213)</f>
        <v>0</v>
      </c>
      <c r="AF213" s="123">
        <f t="shared" si="5"/>
        <v>0</v>
      </c>
      <c r="AG213" s="121">
        <f>SUMIFS('28SepTo4Oct'!$L:$L, '28SepTo4Oct'!$J:$J, $A213)</f>
        <v>0</v>
      </c>
      <c r="AH213" s="121">
        <f>SUMIFS('28SepTo4Oct'!$K:$K, '28SepTo4Oct'!$J:$J, $A213)</f>
        <v>0</v>
      </c>
      <c r="AI213" s="121">
        <f>SUMIFS('28SepTo4Oct'!$O:$O, '28SepTo4Oct'!$J:$J, $A213)</f>
        <v>0</v>
      </c>
      <c r="AJ213" s="121">
        <f>SUMIFS('28SepTo4Oct'!$P:$P, '28SepTo4Oct'!$J:$J, $A213)</f>
        <v>0</v>
      </c>
      <c r="AK213" s="123">
        <f t="shared" si="6"/>
        <v>0</v>
      </c>
      <c r="AL213" s="121">
        <f>SUMIFS('21SepTo27Sep'!$L:$L, '21SepTo27Sep'!$J:$J, $A213)</f>
        <v>0</v>
      </c>
      <c r="AM213" s="121">
        <f>SUMIFS('21SepTo27Sep'!$K:$K, '21SepTo27Sep'!$J:$J, $A213)</f>
        <v>0</v>
      </c>
      <c r="AN213" s="121">
        <f>SUMIFS('21SepTo27Sep'!$O:$O, '21SepTo27Sep'!$J:$J, $A213)</f>
        <v>0</v>
      </c>
      <c r="AO213" s="121">
        <f>SUMIFS('21SepTo27Sep'!$P:$P, '21SepTo27Sep'!$J:$J, $A213)</f>
        <v>0</v>
      </c>
      <c r="AP213" s="123">
        <f t="shared" si="7"/>
        <v>0</v>
      </c>
      <c r="AQ213" s="121">
        <f>SUMIFS('14SepTo20Sep'!$L:$L, '14SepTo20Sep'!$J:$J, $A213)</f>
        <v>0</v>
      </c>
      <c r="AR213" s="121">
        <f>SUMIFS('14SepTo20Sep'!$K:$K, '14SepTo20Sep'!$J:$J, $A213)</f>
        <v>0</v>
      </c>
      <c r="AS213" s="121">
        <f>SUMIFS('14SepTo20Sep'!$O:$O, '14SepTo20Sep'!$J:$J, $A213)</f>
        <v>0</v>
      </c>
      <c r="AT213" s="121">
        <f>SUMIFS('14SepTo20Sep'!$P:$P, '14SepTo20Sep'!$J:$J, $A213)</f>
        <v>0</v>
      </c>
      <c r="AU213" s="123">
        <f t="shared" si="8"/>
        <v>0</v>
      </c>
      <c r="AV213" s="121">
        <f>SUMIFS('7SepTo13Sep'!$L:$L, '7SepTo13Sep'!$J:$J, $A213)</f>
        <v>0</v>
      </c>
      <c r="AW213" s="121">
        <f>SUMIFS('7SepTo13Sep'!$K:$K, '7SepTo13Sep'!$J:$J, $A213)</f>
        <v>0</v>
      </c>
      <c r="AX213" s="121">
        <f>SUMIFS('7SepTo13Sep'!$O:$O, '7SepTo13Sep'!$J:$J, $A213)</f>
        <v>0</v>
      </c>
      <c r="AY213" s="121">
        <f>SUMIFS('7SepTo13Sep'!$P:$P, '7SepTo13Sep'!$J:$J, $A213)</f>
        <v>0</v>
      </c>
      <c r="AZ213" s="123">
        <f t="shared" si="9"/>
        <v>0</v>
      </c>
      <c r="BA213" s="121">
        <f>SUMIFS('31AugTo6Sep'!$L:$L, '31AugTo6Sep'!$J:$J, $A213)</f>
        <v>0</v>
      </c>
      <c r="BB213" s="121">
        <f>SUMIFS('31AugTo6Sep'!$K:$K, '31AugTo6Sep'!$J:$J, $A213)</f>
        <v>0</v>
      </c>
      <c r="BC213" s="121">
        <f>SUMIFS('31AugTo6Sep'!$O:$O, '31AugTo6Sep'!$J:$J, $A213)</f>
        <v>0</v>
      </c>
      <c r="BD213" s="121">
        <f>SUMIFS('31AugTo6Sep'!$P:$P, '31AugTo6Sep'!$J:$J, $A213)</f>
        <v>0</v>
      </c>
      <c r="BE213" s="123">
        <f t="shared" si="10"/>
        <v>0</v>
      </c>
      <c r="BF213" s="121">
        <f>SUMIFS('24AugTo29Aug'!$L:$L, '24AugTo29Aug'!$J:$J, $A213)</f>
        <v>0</v>
      </c>
      <c r="BG213" s="121">
        <f>SUMIFS('24AugTo29Aug'!$K:$K, '24AugTo29Aug'!$J:$J, $A213)</f>
        <v>0</v>
      </c>
      <c r="BH213" s="121">
        <f>SUMIFS('24AugTo29Aug'!$O:$O, '24AugTo29Aug'!$J:$J, $A213)</f>
        <v>0</v>
      </c>
      <c r="BI213" s="121">
        <f>SUMIFS('24AugTo29Aug'!$P:$P, '24AugTo29Aug'!$J:$J, $A213)</f>
        <v>0</v>
      </c>
      <c r="BJ213" s="123">
        <f t="shared" si="11"/>
        <v>0</v>
      </c>
      <c r="BK213" s="121">
        <f>SUMIFS('17AugTo21Aug'!$L:$L, '17AugTo21Aug'!$J:$J, $A213)</f>
        <v>0</v>
      </c>
      <c r="BL213" s="121">
        <f>SUMIFS('17AugTo21Aug'!$K:$K, '17AugTo21Aug'!$J:$J, $A213)</f>
        <v>0</v>
      </c>
      <c r="BM213" s="121">
        <f>SUMIFS('17AugTo21Aug'!$O:$O, '17AugTo21Aug'!$J:$J, $A213)</f>
        <v>0</v>
      </c>
      <c r="BN213" s="121">
        <f>SUMIFS('17AugTo21Aug'!$P:$P, '17AugTo21Aug'!$J:$J, $A213)</f>
        <v>0</v>
      </c>
      <c r="BO213" s="123">
        <f t="shared" si="12"/>
        <v>0</v>
      </c>
      <c r="BP213" s="121">
        <f>SUMIFS('10AugTo16Aug'!$L:$L, '10AugTo16Aug'!$J:$J, $A213)</f>
        <v>0</v>
      </c>
      <c r="BQ213" s="121">
        <f>SUMIFS('10AugTo16Aug'!$K:$K, '10AugTo16Aug'!$J:$J, $A213)</f>
        <v>0</v>
      </c>
      <c r="BR213" s="121">
        <f>SUMIFS('10AugTo16Aug'!$O:$O, '10AugTo16Aug'!$J:$J, $A213)</f>
        <v>0</v>
      </c>
      <c r="BS213" s="121">
        <f>SUMIFS('10AugTo16Aug'!$P:$P, '10AugTo16Aug'!$J:$J, $A213)</f>
        <v>0</v>
      </c>
      <c r="BT213" s="123">
        <f t="shared" si="13"/>
        <v>0</v>
      </c>
      <c r="BU213" s="121">
        <f>SUMIFS('3AugTo9Aug'!$L:$L, '3AugTo9Aug'!$J:$J, $A213)</f>
        <v>0</v>
      </c>
      <c r="BV213" s="121">
        <f>SUMIFS('3AugTo9Aug'!$K:$K, '3AugTo9Aug'!$J:$J, $A213)</f>
        <v>0</v>
      </c>
      <c r="BW213" s="121">
        <f>SUMIFS('3AugTo9Aug'!$O:$O, '3AugTo9Aug'!$J:$J, $A213)</f>
        <v>0</v>
      </c>
      <c r="BX213" s="121">
        <f>SUMIFS('3AugTo9Aug'!$P:$P, '3AugTo9Aug'!$J:$J, $A213)</f>
        <v>0</v>
      </c>
      <c r="BY213" s="123">
        <f t="shared" si="14"/>
        <v>0</v>
      </c>
      <c r="BZ213" s="121">
        <f>SUMIFS('27JulyTo2Aug'!$L:$L, '27JulyTo2Aug'!$J:$J, $A213)</f>
        <v>1</v>
      </c>
      <c r="CA213" s="121">
        <f>SUMIFS('27JulyTo2Aug'!$K:$K, '27JulyTo2Aug'!$J:$J, $A213)</f>
        <v>8</v>
      </c>
      <c r="CB213" s="121">
        <f>SUMIFS('27JulyTo2Aug'!$O:$O, '27JulyTo2Aug'!$J:$J, $A213)</f>
        <v>3.27</v>
      </c>
      <c r="CC213" s="121">
        <f>SUMIFS('27JulyTo2Aug'!$P:$P, '27JulyTo2Aug'!$J:$J, $A213)</f>
        <v>24.94</v>
      </c>
      <c r="CD213" s="123">
        <f t="shared" si="15"/>
        <v>13.111467522052928</v>
      </c>
    </row>
    <row r="214" spans="1:82" ht="14.25" customHeight="1" x14ac:dyDescent="0.3">
      <c r="A214" s="124" t="s">
        <v>876</v>
      </c>
      <c r="B214" s="120" t="str">
        <f t="shared" si="19"/>
        <v>NO TRAFFIC</v>
      </c>
      <c r="C214" s="121">
        <f>SUMIFS('9NovTo15Nov'!$L:$L, '9NovTo15Nov'!$J:$J, $A214)</f>
        <v>0</v>
      </c>
      <c r="D214" s="121">
        <f>SUMIFS('9NovTo15Nov'!$K:$K, '9NovTo15Nov'!$J:$J, $A214)</f>
        <v>0</v>
      </c>
      <c r="E214" s="121">
        <f>SUMIFS('9NovTo15Nov'!$O:$O, '9NovTo15Nov'!$J:$J, $A214)</f>
        <v>0</v>
      </c>
      <c r="F214" s="121">
        <f>SUMIFS('9NovTo15Nov'!$P:$P, '9NovTo15Nov'!$J:$J, $A214)</f>
        <v>0</v>
      </c>
      <c r="G214" s="122">
        <f t="shared" si="0"/>
        <v>0</v>
      </c>
      <c r="H214" s="121">
        <f>SUMIFS('2NovTo8Nov'!$L:$L, '2NovTo8Nov'!$J:$J, $A214)</f>
        <v>0</v>
      </c>
      <c r="I214" s="121">
        <f>SUMIFS('2NovTo8Nov'!$K:$K, '2NovTo8Nov'!$J:$J, $A214)</f>
        <v>0</v>
      </c>
      <c r="J214" s="121">
        <f>SUMIFS('2NovTo8Nov'!$O:$O, '2NovTo8Nov'!$J:$J, $A214)</f>
        <v>0</v>
      </c>
      <c r="K214" s="121">
        <f>SUMIFS('2NovTo8Nov'!$P:$P, '2NovTo8Nov'!$J:$J, $A214)</f>
        <v>0</v>
      </c>
      <c r="L214" s="122">
        <f t="shared" si="1"/>
        <v>0</v>
      </c>
      <c r="M214" s="121">
        <f>SUMIFS('26OctTo1Nov'!$L:$L, '26OctTo1Nov'!$J:$J, $A214)</f>
        <v>0</v>
      </c>
      <c r="N214" s="121">
        <f>SUMIFS('26OctTo1Nov'!$K:$K, '26OctTo1Nov'!$J:$J, $A214)</f>
        <v>0</v>
      </c>
      <c r="O214" s="121">
        <f>SUMIFS('26OctTo1Nov'!$O:$O, '26OctTo1Nov'!$J:$J, $A214)</f>
        <v>0</v>
      </c>
      <c r="P214" s="121">
        <f>SUMIFS('26OctTo1Nov'!$P:$P, '26OctTo1Nov'!$J:$J, $A214)</f>
        <v>0</v>
      </c>
      <c r="Q214" s="122">
        <f t="shared" si="2"/>
        <v>0</v>
      </c>
      <c r="R214" s="121">
        <f>SUMIFS('19OctTo25Oct'!$L:$L, '19OctTo25Oct'!$J:$J, $A214)</f>
        <v>0</v>
      </c>
      <c r="S214" s="121">
        <f>SUMIFS('19OctTo25Oct'!$K:$K, '19OctTo25Oct'!$J:$J, $A214)</f>
        <v>0</v>
      </c>
      <c r="T214" s="121">
        <f>SUMIFS('19OctTo25Oct'!$O:$O, '19OctTo25Oct'!$J:$J, $A214)</f>
        <v>0</v>
      </c>
      <c r="U214" s="121">
        <f>SUMIFS('19OctTo25Oct'!$P:$P, '19OctTo25Oct'!$J:$J, $A214)</f>
        <v>0</v>
      </c>
      <c r="V214" s="122">
        <f t="shared" si="3"/>
        <v>0</v>
      </c>
      <c r="W214" s="121">
        <f>SUMIFS('12OctTo18Oct'!$L:$L, '12OctTo18Oct'!$J:$J, $A214)</f>
        <v>0</v>
      </c>
      <c r="X214" s="121">
        <f>SUMIFS('12OctTo18Oct'!$K:$K, '12OctTo18Oct'!$J:$J, $A214)</f>
        <v>0</v>
      </c>
      <c r="Y214" s="121">
        <f>SUMIFS('12OctTo18Oct'!$O:$O, '12OctTo18Oct'!$J:$J, $A214)</f>
        <v>0</v>
      </c>
      <c r="Z214" s="121">
        <f>SUMIFS('12OctTo18Oct'!$P:$P, '12OctTo18Oct'!$J:$J, $A214)</f>
        <v>0</v>
      </c>
      <c r="AA214" s="122">
        <f t="shared" si="4"/>
        <v>0</v>
      </c>
      <c r="AB214" s="121">
        <f>SUMIFS('5OctTo11Oct'!$L:$L, '5OctTo11Oct'!$J:$J, $A214)</f>
        <v>0</v>
      </c>
      <c r="AC214" s="121">
        <f>SUMIFS('5OctTo11Oct'!$K:$K, '5OctTo11Oct'!$J:$J, $A214)</f>
        <v>0</v>
      </c>
      <c r="AD214" s="121">
        <f>SUMIFS('5OctTo11Oct'!$O:$O, '5OctTo11Oct'!$J:$J, $A214)</f>
        <v>0</v>
      </c>
      <c r="AE214" s="121">
        <f>SUMIFS('5OctTo11Oct'!$P:$P, '5OctTo11Oct'!$J:$J, $A214)</f>
        <v>0</v>
      </c>
      <c r="AF214" s="123">
        <f t="shared" si="5"/>
        <v>0</v>
      </c>
      <c r="AG214" s="121">
        <f>SUMIFS('28SepTo4Oct'!$L:$L, '28SepTo4Oct'!$J:$J, $A214)</f>
        <v>0</v>
      </c>
      <c r="AH214" s="121">
        <f>SUMIFS('28SepTo4Oct'!$K:$K, '28SepTo4Oct'!$J:$J, $A214)</f>
        <v>0</v>
      </c>
      <c r="AI214" s="121">
        <f>SUMIFS('28SepTo4Oct'!$O:$O, '28SepTo4Oct'!$J:$J, $A214)</f>
        <v>0</v>
      </c>
      <c r="AJ214" s="121">
        <f>SUMIFS('28SepTo4Oct'!$P:$P, '28SepTo4Oct'!$J:$J, $A214)</f>
        <v>0</v>
      </c>
      <c r="AK214" s="123">
        <f t="shared" si="6"/>
        <v>0</v>
      </c>
      <c r="AL214" s="121">
        <f>SUMIFS('21SepTo27Sep'!$L:$L, '21SepTo27Sep'!$J:$J, $A214)</f>
        <v>0</v>
      </c>
      <c r="AM214" s="121">
        <f>SUMIFS('21SepTo27Sep'!$K:$K, '21SepTo27Sep'!$J:$J, $A214)</f>
        <v>0</v>
      </c>
      <c r="AN214" s="121">
        <f>SUMIFS('21SepTo27Sep'!$O:$O, '21SepTo27Sep'!$J:$J, $A214)</f>
        <v>0</v>
      </c>
      <c r="AO214" s="121">
        <f>SUMIFS('21SepTo27Sep'!$P:$P, '21SepTo27Sep'!$J:$J, $A214)</f>
        <v>0</v>
      </c>
      <c r="AP214" s="123">
        <f t="shared" si="7"/>
        <v>0</v>
      </c>
      <c r="AQ214" s="121">
        <f>SUMIFS('14SepTo20Sep'!$L:$L, '14SepTo20Sep'!$J:$J, $A214)</f>
        <v>0</v>
      </c>
      <c r="AR214" s="121">
        <f>SUMIFS('14SepTo20Sep'!$K:$K, '14SepTo20Sep'!$J:$J, $A214)</f>
        <v>0</v>
      </c>
      <c r="AS214" s="121">
        <f>SUMIFS('14SepTo20Sep'!$O:$O, '14SepTo20Sep'!$J:$J, $A214)</f>
        <v>0</v>
      </c>
      <c r="AT214" s="121">
        <f>SUMIFS('14SepTo20Sep'!$P:$P, '14SepTo20Sep'!$J:$J, $A214)</f>
        <v>0</v>
      </c>
      <c r="AU214" s="123">
        <f t="shared" si="8"/>
        <v>0</v>
      </c>
      <c r="AV214" s="121">
        <f>SUMIFS('7SepTo13Sep'!$L:$L, '7SepTo13Sep'!$J:$J, $A214)</f>
        <v>0</v>
      </c>
      <c r="AW214" s="121">
        <f>SUMIFS('7SepTo13Sep'!$K:$K, '7SepTo13Sep'!$J:$J, $A214)</f>
        <v>0</v>
      </c>
      <c r="AX214" s="121">
        <f>SUMIFS('7SepTo13Sep'!$O:$O, '7SepTo13Sep'!$J:$J, $A214)</f>
        <v>0</v>
      </c>
      <c r="AY214" s="121">
        <f>SUMIFS('7SepTo13Sep'!$P:$P, '7SepTo13Sep'!$J:$J, $A214)</f>
        <v>0</v>
      </c>
      <c r="AZ214" s="123">
        <f t="shared" si="9"/>
        <v>0</v>
      </c>
      <c r="BA214" s="121">
        <f>SUMIFS('31AugTo6Sep'!$L:$L, '31AugTo6Sep'!$J:$J, $A214)</f>
        <v>0</v>
      </c>
      <c r="BB214" s="121">
        <f>SUMIFS('31AugTo6Sep'!$K:$K, '31AugTo6Sep'!$J:$J, $A214)</f>
        <v>0</v>
      </c>
      <c r="BC214" s="121">
        <f>SUMIFS('31AugTo6Sep'!$O:$O, '31AugTo6Sep'!$J:$J, $A214)</f>
        <v>0</v>
      </c>
      <c r="BD214" s="121">
        <f>SUMIFS('31AugTo6Sep'!$P:$P, '31AugTo6Sep'!$J:$J, $A214)</f>
        <v>0</v>
      </c>
      <c r="BE214" s="123">
        <f t="shared" si="10"/>
        <v>0</v>
      </c>
      <c r="BF214" s="121">
        <f>SUMIFS('24AugTo29Aug'!$L:$L, '24AugTo29Aug'!$J:$J, $A214)</f>
        <v>0</v>
      </c>
      <c r="BG214" s="121">
        <f>SUMIFS('24AugTo29Aug'!$K:$K, '24AugTo29Aug'!$J:$J, $A214)</f>
        <v>0</v>
      </c>
      <c r="BH214" s="121">
        <f>SUMIFS('24AugTo29Aug'!$O:$O, '24AugTo29Aug'!$J:$J, $A214)</f>
        <v>0</v>
      </c>
      <c r="BI214" s="121">
        <f>SUMIFS('24AugTo29Aug'!$P:$P, '24AugTo29Aug'!$J:$J, $A214)</f>
        <v>0</v>
      </c>
      <c r="BJ214" s="123">
        <f t="shared" si="11"/>
        <v>0</v>
      </c>
      <c r="BK214" s="121">
        <f>SUMIFS('17AugTo21Aug'!$L:$L, '17AugTo21Aug'!$J:$J, $A214)</f>
        <v>0</v>
      </c>
      <c r="BL214" s="121">
        <f>SUMIFS('17AugTo21Aug'!$K:$K, '17AugTo21Aug'!$J:$J, $A214)</f>
        <v>0</v>
      </c>
      <c r="BM214" s="121">
        <f>SUMIFS('17AugTo21Aug'!$O:$O, '17AugTo21Aug'!$J:$J, $A214)</f>
        <v>0</v>
      </c>
      <c r="BN214" s="121">
        <f>SUMIFS('17AugTo21Aug'!$P:$P, '17AugTo21Aug'!$J:$J, $A214)</f>
        <v>0</v>
      </c>
      <c r="BO214" s="123">
        <f t="shared" si="12"/>
        <v>0</v>
      </c>
      <c r="BP214" s="121">
        <f>SUMIFS('10AugTo16Aug'!$L:$L, '10AugTo16Aug'!$J:$J, $A214)</f>
        <v>0</v>
      </c>
      <c r="BQ214" s="121">
        <f>SUMIFS('10AugTo16Aug'!$K:$K, '10AugTo16Aug'!$J:$J, $A214)</f>
        <v>0</v>
      </c>
      <c r="BR214" s="121">
        <f>SUMIFS('10AugTo16Aug'!$O:$O, '10AugTo16Aug'!$J:$J, $A214)</f>
        <v>0</v>
      </c>
      <c r="BS214" s="121">
        <f>SUMIFS('10AugTo16Aug'!$P:$P, '10AugTo16Aug'!$J:$J, $A214)</f>
        <v>0</v>
      </c>
      <c r="BT214" s="123">
        <f t="shared" si="13"/>
        <v>0</v>
      </c>
      <c r="BU214" s="121">
        <f>SUMIFS('3AugTo9Aug'!$L:$L, '3AugTo9Aug'!$J:$J, $A214)</f>
        <v>0</v>
      </c>
      <c r="BV214" s="121">
        <f>SUMIFS('3AugTo9Aug'!$K:$K, '3AugTo9Aug'!$J:$J, $A214)</f>
        <v>0</v>
      </c>
      <c r="BW214" s="121">
        <f>SUMIFS('3AugTo9Aug'!$O:$O, '3AugTo9Aug'!$J:$J, $A214)</f>
        <v>0</v>
      </c>
      <c r="BX214" s="121">
        <f>SUMIFS('3AugTo9Aug'!$P:$P, '3AugTo9Aug'!$J:$J, $A214)</f>
        <v>0</v>
      </c>
      <c r="BY214" s="123">
        <f t="shared" si="14"/>
        <v>0</v>
      </c>
      <c r="BZ214" s="121">
        <f>SUMIFS('27JulyTo2Aug'!$L:$L, '27JulyTo2Aug'!$J:$J, $A214)</f>
        <v>2</v>
      </c>
      <c r="CA214" s="121">
        <f>SUMIFS('27JulyTo2Aug'!$K:$K, '27JulyTo2Aug'!$J:$J, $A214)</f>
        <v>2</v>
      </c>
      <c r="CB214" s="121">
        <f>SUMIFS('27JulyTo2Aug'!$O:$O, '27JulyTo2Aug'!$J:$J, $A214)</f>
        <v>4.75</v>
      </c>
      <c r="CC214" s="121">
        <f>SUMIFS('27JulyTo2Aug'!$P:$P, '27JulyTo2Aug'!$J:$J, $A214)</f>
        <v>22.5</v>
      </c>
      <c r="CD214" s="123">
        <f t="shared" si="15"/>
        <v>21.111111111111111</v>
      </c>
    </row>
    <row r="215" spans="1:82" ht="14.25" customHeight="1" x14ac:dyDescent="0.3">
      <c r="A215" s="124" t="s">
        <v>878</v>
      </c>
      <c r="B215" s="120" t="str">
        <f t="shared" si="19"/>
        <v>NO TRAFFIC</v>
      </c>
      <c r="C215" s="121">
        <f>SUMIFS('9NovTo15Nov'!$L:$L, '9NovTo15Nov'!$J:$J, $A215)</f>
        <v>0</v>
      </c>
      <c r="D215" s="121">
        <f>SUMIFS('9NovTo15Nov'!$K:$K, '9NovTo15Nov'!$J:$J, $A215)</f>
        <v>0</v>
      </c>
      <c r="E215" s="121">
        <f>SUMIFS('9NovTo15Nov'!$O:$O, '9NovTo15Nov'!$J:$J, $A215)</f>
        <v>0</v>
      </c>
      <c r="F215" s="121">
        <f>SUMIFS('9NovTo15Nov'!$P:$P, '9NovTo15Nov'!$J:$J, $A215)</f>
        <v>0</v>
      </c>
      <c r="G215" s="122">
        <f t="shared" si="0"/>
        <v>0</v>
      </c>
      <c r="H215" s="121">
        <f>SUMIFS('2NovTo8Nov'!$L:$L, '2NovTo8Nov'!$J:$J, $A215)</f>
        <v>0</v>
      </c>
      <c r="I215" s="121">
        <f>SUMIFS('2NovTo8Nov'!$K:$K, '2NovTo8Nov'!$J:$J, $A215)</f>
        <v>0</v>
      </c>
      <c r="J215" s="121">
        <f>SUMIFS('2NovTo8Nov'!$O:$O, '2NovTo8Nov'!$J:$J, $A215)</f>
        <v>0</v>
      </c>
      <c r="K215" s="121">
        <f>SUMIFS('2NovTo8Nov'!$P:$P, '2NovTo8Nov'!$J:$J, $A215)</f>
        <v>0</v>
      </c>
      <c r="L215" s="122">
        <f t="shared" si="1"/>
        <v>0</v>
      </c>
      <c r="M215" s="121">
        <f>SUMIFS('26OctTo1Nov'!$L:$L, '26OctTo1Nov'!$J:$J, $A215)</f>
        <v>0</v>
      </c>
      <c r="N215" s="121">
        <f>SUMIFS('26OctTo1Nov'!$K:$K, '26OctTo1Nov'!$J:$J, $A215)</f>
        <v>0</v>
      </c>
      <c r="O215" s="121">
        <f>SUMIFS('26OctTo1Nov'!$O:$O, '26OctTo1Nov'!$J:$J, $A215)</f>
        <v>0</v>
      </c>
      <c r="P215" s="121">
        <f>SUMIFS('26OctTo1Nov'!$P:$P, '26OctTo1Nov'!$J:$J, $A215)</f>
        <v>0</v>
      </c>
      <c r="Q215" s="122">
        <f t="shared" si="2"/>
        <v>0</v>
      </c>
      <c r="R215" s="121">
        <f>SUMIFS('19OctTo25Oct'!$L:$L, '19OctTo25Oct'!$J:$J, $A215)</f>
        <v>0</v>
      </c>
      <c r="S215" s="121">
        <f>SUMIFS('19OctTo25Oct'!$K:$K, '19OctTo25Oct'!$J:$J, $A215)</f>
        <v>0</v>
      </c>
      <c r="T215" s="121">
        <f>SUMIFS('19OctTo25Oct'!$O:$O, '19OctTo25Oct'!$J:$J, $A215)</f>
        <v>0</v>
      </c>
      <c r="U215" s="121">
        <f>SUMIFS('19OctTo25Oct'!$P:$P, '19OctTo25Oct'!$J:$J, $A215)</f>
        <v>0</v>
      </c>
      <c r="V215" s="122">
        <f t="shared" si="3"/>
        <v>0</v>
      </c>
      <c r="W215" s="121">
        <f>SUMIFS('12OctTo18Oct'!$L:$L, '12OctTo18Oct'!$J:$J, $A215)</f>
        <v>0</v>
      </c>
      <c r="X215" s="121">
        <f>SUMIFS('12OctTo18Oct'!$K:$K, '12OctTo18Oct'!$J:$J, $A215)</f>
        <v>0</v>
      </c>
      <c r="Y215" s="121">
        <f>SUMIFS('12OctTo18Oct'!$O:$O, '12OctTo18Oct'!$J:$J, $A215)</f>
        <v>0</v>
      </c>
      <c r="Z215" s="121">
        <f>SUMIFS('12OctTo18Oct'!$P:$P, '12OctTo18Oct'!$J:$J, $A215)</f>
        <v>0</v>
      </c>
      <c r="AA215" s="122">
        <f t="shared" si="4"/>
        <v>0</v>
      </c>
      <c r="AB215" s="121">
        <f>SUMIFS('5OctTo11Oct'!$L:$L, '5OctTo11Oct'!$J:$J, $A215)</f>
        <v>0</v>
      </c>
      <c r="AC215" s="121">
        <f>SUMIFS('5OctTo11Oct'!$K:$K, '5OctTo11Oct'!$J:$J, $A215)</f>
        <v>0</v>
      </c>
      <c r="AD215" s="121">
        <f>SUMIFS('5OctTo11Oct'!$O:$O, '5OctTo11Oct'!$J:$J, $A215)</f>
        <v>0</v>
      </c>
      <c r="AE215" s="121">
        <f>SUMIFS('5OctTo11Oct'!$P:$P, '5OctTo11Oct'!$J:$J, $A215)</f>
        <v>0</v>
      </c>
      <c r="AF215" s="123">
        <f t="shared" si="5"/>
        <v>0</v>
      </c>
      <c r="AG215" s="121">
        <f>SUMIFS('28SepTo4Oct'!$L:$L, '28SepTo4Oct'!$J:$J, $A215)</f>
        <v>0</v>
      </c>
      <c r="AH215" s="121">
        <f>SUMIFS('28SepTo4Oct'!$K:$K, '28SepTo4Oct'!$J:$J, $A215)</f>
        <v>0</v>
      </c>
      <c r="AI215" s="121">
        <f>SUMIFS('28SepTo4Oct'!$O:$O, '28SepTo4Oct'!$J:$J, $A215)</f>
        <v>0</v>
      </c>
      <c r="AJ215" s="121">
        <f>SUMIFS('28SepTo4Oct'!$P:$P, '28SepTo4Oct'!$J:$J, $A215)</f>
        <v>0</v>
      </c>
      <c r="AK215" s="123">
        <f t="shared" si="6"/>
        <v>0</v>
      </c>
      <c r="AL215" s="121">
        <f>SUMIFS('21SepTo27Sep'!$L:$L, '21SepTo27Sep'!$J:$J, $A215)</f>
        <v>0</v>
      </c>
      <c r="AM215" s="121">
        <f>SUMIFS('21SepTo27Sep'!$K:$K, '21SepTo27Sep'!$J:$J, $A215)</f>
        <v>0</v>
      </c>
      <c r="AN215" s="121">
        <f>SUMIFS('21SepTo27Sep'!$O:$O, '21SepTo27Sep'!$J:$J, $A215)</f>
        <v>0</v>
      </c>
      <c r="AO215" s="121">
        <f>SUMIFS('21SepTo27Sep'!$P:$P, '21SepTo27Sep'!$J:$J, $A215)</f>
        <v>0</v>
      </c>
      <c r="AP215" s="123">
        <f t="shared" si="7"/>
        <v>0</v>
      </c>
      <c r="AQ215" s="121">
        <f>SUMIFS('14SepTo20Sep'!$L:$L, '14SepTo20Sep'!$J:$J, $A215)</f>
        <v>0</v>
      </c>
      <c r="AR215" s="121">
        <f>SUMIFS('14SepTo20Sep'!$K:$K, '14SepTo20Sep'!$J:$J, $A215)</f>
        <v>0</v>
      </c>
      <c r="AS215" s="121">
        <f>SUMIFS('14SepTo20Sep'!$O:$O, '14SepTo20Sep'!$J:$J, $A215)</f>
        <v>0</v>
      </c>
      <c r="AT215" s="121">
        <f>SUMIFS('14SepTo20Sep'!$P:$P, '14SepTo20Sep'!$J:$J, $A215)</f>
        <v>0</v>
      </c>
      <c r="AU215" s="123">
        <f t="shared" si="8"/>
        <v>0</v>
      </c>
      <c r="AV215" s="121">
        <f>SUMIFS('7SepTo13Sep'!$L:$L, '7SepTo13Sep'!$J:$J, $A215)</f>
        <v>0</v>
      </c>
      <c r="AW215" s="121">
        <f>SUMIFS('7SepTo13Sep'!$K:$K, '7SepTo13Sep'!$J:$J, $A215)</f>
        <v>0</v>
      </c>
      <c r="AX215" s="121">
        <f>SUMIFS('7SepTo13Sep'!$O:$O, '7SepTo13Sep'!$J:$J, $A215)</f>
        <v>0</v>
      </c>
      <c r="AY215" s="121">
        <f>SUMIFS('7SepTo13Sep'!$P:$P, '7SepTo13Sep'!$J:$J, $A215)</f>
        <v>0</v>
      </c>
      <c r="AZ215" s="123">
        <f t="shared" si="9"/>
        <v>0</v>
      </c>
      <c r="BA215" s="121">
        <f>SUMIFS('31AugTo6Sep'!$L:$L, '31AugTo6Sep'!$J:$J, $A215)</f>
        <v>0</v>
      </c>
      <c r="BB215" s="121">
        <f>SUMIFS('31AugTo6Sep'!$K:$K, '31AugTo6Sep'!$J:$J, $A215)</f>
        <v>0</v>
      </c>
      <c r="BC215" s="121">
        <f>SUMIFS('31AugTo6Sep'!$O:$O, '31AugTo6Sep'!$J:$J, $A215)</f>
        <v>0</v>
      </c>
      <c r="BD215" s="121">
        <f>SUMIFS('31AugTo6Sep'!$P:$P, '31AugTo6Sep'!$J:$J, $A215)</f>
        <v>0</v>
      </c>
      <c r="BE215" s="123">
        <f t="shared" si="10"/>
        <v>0</v>
      </c>
      <c r="BF215" s="121">
        <f>SUMIFS('24AugTo29Aug'!$L:$L, '24AugTo29Aug'!$J:$J, $A215)</f>
        <v>0</v>
      </c>
      <c r="BG215" s="121">
        <f>SUMIFS('24AugTo29Aug'!$K:$K, '24AugTo29Aug'!$J:$J, $A215)</f>
        <v>0</v>
      </c>
      <c r="BH215" s="121">
        <f>SUMIFS('24AugTo29Aug'!$O:$O, '24AugTo29Aug'!$J:$J, $A215)</f>
        <v>0</v>
      </c>
      <c r="BI215" s="121">
        <f>SUMIFS('24AugTo29Aug'!$P:$P, '24AugTo29Aug'!$J:$J, $A215)</f>
        <v>0</v>
      </c>
      <c r="BJ215" s="123">
        <f t="shared" si="11"/>
        <v>0</v>
      </c>
      <c r="BK215" s="121">
        <f>SUMIFS('17AugTo21Aug'!$L:$L, '17AugTo21Aug'!$J:$J, $A215)</f>
        <v>0</v>
      </c>
      <c r="BL215" s="121">
        <f>SUMIFS('17AugTo21Aug'!$K:$K, '17AugTo21Aug'!$J:$J, $A215)</f>
        <v>0</v>
      </c>
      <c r="BM215" s="121">
        <f>SUMIFS('17AugTo21Aug'!$O:$O, '17AugTo21Aug'!$J:$J, $A215)</f>
        <v>0</v>
      </c>
      <c r="BN215" s="121">
        <f>SUMIFS('17AugTo21Aug'!$P:$P, '17AugTo21Aug'!$J:$J, $A215)</f>
        <v>0</v>
      </c>
      <c r="BO215" s="123">
        <f t="shared" si="12"/>
        <v>0</v>
      </c>
      <c r="BP215" s="121">
        <f>SUMIFS('10AugTo16Aug'!$L:$L, '10AugTo16Aug'!$J:$J, $A215)</f>
        <v>0</v>
      </c>
      <c r="BQ215" s="121">
        <f>SUMIFS('10AugTo16Aug'!$K:$K, '10AugTo16Aug'!$J:$J, $A215)</f>
        <v>0</v>
      </c>
      <c r="BR215" s="121">
        <f>SUMIFS('10AugTo16Aug'!$O:$O, '10AugTo16Aug'!$J:$J, $A215)</f>
        <v>0</v>
      </c>
      <c r="BS215" s="121">
        <f>SUMIFS('10AugTo16Aug'!$P:$P, '10AugTo16Aug'!$J:$J, $A215)</f>
        <v>0</v>
      </c>
      <c r="BT215" s="123">
        <f t="shared" si="13"/>
        <v>0</v>
      </c>
      <c r="BU215" s="121">
        <f>SUMIFS('3AugTo9Aug'!$L:$L, '3AugTo9Aug'!$J:$J, $A215)</f>
        <v>0</v>
      </c>
      <c r="BV215" s="121">
        <f>SUMIFS('3AugTo9Aug'!$K:$K, '3AugTo9Aug'!$J:$J, $A215)</f>
        <v>0</v>
      </c>
      <c r="BW215" s="121">
        <f>SUMIFS('3AugTo9Aug'!$O:$O, '3AugTo9Aug'!$J:$J, $A215)</f>
        <v>0</v>
      </c>
      <c r="BX215" s="121">
        <f>SUMIFS('3AugTo9Aug'!$P:$P, '3AugTo9Aug'!$J:$J, $A215)</f>
        <v>0</v>
      </c>
      <c r="BY215" s="123">
        <f t="shared" si="14"/>
        <v>0</v>
      </c>
      <c r="BZ215" s="121">
        <f>SUMIFS('27JulyTo2Aug'!$L:$L, '27JulyTo2Aug'!$J:$J, $A215)</f>
        <v>1</v>
      </c>
      <c r="CA215" s="121">
        <f>SUMIFS('27JulyTo2Aug'!$K:$K, '27JulyTo2Aug'!$J:$J, $A215)</f>
        <v>3</v>
      </c>
      <c r="CB215" s="121">
        <f>SUMIFS('27JulyTo2Aug'!$O:$O, '27JulyTo2Aug'!$J:$J, $A215)</f>
        <v>2.5499999999999998</v>
      </c>
      <c r="CC215" s="121">
        <f>SUMIFS('27JulyTo2Aug'!$P:$P, '27JulyTo2Aug'!$J:$J, $A215)</f>
        <v>24.94</v>
      </c>
      <c r="CD215" s="123">
        <f t="shared" si="15"/>
        <v>10.224538893344025</v>
      </c>
    </row>
    <row r="216" spans="1:82" ht="14.25" customHeight="1" x14ac:dyDescent="0.3">
      <c r="A216" s="124" t="s">
        <v>879</v>
      </c>
      <c r="B216" s="120" t="str">
        <f t="shared" si="19"/>
        <v>NO TRAFFIC</v>
      </c>
      <c r="C216" s="121">
        <f>SUMIFS('9NovTo15Nov'!$L:$L, '9NovTo15Nov'!$J:$J, $A216)</f>
        <v>0</v>
      </c>
      <c r="D216" s="121">
        <f>SUMIFS('9NovTo15Nov'!$K:$K, '9NovTo15Nov'!$J:$J, $A216)</f>
        <v>0</v>
      </c>
      <c r="E216" s="121">
        <f>SUMIFS('9NovTo15Nov'!$O:$O, '9NovTo15Nov'!$J:$J, $A216)</f>
        <v>0</v>
      </c>
      <c r="F216" s="121">
        <f>SUMIFS('9NovTo15Nov'!$P:$P, '9NovTo15Nov'!$J:$J, $A216)</f>
        <v>0</v>
      </c>
      <c r="G216" s="122">
        <f t="shared" si="0"/>
        <v>0</v>
      </c>
      <c r="H216" s="121">
        <f>SUMIFS('2NovTo8Nov'!$L:$L, '2NovTo8Nov'!$J:$J, $A216)</f>
        <v>0</v>
      </c>
      <c r="I216" s="121">
        <f>SUMIFS('2NovTo8Nov'!$K:$K, '2NovTo8Nov'!$J:$J, $A216)</f>
        <v>0</v>
      </c>
      <c r="J216" s="121">
        <f>SUMIFS('2NovTo8Nov'!$O:$O, '2NovTo8Nov'!$J:$J, $A216)</f>
        <v>0</v>
      </c>
      <c r="K216" s="121">
        <f>SUMIFS('2NovTo8Nov'!$P:$P, '2NovTo8Nov'!$J:$J, $A216)</f>
        <v>0</v>
      </c>
      <c r="L216" s="122">
        <f t="shared" si="1"/>
        <v>0</v>
      </c>
      <c r="M216" s="121">
        <f>SUMIFS('26OctTo1Nov'!$L:$L, '26OctTo1Nov'!$J:$J, $A216)</f>
        <v>0</v>
      </c>
      <c r="N216" s="121">
        <f>SUMIFS('26OctTo1Nov'!$K:$K, '26OctTo1Nov'!$J:$J, $A216)</f>
        <v>0</v>
      </c>
      <c r="O216" s="121">
        <f>SUMIFS('26OctTo1Nov'!$O:$O, '26OctTo1Nov'!$J:$J, $A216)</f>
        <v>0</v>
      </c>
      <c r="P216" s="121">
        <f>SUMIFS('26OctTo1Nov'!$P:$P, '26OctTo1Nov'!$J:$J, $A216)</f>
        <v>0</v>
      </c>
      <c r="Q216" s="122">
        <f t="shared" si="2"/>
        <v>0</v>
      </c>
      <c r="R216" s="121">
        <f>SUMIFS('19OctTo25Oct'!$L:$L, '19OctTo25Oct'!$J:$J, $A216)</f>
        <v>0</v>
      </c>
      <c r="S216" s="121">
        <f>SUMIFS('19OctTo25Oct'!$K:$K, '19OctTo25Oct'!$J:$J, $A216)</f>
        <v>0</v>
      </c>
      <c r="T216" s="121">
        <f>SUMIFS('19OctTo25Oct'!$O:$O, '19OctTo25Oct'!$J:$J, $A216)</f>
        <v>0</v>
      </c>
      <c r="U216" s="121">
        <f>SUMIFS('19OctTo25Oct'!$P:$P, '19OctTo25Oct'!$J:$J, $A216)</f>
        <v>0</v>
      </c>
      <c r="V216" s="122">
        <f t="shared" si="3"/>
        <v>0</v>
      </c>
      <c r="W216" s="121">
        <f>SUMIFS('12OctTo18Oct'!$L:$L, '12OctTo18Oct'!$J:$J, $A216)</f>
        <v>0</v>
      </c>
      <c r="X216" s="121">
        <f>SUMIFS('12OctTo18Oct'!$K:$K, '12OctTo18Oct'!$J:$J, $A216)</f>
        <v>0</v>
      </c>
      <c r="Y216" s="121">
        <f>SUMIFS('12OctTo18Oct'!$O:$O, '12OctTo18Oct'!$J:$J, $A216)</f>
        <v>0</v>
      </c>
      <c r="Z216" s="121">
        <f>SUMIFS('12OctTo18Oct'!$P:$P, '12OctTo18Oct'!$J:$J, $A216)</f>
        <v>0</v>
      </c>
      <c r="AA216" s="122">
        <f t="shared" si="4"/>
        <v>0</v>
      </c>
      <c r="AB216" s="121">
        <f>SUMIFS('5OctTo11Oct'!$L:$L, '5OctTo11Oct'!$J:$J, $A216)</f>
        <v>0</v>
      </c>
      <c r="AC216" s="121">
        <f>SUMIFS('5OctTo11Oct'!$K:$K, '5OctTo11Oct'!$J:$J, $A216)</f>
        <v>0</v>
      </c>
      <c r="AD216" s="121">
        <f>SUMIFS('5OctTo11Oct'!$O:$O, '5OctTo11Oct'!$J:$J, $A216)</f>
        <v>0</v>
      </c>
      <c r="AE216" s="121">
        <f>SUMIFS('5OctTo11Oct'!$P:$P, '5OctTo11Oct'!$J:$J, $A216)</f>
        <v>0</v>
      </c>
      <c r="AF216" s="123">
        <f t="shared" si="5"/>
        <v>0</v>
      </c>
      <c r="AG216" s="121">
        <f>SUMIFS('28SepTo4Oct'!$L:$L, '28SepTo4Oct'!$J:$J, $A216)</f>
        <v>0</v>
      </c>
      <c r="AH216" s="121">
        <f>SUMIFS('28SepTo4Oct'!$K:$K, '28SepTo4Oct'!$J:$J, $A216)</f>
        <v>0</v>
      </c>
      <c r="AI216" s="121">
        <f>SUMIFS('28SepTo4Oct'!$O:$O, '28SepTo4Oct'!$J:$J, $A216)</f>
        <v>0</v>
      </c>
      <c r="AJ216" s="121">
        <f>SUMIFS('28SepTo4Oct'!$P:$P, '28SepTo4Oct'!$J:$J, $A216)</f>
        <v>0</v>
      </c>
      <c r="AK216" s="123">
        <f t="shared" si="6"/>
        <v>0</v>
      </c>
      <c r="AL216" s="121">
        <f>SUMIFS('21SepTo27Sep'!$L:$L, '21SepTo27Sep'!$J:$J, $A216)</f>
        <v>0</v>
      </c>
      <c r="AM216" s="121">
        <f>SUMIFS('21SepTo27Sep'!$K:$K, '21SepTo27Sep'!$J:$J, $A216)</f>
        <v>0</v>
      </c>
      <c r="AN216" s="121">
        <f>SUMIFS('21SepTo27Sep'!$O:$O, '21SepTo27Sep'!$J:$J, $A216)</f>
        <v>0</v>
      </c>
      <c r="AO216" s="121">
        <f>SUMIFS('21SepTo27Sep'!$P:$P, '21SepTo27Sep'!$J:$J, $A216)</f>
        <v>0</v>
      </c>
      <c r="AP216" s="123">
        <f t="shared" si="7"/>
        <v>0</v>
      </c>
      <c r="AQ216" s="121">
        <f>SUMIFS('14SepTo20Sep'!$L:$L, '14SepTo20Sep'!$J:$J, $A216)</f>
        <v>0</v>
      </c>
      <c r="AR216" s="121">
        <f>SUMIFS('14SepTo20Sep'!$K:$K, '14SepTo20Sep'!$J:$J, $A216)</f>
        <v>0</v>
      </c>
      <c r="AS216" s="121">
        <f>SUMIFS('14SepTo20Sep'!$O:$O, '14SepTo20Sep'!$J:$J, $A216)</f>
        <v>0</v>
      </c>
      <c r="AT216" s="121">
        <f>SUMIFS('14SepTo20Sep'!$P:$P, '14SepTo20Sep'!$J:$J, $A216)</f>
        <v>0</v>
      </c>
      <c r="AU216" s="123">
        <f t="shared" si="8"/>
        <v>0</v>
      </c>
      <c r="AV216" s="121">
        <f>SUMIFS('7SepTo13Sep'!$L:$L, '7SepTo13Sep'!$J:$J, $A216)</f>
        <v>0</v>
      </c>
      <c r="AW216" s="121">
        <f>SUMIFS('7SepTo13Sep'!$K:$K, '7SepTo13Sep'!$J:$J, $A216)</f>
        <v>0</v>
      </c>
      <c r="AX216" s="121">
        <f>SUMIFS('7SepTo13Sep'!$O:$O, '7SepTo13Sep'!$J:$J, $A216)</f>
        <v>0</v>
      </c>
      <c r="AY216" s="121">
        <f>SUMIFS('7SepTo13Sep'!$P:$P, '7SepTo13Sep'!$J:$J, $A216)</f>
        <v>0</v>
      </c>
      <c r="AZ216" s="123">
        <f t="shared" si="9"/>
        <v>0</v>
      </c>
      <c r="BA216" s="121">
        <f>SUMIFS('31AugTo6Sep'!$L:$L, '31AugTo6Sep'!$J:$J, $A216)</f>
        <v>0</v>
      </c>
      <c r="BB216" s="121">
        <f>SUMIFS('31AugTo6Sep'!$K:$K, '31AugTo6Sep'!$J:$J, $A216)</f>
        <v>0</v>
      </c>
      <c r="BC216" s="121">
        <f>SUMIFS('31AugTo6Sep'!$O:$O, '31AugTo6Sep'!$J:$J, $A216)</f>
        <v>0</v>
      </c>
      <c r="BD216" s="121">
        <f>SUMIFS('31AugTo6Sep'!$P:$P, '31AugTo6Sep'!$J:$J, $A216)</f>
        <v>0</v>
      </c>
      <c r="BE216" s="123">
        <f t="shared" si="10"/>
        <v>0</v>
      </c>
      <c r="BF216" s="121">
        <f>SUMIFS('24AugTo29Aug'!$L:$L, '24AugTo29Aug'!$J:$J, $A216)</f>
        <v>0</v>
      </c>
      <c r="BG216" s="121">
        <f>SUMIFS('24AugTo29Aug'!$K:$K, '24AugTo29Aug'!$J:$J, $A216)</f>
        <v>0</v>
      </c>
      <c r="BH216" s="121">
        <f>SUMIFS('24AugTo29Aug'!$O:$O, '24AugTo29Aug'!$J:$J, $A216)</f>
        <v>0</v>
      </c>
      <c r="BI216" s="121">
        <f>SUMIFS('24AugTo29Aug'!$P:$P, '24AugTo29Aug'!$J:$J, $A216)</f>
        <v>0</v>
      </c>
      <c r="BJ216" s="123">
        <f t="shared" si="11"/>
        <v>0</v>
      </c>
      <c r="BK216" s="121">
        <f>SUMIFS('17AugTo21Aug'!$L:$L, '17AugTo21Aug'!$J:$J, $A216)</f>
        <v>0</v>
      </c>
      <c r="BL216" s="121">
        <f>SUMIFS('17AugTo21Aug'!$K:$K, '17AugTo21Aug'!$J:$J, $A216)</f>
        <v>0</v>
      </c>
      <c r="BM216" s="121">
        <f>SUMIFS('17AugTo21Aug'!$O:$O, '17AugTo21Aug'!$J:$J, $A216)</f>
        <v>0</v>
      </c>
      <c r="BN216" s="121">
        <f>SUMIFS('17AugTo21Aug'!$P:$P, '17AugTo21Aug'!$J:$J, $A216)</f>
        <v>0</v>
      </c>
      <c r="BO216" s="123">
        <f t="shared" si="12"/>
        <v>0</v>
      </c>
      <c r="BP216" s="121">
        <f>SUMIFS('10AugTo16Aug'!$L:$L, '10AugTo16Aug'!$J:$J, $A216)</f>
        <v>0</v>
      </c>
      <c r="BQ216" s="121">
        <f>SUMIFS('10AugTo16Aug'!$K:$K, '10AugTo16Aug'!$J:$J, $A216)</f>
        <v>0</v>
      </c>
      <c r="BR216" s="121">
        <f>SUMIFS('10AugTo16Aug'!$O:$O, '10AugTo16Aug'!$J:$J, $A216)</f>
        <v>0</v>
      </c>
      <c r="BS216" s="121">
        <f>SUMIFS('10AugTo16Aug'!$P:$P, '10AugTo16Aug'!$J:$J, $A216)</f>
        <v>0</v>
      </c>
      <c r="BT216" s="123">
        <f t="shared" si="13"/>
        <v>0</v>
      </c>
      <c r="BU216" s="121">
        <f>SUMIFS('3AugTo9Aug'!$L:$L, '3AugTo9Aug'!$J:$J, $A216)</f>
        <v>0</v>
      </c>
      <c r="BV216" s="121">
        <f>SUMIFS('3AugTo9Aug'!$K:$K, '3AugTo9Aug'!$J:$J, $A216)</f>
        <v>0</v>
      </c>
      <c r="BW216" s="121">
        <f>SUMIFS('3AugTo9Aug'!$O:$O, '3AugTo9Aug'!$J:$J, $A216)</f>
        <v>0</v>
      </c>
      <c r="BX216" s="121">
        <f>SUMIFS('3AugTo9Aug'!$P:$P, '3AugTo9Aug'!$J:$J, $A216)</f>
        <v>0</v>
      </c>
      <c r="BY216" s="123">
        <f t="shared" si="14"/>
        <v>0</v>
      </c>
      <c r="BZ216" s="121">
        <f>SUMIFS('27JulyTo2Aug'!$L:$L, '27JulyTo2Aug'!$J:$J, $A216)</f>
        <v>5</v>
      </c>
      <c r="CA216" s="121">
        <f>SUMIFS('27JulyTo2Aug'!$K:$K, '27JulyTo2Aug'!$J:$J, $A216)</f>
        <v>198</v>
      </c>
      <c r="CB216" s="121">
        <f>SUMIFS('27JulyTo2Aug'!$O:$O, '27JulyTo2Aug'!$J:$J, $A216)</f>
        <v>14.56</v>
      </c>
      <c r="CC216" s="121">
        <f>SUMIFS('27JulyTo2Aug'!$P:$P, '27JulyTo2Aug'!$J:$J, $A216)</f>
        <v>24.94</v>
      </c>
      <c r="CD216" s="123">
        <f t="shared" si="15"/>
        <v>58.38011226944667</v>
      </c>
    </row>
    <row r="217" spans="1:82" ht="14.25" customHeight="1" x14ac:dyDescent="0.3">
      <c r="A217" s="134" t="s">
        <v>883</v>
      </c>
      <c r="B217" s="120" t="str">
        <f t="shared" si="19"/>
        <v>NO TRAFFIC</v>
      </c>
      <c r="C217" s="121">
        <f>SUMIFS('9NovTo15Nov'!$L:$L, '9NovTo15Nov'!$J:$J, $A217)</f>
        <v>0</v>
      </c>
      <c r="D217" s="121">
        <f>SUMIFS('9NovTo15Nov'!$K:$K, '9NovTo15Nov'!$J:$J, $A217)</f>
        <v>0</v>
      </c>
      <c r="E217" s="121">
        <f>SUMIFS('9NovTo15Nov'!$O:$O, '9NovTo15Nov'!$J:$J, $A217)</f>
        <v>0</v>
      </c>
      <c r="F217" s="121">
        <f>SUMIFS('9NovTo15Nov'!$P:$P, '9NovTo15Nov'!$J:$J, $A217)</f>
        <v>0</v>
      </c>
      <c r="G217" s="122">
        <f t="shared" si="0"/>
        <v>0</v>
      </c>
      <c r="H217" s="121">
        <f>SUMIFS('2NovTo8Nov'!$L:$L, '2NovTo8Nov'!$J:$J, $A217)</f>
        <v>0</v>
      </c>
      <c r="I217" s="121">
        <f>SUMIFS('2NovTo8Nov'!$K:$K, '2NovTo8Nov'!$J:$J, $A217)</f>
        <v>0</v>
      </c>
      <c r="J217" s="121">
        <f>SUMIFS('2NovTo8Nov'!$O:$O, '2NovTo8Nov'!$J:$J, $A217)</f>
        <v>0</v>
      </c>
      <c r="K217" s="121">
        <f>SUMIFS('2NovTo8Nov'!$P:$P, '2NovTo8Nov'!$J:$J, $A217)</f>
        <v>0</v>
      </c>
      <c r="L217" s="122">
        <f t="shared" si="1"/>
        <v>0</v>
      </c>
      <c r="M217" s="121">
        <f>SUMIFS('26OctTo1Nov'!$L:$L, '26OctTo1Nov'!$J:$J, $A217)</f>
        <v>0</v>
      </c>
      <c r="N217" s="121">
        <f>SUMIFS('26OctTo1Nov'!$K:$K, '26OctTo1Nov'!$J:$J, $A217)</f>
        <v>0</v>
      </c>
      <c r="O217" s="121">
        <f>SUMIFS('26OctTo1Nov'!$O:$O, '26OctTo1Nov'!$J:$J, $A217)</f>
        <v>0</v>
      </c>
      <c r="P217" s="121">
        <f>SUMIFS('26OctTo1Nov'!$P:$P, '26OctTo1Nov'!$J:$J, $A217)</f>
        <v>0</v>
      </c>
      <c r="Q217" s="122">
        <f t="shared" si="2"/>
        <v>0</v>
      </c>
      <c r="R217" s="121">
        <f>SUMIFS('19OctTo25Oct'!$L:$L, '19OctTo25Oct'!$J:$J, $A217)</f>
        <v>0</v>
      </c>
      <c r="S217" s="121">
        <f>SUMIFS('19OctTo25Oct'!$K:$K, '19OctTo25Oct'!$J:$J, $A217)</f>
        <v>0</v>
      </c>
      <c r="T217" s="121">
        <f>SUMIFS('19OctTo25Oct'!$O:$O, '19OctTo25Oct'!$J:$J, $A217)</f>
        <v>0</v>
      </c>
      <c r="U217" s="121">
        <f>SUMIFS('19OctTo25Oct'!$P:$P, '19OctTo25Oct'!$J:$J, $A217)</f>
        <v>0</v>
      </c>
      <c r="V217" s="122">
        <f t="shared" si="3"/>
        <v>0</v>
      </c>
      <c r="W217" s="121">
        <f>SUMIFS('12OctTo18Oct'!$L:$L, '12OctTo18Oct'!$J:$J, $A217)</f>
        <v>0</v>
      </c>
      <c r="X217" s="121">
        <f>SUMIFS('12OctTo18Oct'!$K:$K, '12OctTo18Oct'!$J:$J, $A217)</f>
        <v>0</v>
      </c>
      <c r="Y217" s="121">
        <f>SUMIFS('12OctTo18Oct'!$O:$O, '12OctTo18Oct'!$J:$J, $A217)</f>
        <v>0</v>
      </c>
      <c r="Z217" s="121">
        <f>SUMIFS('12OctTo18Oct'!$P:$P, '12OctTo18Oct'!$J:$J, $A217)</f>
        <v>0</v>
      </c>
      <c r="AA217" s="122">
        <f t="shared" si="4"/>
        <v>0</v>
      </c>
      <c r="AB217" s="121">
        <f>SUMIFS('5OctTo11Oct'!$L:$L, '5OctTo11Oct'!$J:$J, $A217)</f>
        <v>0</v>
      </c>
      <c r="AC217" s="121">
        <f>SUMIFS('5OctTo11Oct'!$K:$K, '5OctTo11Oct'!$J:$J, $A217)</f>
        <v>0</v>
      </c>
      <c r="AD217" s="121">
        <f>SUMIFS('5OctTo11Oct'!$O:$O, '5OctTo11Oct'!$J:$J, $A217)</f>
        <v>0</v>
      </c>
      <c r="AE217" s="121">
        <f>SUMIFS('5OctTo11Oct'!$P:$P, '5OctTo11Oct'!$J:$J, $A217)</f>
        <v>0</v>
      </c>
      <c r="AF217" s="123">
        <f t="shared" si="5"/>
        <v>0</v>
      </c>
      <c r="AG217" s="121">
        <f>SUMIFS('28SepTo4Oct'!$L:$L, '28SepTo4Oct'!$J:$J, $A217)</f>
        <v>0</v>
      </c>
      <c r="AH217" s="121">
        <f>SUMIFS('28SepTo4Oct'!$K:$K, '28SepTo4Oct'!$J:$J, $A217)</f>
        <v>0</v>
      </c>
      <c r="AI217" s="121">
        <f>SUMIFS('28SepTo4Oct'!$O:$O, '28SepTo4Oct'!$J:$J, $A217)</f>
        <v>0</v>
      </c>
      <c r="AJ217" s="121">
        <f>SUMIFS('28SepTo4Oct'!$P:$P, '28SepTo4Oct'!$J:$J, $A217)</f>
        <v>0</v>
      </c>
      <c r="AK217" s="123">
        <f t="shared" si="6"/>
        <v>0</v>
      </c>
      <c r="AL217" s="121">
        <f>SUMIFS('21SepTo27Sep'!$L:$L, '21SepTo27Sep'!$J:$J, $A217)</f>
        <v>0</v>
      </c>
      <c r="AM217" s="121">
        <f>SUMIFS('21SepTo27Sep'!$K:$K, '21SepTo27Sep'!$J:$J, $A217)</f>
        <v>0</v>
      </c>
      <c r="AN217" s="121">
        <f>SUMIFS('21SepTo27Sep'!$O:$O, '21SepTo27Sep'!$J:$J, $A217)</f>
        <v>0</v>
      </c>
      <c r="AO217" s="121">
        <f>SUMIFS('21SepTo27Sep'!$P:$P, '21SepTo27Sep'!$J:$J, $A217)</f>
        <v>0</v>
      </c>
      <c r="AP217" s="123">
        <f t="shared" si="7"/>
        <v>0</v>
      </c>
      <c r="AQ217" s="121">
        <f>SUMIFS('14SepTo20Sep'!$L:$L, '14SepTo20Sep'!$J:$J, $A217)</f>
        <v>0</v>
      </c>
      <c r="AR217" s="121">
        <f>SUMIFS('14SepTo20Sep'!$K:$K, '14SepTo20Sep'!$J:$J, $A217)</f>
        <v>0</v>
      </c>
      <c r="AS217" s="121">
        <f>SUMIFS('14SepTo20Sep'!$O:$O, '14SepTo20Sep'!$J:$J, $A217)</f>
        <v>0</v>
      </c>
      <c r="AT217" s="121">
        <f>SUMIFS('14SepTo20Sep'!$P:$P, '14SepTo20Sep'!$J:$J, $A217)</f>
        <v>0</v>
      </c>
      <c r="AU217" s="123">
        <f t="shared" si="8"/>
        <v>0</v>
      </c>
      <c r="AV217" s="121">
        <f>SUMIFS('7SepTo13Sep'!$L:$L, '7SepTo13Sep'!$J:$J, $A217)</f>
        <v>0</v>
      </c>
      <c r="AW217" s="121">
        <f>SUMIFS('7SepTo13Sep'!$K:$K, '7SepTo13Sep'!$J:$J, $A217)</f>
        <v>0</v>
      </c>
      <c r="AX217" s="121">
        <f>SUMIFS('7SepTo13Sep'!$O:$O, '7SepTo13Sep'!$J:$J, $A217)</f>
        <v>0</v>
      </c>
      <c r="AY217" s="121">
        <f>SUMIFS('7SepTo13Sep'!$P:$P, '7SepTo13Sep'!$J:$J, $A217)</f>
        <v>0</v>
      </c>
      <c r="AZ217" s="123">
        <f t="shared" si="9"/>
        <v>0</v>
      </c>
      <c r="BA217" s="121">
        <f>SUMIFS('31AugTo6Sep'!$L:$L, '31AugTo6Sep'!$J:$J, $A217)</f>
        <v>0</v>
      </c>
      <c r="BB217" s="121">
        <f>SUMIFS('31AugTo6Sep'!$K:$K, '31AugTo6Sep'!$J:$J, $A217)</f>
        <v>0</v>
      </c>
      <c r="BC217" s="121">
        <f>SUMIFS('31AugTo6Sep'!$O:$O, '31AugTo6Sep'!$J:$J, $A217)</f>
        <v>0</v>
      </c>
      <c r="BD217" s="121">
        <f>SUMIFS('31AugTo6Sep'!$P:$P, '31AugTo6Sep'!$J:$J, $A217)</f>
        <v>0</v>
      </c>
      <c r="BE217" s="123">
        <f t="shared" si="10"/>
        <v>0</v>
      </c>
      <c r="BF217" s="121">
        <f>SUMIFS('24AugTo29Aug'!$L:$L, '24AugTo29Aug'!$J:$J, $A217)</f>
        <v>0</v>
      </c>
      <c r="BG217" s="121">
        <f>SUMIFS('24AugTo29Aug'!$K:$K, '24AugTo29Aug'!$J:$J, $A217)</f>
        <v>0</v>
      </c>
      <c r="BH217" s="121">
        <f>SUMIFS('24AugTo29Aug'!$O:$O, '24AugTo29Aug'!$J:$J, $A217)</f>
        <v>0</v>
      </c>
      <c r="BI217" s="121">
        <f>SUMIFS('24AugTo29Aug'!$P:$P, '24AugTo29Aug'!$J:$J, $A217)</f>
        <v>0</v>
      </c>
      <c r="BJ217" s="123">
        <f t="shared" si="11"/>
        <v>0</v>
      </c>
      <c r="BK217" s="121">
        <f>SUMIFS('17AugTo21Aug'!$L:$L, '17AugTo21Aug'!$J:$J, $A217)</f>
        <v>0</v>
      </c>
      <c r="BL217" s="121">
        <f>SUMIFS('17AugTo21Aug'!$K:$K, '17AugTo21Aug'!$J:$J, $A217)</f>
        <v>0</v>
      </c>
      <c r="BM217" s="121">
        <f>SUMIFS('17AugTo21Aug'!$O:$O, '17AugTo21Aug'!$J:$J, $A217)</f>
        <v>0</v>
      </c>
      <c r="BN217" s="121">
        <f>SUMIFS('17AugTo21Aug'!$P:$P, '17AugTo21Aug'!$J:$J, $A217)</f>
        <v>0</v>
      </c>
      <c r="BO217" s="123">
        <f t="shared" si="12"/>
        <v>0</v>
      </c>
      <c r="BP217" s="121">
        <f>SUMIFS('10AugTo16Aug'!$L:$L, '10AugTo16Aug'!$J:$J, $A217)</f>
        <v>0</v>
      </c>
      <c r="BQ217" s="121">
        <f>SUMIFS('10AugTo16Aug'!$K:$K, '10AugTo16Aug'!$J:$J, $A217)</f>
        <v>0</v>
      </c>
      <c r="BR217" s="121">
        <f>SUMIFS('10AugTo16Aug'!$O:$O, '10AugTo16Aug'!$J:$J, $A217)</f>
        <v>0</v>
      </c>
      <c r="BS217" s="121">
        <f>SUMIFS('10AugTo16Aug'!$P:$P, '10AugTo16Aug'!$J:$J, $A217)</f>
        <v>0</v>
      </c>
      <c r="BT217" s="123">
        <f t="shared" si="13"/>
        <v>0</v>
      </c>
      <c r="BU217" s="121">
        <f>SUMIFS('3AugTo9Aug'!$L:$L, '3AugTo9Aug'!$J:$J, $A217)</f>
        <v>0</v>
      </c>
      <c r="BV217" s="121">
        <f>SUMIFS('3AugTo9Aug'!$K:$K, '3AugTo9Aug'!$J:$J, $A217)</f>
        <v>0</v>
      </c>
      <c r="BW217" s="121">
        <f>SUMIFS('3AugTo9Aug'!$O:$O, '3AugTo9Aug'!$J:$J, $A217)</f>
        <v>0</v>
      </c>
      <c r="BX217" s="121">
        <f>SUMIFS('3AugTo9Aug'!$P:$P, '3AugTo9Aug'!$J:$J, $A217)</f>
        <v>0</v>
      </c>
      <c r="BY217" s="123">
        <f t="shared" si="14"/>
        <v>0</v>
      </c>
      <c r="BZ217" s="121">
        <f>SUMIFS('27JulyTo2Aug'!$L:$L, '27JulyTo2Aug'!$J:$J, $A217)</f>
        <v>2</v>
      </c>
      <c r="CA217" s="121">
        <f>SUMIFS('27JulyTo2Aug'!$K:$K, '27JulyTo2Aug'!$J:$J, $A217)</f>
        <v>2</v>
      </c>
      <c r="CB217" s="121">
        <f>SUMIFS('27JulyTo2Aug'!$O:$O, '27JulyTo2Aug'!$J:$J, $A217)</f>
        <v>6.59</v>
      </c>
      <c r="CC217" s="121">
        <f>SUMIFS('27JulyTo2Aug'!$P:$P, '27JulyTo2Aug'!$J:$J, $A217)</f>
        <v>24.95</v>
      </c>
      <c r="CD217" s="123">
        <f t="shared" si="15"/>
        <v>26.412825651302608</v>
      </c>
    </row>
    <row r="218" spans="1:82" ht="14.25" customHeight="1" x14ac:dyDescent="0.3">
      <c r="A218" s="135" t="s">
        <v>885</v>
      </c>
      <c r="B218" s="120" t="str">
        <f t="shared" si="19"/>
        <v>NO TRAFFIC</v>
      </c>
      <c r="C218" s="121">
        <f>SUMIFS('9NovTo15Nov'!$L:$L, '9NovTo15Nov'!$J:$J, $A218)</f>
        <v>0</v>
      </c>
      <c r="D218" s="121">
        <f>SUMIFS('9NovTo15Nov'!$K:$K, '9NovTo15Nov'!$J:$J, $A218)</f>
        <v>0</v>
      </c>
      <c r="E218" s="121">
        <f>SUMIFS('9NovTo15Nov'!$O:$O, '9NovTo15Nov'!$J:$J, $A218)</f>
        <v>0</v>
      </c>
      <c r="F218" s="121">
        <f>SUMIFS('9NovTo15Nov'!$P:$P, '9NovTo15Nov'!$J:$J, $A218)</f>
        <v>0</v>
      </c>
      <c r="G218" s="122">
        <f t="shared" si="0"/>
        <v>0</v>
      </c>
      <c r="H218" s="121">
        <f>SUMIFS('2NovTo8Nov'!$L:$L, '2NovTo8Nov'!$J:$J, $A218)</f>
        <v>0</v>
      </c>
      <c r="I218" s="121">
        <f>SUMIFS('2NovTo8Nov'!$K:$K, '2NovTo8Nov'!$J:$J, $A218)</f>
        <v>0</v>
      </c>
      <c r="J218" s="121">
        <f>SUMIFS('2NovTo8Nov'!$O:$O, '2NovTo8Nov'!$J:$J, $A218)</f>
        <v>0</v>
      </c>
      <c r="K218" s="121">
        <f>SUMIFS('2NovTo8Nov'!$P:$P, '2NovTo8Nov'!$J:$J, $A218)</f>
        <v>0</v>
      </c>
      <c r="L218" s="122">
        <f t="shared" si="1"/>
        <v>0</v>
      </c>
      <c r="M218" s="121">
        <f>SUMIFS('26OctTo1Nov'!$L:$L, '26OctTo1Nov'!$J:$J, $A218)</f>
        <v>0</v>
      </c>
      <c r="N218" s="121">
        <f>SUMIFS('26OctTo1Nov'!$K:$K, '26OctTo1Nov'!$J:$J, $A218)</f>
        <v>0</v>
      </c>
      <c r="O218" s="121">
        <f>SUMIFS('26OctTo1Nov'!$O:$O, '26OctTo1Nov'!$J:$J, $A218)</f>
        <v>0</v>
      </c>
      <c r="P218" s="121">
        <f>SUMIFS('26OctTo1Nov'!$P:$P, '26OctTo1Nov'!$J:$J, $A218)</f>
        <v>0</v>
      </c>
      <c r="Q218" s="122">
        <f t="shared" si="2"/>
        <v>0</v>
      </c>
      <c r="R218" s="121">
        <f>SUMIFS('19OctTo25Oct'!$L:$L, '19OctTo25Oct'!$J:$J, $A218)</f>
        <v>0</v>
      </c>
      <c r="S218" s="121">
        <f>SUMIFS('19OctTo25Oct'!$K:$K, '19OctTo25Oct'!$J:$J, $A218)</f>
        <v>0</v>
      </c>
      <c r="T218" s="121">
        <f>SUMIFS('19OctTo25Oct'!$O:$O, '19OctTo25Oct'!$J:$J, $A218)</f>
        <v>0</v>
      </c>
      <c r="U218" s="121">
        <f>SUMIFS('19OctTo25Oct'!$P:$P, '19OctTo25Oct'!$J:$J, $A218)</f>
        <v>0</v>
      </c>
      <c r="V218" s="122">
        <f t="shared" si="3"/>
        <v>0</v>
      </c>
      <c r="W218" s="121">
        <f>SUMIFS('12OctTo18Oct'!$L:$L, '12OctTo18Oct'!$J:$J, $A218)</f>
        <v>0</v>
      </c>
      <c r="X218" s="121">
        <f>SUMIFS('12OctTo18Oct'!$K:$K, '12OctTo18Oct'!$J:$J, $A218)</f>
        <v>0</v>
      </c>
      <c r="Y218" s="121">
        <f>SUMIFS('12OctTo18Oct'!$O:$O, '12OctTo18Oct'!$J:$J, $A218)</f>
        <v>0</v>
      </c>
      <c r="Z218" s="121">
        <f>SUMIFS('12OctTo18Oct'!$P:$P, '12OctTo18Oct'!$J:$J, $A218)</f>
        <v>0</v>
      </c>
      <c r="AA218" s="122">
        <f t="shared" si="4"/>
        <v>0</v>
      </c>
      <c r="AB218" s="121">
        <f>SUMIFS('5OctTo11Oct'!$L:$L, '5OctTo11Oct'!$J:$J, $A218)</f>
        <v>0</v>
      </c>
      <c r="AC218" s="121">
        <f>SUMIFS('5OctTo11Oct'!$K:$K, '5OctTo11Oct'!$J:$J, $A218)</f>
        <v>0</v>
      </c>
      <c r="AD218" s="121">
        <f>SUMIFS('5OctTo11Oct'!$O:$O, '5OctTo11Oct'!$J:$J, $A218)</f>
        <v>0</v>
      </c>
      <c r="AE218" s="121">
        <f>SUMIFS('5OctTo11Oct'!$P:$P, '5OctTo11Oct'!$J:$J, $A218)</f>
        <v>0</v>
      </c>
      <c r="AF218" s="123">
        <f t="shared" si="5"/>
        <v>0</v>
      </c>
      <c r="AG218" s="121">
        <f>SUMIFS('28SepTo4Oct'!$L:$L, '28SepTo4Oct'!$J:$J, $A218)</f>
        <v>0</v>
      </c>
      <c r="AH218" s="121">
        <f>SUMIFS('28SepTo4Oct'!$K:$K, '28SepTo4Oct'!$J:$J, $A218)</f>
        <v>0</v>
      </c>
      <c r="AI218" s="121">
        <f>SUMIFS('28SepTo4Oct'!$O:$O, '28SepTo4Oct'!$J:$J, $A218)</f>
        <v>0</v>
      </c>
      <c r="AJ218" s="121">
        <f>SUMIFS('28SepTo4Oct'!$P:$P, '28SepTo4Oct'!$J:$J, $A218)</f>
        <v>0</v>
      </c>
      <c r="AK218" s="123">
        <f t="shared" si="6"/>
        <v>0</v>
      </c>
      <c r="AL218" s="121">
        <f>SUMIFS('21SepTo27Sep'!$L:$L, '21SepTo27Sep'!$J:$J, $A218)</f>
        <v>0</v>
      </c>
      <c r="AM218" s="121">
        <f>SUMIFS('21SepTo27Sep'!$K:$K, '21SepTo27Sep'!$J:$J, $A218)</f>
        <v>0</v>
      </c>
      <c r="AN218" s="121">
        <f>SUMIFS('21SepTo27Sep'!$O:$O, '21SepTo27Sep'!$J:$J, $A218)</f>
        <v>0</v>
      </c>
      <c r="AO218" s="121">
        <f>SUMIFS('21SepTo27Sep'!$P:$P, '21SepTo27Sep'!$J:$J, $A218)</f>
        <v>0</v>
      </c>
      <c r="AP218" s="123">
        <f t="shared" si="7"/>
        <v>0</v>
      </c>
      <c r="AQ218" s="121">
        <f>SUMIFS('14SepTo20Sep'!$L:$L, '14SepTo20Sep'!$J:$J, $A218)</f>
        <v>0</v>
      </c>
      <c r="AR218" s="121">
        <f>SUMIFS('14SepTo20Sep'!$K:$K, '14SepTo20Sep'!$J:$J, $A218)</f>
        <v>0</v>
      </c>
      <c r="AS218" s="121">
        <f>SUMIFS('14SepTo20Sep'!$O:$O, '14SepTo20Sep'!$J:$J, $A218)</f>
        <v>0</v>
      </c>
      <c r="AT218" s="121">
        <f>SUMIFS('14SepTo20Sep'!$P:$P, '14SepTo20Sep'!$J:$J, $A218)</f>
        <v>0</v>
      </c>
      <c r="AU218" s="123">
        <f t="shared" si="8"/>
        <v>0</v>
      </c>
      <c r="AV218" s="121">
        <f>SUMIFS('7SepTo13Sep'!$L:$L, '7SepTo13Sep'!$J:$J, $A218)</f>
        <v>0</v>
      </c>
      <c r="AW218" s="121">
        <f>SUMIFS('7SepTo13Sep'!$K:$K, '7SepTo13Sep'!$J:$J, $A218)</f>
        <v>0</v>
      </c>
      <c r="AX218" s="121">
        <f>SUMIFS('7SepTo13Sep'!$O:$O, '7SepTo13Sep'!$J:$J, $A218)</f>
        <v>0</v>
      </c>
      <c r="AY218" s="121">
        <f>SUMIFS('7SepTo13Sep'!$P:$P, '7SepTo13Sep'!$J:$J, $A218)</f>
        <v>0</v>
      </c>
      <c r="AZ218" s="123">
        <f t="shared" si="9"/>
        <v>0</v>
      </c>
      <c r="BA218" s="121">
        <f>SUMIFS('31AugTo6Sep'!$L:$L, '31AugTo6Sep'!$J:$J, $A218)</f>
        <v>0</v>
      </c>
      <c r="BB218" s="121">
        <f>SUMIFS('31AugTo6Sep'!$K:$K, '31AugTo6Sep'!$J:$J, $A218)</f>
        <v>0</v>
      </c>
      <c r="BC218" s="121">
        <f>SUMIFS('31AugTo6Sep'!$O:$O, '31AugTo6Sep'!$J:$J, $A218)</f>
        <v>0</v>
      </c>
      <c r="BD218" s="121">
        <f>SUMIFS('31AugTo6Sep'!$P:$P, '31AugTo6Sep'!$J:$J, $A218)</f>
        <v>0</v>
      </c>
      <c r="BE218" s="123">
        <f t="shared" si="10"/>
        <v>0</v>
      </c>
      <c r="BF218" s="121">
        <f>SUMIFS('24AugTo29Aug'!$L:$L, '24AugTo29Aug'!$J:$J, $A218)</f>
        <v>0</v>
      </c>
      <c r="BG218" s="121">
        <f>SUMIFS('24AugTo29Aug'!$K:$K, '24AugTo29Aug'!$J:$J, $A218)</f>
        <v>0</v>
      </c>
      <c r="BH218" s="121">
        <f>SUMIFS('24AugTo29Aug'!$O:$O, '24AugTo29Aug'!$J:$J, $A218)</f>
        <v>0</v>
      </c>
      <c r="BI218" s="121">
        <f>SUMIFS('24AugTo29Aug'!$P:$P, '24AugTo29Aug'!$J:$J, $A218)</f>
        <v>0</v>
      </c>
      <c r="BJ218" s="123">
        <f t="shared" si="11"/>
        <v>0</v>
      </c>
      <c r="BK218" s="121">
        <f>SUMIFS('17AugTo21Aug'!$L:$L, '17AugTo21Aug'!$J:$J, $A218)</f>
        <v>0</v>
      </c>
      <c r="BL218" s="121">
        <f>SUMIFS('17AugTo21Aug'!$K:$K, '17AugTo21Aug'!$J:$J, $A218)</f>
        <v>0</v>
      </c>
      <c r="BM218" s="121">
        <f>SUMIFS('17AugTo21Aug'!$O:$O, '17AugTo21Aug'!$J:$J, $A218)</f>
        <v>0</v>
      </c>
      <c r="BN218" s="121">
        <f>SUMIFS('17AugTo21Aug'!$P:$P, '17AugTo21Aug'!$J:$J, $A218)</f>
        <v>0</v>
      </c>
      <c r="BO218" s="123">
        <f t="shared" si="12"/>
        <v>0</v>
      </c>
      <c r="BP218" s="121">
        <f>SUMIFS('10AugTo16Aug'!$L:$L, '10AugTo16Aug'!$J:$J, $A218)</f>
        <v>0</v>
      </c>
      <c r="BQ218" s="121">
        <f>SUMIFS('10AugTo16Aug'!$K:$K, '10AugTo16Aug'!$J:$J, $A218)</f>
        <v>0</v>
      </c>
      <c r="BR218" s="121">
        <f>SUMIFS('10AugTo16Aug'!$O:$O, '10AugTo16Aug'!$J:$J, $A218)</f>
        <v>0</v>
      </c>
      <c r="BS218" s="121">
        <f>SUMIFS('10AugTo16Aug'!$P:$P, '10AugTo16Aug'!$J:$J, $A218)</f>
        <v>0</v>
      </c>
      <c r="BT218" s="123">
        <f t="shared" si="13"/>
        <v>0</v>
      </c>
      <c r="BU218" s="121">
        <f>SUMIFS('3AugTo9Aug'!$L:$L, '3AugTo9Aug'!$J:$J, $A218)</f>
        <v>0</v>
      </c>
      <c r="BV218" s="121">
        <f>SUMIFS('3AugTo9Aug'!$K:$K, '3AugTo9Aug'!$J:$J, $A218)</f>
        <v>0</v>
      </c>
      <c r="BW218" s="121">
        <f>SUMIFS('3AugTo9Aug'!$O:$O, '3AugTo9Aug'!$J:$J, $A218)</f>
        <v>0</v>
      </c>
      <c r="BX218" s="121">
        <f>SUMIFS('3AugTo9Aug'!$P:$P, '3AugTo9Aug'!$J:$J, $A218)</f>
        <v>0</v>
      </c>
      <c r="BY218" s="123">
        <f t="shared" si="14"/>
        <v>0</v>
      </c>
      <c r="BZ218" s="121">
        <f>SUMIFS('27JulyTo2Aug'!$L:$L, '27JulyTo2Aug'!$J:$J, $A218)</f>
        <v>1</v>
      </c>
      <c r="CA218" s="121">
        <f>SUMIFS('27JulyTo2Aug'!$K:$K, '27JulyTo2Aug'!$J:$J, $A218)</f>
        <v>1</v>
      </c>
      <c r="CB218" s="121">
        <f>SUMIFS('27JulyTo2Aug'!$O:$O, '27JulyTo2Aug'!$J:$J, $A218)</f>
        <v>4.13</v>
      </c>
      <c r="CC218" s="121">
        <f>SUMIFS('27JulyTo2Aug'!$P:$P, '27JulyTo2Aug'!$J:$J, $A218)</f>
        <v>24.94</v>
      </c>
      <c r="CD218" s="123">
        <f t="shared" si="15"/>
        <v>16.559743384121891</v>
      </c>
    </row>
  </sheetData>
  <autoFilter ref="A2:CD218">
    <sortState ref="A2:CD218">
      <sortCondition descending="1" ref="M2:M218"/>
    </sortState>
  </autoFilter>
  <mergeCells count="16">
    <mergeCell ref="AB1:AF1"/>
    <mergeCell ref="AG1:AK1"/>
    <mergeCell ref="BU1:BY1"/>
    <mergeCell ref="BZ1:CD1"/>
    <mergeCell ref="AL1:AP1"/>
    <mergeCell ref="AQ1:AU1"/>
    <mergeCell ref="AV1:AZ1"/>
    <mergeCell ref="BA1:BE1"/>
    <mergeCell ref="BF1:BJ1"/>
    <mergeCell ref="BK1:BO1"/>
    <mergeCell ref="BP1:BT1"/>
    <mergeCell ref="C1:G1"/>
    <mergeCell ref="H1:L1"/>
    <mergeCell ref="M1:Q1"/>
    <mergeCell ref="R1:V1"/>
    <mergeCell ref="W1:AA1"/>
  </mergeCells>
  <conditionalFormatting sqref="F3:F218 K3:K218 P3:P218 U3:U218 Z3:Z218 AE3:AE218 AJ3:AJ218 AO3:AO218 AT3:AT218 AY3:AY218 BD3:BD218 BI3:BI218 BN3:BN218 BS3:BS218 BX3:BX218">
    <cfRule type="expression" dxfId="3" priority="1">
      <formula>AND(F3&lt;&gt;"", K3&lt;&gt;"", F3&gt;K3)</formula>
    </cfRule>
  </conditionalFormatting>
  <conditionalFormatting sqref="F3:F218 K3:K218 P3:P218 U3:U218 Z3:Z218 AE3:AE218 AJ3:AJ218 AO3:AO218 AT3:AT218 AY3:AY218 BD3:BD218 BI3:BI218 BN3:BN218 BS3:BS218 BX3:BX218">
    <cfRule type="expression" dxfId="2" priority="2">
      <formula>AND(F3&lt;&gt;"", K3&lt;&gt;"", F3&lt;K3)</formula>
    </cfRule>
  </conditionalFormatting>
  <conditionalFormatting sqref="G3:G218 L3:L218 Q3:Q218 V3:V218 AA3:AA218 AF3:AF218 AK3:AK218 AP3:AP218 AU3:AU218 AZ3:AZ218 BE3:BE218 BJ3:BJ218 BO3:BO218 BT3:BT218 BY3:BY218 CD3:CD218">
    <cfRule type="expression" dxfId="1" priority="3">
      <formula>AND(G3&lt;&gt;"", L3&lt;&gt;"", G3&lt;L3)</formula>
    </cfRule>
  </conditionalFormatting>
  <conditionalFormatting sqref="G3:G218 L3:L218 Q3:Q218 V3:V218 AA3:AA218 AF3:AF218 AK3:AK218 AP3:AP218 AU3:AU218 AZ3:AZ218 BE3:BE218 BJ3:BJ218 BO3:BO218 BT3:BT218 BY3:BY218 CD3:CD218">
    <cfRule type="expression" dxfId="0" priority="4">
      <formula>AND(G3&lt;&gt;"", L3&lt;&gt;"", G3&gt;L3)</formula>
    </cfRule>
  </conditionalFormatting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1" width="11.09765625" customWidth="1"/>
    <col min="2" max="2" width="10.8984375" customWidth="1"/>
    <col min="3" max="3" width="15.69921875" customWidth="1"/>
    <col min="4" max="4" width="10.19921875" customWidth="1"/>
    <col min="5" max="5" width="45.09765625" customWidth="1"/>
    <col min="6" max="6" width="23.3984375" customWidth="1"/>
    <col min="7" max="7" width="11" customWidth="1"/>
    <col min="8" max="8" width="26.69921875" customWidth="1"/>
    <col min="9" max="9" width="12.3984375" customWidth="1"/>
    <col min="10" max="10" width="32.59765625" customWidth="1"/>
    <col min="11" max="11" width="12.59765625" customWidth="1"/>
    <col min="12" max="12" width="10.59765625" customWidth="1"/>
    <col min="13" max="13" width="19.3984375" customWidth="1"/>
    <col min="14" max="14" width="18.09765625" customWidth="1"/>
    <col min="15" max="15" width="16.8984375" customWidth="1"/>
    <col min="16" max="16" width="15.09765625" customWidth="1"/>
    <col min="17" max="17" width="31.8984375" customWidth="1"/>
    <col min="18" max="18" width="35.09765625" customWidth="1"/>
    <col min="19" max="19" width="34.69921875" customWidth="1"/>
    <col min="20" max="20" width="19.09765625" customWidth="1"/>
    <col min="21" max="21" width="17.8984375" customWidth="1"/>
    <col min="22" max="22" width="19.3984375" customWidth="1"/>
    <col min="23" max="23" width="26.19921875" customWidth="1"/>
    <col min="24" max="24" width="22.09765625" customWidth="1"/>
    <col min="25" max="25" width="23.69921875" customWidth="1"/>
  </cols>
  <sheetData>
    <row r="1" spans="1:25" ht="14.4" x14ac:dyDescent="0.3">
      <c r="A1" s="136" t="s">
        <v>0</v>
      </c>
      <c r="B1" s="137" t="s">
        <v>1</v>
      </c>
      <c r="C1" s="137" t="s">
        <v>2</v>
      </c>
      <c r="D1" s="137" t="s">
        <v>3</v>
      </c>
      <c r="E1" s="137" t="s">
        <v>4</v>
      </c>
      <c r="F1" s="137" t="s">
        <v>5</v>
      </c>
      <c r="G1" s="137" t="s">
        <v>6</v>
      </c>
      <c r="H1" s="137" t="s">
        <v>7</v>
      </c>
      <c r="I1" s="137" t="s">
        <v>8</v>
      </c>
      <c r="J1" s="137" t="s">
        <v>9</v>
      </c>
      <c r="K1" s="137" t="s">
        <v>10</v>
      </c>
      <c r="L1" s="137" t="s">
        <v>11</v>
      </c>
      <c r="M1" s="137" t="s">
        <v>12</v>
      </c>
      <c r="N1" s="138" t="s">
        <v>13</v>
      </c>
      <c r="O1" s="138" t="s">
        <v>14</v>
      </c>
      <c r="P1" s="138" t="s">
        <v>15</v>
      </c>
      <c r="Q1" s="138" t="s">
        <v>16</v>
      </c>
      <c r="R1" s="137" t="s">
        <v>17</v>
      </c>
      <c r="S1" s="137" t="s">
        <v>18</v>
      </c>
      <c r="T1" s="137" t="s">
        <v>19</v>
      </c>
      <c r="U1" s="137" t="s">
        <v>20</v>
      </c>
      <c r="V1" s="137" t="s">
        <v>21</v>
      </c>
      <c r="W1" s="137" t="s">
        <v>22</v>
      </c>
      <c r="X1" s="137" t="s">
        <v>23</v>
      </c>
      <c r="Y1" s="139" t="s">
        <v>24</v>
      </c>
    </row>
    <row r="2" spans="1:25" ht="14.4" x14ac:dyDescent="0.3">
      <c r="A2" s="4">
        <v>45976</v>
      </c>
      <c r="B2" s="4">
        <v>45976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30</v>
      </c>
      <c r="I2" s="5" t="s">
        <v>32</v>
      </c>
      <c r="J2" s="5" t="s">
        <v>33</v>
      </c>
      <c r="K2" s="6">
        <v>1</v>
      </c>
      <c r="L2" s="7">
        <v>1</v>
      </c>
      <c r="M2" s="8">
        <v>1</v>
      </c>
      <c r="N2" s="9" t="s">
        <v>34</v>
      </c>
      <c r="O2" s="9">
        <v>2.83</v>
      </c>
      <c r="P2" s="9">
        <v>24.94</v>
      </c>
      <c r="Q2" s="9">
        <v>11.35</v>
      </c>
      <c r="R2" s="6">
        <v>8.81</v>
      </c>
      <c r="S2" s="9">
        <v>1</v>
      </c>
      <c r="T2" s="7">
        <v>1</v>
      </c>
      <c r="U2" s="8">
        <v>1</v>
      </c>
      <c r="V2" s="6">
        <v>1</v>
      </c>
      <c r="W2" s="7">
        <v>0</v>
      </c>
      <c r="X2" s="7" t="s">
        <v>35</v>
      </c>
      <c r="Y2" s="10" t="s">
        <v>36</v>
      </c>
    </row>
    <row r="3" spans="1:25" ht="14.4" x14ac:dyDescent="0.3">
      <c r="A3" s="4">
        <v>45975</v>
      </c>
      <c r="B3" s="4">
        <v>45975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30</v>
      </c>
      <c r="I3" s="5" t="s">
        <v>32</v>
      </c>
      <c r="J3" s="5" t="s">
        <v>37</v>
      </c>
      <c r="K3" s="6">
        <v>1</v>
      </c>
      <c r="L3" s="7">
        <v>1</v>
      </c>
      <c r="M3" s="8">
        <v>1</v>
      </c>
      <c r="N3" s="9" t="s">
        <v>38</v>
      </c>
      <c r="O3" s="9">
        <v>4.4800000000000004</v>
      </c>
      <c r="P3" s="9">
        <v>24.94</v>
      </c>
      <c r="Q3" s="9">
        <v>17.96</v>
      </c>
      <c r="R3" s="6">
        <v>5.57</v>
      </c>
      <c r="S3" s="9">
        <v>1</v>
      </c>
      <c r="T3" s="7">
        <v>1</v>
      </c>
      <c r="U3" s="8">
        <v>1</v>
      </c>
      <c r="V3" s="6">
        <v>1</v>
      </c>
      <c r="W3" s="7">
        <v>0</v>
      </c>
      <c r="X3" s="7" t="s">
        <v>35</v>
      </c>
      <c r="Y3" s="10" t="s">
        <v>36</v>
      </c>
    </row>
    <row r="4" spans="1:25" ht="14.4" x14ac:dyDescent="0.3">
      <c r="A4" s="4">
        <v>45975</v>
      </c>
      <c r="B4" s="4">
        <v>45975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30</v>
      </c>
      <c r="I4" s="5" t="s">
        <v>32</v>
      </c>
      <c r="J4" s="5" t="s">
        <v>39</v>
      </c>
      <c r="K4" s="6">
        <v>2</v>
      </c>
      <c r="L4" s="7">
        <v>1</v>
      </c>
      <c r="M4" s="8">
        <v>0.5</v>
      </c>
      <c r="N4" s="9" t="s">
        <v>38</v>
      </c>
      <c r="O4" s="9">
        <v>4.4800000000000004</v>
      </c>
      <c r="P4" s="9">
        <v>24.94</v>
      </c>
      <c r="Q4" s="9">
        <v>17.96</v>
      </c>
      <c r="R4" s="6">
        <v>5.57</v>
      </c>
      <c r="S4" s="9">
        <v>1</v>
      </c>
      <c r="T4" s="7">
        <v>1</v>
      </c>
      <c r="U4" s="8">
        <v>1</v>
      </c>
      <c r="V4" s="6">
        <v>1</v>
      </c>
      <c r="W4" s="7">
        <v>0</v>
      </c>
      <c r="X4" s="7" t="s">
        <v>35</v>
      </c>
      <c r="Y4" s="10" t="s">
        <v>36</v>
      </c>
    </row>
    <row r="5" spans="1:25" ht="14.4" x14ac:dyDescent="0.3">
      <c r="A5" s="4">
        <v>45975</v>
      </c>
      <c r="B5" s="4">
        <v>45975</v>
      </c>
      <c r="C5" s="5" t="s">
        <v>40</v>
      </c>
      <c r="D5" s="5" t="s">
        <v>28</v>
      </c>
      <c r="E5" s="5" t="s">
        <v>41</v>
      </c>
      <c r="F5" s="5" t="s">
        <v>42</v>
      </c>
      <c r="G5" s="5" t="s">
        <v>31</v>
      </c>
      <c r="H5" s="5" t="s">
        <v>43</v>
      </c>
      <c r="I5" s="5" t="s">
        <v>44</v>
      </c>
      <c r="J5" s="5" t="s">
        <v>45</v>
      </c>
      <c r="K5" s="6">
        <v>1</v>
      </c>
      <c r="L5" s="7">
        <v>1</v>
      </c>
      <c r="M5" s="8">
        <v>1</v>
      </c>
      <c r="N5" s="9" t="s">
        <v>46</v>
      </c>
      <c r="O5" s="9">
        <v>3.19</v>
      </c>
      <c r="P5" s="9">
        <v>99.76</v>
      </c>
      <c r="Q5" s="9">
        <v>3.2</v>
      </c>
      <c r="R5" s="6">
        <v>31.27</v>
      </c>
      <c r="S5" s="9">
        <v>1</v>
      </c>
      <c r="T5" s="7">
        <v>4</v>
      </c>
      <c r="U5" s="8">
        <v>1</v>
      </c>
      <c r="V5" s="6">
        <v>4</v>
      </c>
      <c r="W5" s="7">
        <v>0</v>
      </c>
      <c r="X5" s="7" t="s">
        <v>47</v>
      </c>
      <c r="Y5" s="10" t="s">
        <v>36</v>
      </c>
    </row>
    <row r="6" spans="1:25" ht="14.4" x14ac:dyDescent="0.3">
      <c r="A6" s="4">
        <v>45975</v>
      </c>
      <c r="B6" s="4">
        <v>45975</v>
      </c>
      <c r="C6" s="5" t="s">
        <v>48</v>
      </c>
      <c r="D6" s="5" t="s">
        <v>28</v>
      </c>
      <c r="E6" s="5" t="s">
        <v>49</v>
      </c>
      <c r="F6" s="5" t="s">
        <v>50</v>
      </c>
      <c r="G6" s="5" t="s">
        <v>31</v>
      </c>
      <c r="H6" s="5" t="s">
        <v>51</v>
      </c>
      <c r="I6" s="5" t="s">
        <v>52</v>
      </c>
      <c r="J6" s="5" t="s">
        <v>53</v>
      </c>
      <c r="K6" s="6">
        <v>1</v>
      </c>
      <c r="L6" s="7">
        <v>1</v>
      </c>
      <c r="M6" s="8">
        <v>1</v>
      </c>
      <c r="N6" s="9" t="s">
        <v>54</v>
      </c>
      <c r="O6" s="9">
        <v>2.67</v>
      </c>
      <c r="P6" s="9">
        <v>21.9</v>
      </c>
      <c r="Q6" s="9">
        <v>12.19</v>
      </c>
      <c r="R6" s="6">
        <v>8.1999999999999993</v>
      </c>
      <c r="S6" s="9">
        <v>1</v>
      </c>
      <c r="T6" s="7">
        <v>1</v>
      </c>
      <c r="U6" s="8">
        <v>1</v>
      </c>
      <c r="V6" s="6">
        <v>1</v>
      </c>
      <c r="W6" s="7">
        <v>0</v>
      </c>
      <c r="X6" s="7" t="s">
        <v>55</v>
      </c>
      <c r="Y6" s="10" t="s">
        <v>36</v>
      </c>
    </row>
    <row r="7" spans="1:25" ht="14.4" x14ac:dyDescent="0.3">
      <c r="A7" s="4">
        <v>45975</v>
      </c>
      <c r="B7" s="4">
        <v>45975</v>
      </c>
      <c r="C7" s="5" t="s">
        <v>27</v>
      </c>
      <c r="D7" s="5" t="s">
        <v>28</v>
      </c>
      <c r="E7" s="5" t="s">
        <v>56</v>
      </c>
      <c r="F7" s="5" t="s">
        <v>57</v>
      </c>
      <c r="G7" s="5" t="s">
        <v>31</v>
      </c>
      <c r="H7" s="12" t="e">
        <f>+maca +root</f>
        <v>#NAME?</v>
      </c>
      <c r="I7" s="5" t="s">
        <v>32</v>
      </c>
      <c r="J7" s="5" t="s">
        <v>58</v>
      </c>
      <c r="K7" s="6">
        <v>1</v>
      </c>
      <c r="L7" s="7">
        <v>1</v>
      </c>
      <c r="M7" s="8">
        <v>1</v>
      </c>
      <c r="N7" s="9" t="s">
        <v>59</v>
      </c>
      <c r="O7" s="9">
        <v>4.3499999999999996</v>
      </c>
      <c r="P7" s="9">
        <v>24.94</v>
      </c>
      <c r="Q7" s="9">
        <v>17.440000000000001</v>
      </c>
      <c r="R7" s="6">
        <v>5.73</v>
      </c>
      <c r="S7" s="9">
        <v>1</v>
      </c>
      <c r="T7" s="7">
        <v>1</v>
      </c>
      <c r="U7" s="8">
        <v>1</v>
      </c>
      <c r="V7" s="6">
        <v>1</v>
      </c>
      <c r="W7" s="7">
        <v>0</v>
      </c>
      <c r="X7" s="7" t="s">
        <v>35</v>
      </c>
      <c r="Y7" s="10" t="s">
        <v>36</v>
      </c>
    </row>
    <row r="8" spans="1:25" ht="14.4" x14ac:dyDescent="0.3">
      <c r="A8" s="4">
        <v>45974</v>
      </c>
      <c r="B8" s="4">
        <v>45975</v>
      </c>
      <c r="C8" s="5" t="s">
        <v>40</v>
      </c>
      <c r="D8" s="5" t="s">
        <v>28</v>
      </c>
      <c r="E8" s="5" t="s">
        <v>41</v>
      </c>
      <c r="F8" s="5" t="s">
        <v>42</v>
      </c>
      <c r="G8" s="5" t="s">
        <v>31</v>
      </c>
      <c r="H8" s="5" t="s">
        <v>43</v>
      </c>
      <c r="I8" s="5" t="s">
        <v>44</v>
      </c>
      <c r="J8" s="5" t="s">
        <v>60</v>
      </c>
      <c r="K8" s="6">
        <v>17</v>
      </c>
      <c r="L8" s="7">
        <v>2</v>
      </c>
      <c r="M8" s="8">
        <v>0.117647</v>
      </c>
      <c r="N8" s="9" t="s">
        <v>61</v>
      </c>
      <c r="O8" s="9">
        <v>5.35</v>
      </c>
      <c r="P8" s="9">
        <v>24.94</v>
      </c>
      <c r="Q8" s="9">
        <v>21.45</v>
      </c>
      <c r="R8" s="6">
        <v>4.66</v>
      </c>
      <c r="S8" s="9">
        <v>1</v>
      </c>
      <c r="T8" s="7">
        <v>1</v>
      </c>
      <c r="U8" s="8">
        <v>0.5</v>
      </c>
      <c r="V8" s="6">
        <v>1</v>
      </c>
      <c r="W8" s="7">
        <v>0</v>
      </c>
      <c r="X8" s="7" t="s">
        <v>35</v>
      </c>
      <c r="Y8" s="10" t="s">
        <v>36</v>
      </c>
    </row>
    <row r="9" spans="1:25" ht="14.4" x14ac:dyDescent="0.3">
      <c r="A9" s="4">
        <v>45974</v>
      </c>
      <c r="B9" s="4">
        <v>45974</v>
      </c>
      <c r="C9" s="5" t="s">
        <v>48</v>
      </c>
      <c r="D9" s="5" t="s">
        <v>28</v>
      </c>
      <c r="E9" s="5" t="s">
        <v>62</v>
      </c>
      <c r="F9" s="5" t="s">
        <v>63</v>
      </c>
      <c r="G9" s="5" t="s">
        <v>31</v>
      </c>
      <c r="H9" s="5" t="s">
        <v>64</v>
      </c>
      <c r="I9" s="5" t="s">
        <v>65</v>
      </c>
      <c r="J9" s="5" t="s">
        <v>64</v>
      </c>
      <c r="K9" s="6">
        <v>1</v>
      </c>
      <c r="L9" s="7">
        <v>1</v>
      </c>
      <c r="M9" s="8">
        <v>1</v>
      </c>
      <c r="N9" s="9" t="s">
        <v>66</v>
      </c>
      <c r="O9" s="9">
        <v>2.97</v>
      </c>
      <c r="P9" s="9">
        <v>43.8</v>
      </c>
      <c r="Q9" s="9">
        <v>6.78</v>
      </c>
      <c r="R9" s="6">
        <v>14.75</v>
      </c>
      <c r="S9" s="9">
        <v>1</v>
      </c>
      <c r="T9" s="7">
        <v>2</v>
      </c>
      <c r="U9" s="8">
        <v>1</v>
      </c>
      <c r="V9" s="6">
        <v>2</v>
      </c>
      <c r="W9" s="7">
        <v>0</v>
      </c>
      <c r="X9" s="7" t="s">
        <v>67</v>
      </c>
      <c r="Y9" s="10" t="s">
        <v>36</v>
      </c>
    </row>
    <row r="10" spans="1:25" ht="14.4" x14ac:dyDescent="0.3">
      <c r="A10" s="4">
        <v>45973</v>
      </c>
      <c r="B10" s="4">
        <v>45973</v>
      </c>
      <c r="C10" s="5" t="s">
        <v>48</v>
      </c>
      <c r="D10" s="5" t="s">
        <v>28</v>
      </c>
      <c r="E10" s="5" t="s">
        <v>62</v>
      </c>
      <c r="F10" s="5" t="s">
        <v>63</v>
      </c>
      <c r="G10" s="5" t="s">
        <v>31</v>
      </c>
      <c r="H10" s="5" t="s">
        <v>68</v>
      </c>
      <c r="I10" s="5" t="s">
        <v>65</v>
      </c>
      <c r="J10" s="5" t="s">
        <v>69</v>
      </c>
      <c r="K10" s="6">
        <v>16</v>
      </c>
      <c r="L10" s="7">
        <v>2</v>
      </c>
      <c r="M10" s="8">
        <v>0.125</v>
      </c>
      <c r="N10" s="9" t="s">
        <v>70</v>
      </c>
      <c r="O10" s="9">
        <v>8.77</v>
      </c>
      <c r="P10" s="9">
        <v>21.9</v>
      </c>
      <c r="Q10" s="9">
        <v>40.049999999999997</v>
      </c>
      <c r="R10" s="6">
        <v>2.5</v>
      </c>
      <c r="S10" s="9">
        <v>1</v>
      </c>
      <c r="T10" s="7">
        <v>1</v>
      </c>
      <c r="U10" s="8">
        <v>0.5</v>
      </c>
      <c r="V10" s="6">
        <v>1</v>
      </c>
      <c r="W10" s="7">
        <v>0</v>
      </c>
      <c r="X10" s="7" t="s">
        <v>55</v>
      </c>
      <c r="Y10" s="10" t="s">
        <v>36</v>
      </c>
    </row>
    <row r="11" spans="1:25" ht="14.4" x14ac:dyDescent="0.3">
      <c r="A11" s="4">
        <v>45973</v>
      </c>
      <c r="B11" s="4">
        <v>45974</v>
      </c>
      <c r="C11" s="5" t="s">
        <v>27</v>
      </c>
      <c r="D11" s="5" t="s">
        <v>28</v>
      </c>
      <c r="E11" s="5" t="s">
        <v>71</v>
      </c>
      <c r="F11" s="5" t="s">
        <v>72</v>
      </c>
      <c r="G11" s="5" t="s">
        <v>31</v>
      </c>
      <c r="H11" s="5" t="s">
        <v>73</v>
      </c>
      <c r="I11" s="5" t="s">
        <v>52</v>
      </c>
      <c r="J11" s="5" t="s">
        <v>74</v>
      </c>
      <c r="K11" s="6">
        <v>17</v>
      </c>
      <c r="L11" s="7">
        <v>3</v>
      </c>
      <c r="M11" s="8">
        <v>0.17647099999999999</v>
      </c>
      <c r="N11" s="9" t="s">
        <v>75</v>
      </c>
      <c r="O11" s="9">
        <v>10.81</v>
      </c>
      <c r="P11" s="9">
        <v>24.94</v>
      </c>
      <c r="Q11" s="9">
        <v>43.34</v>
      </c>
      <c r="R11" s="6">
        <v>2.31</v>
      </c>
      <c r="S11" s="9">
        <v>1</v>
      </c>
      <c r="T11" s="7">
        <v>1</v>
      </c>
      <c r="U11" s="8">
        <v>0.33333299999999999</v>
      </c>
      <c r="V11" s="6">
        <v>1</v>
      </c>
      <c r="W11" s="7">
        <v>0</v>
      </c>
      <c r="X11" s="7" t="s">
        <v>35</v>
      </c>
      <c r="Y11" s="10" t="s">
        <v>36</v>
      </c>
    </row>
    <row r="12" spans="1:25" ht="14.4" x14ac:dyDescent="0.3">
      <c r="A12" s="4">
        <v>45973</v>
      </c>
      <c r="B12" s="4">
        <v>45974</v>
      </c>
      <c r="C12" s="5" t="s">
        <v>27</v>
      </c>
      <c r="D12" s="5" t="s">
        <v>28</v>
      </c>
      <c r="E12" s="5" t="s">
        <v>56</v>
      </c>
      <c r="F12" s="5" t="s">
        <v>57</v>
      </c>
      <c r="G12" s="5" t="s">
        <v>31</v>
      </c>
      <c r="H12" s="12" t="e">
        <f>+maca +root</f>
        <v>#NAME?</v>
      </c>
      <c r="I12" s="5" t="s">
        <v>32</v>
      </c>
      <c r="J12" s="5" t="s">
        <v>76</v>
      </c>
      <c r="K12" s="6">
        <v>172</v>
      </c>
      <c r="L12" s="7">
        <v>2</v>
      </c>
      <c r="M12" s="8">
        <v>1.1627999999999999E-2</v>
      </c>
      <c r="N12" s="9" t="s">
        <v>77</v>
      </c>
      <c r="O12" s="9">
        <v>7.64</v>
      </c>
      <c r="P12" s="9">
        <v>49.88</v>
      </c>
      <c r="Q12" s="9">
        <v>15.32</v>
      </c>
      <c r="R12" s="6">
        <v>6.53</v>
      </c>
      <c r="S12" s="9">
        <v>2</v>
      </c>
      <c r="T12" s="7">
        <v>2</v>
      </c>
      <c r="U12" s="8">
        <v>1</v>
      </c>
      <c r="V12" s="6">
        <v>2</v>
      </c>
      <c r="W12" s="7">
        <v>0</v>
      </c>
      <c r="X12" s="7" t="s">
        <v>78</v>
      </c>
      <c r="Y12" s="10" t="s">
        <v>36</v>
      </c>
    </row>
    <row r="13" spans="1:25" ht="14.4" x14ac:dyDescent="0.3">
      <c r="A13" s="4">
        <v>45972</v>
      </c>
      <c r="B13" s="4">
        <v>45972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30</v>
      </c>
      <c r="I13" s="5" t="s">
        <v>32</v>
      </c>
      <c r="J13" s="5" t="s">
        <v>79</v>
      </c>
      <c r="K13" s="6">
        <v>154</v>
      </c>
      <c r="L13" s="7">
        <v>2</v>
      </c>
      <c r="M13" s="8">
        <v>1.2987E-2</v>
      </c>
      <c r="N13" s="9" t="s">
        <v>80</v>
      </c>
      <c r="O13" s="9">
        <v>2.92</v>
      </c>
      <c r="P13" s="9">
        <v>24.94</v>
      </c>
      <c r="Q13" s="9">
        <v>11.71</v>
      </c>
      <c r="R13" s="6">
        <v>8.5399999999999991</v>
      </c>
      <c r="S13" s="9">
        <v>1</v>
      </c>
      <c r="T13" s="7">
        <v>1</v>
      </c>
      <c r="U13" s="8">
        <v>0.5</v>
      </c>
      <c r="V13" s="6">
        <v>1</v>
      </c>
      <c r="W13" s="7">
        <v>0</v>
      </c>
      <c r="X13" s="7" t="s">
        <v>35</v>
      </c>
      <c r="Y13" s="10" t="s">
        <v>36</v>
      </c>
    </row>
    <row r="14" spans="1:25" ht="14.4" x14ac:dyDescent="0.3">
      <c r="A14" s="4">
        <v>45972</v>
      </c>
      <c r="B14" s="4">
        <v>45972</v>
      </c>
      <c r="C14" s="5" t="s">
        <v>27</v>
      </c>
      <c r="D14" s="5" t="s">
        <v>28</v>
      </c>
      <c r="E14" s="5" t="s">
        <v>56</v>
      </c>
      <c r="F14" s="5" t="s">
        <v>57</v>
      </c>
      <c r="G14" s="5" t="s">
        <v>31</v>
      </c>
      <c r="H14" s="12" t="e">
        <f t="shared" ref="H14:H15" si="0">+maca +root</f>
        <v>#NAME?</v>
      </c>
      <c r="I14" s="5" t="s">
        <v>32</v>
      </c>
      <c r="J14" s="5" t="s">
        <v>81</v>
      </c>
      <c r="K14" s="6">
        <v>6</v>
      </c>
      <c r="L14" s="7">
        <v>1</v>
      </c>
      <c r="M14" s="8">
        <v>0.16666700000000001</v>
      </c>
      <c r="N14" s="9" t="s">
        <v>82</v>
      </c>
      <c r="O14" s="9">
        <v>2.0699999999999998</v>
      </c>
      <c r="P14" s="9">
        <v>24.94</v>
      </c>
      <c r="Q14" s="9">
        <v>8.3000000000000007</v>
      </c>
      <c r="R14" s="6">
        <v>12.05</v>
      </c>
      <c r="S14" s="9">
        <v>1</v>
      </c>
      <c r="T14" s="7">
        <v>1</v>
      </c>
      <c r="U14" s="8">
        <v>1</v>
      </c>
      <c r="V14" s="6">
        <v>1</v>
      </c>
      <c r="W14" s="7">
        <v>0</v>
      </c>
      <c r="X14" s="7" t="s">
        <v>35</v>
      </c>
      <c r="Y14" s="10" t="s">
        <v>36</v>
      </c>
    </row>
    <row r="15" spans="1:25" ht="14.4" x14ac:dyDescent="0.3">
      <c r="A15" s="4">
        <v>45972</v>
      </c>
      <c r="B15" s="4">
        <v>45972</v>
      </c>
      <c r="C15" s="5" t="s">
        <v>27</v>
      </c>
      <c r="D15" s="5" t="s">
        <v>28</v>
      </c>
      <c r="E15" s="5" t="s">
        <v>56</v>
      </c>
      <c r="F15" s="5" t="s">
        <v>57</v>
      </c>
      <c r="G15" s="5" t="s">
        <v>31</v>
      </c>
      <c r="H15" s="12" t="e">
        <f t="shared" si="0"/>
        <v>#NAME?</v>
      </c>
      <c r="I15" s="5" t="s">
        <v>32</v>
      </c>
      <c r="J15" s="5" t="s">
        <v>83</v>
      </c>
      <c r="K15" s="6">
        <v>2</v>
      </c>
      <c r="L15" s="7">
        <v>1</v>
      </c>
      <c r="M15" s="8">
        <v>0.5</v>
      </c>
      <c r="N15" s="9" t="s">
        <v>84</v>
      </c>
      <c r="O15" s="9">
        <v>4.26</v>
      </c>
      <c r="P15" s="9">
        <v>24.94</v>
      </c>
      <c r="Q15" s="9">
        <v>17.079999999999998</v>
      </c>
      <c r="R15" s="6">
        <v>5.85</v>
      </c>
      <c r="S15" s="9">
        <v>1</v>
      </c>
      <c r="T15" s="7">
        <v>1</v>
      </c>
      <c r="U15" s="8">
        <v>1</v>
      </c>
      <c r="V15" s="6">
        <v>1</v>
      </c>
      <c r="W15" s="7">
        <v>0</v>
      </c>
      <c r="X15" s="7" t="s">
        <v>35</v>
      </c>
      <c r="Y15" s="10" t="s">
        <v>36</v>
      </c>
    </row>
    <row r="16" spans="1:25" ht="14.4" x14ac:dyDescent="0.3">
      <c r="A16" s="4">
        <v>45972</v>
      </c>
      <c r="B16" s="4">
        <v>45972</v>
      </c>
      <c r="C16" s="5" t="s">
        <v>85</v>
      </c>
      <c r="D16" s="5" t="s">
        <v>28</v>
      </c>
      <c r="E16" s="5" t="s">
        <v>86</v>
      </c>
      <c r="F16" s="5" t="s">
        <v>87</v>
      </c>
      <c r="G16" s="5" t="s">
        <v>31</v>
      </c>
      <c r="H16" s="5" t="s">
        <v>88</v>
      </c>
      <c r="I16" s="5" t="s">
        <v>44</v>
      </c>
      <c r="J16" s="5" t="s">
        <v>89</v>
      </c>
      <c r="K16" s="6">
        <v>8</v>
      </c>
      <c r="L16" s="7">
        <v>2</v>
      </c>
      <c r="M16" s="8">
        <v>0.25</v>
      </c>
      <c r="N16" s="9" t="s">
        <v>90</v>
      </c>
      <c r="O16" s="9">
        <v>6.81</v>
      </c>
      <c r="P16" s="9">
        <v>21.9</v>
      </c>
      <c r="Q16" s="9">
        <v>31.1</v>
      </c>
      <c r="R16" s="6">
        <v>3.22</v>
      </c>
      <c r="S16" s="9">
        <v>1</v>
      </c>
      <c r="T16" s="7">
        <v>1</v>
      </c>
      <c r="U16" s="8">
        <v>0.5</v>
      </c>
      <c r="V16" s="6">
        <v>1</v>
      </c>
      <c r="W16" s="7">
        <v>0</v>
      </c>
      <c r="X16" s="7" t="s">
        <v>55</v>
      </c>
      <c r="Y16" s="10" t="s">
        <v>36</v>
      </c>
    </row>
    <row r="17" spans="1:25" ht="14.4" x14ac:dyDescent="0.3">
      <c r="A17" s="4">
        <v>45972</v>
      </c>
      <c r="B17" s="4">
        <v>45976</v>
      </c>
      <c r="C17" s="5" t="s">
        <v>85</v>
      </c>
      <c r="D17" s="5" t="s">
        <v>28</v>
      </c>
      <c r="E17" s="5" t="s">
        <v>86</v>
      </c>
      <c r="F17" s="5" t="s">
        <v>87</v>
      </c>
      <c r="G17" s="5" t="s">
        <v>31</v>
      </c>
      <c r="H17" s="5" t="s">
        <v>87</v>
      </c>
      <c r="I17" s="5" t="s">
        <v>44</v>
      </c>
      <c r="J17" s="5" t="s">
        <v>87</v>
      </c>
      <c r="K17" s="6">
        <v>37</v>
      </c>
      <c r="L17" s="7">
        <v>4</v>
      </c>
      <c r="M17" s="8">
        <v>0.108108</v>
      </c>
      <c r="N17" s="9" t="s">
        <v>91</v>
      </c>
      <c r="O17" s="9">
        <v>18.14</v>
      </c>
      <c r="P17" s="9">
        <v>21.9</v>
      </c>
      <c r="Q17" s="9">
        <v>82.83</v>
      </c>
      <c r="R17" s="6">
        <v>1.21</v>
      </c>
      <c r="S17" s="9">
        <v>1</v>
      </c>
      <c r="T17" s="7">
        <v>1</v>
      </c>
      <c r="U17" s="8">
        <v>0.25</v>
      </c>
      <c r="V17" s="6">
        <v>1</v>
      </c>
      <c r="W17" s="7">
        <v>0</v>
      </c>
      <c r="X17" s="7" t="s">
        <v>55</v>
      </c>
      <c r="Y17" s="10" t="s">
        <v>36</v>
      </c>
    </row>
    <row r="18" spans="1:25" ht="14.4" x14ac:dyDescent="0.3">
      <c r="A18" s="4">
        <v>45972</v>
      </c>
      <c r="B18" s="4">
        <v>45976</v>
      </c>
      <c r="C18" s="5" t="s">
        <v>48</v>
      </c>
      <c r="D18" s="5" t="s">
        <v>28</v>
      </c>
      <c r="E18" s="5" t="s">
        <v>62</v>
      </c>
      <c r="F18" s="5" t="s">
        <v>63</v>
      </c>
      <c r="G18" s="5" t="s">
        <v>31</v>
      </c>
      <c r="H18" s="5" t="s">
        <v>88</v>
      </c>
      <c r="I18" s="5" t="s">
        <v>65</v>
      </c>
      <c r="J18" s="5" t="s">
        <v>88</v>
      </c>
      <c r="K18" s="6">
        <v>12</v>
      </c>
      <c r="L18" s="7">
        <v>2</v>
      </c>
      <c r="M18" s="8">
        <v>0.16666700000000001</v>
      </c>
      <c r="N18" s="9" t="s">
        <v>92</v>
      </c>
      <c r="O18" s="9">
        <v>6.07</v>
      </c>
      <c r="P18" s="9">
        <v>21.9</v>
      </c>
      <c r="Q18" s="9">
        <v>27.72</v>
      </c>
      <c r="R18" s="6">
        <v>3.61</v>
      </c>
      <c r="S18" s="9">
        <v>1</v>
      </c>
      <c r="T18" s="7">
        <v>1</v>
      </c>
      <c r="U18" s="8">
        <v>0.5</v>
      </c>
      <c r="V18" s="6">
        <v>1</v>
      </c>
      <c r="W18" s="7">
        <v>0</v>
      </c>
      <c r="X18" s="7" t="s">
        <v>55</v>
      </c>
      <c r="Y18" s="10" t="s">
        <v>36</v>
      </c>
    </row>
    <row r="19" spans="1:25" ht="14.4" x14ac:dyDescent="0.3">
      <c r="A19" s="4">
        <v>45971</v>
      </c>
      <c r="B19" s="4">
        <v>45976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30</v>
      </c>
      <c r="I19" s="5" t="s">
        <v>32</v>
      </c>
      <c r="J19" s="5" t="s">
        <v>30</v>
      </c>
      <c r="K19" s="6">
        <v>319</v>
      </c>
      <c r="L19" s="7">
        <v>5</v>
      </c>
      <c r="M19" s="8">
        <v>1.5674E-2</v>
      </c>
      <c r="N19" s="9" t="s">
        <v>61</v>
      </c>
      <c r="O19" s="9">
        <v>13.4</v>
      </c>
      <c r="P19" s="9">
        <v>74.819999999999993</v>
      </c>
      <c r="Q19" s="9">
        <v>17.91</v>
      </c>
      <c r="R19" s="6">
        <v>5.58</v>
      </c>
      <c r="S19" s="9">
        <v>3</v>
      </c>
      <c r="T19" s="7">
        <v>3</v>
      </c>
      <c r="U19" s="8">
        <v>0.6</v>
      </c>
      <c r="V19" s="6">
        <v>3</v>
      </c>
      <c r="W19" s="7">
        <v>0</v>
      </c>
      <c r="X19" s="7" t="s">
        <v>93</v>
      </c>
      <c r="Y19" s="10" t="s">
        <v>36</v>
      </c>
    </row>
    <row r="20" spans="1:25" ht="14.4" x14ac:dyDescent="0.3">
      <c r="A20" s="4">
        <v>45971</v>
      </c>
      <c r="B20" s="4">
        <v>45971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30</v>
      </c>
      <c r="I20" s="5" t="s">
        <v>32</v>
      </c>
      <c r="J20" s="5" t="s">
        <v>94</v>
      </c>
      <c r="K20" s="6">
        <v>3</v>
      </c>
      <c r="L20" s="7">
        <v>1</v>
      </c>
      <c r="M20" s="8">
        <v>0.33333299999999999</v>
      </c>
      <c r="N20" s="9" t="s">
        <v>38</v>
      </c>
      <c r="O20" s="9">
        <v>4.4800000000000004</v>
      </c>
      <c r="P20" s="9">
        <v>24.94</v>
      </c>
      <c r="Q20" s="9">
        <v>17.96</v>
      </c>
      <c r="R20" s="6">
        <v>5.57</v>
      </c>
      <c r="S20" s="9">
        <v>1</v>
      </c>
      <c r="T20" s="7">
        <v>1</v>
      </c>
      <c r="U20" s="8">
        <v>1</v>
      </c>
      <c r="V20" s="6">
        <v>1</v>
      </c>
      <c r="W20" s="7">
        <v>0</v>
      </c>
      <c r="X20" s="7" t="s">
        <v>35</v>
      </c>
      <c r="Y20" s="10" t="s">
        <v>36</v>
      </c>
    </row>
    <row r="21" spans="1:25" ht="15.75" customHeight="1" x14ac:dyDescent="0.3">
      <c r="A21" s="4">
        <v>45971</v>
      </c>
      <c r="B21" s="4">
        <v>45971</v>
      </c>
      <c r="C21" s="5" t="s">
        <v>27</v>
      </c>
      <c r="D21" s="5" t="s">
        <v>28</v>
      </c>
      <c r="E21" s="5" t="s">
        <v>56</v>
      </c>
      <c r="F21" s="5" t="s">
        <v>57</v>
      </c>
      <c r="G21" s="5" t="s">
        <v>31</v>
      </c>
      <c r="H21" s="12" t="e">
        <f t="shared" ref="H21:H22" si="1">+maca +root</f>
        <v>#NAME?</v>
      </c>
      <c r="I21" s="5" t="s">
        <v>32</v>
      </c>
      <c r="J21" s="5" t="s">
        <v>95</v>
      </c>
      <c r="K21" s="6">
        <v>1</v>
      </c>
      <c r="L21" s="7">
        <v>1</v>
      </c>
      <c r="M21" s="8">
        <v>1</v>
      </c>
      <c r="N21" s="9" t="s">
        <v>59</v>
      </c>
      <c r="O21" s="9">
        <v>4.3499999999999996</v>
      </c>
      <c r="P21" s="9">
        <v>24.94</v>
      </c>
      <c r="Q21" s="9">
        <v>17.440000000000001</v>
      </c>
      <c r="R21" s="6">
        <v>5.73</v>
      </c>
      <c r="S21" s="9">
        <v>1</v>
      </c>
      <c r="T21" s="7">
        <v>1</v>
      </c>
      <c r="U21" s="8">
        <v>1</v>
      </c>
      <c r="V21" s="6">
        <v>1</v>
      </c>
      <c r="W21" s="7">
        <v>0</v>
      </c>
      <c r="X21" s="7" t="s">
        <v>35</v>
      </c>
      <c r="Y21" s="10" t="s">
        <v>36</v>
      </c>
    </row>
    <row r="22" spans="1:25" ht="15.75" customHeight="1" x14ac:dyDescent="0.3">
      <c r="A22" s="4">
        <v>45971</v>
      </c>
      <c r="B22" s="4">
        <v>45974</v>
      </c>
      <c r="C22" s="5" t="s">
        <v>27</v>
      </c>
      <c r="D22" s="5" t="s">
        <v>28</v>
      </c>
      <c r="E22" s="5" t="s">
        <v>56</v>
      </c>
      <c r="F22" s="5" t="s">
        <v>57</v>
      </c>
      <c r="G22" s="5" t="s">
        <v>31</v>
      </c>
      <c r="H22" s="12" t="e">
        <f t="shared" si="1"/>
        <v>#NAME?</v>
      </c>
      <c r="I22" s="5" t="s">
        <v>32</v>
      </c>
      <c r="J22" s="5" t="s">
        <v>96</v>
      </c>
      <c r="K22" s="6">
        <v>37</v>
      </c>
      <c r="L22" s="7">
        <v>2</v>
      </c>
      <c r="M22" s="8">
        <v>5.4053999999999998E-2</v>
      </c>
      <c r="N22" s="9" t="s">
        <v>92</v>
      </c>
      <c r="O22" s="9">
        <v>6.08</v>
      </c>
      <c r="P22" s="9">
        <v>24.94</v>
      </c>
      <c r="Q22" s="9">
        <v>24.38</v>
      </c>
      <c r="R22" s="6">
        <v>4.0999999999999996</v>
      </c>
      <c r="S22" s="9">
        <v>1</v>
      </c>
      <c r="T22" s="7">
        <v>1</v>
      </c>
      <c r="U22" s="8">
        <v>0.5</v>
      </c>
      <c r="V22" s="6">
        <v>1</v>
      </c>
      <c r="W22" s="7">
        <v>0</v>
      </c>
      <c r="X22" s="7" t="s">
        <v>35</v>
      </c>
      <c r="Y22" s="10" t="s">
        <v>36</v>
      </c>
    </row>
    <row r="23" spans="1:25" ht="15.75" customHeight="1" x14ac:dyDescent="0.3">
      <c r="A23" s="4">
        <v>45971</v>
      </c>
      <c r="B23" s="4">
        <v>45972</v>
      </c>
      <c r="C23" s="5" t="s">
        <v>27</v>
      </c>
      <c r="D23" s="5" t="s">
        <v>28</v>
      </c>
      <c r="E23" s="5" t="s">
        <v>71</v>
      </c>
      <c r="F23" s="5" t="s">
        <v>72</v>
      </c>
      <c r="G23" s="5" t="s">
        <v>31</v>
      </c>
      <c r="H23" s="5" t="s">
        <v>73</v>
      </c>
      <c r="I23" s="5" t="s">
        <v>52</v>
      </c>
      <c r="J23" s="5" t="s">
        <v>97</v>
      </c>
      <c r="K23" s="6">
        <v>16</v>
      </c>
      <c r="L23" s="7">
        <v>2</v>
      </c>
      <c r="M23" s="8">
        <v>0.125</v>
      </c>
      <c r="N23" s="9" t="s">
        <v>46</v>
      </c>
      <c r="O23" s="9">
        <v>6.38</v>
      </c>
      <c r="P23" s="9">
        <v>24.94</v>
      </c>
      <c r="Q23" s="9">
        <v>25.58</v>
      </c>
      <c r="R23" s="6">
        <v>3.91</v>
      </c>
      <c r="S23" s="9">
        <v>1</v>
      </c>
      <c r="T23" s="7">
        <v>1</v>
      </c>
      <c r="U23" s="8">
        <v>0.5</v>
      </c>
      <c r="V23" s="6">
        <v>1</v>
      </c>
      <c r="W23" s="7">
        <v>0</v>
      </c>
      <c r="X23" s="7" t="s">
        <v>35</v>
      </c>
      <c r="Y23" s="10" t="s">
        <v>36</v>
      </c>
    </row>
    <row r="24" spans="1:25" ht="15.75" customHeight="1" x14ac:dyDescent="0.3">
      <c r="A24" s="4">
        <v>45971</v>
      </c>
      <c r="B24" s="4">
        <v>45975</v>
      </c>
      <c r="C24" s="5" t="s">
        <v>27</v>
      </c>
      <c r="D24" s="5" t="s">
        <v>28</v>
      </c>
      <c r="E24" s="5" t="s">
        <v>71</v>
      </c>
      <c r="F24" s="5" t="s">
        <v>72</v>
      </c>
      <c r="G24" s="5" t="s">
        <v>31</v>
      </c>
      <c r="H24" s="5" t="s">
        <v>51</v>
      </c>
      <c r="I24" s="5" t="s">
        <v>52</v>
      </c>
      <c r="J24" s="5" t="s">
        <v>98</v>
      </c>
      <c r="K24" s="6">
        <v>104</v>
      </c>
      <c r="L24" s="7">
        <v>3</v>
      </c>
      <c r="M24" s="8">
        <v>2.8846E-2</v>
      </c>
      <c r="N24" s="9" t="s">
        <v>99</v>
      </c>
      <c r="O24" s="9">
        <v>7.14</v>
      </c>
      <c r="P24" s="9">
        <v>49.88</v>
      </c>
      <c r="Q24" s="9">
        <v>14.31</v>
      </c>
      <c r="R24" s="6">
        <v>6.99</v>
      </c>
      <c r="S24" s="9">
        <v>2</v>
      </c>
      <c r="T24" s="7">
        <v>2</v>
      </c>
      <c r="U24" s="8">
        <v>0.66666700000000001</v>
      </c>
      <c r="V24" s="6">
        <v>2</v>
      </c>
      <c r="W24" s="7">
        <v>0</v>
      </c>
      <c r="X24" s="7" t="s">
        <v>78</v>
      </c>
      <c r="Y24" s="10" t="s">
        <v>36</v>
      </c>
    </row>
    <row r="25" spans="1:25" ht="15.75" customHeight="1" x14ac:dyDescent="0.3">
      <c r="A25" s="4">
        <v>45971</v>
      </c>
      <c r="B25" s="4">
        <v>45973</v>
      </c>
      <c r="C25" s="5" t="s">
        <v>27</v>
      </c>
      <c r="D25" s="5" t="s">
        <v>28</v>
      </c>
      <c r="E25" s="5" t="s">
        <v>71</v>
      </c>
      <c r="F25" s="5" t="s">
        <v>72</v>
      </c>
      <c r="G25" s="5" t="s">
        <v>31</v>
      </c>
      <c r="H25" s="5" t="s">
        <v>73</v>
      </c>
      <c r="I25" s="5" t="s">
        <v>52</v>
      </c>
      <c r="J25" s="5" t="s">
        <v>76</v>
      </c>
      <c r="K25" s="6">
        <v>188</v>
      </c>
      <c r="L25" s="7">
        <v>3</v>
      </c>
      <c r="M25" s="8">
        <v>1.5956999999999999E-2</v>
      </c>
      <c r="N25" s="9" t="s">
        <v>100</v>
      </c>
      <c r="O25" s="9">
        <v>10.9</v>
      </c>
      <c r="P25" s="9">
        <v>24.94</v>
      </c>
      <c r="Q25" s="9">
        <v>43.7</v>
      </c>
      <c r="R25" s="6">
        <v>2.29</v>
      </c>
      <c r="S25" s="9">
        <v>1</v>
      </c>
      <c r="T25" s="7">
        <v>1</v>
      </c>
      <c r="U25" s="8">
        <v>0.33333299999999999</v>
      </c>
      <c r="V25" s="6">
        <v>1</v>
      </c>
      <c r="W25" s="7">
        <v>0</v>
      </c>
      <c r="X25" s="7" t="s">
        <v>35</v>
      </c>
      <c r="Y25" s="10" t="s">
        <v>36</v>
      </c>
    </row>
    <row r="26" spans="1:25" ht="15.75" customHeight="1" x14ac:dyDescent="0.3">
      <c r="A26" s="4">
        <v>45971</v>
      </c>
      <c r="B26" s="4">
        <v>45972</v>
      </c>
      <c r="C26" s="5" t="s">
        <v>27</v>
      </c>
      <c r="D26" s="5" t="s">
        <v>28</v>
      </c>
      <c r="E26" s="5" t="s">
        <v>71</v>
      </c>
      <c r="F26" s="5" t="s">
        <v>72</v>
      </c>
      <c r="G26" s="5" t="s">
        <v>31</v>
      </c>
      <c r="H26" s="5" t="s">
        <v>73</v>
      </c>
      <c r="I26" s="5" t="s">
        <v>52</v>
      </c>
      <c r="J26" s="5" t="s">
        <v>101</v>
      </c>
      <c r="K26" s="6">
        <v>1354</v>
      </c>
      <c r="L26" s="7">
        <v>3</v>
      </c>
      <c r="M26" s="8">
        <v>2.2160000000000001E-3</v>
      </c>
      <c r="N26" s="9" t="s">
        <v>102</v>
      </c>
      <c r="O26" s="9">
        <v>8.18</v>
      </c>
      <c r="P26" s="9">
        <v>74.819999999999993</v>
      </c>
      <c r="Q26" s="9">
        <v>10.93</v>
      </c>
      <c r="R26" s="6">
        <v>9.15</v>
      </c>
      <c r="S26" s="9">
        <v>2</v>
      </c>
      <c r="T26" s="7">
        <v>3</v>
      </c>
      <c r="U26" s="8">
        <v>0.66666700000000001</v>
      </c>
      <c r="V26" s="6">
        <v>3</v>
      </c>
      <c r="W26" s="7">
        <v>0</v>
      </c>
      <c r="X26" s="7" t="s">
        <v>93</v>
      </c>
      <c r="Y26" s="10" t="s">
        <v>36</v>
      </c>
    </row>
    <row r="27" spans="1:25" ht="15.75" customHeight="1" x14ac:dyDescent="0.3">
      <c r="A27" s="4">
        <v>45971</v>
      </c>
      <c r="B27" s="4">
        <v>45971</v>
      </c>
      <c r="C27" s="5" t="s">
        <v>27</v>
      </c>
      <c r="D27" s="5" t="s">
        <v>28</v>
      </c>
      <c r="E27" s="5" t="s">
        <v>71</v>
      </c>
      <c r="F27" s="5" t="s">
        <v>72</v>
      </c>
      <c r="G27" s="5" t="s">
        <v>31</v>
      </c>
      <c r="H27" s="5" t="s">
        <v>51</v>
      </c>
      <c r="I27" s="5" t="s">
        <v>52</v>
      </c>
      <c r="J27" s="5" t="s">
        <v>103</v>
      </c>
      <c r="K27" s="6">
        <v>1</v>
      </c>
      <c r="L27" s="7">
        <v>1</v>
      </c>
      <c r="M27" s="8">
        <v>1</v>
      </c>
      <c r="N27" s="9" t="s">
        <v>104</v>
      </c>
      <c r="O27" s="9">
        <v>3.72</v>
      </c>
      <c r="P27" s="9">
        <v>24.94</v>
      </c>
      <c r="Q27" s="9">
        <v>14.92</v>
      </c>
      <c r="R27" s="6">
        <v>6.7</v>
      </c>
      <c r="S27" s="9">
        <v>1</v>
      </c>
      <c r="T27" s="7">
        <v>1</v>
      </c>
      <c r="U27" s="8">
        <v>1</v>
      </c>
      <c r="V27" s="6">
        <v>1</v>
      </c>
      <c r="W27" s="7">
        <v>0</v>
      </c>
      <c r="X27" s="7" t="s">
        <v>35</v>
      </c>
      <c r="Y27" s="10" t="s">
        <v>36</v>
      </c>
    </row>
    <row r="28" spans="1:25" ht="15.75" customHeight="1" x14ac:dyDescent="0.3">
      <c r="A28" s="4">
        <v>45970</v>
      </c>
      <c r="B28" s="4">
        <v>45976</v>
      </c>
      <c r="C28" s="5" t="s">
        <v>105</v>
      </c>
      <c r="D28" s="5" t="s">
        <v>28</v>
      </c>
      <c r="E28" s="5" t="s">
        <v>106</v>
      </c>
      <c r="F28" s="5" t="s">
        <v>30</v>
      </c>
      <c r="G28" s="5" t="s">
        <v>31</v>
      </c>
      <c r="H28" s="5" t="s">
        <v>30</v>
      </c>
      <c r="I28" s="5" t="s">
        <v>65</v>
      </c>
      <c r="J28" s="5" t="s">
        <v>30</v>
      </c>
      <c r="K28" s="6">
        <v>3631</v>
      </c>
      <c r="L28" s="7">
        <v>12</v>
      </c>
      <c r="M28" s="8">
        <v>3.3050000000000002E-3</v>
      </c>
      <c r="N28" s="9" t="s">
        <v>107</v>
      </c>
      <c r="O28" s="9">
        <v>34.880000000000003</v>
      </c>
      <c r="P28" s="9">
        <v>74.819999999999993</v>
      </c>
      <c r="Q28" s="9">
        <v>46.62</v>
      </c>
      <c r="R28" s="6">
        <v>2.15</v>
      </c>
      <c r="S28" s="9">
        <v>3</v>
      </c>
      <c r="T28" s="7">
        <v>3</v>
      </c>
      <c r="U28" s="8">
        <v>0.25</v>
      </c>
      <c r="V28" s="6">
        <v>3</v>
      </c>
      <c r="W28" s="7">
        <v>0</v>
      </c>
      <c r="X28" s="7" t="s">
        <v>93</v>
      </c>
      <c r="Y28" s="10" t="s">
        <v>36</v>
      </c>
    </row>
    <row r="29" spans="1:25" ht="15.75" customHeight="1" x14ac:dyDescent="0.3">
      <c r="A29" s="4">
        <v>45970</v>
      </c>
      <c r="B29" s="4">
        <v>45970</v>
      </c>
      <c r="C29" s="5" t="s">
        <v>85</v>
      </c>
      <c r="D29" s="5" t="s">
        <v>28</v>
      </c>
      <c r="E29" s="5" t="s">
        <v>108</v>
      </c>
      <c r="F29" s="5" t="s">
        <v>109</v>
      </c>
      <c r="G29" s="5" t="s">
        <v>31</v>
      </c>
      <c r="H29" s="5" t="s">
        <v>110</v>
      </c>
      <c r="I29" s="5" t="s">
        <v>44</v>
      </c>
      <c r="J29" s="5" t="s">
        <v>111</v>
      </c>
      <c r="K29" s="6">
        <v>2</v>
      </c>
      <c r="L29" s="7">
        <v>1</v>
      </c>
      <c r="M29" s="8">
        <v>0.5</v>
      </c>
      <c r="N29" s="9" t="s">
        <v>112</v>
      </c>
      <c r="O29" s="9">
        <v>2.57</v>
      </c>
      <c r="P29" s="9">
        <v>21.9</v>
      </c>
      <c r="Q29" s="9">
        <v>11.74</v>
      </c>
      <c r="R29" s="6">
        <v>8.52</v>
      </c>
      <c r="S29" s="9">
        <v>1</v>
      </c>
      <c r="T29" s="7">
        <v>1</v>
      </c>
      <c r="U29" s="8">
        <v>1</v>
      </c>
      <c r="V29" s="6">
        <v>1</v>
      </c>
      <c r="W29" s="7">
        <v>0</v>
      </c>
      <c r="X29" s="7" t="s">
        <v>55</v>
      </c>
      <c r="Y29" s="10" t="s">
        <v>36</v>
      </c>
    </row>
    <row r="30" spans="1:25" ht="15.75" customHeight="1" x14ac:dyDescent="0.3">
      <c r="A30" s="4">
        <v>45970</v>
      </c>
      <c r="B30" s="4">
        <v>45975</v>
      </c>
      <c r="C30" s="5" t="s">
        <v>40</v>
      </c>
      <c r="D30" s="5" t="s">
        <v>28</v>
      </c>
      <c r="E30" s="5" t="s">
        <v>41</v>
      </c>
      <c r="F30" s="5" t="s">
        <v>42</v>
      </c>
      <c r="G30" s="5" t="s">
        <v>31</v>
      </c>
      <c r="H30" s="5" t="s">
        <v>43</v>
      </c>
      <c r="I30" s="5" t="s">
        <v>44</v>
      </c>
      <c r="J30" s="5" t="s">
        <v>113</v>
      </c>
      <c r="K30" s="6">
        <v>15</v>
      </c>
      <c r="L30" s="7">
        <v>4</v>
      </c>
      <c r="M30" s="8">
        <v>0.26666699999999999</v>
      </c>
      <c r="N30" s="9" t="s">
        <v>114</v>
      </c>
      <c r="O30" s="9">
        <v>13.31</v>
      </c>
      <c r="P30" s="9">
        <v>24.94</v>
      </c>
      <c r="Q30" s="9">
        <v>53.37</v>
      </c>
      <c r="R30" s="6">
        <v>1.87</v>
      </c>
      <c r="S30" s="9">
        <v>1</v>
      </c>
      <c r="T30" s="7">
        <v>1</v>
      </c>
      <c r="U30" s="8">
        <v>0.25</v>
      </c>
      <c r="V30" s="6">
        <v>1</v>
      </c>
      <c r="W30" s="7">
        <v>0</v>
      </c>
      <c r="X30" s="7" t="s">
        <v>35</v>
      </c>
      <c r="Y30" s="10" t="s">
        <v>36</v>
      </c>
    </row>
    <row r="31" spans="1:25" ht="15.75" customHeight="1" x14ac:dyDescent="0.3">
      <c r="A31" s="4">
        <v>45970</v>
      </c>
      <c r="B31" s="4">
        <v>45970</v>
      </c>
      <c r="C31" s="5" t="s">
        <v>27</v>
      </c>
      <c r="D31" s="5" t="s">
        <v>28</v>
      </c>
      <c r="E31" s="5" t="s">
        <v>71</v>
      </c>
      <c r="F31" s="5" t="s">
        <v>72</v>
      </c>
      <c r="G31" s="5" t="s">
        <v>31</v>
      </c>
      <c r="H31" s="5" t="s">
        <v>51</v>
      </c>
      <c r="I31" s="5" t="s">
        <v>52</v>
      </c>
      <c r="J31" s="5" t="s">
        <v>115</v>
      </c>
      <c r="K31" s="6">
        <v>3</v>
      </c>
      <c r="L31" s="7">
        <v>1</v>
      </c>
      <c r="M31" s="8">
        <v>0.33333299999999999</v>
      </c>
      <c r="N31" s="9" t="s">
        <v>116</v>
      </c>
      <c r="O31" s="9">
        <v>3.79</v>
      </c>
      <c r="P31" s="9">
        <v>24.94</v>
      </c>
      <c r="Q31" s="9">
        <v>15.2</v>
      </c>
      <c r="R31" s="6">
        <v>6.58</v>
      </c>
      <c r="S31" s="9">
        <v>1</v>
      </c>
      <c r="T31" s="7">
        <v>1</v>
      </c>
      <c r="U31" s="8">
        <v>1</v>
      </c>
      <c r="V31" s="6">
        <v>1</v>
      </c>
      <c r="W31" s="7">
        <v>0</v>
      </c>
      <c r="X31" s="7" t="s">
        <v>35</v>
      </c>
      <c r="Y31" s="10" t="s">
        <v>36</v>
      </c>
    </row>
    <row r="32" spans="1:25" ht="15.75" customHeight="1" x14ac:dyDescent="0.3">
      <c r="A32" s="4">
        <v>45970</v>
      </c>
      <c r="B32" s="4">
        <v>45976</v>
      </c>
      <c r="C32" s="5" t="s">
        <v>105</v>
      </c>
      <c r="D32" s="5" t="s">
        <v>28</v>
      </c>
      <c r="E32" s="5" t="s">
        <v>117</v>
      </c>
      <c r="F32" s="5" t="s">
        <v>118</v>
      </c>
      <c r="G32" s="5" t="s">
        <v>31</v>
      </c>
      <c r="H32" s="5" t="s">
        <v>119</v>
      </c>
      <c r="I32" s="5" t="s">
        <v>65</v>
      </c>
      <c r="J32" s="5" t="s">
        <v>119</v>
      </c>
      <c r="K32" s="6">
        <v>1193</v>
      </c>
      <c r="L32" s="7">
        <v>46</v>
      </c>
      <c r="M32" s="8">
        <v>3.8558000000000002E-2</v>
      </c>
      <c r="N32" s="9" t="s">
        <v>120</v>
      </c>
      <c r="O32" s="9">
        <v>142.49</v>
      </c>
      <c r="P32" s="9">
        <v>174.58</v>
      </c>
      <c r="Q32" s="9">
        <v>81.62</v>
      </c>
      <c r="R32" s="6">
        <v>1.23</v>
      </c>
      <c r="S32" s="9">
        <v>6</v>
      </c>
      <c r="T32" s="7">
        <v>7</v>
      </c>
      <c r="U32" s="8">
        <v>0.130435</v>
      </c>
      <c r="V32" s="6">
        <v>7</v>
      </c>
      <c r="W32" s="7">
        <v>0</v>
      </c>
      <c r="X32" s="7" t="s">
        <v>121</v>
      </c>
      <c r="Y32" s="10" t="s">
        <v>36</v>
      </c>
    </row>
    <row r="33" spans="1:25" ht="15.75" customHeight="1" x14ac:dyDescent="0.3">
      <c r="A33" s="4">
        <v>45970</v>
      </c>
      <c r="B33" s="4">
        <v>45974</v>
      </c>
      <c r="C33" s="5" t="s">
        <v>27</v>
      </c>
      <c r="D33" s="5" t="s">
        <v>28</v>
      </c>
      <c r="E33" s="5" t="s">
        <v>71</v>
      </c>
      <c r="F33" s="5" t="s">
        <v>72</v>
      </c>
      <c r="G33" s="5" t="s">
        <v>31</v>
      </c>
      <c r="H33" s="5" t="s">
        <v>73</v>
      </c>
      <c r="I33" s="5" t="s">
        <v>52</v>
      </c>
      <c r="J33" s="5" t="s">
        <v>43</v>
      </c>
      <c r="K33" s="6">
        <v>89</v>
      </c>
      <c r="L33" s="7">
        <v>5</v>
      </c>
      <c r="M33" s="8">
        <v>5.6180000000000001E-2</v>
      </c>
      <c r="N33" s="9" t="s">
        <v>122</v>
      </c>
      <c r="O33" s="9">
        <v>18.25</v>
      </c>
      <c r="P33" s="9">
        <v>24.94</v>
      </c>
      <c r="Q33" s="9">
        <v>73.180000000000007</v>
      </c>
      <c r="R33" s="6">
        <v>1.37</v>
      </c>
      <c r="S33" s="9">
        <v>1</v>
      </c>
      <c r="T33" s="7">
        <v>1</v>
      </c>
      <c r="U33" s="8">
        <v>0.2</v>
      </c>
      <c r="V33" s="6">
        <v>1</v>
      </c>
      <c r="W33" s="7">
        <v>0</v>
      </c>
      <c r="X33" s="7" t="s">
        <v>35</v>
      </c>
      <c r="Y33" s="10" t="s">
        <v>36</v>
      </c>
    </row>
    <row r="34" spans="1:25" ht="15.75" customHeight="1" x14ac:dyDescent="0.3">
      <c r="A34" s="4">
        <v>45970</v>
      </c>
      <c r="B34" s="4">
        <v>45972</v>
      </c>
      <c r="C34" s="5" t="s">
        <v>27</v>
      </c>
      <c r="D34" s="5" t="s">
        <v>28</v>
      </c>
      <c r="E34" s="5" t="s">
        <v>71</v>
      </c>
      <c r="F34" s="5" t="s">
        <v>72</v>
      </c>
      <c r="G34" s="5" t="s">
        <v>31</v>
      </c>
      <c r="H34" s="5" t="s">
        <v>51</v>
      </c>
      <c r="I34" s="5" t="s">
        <v>52</v>
      </c>
      <c r="J34" s="5" t="s">
        <v>123</v>
      </c>
      <c r="K34" s="6">
        <v>2</v>
      </c>
      <c r="L34" s="7">
        <v>2</v>
      </c>
      <c r="M34" s="8">
        <v>1</v>
      </c>
      <c r="N34" s="9" t="s">
        <v>124</v>
      </c>
      <c r="O34" s="9">
        <v>5.26</v>
      </c>
      <c r="P34" s="9">
        <v>24.94</v>
      </c>
      <c r="Q34" s="9">
        <v>21.09</v>
      </c>
      <c r="R34" s="6">
        <v>4.74</v>
      </c>
      <c r="S34" s="9">
        <v>1</v>
      </c>
      <c r="T34" s="7">
        <v>1</v>
      </c>
      <c r="U34" s="8">
        <v>0.5</v>
      </c>
      <c r="V34" s="6">
        <v>1</v>
      </c>
      <c r="W34" s="7">
        <v>0</v>
      </c>
      <c r="X34" s="7" t="s">
        <v>35</v>
      </c>
      <c r="Y34" s="10" t="s">
        <v>36</v>
      </c>
    </row>
    <row r="35" spans="1:25" ht="15.75" customHeight="1" x14ac:dyDescent="0.3">
      <c r="A35" s="4">
        <v>45970</v>
      </c>
      <c r="B35" s="4">
        <v>45975</v>
      </c>
      <c r="C35" s="5" t="s">
        <v>27</v>
      </c>
      <c r="D35" s="5" t="s">
        <v>28</v>
      </c>
      <c r="E35" s="5" t="s">
        <v>56</v>
      </c>
      <c r="F35" s="5" t="s">
        <v>57</v>
      </c>
      <c r="G35" s="5" t="s">
        <v>31</v>
      </c>
      <c r="H35" s="12" t="e">
        <f t="shared" ref="H35:H36" si="2">+maca +root</f>
        <v>#NAME?</v>
      </c>
      <c r="I35" s="5" t="s">
        <v>32</v>
      </c>
      <c r="J35" s="5" t="s">
        <v>125</v>
      </c>
      <c r="K35" s="6">
        <v>23</v>
      </c>
      <c r="L35" s="7">
        <v>3</v>
      </c>
      <c r="M35" s="8">
        <v>0.130435</v>
      </c>
      <c r="N35" s="9" t="s">
        <v>126</v>
      </c>
      <c r="O35" s="9">
        <v>9.81</v>
      </c>
      <c r="P35" s="9">
        <v>24.94</v>
      </c>
      <c r="Q35" s="9">
        <v>39.33</v>
      </c>
      <c r="R35" s="6">
        <v>2.54</v>
      </c>
      <c r="S35" s="9">
        <v>1</v>
      </c>
      <c r="T35" s="7">
        <v>1</v>
      </c>
      <c r="U35" s="8">
        <v>0.33333299999999999</v>
      </c>
      <c r="V35" s="6">
        <v>1</v>
      </c>
      <c r="W35" s="7">
        <v>0</v>
      </c>
      <c r="X35" s="7" t="s">
        <v>35</v>
      </c>
      <c r="Y35" s="10" t="s">
        <v>36</v>
      </c>
    </row>
    <row r="36" spans="1:25" ht="15.75" customHeight="1" x14ac:dyDescent="0.3">
      <c r="A36" s="4">
        <v>45970</v>
      </c>
      <c r="B36" s="4">
        <v>45970</v>
      </c>
      <c r="C36" s="5" t="s">
        <v>27</v>
      </c>
      <c r="D36" s="5" t="s">
        <v>28</v>
      </c>
      <c r="E36" s="5" t="s">
        <v>56</v>
      </c>
      <c r="F36" s="5" t="s">
        <v>57</v>
      </c>
      <c r="G36" s="5" t="s">
        <v>31</v>
      </c>
      <c r="H36" s="12" t="e">
        <f t="shared" si="2"/>
        <v>#NAME?</v>
      </c>
      <c r="I36" s="5" t="s">
        <v>32</v>
      </c>
      <c r="J36" s="5" t="s">
        <v>127</v>
      </c>
      <c r="K36" s="6">
        <v>5</v>
      </c>
      <c r="L36" s="7">
        <v>2</v>
      </c>
      <c r="M36" s="8">
        <v>0.4</v>
      </c>
      <c r="N36" s="9" t="s">
        <v>128</v>
      </c>
      <c r="O36" s="9">
        <v>7.96</v>
      </c>
      <c r="P36" s="9">
        <v>24.94</v>
      </c>
      <c r="Q36" s="9">
        <v>31.92</v>
      </c>
      <c r="R36" s="6">
        <v>3.13</v>
      </c>
      <c r="S36" s="9">
        <v>1</v>
      </c>
      <c r="T36" s="7">
        <v>1</v>
      </c>
      <c r="U36" s="8">
        <v>0.5</v>
      </c>
      <c r="V36" s="6">
        <v>1</v>
      </c>
      <c r="W36" s="7">
        <v>0</v>
      </c>
      <c r="X36" s="7" t="s">
        <v>35</v>
      </c>
      <c r="Y36" s="10" t="s">
        <v>36</v>
      </c>
    </row>
    <row r="37" spans="1:25" ht="15.75" customHeight="1" x14ac:dyDescent="0.3">
      <c r="A37" s="4">
        <v>45970</v>
      </c>
      <c r="B37" s="4">
        <v>45974</v>
      </c>
      <c r="C37" s="5" t="s">
        <v>48</v>
      </c>
      <c r="D37" s="5" t="s">
        <v>28</v>
      </c>
      <c r="E37" s="5" t="s">
        <v>62</v>
      </c>
      <c r="F37" s="5" t="s">
        <v>63</v>
      </c>
      <c r="G37" s="5" t="s">
        <v>31</v>
      </c>
      <c r="H37" s="5" t="s">
        <v>88</v>
      </c>
      <c r="I37" s="5" t="s">
        <v>65</v>
      </c>
      <c r="J37" s="5" t="s">
        <v>89</v>
      </c>
      <c r="K37" s="6">
        <v>44</v>
      </c>
      <c r="L37" s="7">
        <v>5</v>
      </c>
      <c r="M37" s="8">
        <v>0.113636</v>
      </c>
      <c r="N37" s="9" t="s">
        <v>129</v>
      </c>
      <c r="O37" s="9">
        <v>24.85</v>
      </c>
      <c r="P37" s="9">
        <v>21.9</v>
      </c>
      <c r="Q37" s="9">
        <v>113.47</v>
      </c>
      <c r="R37" s="6">
        <v>0.88</v>
      </c>
      <c r="S37" s="9">
        <v>1</v>
      </c>
      <c r="T37" s="7">
        <v>1</v>
      </c>
      <c r="U37" s="8">
        <v>0.2</v>
      </c>
      <c r="V37" s="6">
        <v>1</v>
      </c>
      <c r="W37" s="7">
        <v>0</v>
      </c>
      <c r="X37" s="7" t="s">
        <v>55</v>
      </c>
      <c r="Y37" s="10" t="s">
        <v>36</v>
      </c>
    </row>
    <row r="38" spans="1:25" ht="15.75" customHeight="1" x14ac:dyDescent="0.3">
      <c r="A38" s="140"/>
      <c r="B38" s="140"/>
      <c r="L38" s="141"/>
      <c r="M38" s="141"/>
      <c r="N38" s="142"/>
      <c r="O38" s="142"/>
      <c r="P38" s="142"/>
      <c r="Q38" s="142"/>
      <c r="R38" s="143"/>
      <c r="S38" s="142"/>
      <c r="T38" s="141"/>
      <c r="U38" s="141"/>
      <c r="V38" s="143"/>
      <c r="W38" s="141"/>
      <c r="X38" s="141"/>
      <c r="Y38" s="11"/>
    </row>
    <row r="39" spans="1:25" ht="15.75" customHeight="1" x14ac:dyDescent="0.3">
      <c r="A39" s="140"/>
      <c r="B39" s="140"/>
      <c r="L39" s="141"/>
      <c r="M39" s="141"/>
      <c r="N39" s="142"/>
      <c r="O39" s="142"/>
      <c r="P39" s="142"/>
      <c r="Q39" s="142"/>
      <c r="R39" s="143"/>
      <c r="S39" s="142"/>
      <c r="T39" s="141"/>
      <c r="U39" s="141"/>
      <c r="V39" s="143"/>
      <c r="W39" s="141"/>
      <c r="X39" s="141"/>
      <c r="Y39" s="11"/>
    </row>
    <row r="40" spans="1:25" ht="15.75" customHeight="1" x14ac:dyDescent="0.3">
      <c r="A40" s="140"/>
      <c r="B40" s="140"/>
      <c r="L40" s="141"/>
      <c r="M40" s="141"/>
      <c r="N40" s="142"/>
      <c r="O40" s="142"/>
      <c r="P40" s="142"/>
      <c r="Q40" s="142"/>
      <c r="R40" s="143"/>
      <c r="S40" s="142"/>
      <c r="T40" s="141"/>
      <c r="U40" s="141"/>
      <c r="V40" s="143"/>
      <c r="W40" s="141"/>
      <c r="X40" s="141"/>
      <c r="Y40" s="11"/>
    </row>
    <row r="41" spans="1:25" ht="15.75" customHeight="1" x14ac:dyDescent="0.3">
      <c r="A41" s="140"/>
      <c r="B41" s="140"/>
      <c r="L41" s="141"/>
      <c r="M41" s="141"/>
      <c r="N41" s="142"/>
      <c r="O41" s="142"/>
      <c r="P41" s="142"/>
      <c r="Q41" s="142"/>
      <c r="R41" s="143"/>
      <c r="S41" s="142"/>
      <c r="T41" s="141"/>
      <c r="U41" s="141"/>
      <c r="V41" s="143"/>
      <c r="W41" s="141"/>
      <c r="X41" s="141"/>
      <c r="Y41" s="11"/>
    </row>
    <row r="42" spans="1:25" ht="15.75" customHeight="1" x14ac:dyDescent="0.3">
      <c r="A42" s="140"/>
      <c r="B42" s="140"/>
      <c r="L42" s="141"/>
      <c r="M42" s="141"/>
      <c r="N42" s="142"/>
      <c r="O42" s="142"/>
      <c r="P42" s="142"/>
      <c r="Q42" s="142"/>
      <c r="R42" s="143"/>
      <c r="S42" s="142"/>
      <c r="T42" s="141"/>
      <c r="U42" s="141"/>
      <c r="V42" s="143"/>
      <c r="W42" s="141"/>
      <c r="X42" s="141"/>
      <c r="Y42" s="11"/>
    </row>
    <row r="43" spans="1:25" ht="15.75" customHeight="1" x14ac:dyDescent="0.3">
      <c r="A43" s="140"/>
      <c r="B43" s="140"/>
      <c r="L43" s="141"/>
      <c r="M43" s="141"/>
      <c r="N43" s="142"/>
      <c r="O43" s="142"/>
      <c r="P43" s="142"/>
      <c r="Q43" s="142"/>
      <c r="R43" s="143"/>
      <c r="S43" s="142"/>
      <c r="T43" s="141"/>
      <c r="U43" s="141"/>
      <c r="V43" s="143"/>
      <c r="W43" s="141"/>
      <c r="X43" s="141"/>
      <c r="Y43" s="11"/>
    </row>
    <row r="44" spans="1:25" ht="15.75" customHeight="1" x14ac:dyDescent="0.3">
      <c r="A44" s="140"/>
      <c r="B44" s="140"/>
      <c r="L44" s="141"/>
      <c r="M44" s="141"/>
      <c r="N44" s="142"/>
      <c r="O44" s="142"/>
      <c r="P44" s="142"/>
      <c r="Q44" s="142"/>
      <c r="R44" s="143"/>
      <c r="S44" s="142"/>
      <c r="T44" s="141"/>
      <c r="U44" s="141"/>
      <c r="V44" s="143"/>
      <c r="W44" s="141"/>
      <c r="X44" s="141"/>
      <c r="Y44" s="11"/>
    </row>
    <row r="45" spans="1:25" ht="15.75" customHeight="1" x14ac:dyDescent="0.3">
      <c r="A45" s="140"/>
      <c r="B45" s="140"/>
      <c r="L45" s="141"/>
      <c r="M45" s="141"/>
      <c r="N45" s="142"/>
      <c r="O45" s="142"/>
      <c r="P45" s="142"/>
      <c r="Q45" s="142"/>
      <c r="R45" s="143"/>
      <c r="S45" s="142"/>
      <c r="T45" s="141"/>
      <c r="U45" s="141"/>
      <c r="V45" s="143"/>
      <c r="W45" s="141"/>
      <c r="X45" s="141"/>
      <c r="Y45" s="11"/>
    </row>
    <row r="46" spans="1:25" ht="15.75" customHeight="1" x14ac:dyDescent="0.3">
      <c r="A46" s="140"/>
      <c r="B46" s="140"/>
      <c r="L46" s="141"/>
      <c r="M46" s="141"/>
      <c r="N46" s="142"/>
      <c r="O46" s="142"/>
      <c r="P46" s="142"/>
      <c r="Q46" s="142"/>
      <c r="R46" s="143"/>
      <c r="S46" s="142"/>
      <c r="T46" s="141"/>
      <c r="U46" s="141"/>
      <c r="V46" s="143"/>
      <c r="W46" s="141"/>
      <c r="X46" s="141"/>
      <c r="Y46" s="11"/>
    </row>
    <row r="47" spans="1:25" ht="15.75" customHeight="1" x14ac:dyDescent="0.3">
      <c r="A47" s="140"/>
      <c r="B47" s="140"/>
      <c r="L47" s="141"/>
      <c r="M47" s="141"/>
      <c r="N47" s="142"/>
      <c r="O47" s="142"/>
      <c r="P47" s="142"/>
      <c r="Q47" s="142"/>
      <c r="R47" s="143"/>
      <c r="S47" s="142"/>
      <c r="T47" s="141"/>
      <c r="U47" s="141"/>
      <c r="V47" s="143"/>
      <c r="W47" s="141"/>
      <c r="X47" s="141"/>
      <c r="Y47" s="11"/>
    </row>
    <row r="48" spans="1:25" ht="15.75" customHeight="1" x14ac:dyDescent="0.3">
      <c r="A48" s="140"/>
      <c r="B48" s="140"/>
      <c r="L48" s="141"/>
      <c r="M48" s="141"/>
      <c r="N48" s="142"/>
      <c r="O48" s="142"/>
      <c r="P48" s="142"/>
      <c r="Q48" s="142"/>
      <c r="R48" s="143"/>
      <c r="S48" s="142"/>
      <c r="T48" s="141"/>
      <c r="U48" s="141"/>
      <c r="V48" s="143"/>
      <c r="W48" s="141"/>
      <c r="X48" s="141"/>
      <c r="Y48" s="11"/>
    </row>
    <row r="49" spans="1:25" ht="15.75" customHeight="1" x14ac:dyDescent="0.3">
      <c r="A49" s="140"/>
      <c r="B49" s="140"/>
      <c r="L49" s="141"/>
      <c r="M49" s="141"/>
      <c r="N49" s="142"/>
      <c r="O49" s="142"/>
      <c r="P49" s="142"/>
      <c r="Q49" s="142"/>
      <c r="R49" s="143"/>
      <c r="S49" s="142"/>
      <c r="T49" s="141"/>
      <c r="U49" s="141"/>
      <c r="V49" s="143"/>
      <c r="W49" s="141"/>
      <c r="X49" s="141"/>
      <c r="Y49" s="11"/>
    </row>
    <row r="50" spans="1:25" ht="15.75" customHeight="1" x14ac:dyDescent="0.3">
      <c r="A50" s="140"/>
      <c r="B50" s="140"/>
      <c r="L50" s="141"/>
      <c r="M50" s="141"/>
      <c r="N50" s="142"/>
      <c r="O50" s="142"/>
      <c r="P50" s="142"/>
      <c r="Q50" s="142"/>
      <c r="R50" s="143"/>
      <c r="S50" s="142"/>
      <c r="T50" s="141"/>
      <c r="U50" s="141"/>
      <c r="V50" s="143"/>
      <c r="W50" s="141"/>
      <c r="X50" s="141"/>
      <c r="Y50" s="11"/>
    </row>
    <row r="51" spans="1:25" ht="15.75" customHeight="1" x14ac:dyDescent="0.3">
      <c r="A51" s="140"/>
      <c r="B51" s="140"/>
      <c r="L51" s="141"/>
      <c r="M51" s="141"/>
      <c r="N51" s="142"/>
      <c r="O51" s="142"/>
      <c r="P51" s="142"/>
      <c r="Q51" s="142"/>
      <c r="R51" s="143"/>
      <c r="S51" s="142"/>
      <c r="T51" s="141"/>
      <c r="U51" s="141"/>
      <c r="V51" s="143"/>
      <c r="W51" s="141"/>
      <c r="X51" s="141"/>
      <c r="Y51" s="11"/>
    </row>
    <row r="52" spans="1:25" ht="15.75" customHeight="1" x14ac:dyDescent="0.3">
      <c r="A52" s="140"/>
      <c r="B52" s="140"/>
      <c r="L52" s="141"/>
      <c r="M52" s="141"/>
      <c r="N52" s="142"/>
      <c r="O52" s="142"/>
      <c r="P52" s="142"/>
      <c r="Q52" s="142"/>
      <c r="R52" s="143"/>
      <c r="S52" s="142"/>
      <c r="T52" s="141"/>
      <c r="U52" s="141"/>
      <c r="V52" s="143"/>
      <c r="W52" s="141"/>
      <c r="X52" s="141"/>
      <c r="Y52" s="11"/>
    </row>
    <row r="53" spans="1:25" ht="15.75" customHeight="1" x14ac:dyDescent="0.3">
      <c r="A53" s="140"/>
      <c r="B53" s="140"/>
      <c r="L53" s="141"/>
      <c r="M53" s="141"/>
      <c r="N53" s="142"/>
      <c r="O53" s="142"/>
      <c r="P53" s="142"/>
      <c r="Q53" s="142"/>
      <c r="R53" s="143"/>
      <c r="S53" s="142"/>
      <c r="T53" s="141"/>
      <c r="U53" s="141"/>
      <c r="V53" s="143"/>
      <c r="W53" s="141"/>
      <c r="X53" s="141"/>
      <c r="Y53" s="11"/>
    </row>
    <row r="54" spans="1:25" ht="15.75" customHeight="1" x14ac:dyDescent="0.3">
      <c r="A54" s="140"/>
      <c r="B54" s="140"/>
      <c r="L54" s="141"/>
      <c r="M54" s="141"/>
      <c r="N54" s="142"/>
      <c r="O54" s="142"/>
      <c r="P54" s="142"/>
      <c r="Q54" s="142"/>
      <c r="R54" s="143"/>
      <c r="S54" s="142"/>
      <c r="T54" s="141"/>
      <c r="U54" s="141"/>
      <c r="V54" s="143"/>
      <c r="W54" s="141"/>
      <c r="X54" s="141"/>
      <c r="Y54" s="11"/>
    </row>
    <row r="55" spans="1:25" ht="15.75" customHeight="1" x14ac:dyDescent="0.3">
      <c r="A55" s="140"/>
      <c r="B55" s="140"/>
      <c r="L55" s="141"/>
      <c r="M55" s="141"/>
      <c r="N55" s="142"/>
      <c r="O55" s="142"/>
      <c r="P55" s="142"/>
      <c r="Q55" s="142"/>
      <c r="R55" s="143"/>
      <c r="S55" s="142"/>
      <c r="T55" s="141"/>
      <c r="U55" s="141"/>
      <c r="V55" s="143"/>
      <c r="W55" s="141"/>
      <c r="X55" s="141"/>
      <c r="Y55" s="11"/>
    </row>
    <row r="56" spans="1:25" ht="15.75" customHeight="1" x14ac:dyDescent="0.3">
      <c r="A56" s="140"/>
      <c r="B56" s="140"/>
      <c r="L56" s="141"/>
      <c r="M56" s="141"/>
      <c r="N56" s="142"/>
      <c r="O56" s="142"/>
      <c r="P56" s="142"/>
      <c r="Q56" s="142"/>
      <c r="R56" s="143"/>
      <c r="S56" s="142"/>
      <c r="T56" s="141"/>
      <c r="U56" s="141"/>
      <c r="V56" s="143"/>
      <c r="W56" s="141"/>
      <c r="X56" s="141"/>
      <c r="Y56" s="11"/>
    </row>
    <row r="57" spans="1:25" ht="15.75" customHeight="1" x14ac:dyDescent="0.3">
      <c r="A57" s="140"/>
      <c r="B57" s="140"/>
      <c r="L57" s="141"/>
      <c r="M57" s="141"/>
      <c r="N57" s="142"/>
      <c r="O57" s="142"/>
      <c r="P57" s="142"/>
      <c r="Q57" s="142"/>
      <c r="R57" s="143"/>
      <c r="S57" s="142"/>
      <c r="T57" s="141"/>
      <c r="U57" s="141"/>
      <c r="V57" s="143"/>
      <c r="W57" s="141"/>
      <c r="X57" s="141"/>
      <c r="Y57" s="11"/>
    </row>
    <row r="58" spans="1:25" ht="15.75" customHeight="1" x14ac:dyDescent="0.3">
      <c r="A58" s="140"/>
      <c r="B58" s="140"/>
      <c r="L58" s="141"/>
      <c r="M58" s="141"/>
      <c r="N58" s="142"/>
      <c r="O58" s="142"/>
      <c r="P58" s="142"/>
      <c r="Q58" s="142"/>
      <c r="R58" s="143"/>
      <c r="S58" s="142"/>
      <c r="T58" s="141"/>
      <c r="U58" s="141"/>
      <c r="V58" s="143"/>
      <c r="W58" s="141"/>
      <c r="X58" s="141"/>
      <c r="Y58" s="11"/>
    </row>
    <row r="59" spans="1:25" ht="15.75" customHeight="1" x14ac:dyDescent="0.3">
      <c r="A59" s="140"/>
      <c r="B59" s="140"/>
      <c r="L59" s="141"/>
      <c r="M59" s="141"/>
      <c r="N59" s="142"/>
      <c r="O59" s="142"/>
      <c r="P59" s="142"/>
      <c r="Q59" s="142"/>
      <c r="R59" s="143"/>
      <c r="S59" s="142"/>
      <c r="T59" s="141"/>
      <c r="U59" s="141"/>
      <c r="V59" s="143"/>
      <c r="W59" s="141"/>
      <c r="X59" s="141"/>
      <c r="Y59" s="11"/>
    </row>
    <row r="60" spans="1:25" ht="15.75" customHeight="1" x14ac:dyDescent="0.3">
      <c r="A60" s="140"/>
      <c r="B60" s="140"/>
      <c r="L60" s="141"/>
      <c r="M60" s="141"/>
      <c r="N60" s="142"/>
      <c r="O60" s="142"/>
      <c r="P60" s="142"/>
      <c r="Q60" s="142"/>
      <c r="R60" s="143"/>
      <c r="S60" s="142"/>
      <c r="T60" s="141"/>
      <c r="U60" s="141"/>
      <c r="V60" s="143"/>
      <c r="W60" s="141"/>
      <c r="X60" s="141"/>
      <c r="Y60" s="11"/>
    </row>
    <row r="61" spans="1:25" ht="15.75" customHeight="1" x14ac:dyDescent="0.3">
      <c r="A61" s="140"/>
      <c r="B61" s="140"/>
      <c r="L61" s="141"/>
      <c r="M61" s="141"/>
      <c r="N61" s="142"/>
      <c r="O61" s="142"/>
      <c r="P61" s="142"/>
      <c r="Q61" s="142"/>
      <c r="R61" s="143"/>
      <c r="S61" s="142"/>
      <c r="T61" s="141"/>
      <c r="U61" s="141"/>
      <c r="V61" s="143"/>
      <c r="W61" s="141"/>
      <c r="X61" s="141"/>
      <c r="Y61" s="11"/>
    </row>
    <row r="62" spans="1:25" ht="15.75" customHeight="1" x14ac:dyDescent="0.3">
      <c r="A62" s="140"/>
      <c r="B62" s="140"/>
      <c r="L62" s="141"/>
      <c r="M62" s="141"/>
      <c r="N62" s="142"/>
      <c r="O62" s="142"/>
      <c r="P62" s="142"/>
      <c r="Q62" s="142"/>
      <c r="R62" s="143"/>
      <c r="S62" s="142"/>
      <c r="T62" s="141"/>
      <c r="U62" s="141"/>
      <c r="V62" s="143"/>
      <c r="W62" s="141"/>
      <c r="X62" s="141"/>
      <c r="Y62" s="11"/>
    </row>
    <row r="63" spans="1:25" ht="15.75" customHeight="1" x14ac:dyDescent="0.3">
      <c r="A63" s="140"/>
      <c r="B63" s="140"/>
      <c r="L63" s="141"/>
      <c r="M63" s="141"/>
      <c r="N63" s="142"/>
      <c r="O63" s="142"/>
      <c r="P63" s="142"/>
      <c r="Q63" s="142"/>
      <c r="R63" s="143"/>
      <c r="S63" s="142"/>
      <c r="T63" s="141"/>
      <c r="U63" s="141"/>
      <c r="V63" s="143"/>
      <c r="W63" s="141"/>
      <c r="X63" s="141"/>
      <c r="Y63" s="11"/>
    </row>
    <row r="64" spans="1:25" ht="15.75" customHeight="1" x14ac:dyDescent="0.3">
      <c r="A64" s="140"/>
      <c r="B64" s="140"/>
      <c r="L64" s="141"/>
      <c r="M64" s="141"/>
      <c r="N64" s="142"/>
      <c r="O64" s="142"/>
      <c r="P64" s="142"/>
      <c r="Q64" s="142"/>
      <c r="R64" s="143"/>
      <c r="S64" s="142"/>
      <c r="T64" s="141"/>
      <c r="U64" s="141"/>
      <c r="V64" s="143"/>
      <c r="W64" s="141"/>
      <c r="X64" s="141"/>
      <c r="Y64" s="11"/>
    </row>
    <row r="65" spans="1:25" ht="15.75" customHeight="1" x14ac:dyDescent="0.3">
      <c r="A65" s="140"/>
      <c r="B65" s="140"/>
      <c r="L65" s="141"/>
      <c r="M65" s="141"/>
      <c r="N65" s="142"/>
      <c r="O65" s="142"/>
      <c r="P65" s="142"/>
      <c r="Q65" s="142"/>
      <c r="R65" s="143"/>
      <c r="S65" s="142"/>
      <c r="T65" s="141"/>
      <c r="U65" s="141"/>
      <c r="V65" s="143"/>
      <c r="W65" s="141"/>
      <c r="X65" s="141"/>
      <c r="Y65" s="11"/>
    </row>
    <row r="66" spans="1:25" ht="15.75" customHeight="1" x14ac:dyDescent="0.3">
      <c r="A66" s="140"/>
      <c r="B66" s="140"/>
      <c r="L66" s="141"/>
      <c r="M66" s="141"/>
      <c r="N66" s="142"/>
      <c r="O66" s="142"/>
      <c r="P66" s="142"/>
      <c r="Q66" s="142"/>
      <c r="R66" s="143"/>
      <c r="S66" s="142"/>
      <c r="T66" s="141"/>
      <c r="U66" s="141"/>
      <c r="V66" s="143"/>
      <c r="W66" s="141"/>
      <c r="X66" s="141"/>
      <c r="Y66" s="11"/>
    </row>
    <row r="67" spans="1:25" ht="15.75" customHeight="1" x14ac:dyDescent="0.3">
      <c r="A67" s="140"/>
      <c r="B67" s="140"/>
      <c r="L67" s="141"/>
      <c r="M67" s="141"/>
      <c r="N67" s="142"/>
      <c r="O67" s="142"/>
      <c r="P67" s="142"/>
      <c r="Q67" s="142"/>
      <c r="R67" s="143"/>
      <c r="S67" s="142"/>
      <c r="T67" s="141"/>
      <c r="U67" s="141"/>
      <c r="V67" s="143"/>
      <c r="W67" s="141"/>
      <c r="X67" s="141"/>
      <c r="Y67" s="11"/>
    </row>
    <row r="68" spans="1:25" ht="15.75" customHeight="1" x14ac:dyDescent="0.3">
      <c r="A68" s="140"/>
      <c r="B68" s="140"/>
      <c r="L68" s="141"/>
      <c r="M68" s="141"/>
      <c r="N68" s="142"/>
      <c r="O68" s="142"/>
      <c r="P68" s="142"/>
      <c r="Q68" s="142"/>
      <c r="R68" s="143"/>
      <c r="S68" s="142"/>
      <c r="T68" s="141"/>
      <c r="U68" s="141"/>
      <c r="V68" s="143"/>
      <c r="W68" s="141"/>
      <c r="X68" s="141"/>
      <c r="Y68" s="11"/>
    </row>
    <row r="69" spans="1:25" ht="15.75" customHeight="1" x14ac:dyDescent="0.3">
      <c r="A69" s="140"/>
      <c r="B69" s="140"/>
      <c r="L69" s="141"/>
      <c r="M69" s="141"/>
      <c r="N69" s="142"/>
      <c r="O69" s="142"/>
      <c r="P69" s="142"/>
      <c r="Q69" s="142"/>
      <c r="R69" s="143"/>
      <c r="S69" s="142"/>
      <c r="T69" s="141"/>
      <c r="U69" s="141"/>
      <c r="V69" s="143"/>
      <c r="W69" s="141"/>
      <c r="X69" s="141"/>
      <c r="Y69" s="11"/>
    </row>
    <row r="70" spans="1:25" ht="15.75" customHeight="1" x14ac:dyDescent="0.3">
      <c r="A70" s="140"/>
      <c r="B70" s="140"/>
      <c r="L70" s="141"/>
      <c r="M70" s="141"/>
      <c r="N70" s="142"/>
      <c r="O70" s="142"/>
      <c r="P70" s="142"/>
      <c r="Q70" s="142"/>
      <c r="R70" s="143"/>
      <c r="S70" s="142"/>
      <c r="T70" s="141"/>
      <c r="U70" s="141"/>
      <c r="V70" s="143"/>
      <c r="W70" s="141"/>
      <c r="X70" s="141"/>
      <c r="Y70" s="11"/>
    </row>
    <row r="71" spans="1:25" ht="15.75" customHeight="1" x14ac:dyDescent="0.3">
      <c r="A71" s="140"/>
      <c r="B71" s="140"/>
      <c r="L71" s="141"/>
      <c r="M71" s="141"/>
      <c r="N71" s="142"/>
      <c r="O71" s="142"/>
      <c r="P71" s="142"/>
      <c r="Q71" s="142"/>
      <c r="R71" s="143"/>
      <c r="S71" s="142"/>
      <c r="T71" s="141"/>
      <c r="U71" s="141"/>
      <c r="V71" s="143"/>
      <c r="W71" s="141"/>
      <c r="X71" s="141"/>
      <c r="Y71" s="11"/>
    </row>
    <row r="72" spans="1:25" ht="15.75" customHeight="1" x14ac:dyDescent="0.3">
      <c r="A72" s="140"/>
      <c r="B72" s="140"/>
      <c r="L72" s="141"/>
      <c r="M72" s="141"/>
      <c r="N72" s="142"/>
      <c r="O72" s="142"/>
      <c r="P72" s="142"/>
      <c r="Q72" s="142"/>
      <c r="R72" s="143"/>
      <c r="S72" s="142"/>
      <c r="T72" s="141"/>
      <c r="U72" s="141"/>
      <c r="V72" s="143"/>
      <c r="W72" s="141"/>
      <c r="X72" s="141"/>
      <c r="Y72" s="11"/>
    </row>
    <row r="73" spans="1:25" ht="15.75" customHeight="1" x14ac:dyDescent="0.3">
      <c r="A73" s="140"/>
      <c r="B73" s="140"/>
      <c r="L73" s="141"/>
      <c r="M73" s="141"/>
      <c r="N73" s="142"/>
      <c r="O73" s="142"/>
      <c r="P73" s="142"/>
      <c r="Q73" s="142"/>
      <c r="R73" s="143"/>
      <c r="S73" s="142"/>
      <c r="T73" s="141"/>
      <c r="U73" s="141"/>
      <c r="V73" s="143"/>
      <c r="W73" s="141"/>
      <c r="X73" s="141"/>
      <c r="Y73" s="11"/>
    </row>
    <row r="74" spans="1:25" ht="15.75" customHeight="1" x14ac:dyDescent="0.3">
      <c r="A74" s="140"/>
      <c r="B74" s="140"/>
      <c r="L74" s="141"/>
      <c r="M74" s="141"/>
      <c r="N74" s="142"/>
      <c r="O74" s="142"/>
      <c r="P74" s="142"/>
      <c r="Q74" s="142"/>
      <c r="R74" s="143"/>
      <c r="S74" s="142"/>
      <c r="T74" s="141"/>
      <c r="U74" s="141"/>
      <c r="V74" s="143"/>
      <c r="W74" s="141"/>
      <c r="X74" s="141"/>
      <c r="Y74" s="11"/>
    </row>
    <row r="75" spans="1:25" ht="15.75" customHeight="1" x14ac:dyDescent="0.3">
      <c r="A75" s="140"/>
      <c r="B75" s="140"/>
      <c r="L75" s="141"/>
      <c r="M75" s="141"/>
      <c r="N75" s="142"/>
      <c r="O75" s="142"/>
      <c r="P75" s="142"/>
      <c r="Q75" s="142"/>
      <c r="R75" s="143"/>
      <c r="S75" s="142"/>
      <c r="T75" s="141"/>
      <c r="U75" s="141"/>
      <c r="V75" s="143"/>
      <c r="W75" s="141"/>
      <c r="X75" s="141"/>
      <c r="Y75" s="11"/>
    </row>
    <row r="76" spans="1:25" ht="15.75" customHeight="1" x14ac:dyDescent="0.3">
      <c r="A76" s="140"/>
      <c r="B76" s="140"/>
      <c r="L76" s="141"/>
      <c r="M76" s="141"/>
      <c r="N76" s="142"/>
      <c r="O76" s="142"/>
      <c r="P76" s="142"/>
      <c r="Q76" s="142"/>
      <c r="R76" s="143"/>
      <c r="S76" s="142"/>
      <c r="T76" s="141"/>
      <c r="U76" s="141"/>
      <c r="V76" s="143"/>
      <c r="W76" s="141"/>
      <c r="X76" s="141"/>
      <c r="Y76" s="11"/>
    </row>
    <row r="77" spans="1:25" ht="15.75" customHeight="1" x14ac:dyDescent="0.3">
      <c r="A77" s="140"/>
      <c r="B77" s="140"/>
      <c r="L77" s="141"/>
      <c r="M77" s="141"/>
      <c r="N77" s="142"/>
      <c r="O77" s="142"/>
      <c r="P77" s="142"/>
      <c r="Q77" s="142"/>
      <c r="R77" s="143"/>
      <c r="S77" s="142"/>
      <c r="T77" s="141"/>
      <c r="U77" s="141"/>
      <c r="V77" s="143"/>
      <c r="W77" s="141"/>
      <c r="X77" s="141"/>
      <c r="Y77" s="11"/>
    </row>
    <row r="78" spans="1:25" ht="15.75" customHeight="1" x14ac:dyDescent="0.3">
      <c r="A78" s="140"/>
      <c r="B78" s="140"/>
      <c r="L78" s="141"/>
      <c r="M78" s="141"/>
      <c r="N78" s="142"/>
      <c r="O78" s="142"/>
      <c r="P78" s="142"/>
      <c r="Q78" s="142"/>
      <c r="R78" s="143"/>
      <c r="S78" s="142"/>
      <c r="T78" s="141"/>
      <c r="U78" s="141"/>
      <c r="V78" s="143"/>
      <c r="W78" s="141"/>
      <c r="X78" s="141"/>
      <c r="Y78" s="11"/>
    </row>
    <row r="79" spans="1:25" ht="15.75" customHeight="1" x14ac:dyDescent="0.3">
      <c r="A79" s="140"/>
      <c r="B79" s="140"/>
      <c r="L79" s="141"/>
      <c r="M79" s="141"/>
      <c r="N79" s="142"/>
      <c r="O79" s="142"/>
      <c r="P79" s="142"/>
      <c r="Q79" s="142"/>
      <c r="R79" s="143"/>
      <c r="S79" s="142"/>
      <c r="T79" s="141"/>
      <c r="U79" s="141"/>
      <c r="V79" s="143"/>
      <c r="W79" s="141"/>
      <c r="X79" s="141"/>
      <c r="Y79" s="11"/>
    </row>
    <row r="80" spans="1:25" ht="15.75" customHeight="1" x14ac:dyDescent="0.3">
      <c r="A80" s="140"/>
      <c r="B80" s="140"/>
      <c r="L80" s="141"/>
      <c r="M80" s="141"/>
      <c r="N80" s="142"/>
      <c r="O80" s="142"/>
      <c r="P80" s="142"/>
      <c r="Q80" s="142"/>
      <c r="R80" s="143"/>
      <c r="S80" s="142"/>
      <c r="T80" s="141"/>
      <c r="U80" s="141"/>
      <c r="V80" s="143"/>
      <c r="W80" s="141"/>
      <c r="X80" s="141"/>
      <c r="Y80" s="11"/>
    </row>
    <row r="81" spans="1:25" ht="15.75" customHeight="1" x14ac:dyDescent="0.3">
      <c r="A81" s="140"/>
      <c r="B81" s="140"/>
      <c r="L81" s="141"/>
      <c r="M81" s="141"/>
      <c r="N81" s="142"/>
      <c r="O81" s="142"/>
      <c r="P81" s="142"/>
      <c r="Q81" s="142"/>
      <c r="R81" s="143"/>
      <c r="S81" s="142"/>
      <c r="T81" s="141"/>
      <c r="U81" s="141"/>
      <c r="V81" s="143"/>
      <c r="W81" s="141"/>
      <c r="X81" s="141"/>
      <c r="Y81" s="11"/>
    </row>
    <row r="82" spans="1:25" ht="15.75" customHeight="1" x14ac:dyDescent="0.3">
      <c r="A82" s="140"/>
      <c r="B82" s="140"/>
      <c r="L82" s="141"/>
      <c r="M82" s="141"/>
      <c r="N82" s="142"/>
      <c r="O82" s="142"/>
      <c r="P82" s="142"/>
      <c r="Q82" s="142"/>
      <c r="R82" s="143"/>
      <c r="S82" s="142"/>
      <c r="T82" s="141"/>
      <c r="U82" s="141"/>
      <c r="V82" s="143"/>
      <c r="W82" s="141"/>
      <c r="X82" s="141"/>
      <c r="Y82" s="11"/>
    </row>
    <row r="83" spans="1:25" ht="15.75" customHeight="1" x14ac:dyDescent="0.3">
      <c r="A83" s="140"/>
      <c r="B83" s="140"/>
      <c r="L83" s="141"/>
      <c r="M83" s="141"/>
      <c r="N83" s="142"/>
      <c r="O83" s="142"/>
      <c r="P83" s="142"/>
      <c r="Q83" s="142"/>
      <c r="R83" s="143"/>
      <c r="S83" s="142"/>
      <c r="T83" s="141"/>
      <c r="U83" s="141"/>
      <c r="V83" s="143"/>
      <c r="W83" s="141"/>
      <c r="X83" s="141"/>
      <c r="Y83" s="11"/>
    </row>
    <row r="84" spans="1:25" ht="15.75" customHeight="1" x14ac:dyDescent="0.3">
      <c r="A84" s="140"/>
      <c r="B84" s="140"/>
      <c r="L84" s="141"/>
      <c r="M84" s="141"/>
      <c r="N84" s="142"/>
      <c r="O84" s="142"/>
      <c r="P84" s="142"/>
      <c r="Q84" s="142"/>
      <c r="R84" s="143"/>
      <c r="S84" s="142"/>
      <c r="T84" s="141"/>
      <c r="U84" s="141"/>
      <c r="V84" s="143"/>
      <c r="W84" s="141"/>
      <c r="X84" s="141"/>
      <c r="Y84" s="11"/>
    </row>
    <row r="85" spans="1:25" ht="15.75" customHeight="1" x14ac:dyDescent="0.3">
      <c r="A85" s="140"/>
      <c r="B85" s="140"/>
      <c r="L85" s="141"/>
      <c r="M85" s="141"/>
      <c r="N85" s="142"/>
      <c r="O85" s="142"/>
      <c r="P85" s="142"/>
      <c r="Q85" s="142"/>
      <c r="R85" s="143"/>
      <c r="S85" s="142"/>
      <c r="T85" s="141"/>
      <c r="U85" s="141"/>
      <c r="V85" s="143"/>
      <c r="W85" s="141"/>
      <c r="X85" s="141"/>
      <c r="Y85" s="11"/>
    </row>
    <row r="86" spans="1:25" ht="15.75" customHeight="1" x14ac:dyDescent="0.3">
      <c r="A86" s="140"/>
      <c r="B86" s="140"/>
      <c r="L86" s="141"/>
      <c r="M86" s="141"/>
      <c r="N86" s="142"/>
      <c r="O86" s="142"/>
      <c r="P86" s="142"/>
      <c r="Q86" s="142"/>
      <c r="R86" s="143"/>
      <c r="S86" s="142"/>
      <c r="T86" s="141"/>
      <c r="U86" s="141"/>
      <c r="V86" s="143"/>
      <c r="W86" s="141"/>
      <c r="X86" s="141"/>
      <c r="Y86" s="11"/>
    </row>
    <row r="87" spans="1:25" ht="15.75" customHeight="1" x14ac:dyDescent="0.3">
      <c r="A87" s="140"/>
      <c r="B87" s="140"/>
      <c r="L87" s="141"/>
      <c r="M87" s="141"/>
      <c r="N87" s="142"/>
      <c r="O87" s="142"/>
      <c r="P87" s="142"/>
      <c r="Q87" s="142"/>
      <c r="R87" s="143"/>
      <c r="S87" s="142"/>
      <c r="T87" s="141"/>
      <c r="U87" s="141"/>
      <c r="V87" s="143"/>
      <c r="W87" s="141"/>
      <c r="X87" s="141"/>
      <c r="Y87" s="11"/>
    </row>
    <row r="88" spans="1:25" ht="15.75" customHeight="1" x14ac:dyDescent="0.3">
      <c r="A88" s="140"/>
      <c r="B88" s="140"/>
      <c r="L88" s="141"/>
      <c r="M88" s="141"/>
      <c r="N88" s="142"/>
      <c r="O88" s="142"/>
      <c r="P88" s="142"/>
      <c r="Q88" s="142"/>
      <c r="R88" s="143"/>
      <c r="S88" s="142"/>
      <c r="T88" s="141"/>
      <c r="U88" s="141"/>
      <c r="V88" s="143"/>
      <c r="W88" s="141"/>
      <c r="X88" s="141"/>
      <c r="Y88" s="11"/>
    </row>
    <row r="89" spans="1:25" ht="15.75" customHeight="1" x14ac:dyDescent="0.3">
      <c r="A89" s="140"/>
      <c r="B89" s="140"/>
      <c r="L89" s="141"/>
      <c r="M89" s="141"/>
      <c r="N89" s="142"/>
      <c r="O89" s="142"/>
      <c r="P89" s="142"/>
      <c r="Q89" s="142"/>
      <c r="R89" s="143"/>
      <c r="S89" s="142"/>
      <c r="T89" s="141"/>
      <c r="U89" s="141"/>
      <c r="V89" s="143"/>
      <c r="W89" s="141"/>
      <c r="X89" s="141"/>
      <c r="Y89" s="11"/>
    </row>
    <row r="90" spans="1:25" ht="15.75" customHeight="1" x14ac:dyDescent="0.3">
      <c r="A90" s="140"/>
      <c r="B90" s="140"/>
      <c r="L90" s="141"/>
      <c r="M90" s="141"/>
      <c r="N90" s="142"/>
      <c r="O90" s="142"/>
      <c r="P90" s="142"/>
      <c r="Q90" s="142"/>
      <c r="R90" s="143"/>
      <c r="S90" s="142"/>
      <c r="T90" s="141"/>
      <c r="U90" s="141"/>
      <c r="V90" s="143"/>
      <c r="W90" s="141"/>
      <c r="X90" s="141"/>
      <c r="Y90" s="11"/>
    </row>
    <row r="91" spans="1:25" ht="15.75" customHeight="1" x14ac:dyDescent="0.3">
      <c r="A91" s="140"/>
      <c r="B91" s="140"/>
      <c r="L91" s="141"/>
      <c r="M91" s="141"/>
      <c r="N91" s="142"/>
      <c r="O91" s="142"/>
      <c r="P91" s="142"/>
      <c r="Q91" s="142"/>
      <c r="R91" s="143"/>
      <c r="S91" s="142"/>
      <c r="T91" s="141"/>
      <c r="U91" s="141"/>
      <c r="V91" s="143"/>
      <c r="W91" s="141"/>
      <c r="X91" s="141"/>
      <c r="Y91" s="11"/>
    </row>
    <row r="92" spans="1:25" ht="15.75" customHeight="1" x14ac:dyDescent="0.3">
      <c r="A92" s="140"/>
      <c r="B92" s="140"/>
      <c r="L92" s="141"/>
      <c r="M92" s="141"/>
      <c r="N92" s="142"/>
      <c r="O92" s="142"/>
      <c r="P92" s="142"/>
      <c r="Q92" s="142"/>
      <c r="R92" s="143"/>
      <c r="S92" s="142"/>
      <c r="T92" s="141"/>
      <c r="U92" s="141"/>
      <c r="V92" s="143"/>
      <c r="W92" s="141"/>
      <c r="X92" s="141"/>
      <c r="Y92" s="11"/>
    </row>
    <row r="93" spans="1:25" ht="15.75" customHeight="1" x14ac:dyDescent="0.3">
      <c r="A93" s="140"/>
      <c r="B93" s="140"/>
      <c r="L93" s="141"/>
      <c r="M93" s="141"/>
      <c r="N93" s="142"/>
      <c r="O93" s="142"/>
      <c r="P93" s="142"/>
      <c r="Q93" s="142"/>
      <c r="R93" s="143"/>
      <c r="S93" s="142"/>
      <c r="T93" s="141"/>
      <c r="U93" s="141"/>
      <c r="V93" s="143"/>
      <c r="W93" s="141"/>
      <c r="X93" s="141"/>
      <c r="Y93" s="11"/>
    </row>
    <row r="94" spans="1:25" ht="15.75" customHeight="1" x14ac:dyDescent="0.3">
      <c r="A94" s="140"/>
      <c r="B94" s="140"/>
      <c r="L94" s="141"/>
      <c r="M94" s="141"/>
      <c r="N94" s="142"/>
      <c r="O94" s="142"/>
      <c r="P94" s="142"/>
      <c r="Q94" s="142"/>
      <c r="R94" s="143"/>
      <c r="S94" s="142"/>
      <c r="T94" s="141"/>
      <c r="U94" s="141"/>
      <c r="V94" s="143"/>
      <c r="W94" s="141"/>
      <c r="X94" s="141"/>
      <c r="Y94" s="11"/>
    </row>
    <row r="95" spans="1:25" ht="15.75" customHeight="1" x14ac:dyDescent="0.3">
      <c r="A95" s="140"/>
      <c r="B95" s="140"/>
      <c r="L95" s="141"/>
      <c r="M95" s="141"/>
      <c r="N95" s="142"/>
      <c r="O95" s="142"/>
      <c r="P95" s="142"/>
      <c r="Q95" s="142"/>
      <c r="R95" s="143"/>
      <c r="S95" s="142"/>
      <c r="T95" s="141"/>
      <c r="U95" s="141"/>
      <c r="V95" s="143"/>
      <c r="W95" s="141"/>
      <c r="X95" s="141"/>
      <c r="Y95" s="11"/>
    </row>
    <row r="96" spans="1:25" ht="15.75" customHeight="1" x14ac:dyDescent="0.3">
      <c r="A96" s="140"/>
      <c r="B96" s="140"/>
      <c r="L96" s="141"/>
      <c r="M96" s="141"/>
      <c r="N96" s="142"/>
      <c r="O96" s="142"/>
      <c r="P96" s="142"/>
      <c r="Q96" s="142"/>
      <c r="R96" s="143"/>
      <c r="S96" s="142"/>
      <c r="T96" s="141"/>
      <c r="U96" s="141"/>
      <c r="V96" s="143"/>
      <c r="W96" s="141"/>
      <c r="X96" s="141"/>
      <c r="Y96" s="11"/>
    </row>
    <row r="97" spans="1:25" ht="15.75" customHeight="1" x14ac:dyDescent="0.3">
      <c r="A97" s="140"/>
      <c r="B97" s="140"/>
      <c r="L97" s="141"/>
      <c r="M97" s="141"/>
      <c r="N97" s="142"/>
      <c r="O97" s="142"/>
      <c r="P97" s="142"/>
      <c r="Q97" s="142"/>
      <c r="R97" s="143"/>
      <c r="S97" s="142"/>
      <c r="T97" s="141"/>
      <c r="U97" s="141"/>
      <c r="V97" s="143"/>
      <c r="W97" s="141"/>
      <c r="X97" s="141"/>
      <c r="Y97" s="11"/>
    </row>
    <row r="98" spans="1:25" ht="15.75" customHeight="1" x14ac:dyDescent="0.3">
      <c r="A98" s="140"/>
      <c r="B98" s="140"/>
      <c r="L98" s="141"/>
      <c r="M98" s="141"/>
      <c r="N98" s="142"/>
      <c r="O98" s="142"/>
      <c r="P98" s="142"/>
      <c r="Q98" s="142"/>
      <c r="R98" s="143"/>
      <c r="S98" s="142"/>
      <c r="T98" s="141"/>
      <c r="U98" s="141"/>
      <c r="V98" s="143"/>
      <c r="W98" s="141"/>
      <c r="X98" s="141"/>
      <c r="Y98" s="11"/>
    </row>
    <row r="99" spans="1:25" ht="15.75" customHeight="1" x14ac:dyDescent="0.3">
      <c r="A99" s="140"/>
      <c r="B99" s="140"/>
      <c r="L99" s="141"/>
      <c r="M99" s="141"/>
      <c r="N99" s="142"/>
      <c r="O99" s="142"/>
      <c r="P99" s="142"/>
      <c r="Q99" s="142"/>
      <c r="R99" s="143"/>
      <c r="S99" s="142"/>
      <c r="T99" s="141"/>
      <c r="U99" s="141"/>
      <c r="V99" s="143"/>
      <c r="W99" s="141"/>
      <c r="X99" s="141"/>
      <c r="Y99" s="11"/>
    </row>
    <row r="100" spans="1:25" ht="15.75" customHeight="1" x14ac:dyDescent="0.3">
      <c r="A100" s="140"/>
      <c r="B100" s="140"/>
      <c r="L100" s="141"/>
      <c r="M100" s="141"/>
      <c r="N100" s="142"/>
      <c r="O100" s="142"/>
      <c r="P100" s="142"/>
      <c r="Q100" s="142"/>
      <c r="R100" s="143"/>
      <c r="S100" s="142"/>
      <c r="T100" s="141"/>
      <c r="U100" s="141"/>
      <c r="V100" s="143"/>
      <c r="W100" s="141"/>
      <c r="X100" s="141"/>
      <c r="Y100" s="11"/>
    </row>
    <row r="101" spans="1:25" ht="15.75" customHeight="1" x14ac:dyDescent="0.3">
      <c r="A101" s="140"/>
      <c r="B101" s="140"/>
      <c r="L101" s="141"/>
      <c r="M101" s="141"/>
      <c r="N101" s="142"/>
      <c r="O101" s="142"/>
      <c r="P101" s="142"/>
      <c r="Q101" s="142"/>
      <c r="R101" s="143"/>
      <c r="S101" s="142"/>
      <c r="T101" s="141"/>
      <c r="U101" s="141"/>
      <c r="V101" s="143"/>
      <c r="W101" s="141"/>
      <c r="X101" s="141"/>
      <c r="Y101" s="11"/>
    </row>
    <row r="102" spans="1:25" ht="15.75" customHeight="1" x14ac:dyDescent="0.3">
      <c r="A102" s="140"/>
      <c r="B102" s="140"/>
      <c r="L102" s="141"/>
      <c r="M102" s="141"/>
      <c r="N102" s="142"/>
      <c r="O102" s="142"/>
      <c r="P102" s="142"/>
      <c r="Q102" s="142"/>
      <c r="R102" s="143"/>
      <c r="S102" s="142"/>
      <c r="T102" s="141"/>
      <c r="U102" s="141"/>
      <c r="V102" s="143"/>
      <c r="W102" s="141"/>
      <c r="X102" s="141"/>
      <c r="Y102" s="11"/>
    </row>
    <row r="103" spans="1:25" ht="15.75" customHeight="1" x14ac:dyDescent="0.3">
      <c r="A103" s="140"/>
      <c r="B103" s="140"/>
      <c r="L103" s="141"/>
      <c r="M103" s="141"/>
      <c r="N103" s="142"/>
      <c r="O103" s="142"/>
      <c r="P103" s="142"/>
      <c r="Q103" s="142"/>
      <c r="R103" s="143"/>
      <c r="S103" s="142"/>
      <c r="T103" s="141"/>
      <c r="U103" s="141"/>
      <c r="V103" s="143"/>
      <c r="W103" s="141"/>
      <c r="X103" s="141"/>
      <c r="Y103" s="11"/>
    </row>
    <row r="104" spans="1:25" ht="15.75" customHeight="1" x14ac:dyDescent="0.3">
      <c r="A104" s="140"/>
      <c r="B104" s="140"/>
      <c r="L104" s="141"/>
      <c r="M104" s="141"/>
      <c r="N104" s="142"/>
      <c r="O104" s="142"/>
      <c r="P104" s="142"/>
      <c r="Q104" s="142"/>
      <c r="R104" s="143"/>
      <c r="S104" s="142"/>
      <c r="T104" s="141"/>
      <c r="U104" s="141"/>
      <c r="V104" s="143"/>
      <c r="W104" s="141"/>
      <c r="X104" s="141"/>
      <c r="Y104" s="11"/>
    </row>
    <row r="105" spans="1:25" ht="15.75" customHeight="1" x14ac:dyDescent="0.3">
      <c r="A105" s="140"/>
      <c r="B105" s="140"/>
      <c r="L105" s="141"/>
      <c r="M105" s="141"/>
      <c r="N105" s="142"/>
      <c r="O105" s="142"/>
      <c r="P105" s="142"/>
      <c r="Q105" s="142"/>
      <c r="R105" s="143"/>
      <c r="S105" s="142"/>
      <c r="T105" s="141"/>
      <c r="U105" s="141"/>
      <c r="V105" s="143"/>
      <c r="W105" s="141"/>
      <c r="X105" s="141"/>
      <c r="Y105" s="11"/>
    </row>
    <row r="106" spans="1:25" ht="15.75" customHeight="1" x14ac:dyDescent="0.3">
      <c r="A106" s="140"/>
      <c r="B106" s="140"/>
      <c r="L106" s="141"/>
      <c r="M106" s="141"/>
      <c r="N106" s="142"/>
      <c r="O106" s="142"/>
      <c r="P106" s="142"/>
      <c r="Q106" s="142"/>
      <c r="R106" s="143"/>
      <c r="S106" s="142"/>
      <c r="T106" s="141"/>
      <c r="U106" s="141"/>
      <c r="V106" s="143"/>
      <c r="W106" s="141"/>
      <c r="X106" s="141"/>
      <c r="Y106" s="11"/>
    </row>
    <row r="107" spans="1:25" ht="15.75" customHeight="1" x14ac:dyDescent="0.3">
      <c r="A107" s="140"/>
      <c r="B107" s="140"/>
      <c r="L107" s="141"/>
      <c r="M107" s="141"/>
      <c r="N107" s="142"/>
      <c r="O107" s="142"/>
      <c r="P107" s="142"/>
      <c r="Q107" s="142"/>
      <c r="R107" s="143"/>
      <c r="S107" s="142"/>
      <c r="T107" s="141"/>
      <c r="U107" s="141"/>
      <c r="V107" s="143"/>
      <c r="W107" s="141"/>
      <c r="X107" s="141"/>
      <c r="Y107" s="11"/>
    </row>
    <row r="108" spans="1:25" ht="15.75" customHeight="1" x14ac:dyDescent="0.3">
      <c r="A108" s="140"/>
      <c r="B108" s="140"/>
      <c r="L108" s="141"/>
      <c r="M108" s="141"/>
      <c r="N108" s="142"/>
      <c r="O108" s="142"/>
      <c r="P108" s="142"/>
      <c r="Q108" s="142"/>
      <c r="R108" s="143"/>
      <c r="S108" s="142"/>
      <c r="T108" s="141"/>
      <c r="U108" s="141"/>
      <c r="V108" s="143"/>
      <c r="W108" s="141"/>
      <c r="X108" s="141"/>
      <c r="Y108" s="11"/>
    </row>
    <row r="109" spans="1:25" ht="15.75" customHeight="1" x14ac:dyDescent="0.3">
      <c r="A109" s="140"/>
      <c r="B109" s="140"/>
      <c r="L109" s="141"/>
      <c r="M109" s="141"/>
      <c r="N109" s="142"/>
      <c r="O109" s="142"/>
      <c r="P109" s="142"/>
      <c r="Q109" s="142"/>
      <c r="R109" s="143"/>
      <c r="S109" s="142"/>
      <c r="T109" s="141"/>
      <c r="U109" s="141"/>
      <c r="V109" s="143"/>
      <c r="W109" s="141"/>
      <c r="X109" s="141"/>
      <c r="Y109" s="11"/>
    </row>
    <row r="110" spans="1:25" ht="15.75" customHeight="1" x14ac:dyDescent="0.3">
      <c r="A110" s="140"/>
      <c r="B110" s="140"/>
      <c r="L110" s="141"/>
      <c r="M110" s="141"/>
      <c r="N110" s="142"/>
      <c r="O110" s="142"/>
      <c r="P110" s="142"/>
      <c r="Q110" s="142"/>
      <c r="R110" s="143"/>
      <c r="S110" s="142"/>
      <c r="T110" s="141"/>
      <c r="U110" s="141"/>
      <c r="V110" s="143"/>
      <c r="W110" s="141"/>
      <c r="X110" s="141"/>
      <c r="Y110" s="11"/>
    </row>
    <row r="111" spans="1:25" ht="15.75" customHeight="1" x14ac:dyDescent="0.3">
      <c r="A111" s="140"/>
      <c r="B111" s="140"/>
      <c r="L111" s="141"/>
      <c r="M111" s="141"/>
      <c r="N111" s="142"/>
      <c r="O111" s="142"/>
      <c r="P111" s="142"/>
      <c r="Q111" s="142"/>
      <c r="R111" s="143"/>
      <c r="S111" s="142"/>
      <c r="T111" s="141"/>
      <c r="U111" s="141"/>
      <c r="V111" s="143"/>
      <c r="W111" s="141"/>
      <c r="X111" s="141"/>
      <c r="Y111" s="11"/>
    </row>
    <row r="112" spans="1:25" ht="15.75" customHeight="1" x14ac:dyDescent="0.3">
      <c r="A112" s="140"/>
      <c r="B112" s="140"/>
      <c r="L112" s="141"/>
      <c r="M112" s="141"/>
      <c r="N112" s="142"/>
      <c r="O112" s="142"/>
      <c r="P112" s="142"/>
      <c r="Q112" s="142"/>
      <c r="R112" s="143"/>
      <c r="S112" s="142"/>
      <c r="T112" s="141"/>
      <c r="U112" s="141"/>
      <c r="V112" s="143"/>
      <c r="W112" s="141"/>
      <c r="X112" s="141"/>
      <c r="Y112" s="11"/>
    </row>
    <row r="113" spans="1:25" ht="15.75" customHeight="1" x14ac:dyDescent="0.3">
      <c r="A113" s="140"/>
      <c r="B113" s="140"/>
      <c r="L113" s="141"/>
      <c r="M113" s="141"/>
      <c r="N113" s="142"/>
      <c r="O113" s="142"/>
      <c r="P113" s="142"/>
      <c r="Q113" s="142"/>
      <c r="R113" s="143"/>
      <c r="S113" s="142"/>
      <c r="T113" s="141"/>
      <c r="U113" s="141"/>
      <c r="V113" s="143"/>
      <c r="W113" s="141"/>
      <c r="X113" s="141"/>
      <c r="Y113" s="11"/>
    </row>
    <row r="114" spans="1:25" ht="15.75" customHeight="1" x14ac:dyDescent="0.3">
      <c r="A114" s="140"/>
      <c r="B114" s="140"/>
      <c r="L114" s="141"/>
      <c r="M114" s="141"/>
      <c r="N114" s="142"/>
      <c r="O114" s="142"/>
      <c r="P114" s="142"/>
      <c r="Q114" s="142"/>
      <c r="R114" s="143"/>
      <c r="S114" s="142"/>
      <c r="T114" s="141"/>
      <c r="U114" s="141"/>
      <c r="V114" s="143"/>
      <c r="W114" s="141"/>
      <c r="X114" s="141"/>
      <c r="Y114" s="11"/>
    </row>
    <row r="115" spans="1:25" ht="15.75" customHeight="1" x14ac:dyDescent="0.3">
      <c r="A115" s="140"/>
      <c r="B115" s="140"/>
      <c r="L115" s="141"/>
      <c r="M115" s="141"/>
      <c r="N115" s="142"/>
      <c r="O115" s="142"/>
      <c r="P115" s="142"/>
      <c r="Q115" s="142"/>
      <c r="R115" s="143"/>
      <c r="S115" s="142"/>
      <c r="T115" s="141"/>
      <c r="U115" s="141"/>
      <c r="V115" s="143"/>
      <c r="W115" s="141"/>
      <c r="X115" s="141"/>
      <c r="Y115" s="11"/>
    </row>
    <row r="116" spans="1:25" ht="15.75" customHeight="1" x14ac:dyDescent="0.3">
      <c r="A116" s="140"/>
      <c r="B116" s="140"/>
      <c r="L116" s="141"/>
      <c r="M116" s="141"/>
      <c r="N116" s="142"/>
      <c r="O116" s="142"/>
      <c r="P116" s="142"/>
      <c r="Q116" s="142"/>
      <c r="R116" s="143"/>
      <c r="S116" s="142"/>
      <c r="T116" s="141"/>
      <c r="U116" s="141"/>
      <c r="V116" s="143"/>
      <c r="W116" s="141"/>
      <c r="X116" s="141"/>
      <c r="Y116" s="11"/>
    </row>
    <row r="117" spans="1:25" ht="15.75" customHeight="1" x14ac:dyDescent="0.3">
      <c r="A117" s="140"/>
      <c r="B117" s="140"/>
      <c r="L117" s="141"/>
      <c r="M117" s="141"/>
      <c r="N117" s="142"/>
      <c r="O117" s="142"/>
      <c r="P117" s="142"/>
      <c r="Q117" s="142"/>
      <c r="R117" s="143"/>
      <c r="S117" s="142"/>
      <c r="T117" s="141"/>
      <c r="U117" s="141"/>
      <c r="V117" s="143"/>
      <c r="W117" s="141"/>
      <c r="X117" s="141"/>
      <c r="Y117" s="11"/>
    </row>
    <row r="118" spans="1:25" ht="15.75" customHeight="1" x14ac:dyDescent="0.3">
      <c r="A118" s="140"/>
      <c r="B118" s="140"/>
      <c r="L118" s="141"/>
      <c r="M118" s="141"/>
      <c r="N118" s="142"/>
      <c r="O118" s="142"/>
      <c r="P118" s="142"/>
      <c r="Q118" s="142"/>
      <c r="R118" s="143"/>
      <c r="S118" s="142"/>
      <c r="T118" s="141"/>
      <c r="U118" s="141"/>
      <c r="V118" s="143"/>
      <c r="W118" s="141"/>
      <c r="X118" s="141"/>
      <c r="Y118" s="11"/>
    </row>
    <row r="119" spans="1:25" ht="15.75" customHeight="1" x14ac:dyDescent="0.3">
      <c r="A119" s="140"/>
      <c r="B119" s="140"/>
      <c r="L119" s="141"/>
      <c r="M119" s="141"/>
      <c r="N119" s="142"/>
      <c r="O119" s="142"/>
      <c r="P119" s="142"/>
      <c r="Q119" s="142"/>
      <c r="R119" s="143"/>
      <c r="S119" s="142"/>
      <c r="T119" s="141"/>
      <c r="U119" s="141"/>
      <c r="V119" s="143"/>
      <c r="W119" s="141"/>
      <c r="X119" s="141"/>
      <c r="Y119" s="11"/>
    </row>
    <row r="120" spans="1:25" ht="15.75" customHeight="1" x14ac:dyDescent="0.3">
      <c r="A120" s="140"/>
      <c r="B120" s="140"/>
      <c r="L120" s="141"/>
      <c r="M120" s="141"/>
      <c r="N120" s="142"/>
      <c r="O120" s="142"/>
      <c r="P120" s="142"/>
      <c r="Q120" s="142"/>
      <c r="R120" s="143"/>
      <c r="S120" s="142"/>
      <c r="T120" s="141"/>
      <c r="U120" s="141"/>
      <c r="V120" s="143"/>
      <c r="W120" s="141"/>
      <c r="X120" s="141"/>
      <c r="Y120" s="11"/>
    </row>
    <row r="121" spans="1:25" ht="15.75" customHeight="1" x14ac:dyDescent="0.3">
      <c r="A121" s="140"/>
      <c r="B121" s="140"/>
      <c r="L121" s="141"/>
      <c r="M121" s="141"/>
      <c r="N121" s="142"/>
      <c r="O121" s="142"/>
      <c r="P121" s="142"/>
      <c r="Q121" s="142"/>
      <c r="R121" s="143"/>
      <c r="S121" s="142"/>
      <c r="T121" s="141"/>
      <c r="U121" s="141"/>
      <c r="V121" s="143"/>
      <c r="W121" s="141"/>
      <c r="X121" s="141"/>
      <c r="Y121" s="11"/>
    </row>
    <row r="122" spans="1:25" ht="15.75" customHeight="1" x14ac:dyDescent="0.3">
      <c r="A122" s="140"/>
      <c r="B122" s="140"/>
      <c r="L122" s="141"/>
      <c r="M122" s="141"/>
      <c r="N122" s="142"/>
      <c r="O122" s="142"/>
      <c r="P122" s="142"/>
      <c r="Q122" s="142"/>
      <c r="R122" s="143"/>
      <c r="S122" s="142"/>
      <c r="T122" s="141"/>
      <c r="U122" s="141"/>
      <c r="V122" s="143"/>
      <c r="W122" s="141"/>
      <c r="X122" s="141"/>
      <c r="Y122" s="11"/>
    </row>
    <row r="123" spans="1:25" ht="15.75" customHeight="1" x14ac:dyDescent="0.3">
      <c r="A123" s="140"/>
      <c r="B123" s="140"/>
      <c r="L123" s="141"/>
      <c r="M123" s="141"/>
      <c r="N123" s="142"/>
      <c r="O123" s="142"/>
      <c r="P123" s="142"/>
      <c r="Q123" s="142"/>
      <c r="R123" s="143"/>
      <c r="S123" s="142"/>
      <c r="T123" s="141"/>
      <c r="U123" s="141"/>
      <c r="V123" s="143"/>
      <c r="W123" s="141"/>
      <c r="X123" s="141"/>
      <c r="Y123" s="11"/>
    </row>
    <row r="124" spans="1:25" ht="15.75" customHeight="1" x14ac:dyDescent="0.3">
      <c r="A124" s="140"/>
      <c r="B124" s="140"/>
      <c r="L124" s="141"/>
      <c r="M124" s="141"/>
      <c r="N124" s="142"/>
      <c r="O124" s="142"/>
      <c r="P124" s="142"/>
      <c r="Q124" s="142"/>
      <c r="R124" s="143"/>
      <c r="S124" s="142"/>
      <c r="T124" s="141"/>
      <c r="U124" s="141"/>
      <c r="V124" s="143"/>
      <c r="W124" s="141"/>
      <c r="X124" s="141"/>
      <c r="Y124" s="11"/>
    </row>
    <row r="125" spans="1:25" ht="15.75" customHeight="1" x14ac:dyDescent="0.3">
      <c r="A125" s="140"/>
      <c r="B125" s="140"/>
      <c r="L125" s="141"/>
      <c r="M125" s="141"/>
      <c r="N125" s="142"/>
      <c r="O125" s="142"/>
      <c r="P125" s="142"/>
      <c r="Q125" s="142"/>
      <c r="R125" s="143"/>
      <c r="S125" s="142"/>
      <c r="T125" s="141"/>
      <c r="U125" s="141"/>
      <c r="V125" s="143"/>
      <c r="W125" s="141"/>
      <c r="X125" s="141"/>
      <c r="Y125" s="11"/>
    </row>
    <row r="126" spans="1:25" ht="15.75" customHeight="1" x14ac:dyDescent="0.3">
      <c r="A126" s="140"/>
      <c r="B126" s="140"/>
      <c r="L126" s="141"/>
      <c r="M126" s="141"/>
      <c r="N126" s="142"/>
      <c r="O126" s="142"/>
      <c r="P126" s="142"/>
      <c r="Q126" s="142"/>
      <c r="R126" s="143"/>
      <c r="S126" s="142"/>
      <c r="T126" s="141"/>
      <c r="U126" s="141"/>
      <c r="V126" s="143"/>
      <c r="W126" s="141"/>
      <c r="X126" s="141"/>
      <c r="Y126" s="11"/>
    </row>
    <row r="127" spans="1:25" ht="15.75" customHeight="1" x14ac:dyDescent="0.3">
      <c r="A127" s="140"/>
      <c r="B127" s="140"/>
      <c r="L127" s="141"/>
      <c r="M127" s="141"/>
      <c r="N127" s="142"/>
      <c r="O127" s="142"/>
      <c r="P127" s="142"/>
      <c r="Q127" s="142"/>
      <c r="R127" s="143"/>
      <c r="S127" s="142"/>
      <c r="T127" s="141"/>
      <c r="U127" s="141"/>
      <c r="V127" s="143"/>
      <c r="W127" s="141"/>
      <c r="X127" s="141"/>
      <c r="Y127" s="11"/>
    </row>
    <row r="128" spans="1:25" ht="15.75" customHeight="1" x14ac:dyDescent="0.3">
      <c r="A128" s="140"/>
      <c r="B128" s="140"/>
      <c r="L128" s="141"/>
      <c r="M128" s="141"/>
      <c r="N128" s="142"/>
      <c r="O128" s="142"/>
      <c r="P128" s="142"/>
      <c r="Q128" s="142"/>
      <c r="R128" s="143"/>
      <c r="S128" s="142"/>
      <c r="T128" s="141"/>
      <c r="U128" s="141"/>
      <c r="V128" s="143"/>
      <c r="W128" s="141"/>
      <c r="X128" s="141"/>
      <c r="Y128" s="11"/>
    </row>
    <row r="129" spans="1:25" ht="15.75" customHeight="1" x14ac:dyDescent="0.3">
      <c r="A129" s="140"/>
      <c r="B129" s="140"/>
      <c r="L129" s="141"/>
      <c r="M129" s="141"/>
      <c r="N129" s="142"/>
      <c r="O129" s="142"/>
      <c r="P129" s="142"/>
      <c r="Q129" s="142"/>
      <c r="R129" s="143"/>
      <c r="S129" s="142"/>
      <c r="T129" s="141"/>
      <c r="U129" s="141"/>
      <c r="V129" s="143"/>
      <c r="W129" s="141"/>
      <c r="X129" s="141"/>
      <c r="Y129" s="11"/>
    </row>
    <row r="130" spans="1:25" ht="15.75" customHeight="1" x14ac:dyDescent="0.3">
      <c r="A130" s="140"/>
      <c r="B130" s="140"/>
      <c r="L130" s="141"/>
      <c r="M130" s="141"/>
      <c r="N130" s="142"/>
      <c r="O130" s="142"/>
      <c r="P130" s="142"/>
      <c r="Q130" s="142"/>
      <c r="R130" s="143"/>
      <c r="S130" s="142"/>
      <c r="T130" s="141"/>
      <c r="U130" s="141"/>
      <c r="V130" s="143"/>
      <c r="W130" s="141"/>
      <c r="X130" s="141"/>
      <c r="Y130" s="11"/>
    </row>
    <row r="131" spans="1:25" ht="15.75" customHeight="1" x14ac:dyDescent="0.3">
      <c r="A131" s="140"/>
      <c r="B131" s="140"/>
      <c r="L131" s="141"/>
      <c r="M131" s="141"/>
      <c r="N131" s="142"/>
      <c r="O131" s="142"/>
      <c r="P131" s="142"/>
      <c r="Q131" s="142"/>
      <c r="R131" s="143"/>
      <c r="S131" s="142"/>
      <c r="T131" s="141"/>
      <c r="U131" s="141"/>
      <c r="V131" s="143"/>
      <c r="W131" s="141"/>
      <c r="X131" s="141"/>
      <c r="Y131" s="11"/>
    </row>
    <row r="132" spans="1:25" ht="15.75" customHeight="1" x14ac:dyDescent="0.3">
      <c r="A132" s="140"/>
      <c r="B132" s="140"/>
      <c r="L132" s="141"/>
      <c r="M132" s="141"/>
      <c r="N132" s="142"/>
      <c r="O132" s="142"/>
      <c r="P132" s="142"/>
      <c r="Q132" s="142"/>
      <c r="R132" s="143"/>
      <c r="S132" s="142"/>
      <c r="T132" s="141"/>
      <c r="U132" s="141"/>
      <c r="V132" s="143"/>
      <c r="W132" s="141"/>
      <c r="X132" s="141"/>
      <c r="Y132" s="11"/>
    </row>
    <row r="133" spans="1:25" ht="15.75" customHeight="1" x14ac:dyDescent="0.3">
      <c r="A133" s="140"/>
      <c r="B133" s="140"/>
      <c r="L133" s="141"/>
      <c r="M133" s="141"/>
      <c r="N133" s="142"/>
      <c r="O133" s="142"/>
      <c r="P133" s="142"/>
      <c r="Q133" s="142"/>
      <c r="R133" s="143"/>
      <c r="S133" s="142"/>
      <c r="T133" s="141"/>
      <c r="U133" s="141"/>
      <c r="V133" s="143"/>
      <c r="W133" s="141"/>
      <c r="X133" s="141"/>
      <c r="Y133" s="11"/>
    </row>
    <row r="134" spans="1:25" ht="15.75" customHeight="1" x14ac:dyDescent="0.3">
      <c r="A134" s="140"/>
      <c r="B134" s="140"/>
      <c r="L134" s="141"/>
      <c r="M134" s="141"/>
      <c r="N134" s="142"/>
      <c r="O134" s="142"/>
      <c r="P134" s="142"/>
      <c r="Q134" s="142"/>
      <c r="R134" s="143"/>
      <c r="S134" s="142"/>
      <c r="T134" s="141"/>
      <c r="U134" s="141"/>
      <c r="V134" s="143"/>
      <c r="W134" s="141"/>
      <c r="X134" s="141"/>
      <c r="Y134" s="11"/>
    </row>
    <row r="135" spans="1:25" ht="15.75" customHeight="1" x14ac:dyDescent="0.3">
      <c r="A135" s="140"/>
      <c r="B135" s="140"/>
      <c r="L135" s="141"/>
      <c r="M135" s="141"/>
      <c r="N135" s="142"/>
      <c r="O135" s="142"/>
      <c r="P135" s="142"/>
      <c r="Q135" s="142"/>
      <c r="R135" s="143"/>
      <c r="S135" s="142"/>
      <c r="T135" s="141"/>
      <c r="U135" s="141"/>
      <c r="V135" s="143"/>
      <c r="W135" s="141"/>
      <c r="X135" s="141"/>
      <c r="Y135" s="11"/>
    </row>
    <row r="136" spans="1:25" ht="15.75" customHeight="1" x14ac:dyDescent="0.3">
      <c r="A136" s="140"/>
      <c r="B136" s="140"/>
      <c r="L136" s="141"/>
      <c r="M136" s="141"/>
      <c r="N136" s="142"/>
      <c r="O136" s="142"/>
      <c r="P136" s="142"/>
      <c r="Q136" s="142"/>
      <c r="R136" s="143"/>
      <c r="S136" s="142"/>
      <c r="T136" s="141"/>
      <c r="U136" s="141"/>
      <c r="V136" s="143"/>
      <c r="W136" s="141"/>
      <c r="X136" s="141"/>
      <c r="Y136" s="11"/>
    </row>
    <row r="137" spans="1:25" ht="15.75" customHeight="1" x14ac:dyDescent="0.3">
      <c r="A137" s="140"/>
      <c r="B137" s="140"/>
      <c r="L137" s="141"/>
      <c r="M137" s="141"/>
      <c r="N137" s="142"/>
      <c r="O137" s="142"/>
      <c r="P137" s="142"/>
      <c r="Q137" s="142"/>
      <c r="R137" s="143"/>
      <c r="S137" s="142"/>
      <c r="T137" s="141"/>
      <c r="U137" s="141"/>
      <c r="V137" s="143"/>
      <c r="W137" s="141"/>
      <c r="X137" s="141"/>
      <c r="Y137" s="11"/>
    </row>
    <row r="138" spans="1:25" ht="15.75" customHeight="1" x14ac:dyDescent="0.3">
      <c r="A138" s="140"/>
      <c r="B138" s="140"/>
      <c r="L138" s="141"/>
      <c r="M138" s="141"/>
      <c r="N138" s="142"/>
      <c r="O138" s="142"/>
      <c r="P138" s="142"/>
      <c r="Q138" s="142"/>
      <c r="R138" s="143"/>
      <c r="S138" s="142"/>
      <c r="T138" s="141"/>
      <c r="U138" s="141"/>
      <c r="V138" s="143"/>
      <c r="W138" s="141"/>
      <c r="X138" s="141"/>
      <c r="Y138" s="11"/>
    </row>
    <row r="139" spans="1:25" ht="15.75" customHeight="1" x14ac:dyDescent="0.3">
      <c r="A139" s="140"/>
      <c r="B139" s="140"/>
      <c r="L139" s="141"/>
      <c r="M139" s="141"/>
      <c r="N139" s="142"/>
      <c r="O139" s="142"/>
      <c r="P139" s="142"/>
      <c r="Q139" s="142"/>
      <c r="R139" s="143"/>
      <c r="S139" s="142"/>
      <c r="T139" s="141"/>
      <c r="U139" s="141"/>
      <c r="V139" s="143"/>
      <c r="W139" s="141"/>
      <c r="X139" s="141"/>
      <c r="Y139" s="11"/>
    </row>
    <row r="140" spans="1:25" ht="15.75" customHeight="1" x14ac:dyDescent="0.3">
      <c r="A140" s="140"/>
      <c r="B140" s="140"/>
      <c r="L140" s="141"/>
      <c r="M140" s="141"/>
      <c r="N140" s="142"/>
      <c r="O140" s="142"/>
      <c r="P140" s="142"/>
      <c r="Q140" s="142"/>
      <c r="R140" s="143"/>
      <c r="S140" s="142"/>
      <c r="T140" s="141"/>
      <c r="U140" s="141"/>
      <c r="V140" s="143"/>
      <c r="W140" s="141"/>
      <c r="X140" s="141"/>
      <c r="Y140" s="11"/>
    </row>
    <row r="141" spans="1:25" ht="15.75" customHeight="1" x14ac:dyDescent="0.3">
      <c r="A141" s="140"/>
      <c r="B141" s="140"/>
      <c r="L141" s="141"/>
      <c r="M141" s="141"/>
      <c r="N141" s="142"/>
      <c r="O141" s="142"/>
      <c r="P141" s="142"/>
      <c r="Q141" s="142"/>
      <c r="R141" s="143"/>
      <c r="S141" s="142"/>
      <c r="T141" s="141"/>
      <c r="U141" s="141"/>
      <c r="V141" s="143"/>
      <c r="W141" s="141"/>
      <c r="X141" s="141"/>
      <c r="Y141" s="11"/>
    </row>
    <row r="142" spans="1:25" ht="15.75" customHeight="1" x14ac:dyDescent="0.3">
      <c r="A142" s="140"/>
      <c r="B142" s="140"/>
      <c r="L142" s="141"/>
      <c r="M142" s="141"/>
      <c r="N142" s="142"/>
      <c r="O142" s="142"/>
      <c r="P142" s="142"/>
      <c r="Q142" s="142"/>
      <c r="R142" s="143"/>
      <c r="S142" s="142"/>
      <c r="T142" s="141"/>
      <c r="U142" s="141"/>
      <c r="V142" s="143"/>
      <c r="W142" s="141"/>
      <c r="X142" s="141"/>
      <c r="Y142" s="11"/>
    </row>
    <row r="143" spans="1:25" ht="15.75" customHeight="1" x14ac:dyDescent="0.3">
      <c r="A143" s="140"/>
      <c r="B143" s="140"/>
      <c r="L143" s="141"/>
      <c r="M143" s="141"/>
      <c r="N143" s="142"/>
      <c r="O143" s="142"/>
      <c r="P143" s="142"/>
      <c r="Q143" s="142"/>
      <c r="R143" s="143"/>
      <c r="S143" s="142"/>
      <c r="T143" s="141"/>
      <c r="U143" s="141"/>
      <c r="V143" s="143"/>
      <c r="W143" s="141"/>
      <c r="X143" s="141"/>
      <c r="Y143" s="11"/>
    </row>
    <row r="144" spans="1:25" ht="15.75" customHeight="1" x14ac:dyDescent="0.3">
      <c r="A144" s="140"/>
      <c r="B144" s="140"/>
      <c r="L144" s="141"/>
      <c r="M144" s="141"/>
      <c r="N144" s="142"/>
      <c r="O144" s="142"/>
      <c r="P144" s="142"/>
      <c r="Q144" s="142"/>
      <c r="R144" s="143"/>
      <c r="S144" s="142"/>
      <c r="T144" s="141"/>
      <c r="U144" s="141"/>
      <c r="V144" s="143"/>
      <c r="W144" s="141"/>
      <c r="X144" s="141"/>
      <c r="Y144" s="11"/>
    </row>
    <row r="145" spans="1:25" ht="15.75" customHeight="1" x14ac:dyDescent="0.3">
      <c r="A145" s="140"/>
      <c r="B145" s="140"/>
      <c r="L145" s="141"/>
      <c r="M145" s="141"/>
      <c r="N145" s="142"/>
      <c r="O145" s="142"/>
      <c r="P145" s="142"/>
      <c r="Q145" s="142"/>
      <c r="R145" s="143"/>
      <c r="S145" s="142"/>
      <c r="T145" s="141"/>
      <c r="U145" s="141"/>
      <c r="V145" s="143"/>
      <c r="W145" s="141"/>
      <c r="X145" s="141"/>
      <c r="Y145" s="11"/>
    </row>
    <row r="146" spans="1:25" ht="15.75" customHeight="1" x14ac:dyDescent="0.3">
      <c r="A146" s="140"/>
      <c r="B146" s="140"/>
      <c r="L146" s="141"/>
      <c r="M146" s="141"/>
      <c r="N146" s="142"/>
      <c r="O146" s="142"/>
      <c r="P146" s="142"/>
      <c r="Q146" s="142"/>
      <c r="R146" s="143"/>
      <c r="S146" s="142"/>
      <c r="T146" s="141"/>
      <c r="U146" s="141"/>
      <c r="V146" s="143"/>
      <c r="W146" s="141"/>
      <c r="X146" s="141"/>
      <c r="Y146" s="11"/>
    </row>
    <row r="147" spans="1:25" ht="15.75" customHeight="1" x14ac:dyDescent="0.3">
      <c r="A147" s="140"/>
      <c r="B147" s="140"/>
      <c r="L147" s="141"/>
      <c r="M147" s="141"/>
      <c r="N147" s="142"/>
      <c r="O147" s="142"/>
      <c r="P147" s="142"/>
      <c r="Q147" s="142"/>
      <c r="R147" s="143"/>
      <c r="S147" s="142"/>
      <c r="T147" s="141"/>
      <c r="U147" s="141"/>
      <c r="V147" s="143"/>
      <c r="W147" s="141"/>
      <c r="X147" s="141"/>
      <c r="Y147" s="11"/>
    </row>
    <row r="148" spans="1:25" ht="15.75" customHeight="1" x14ac:dyDescent="0.3">
      <c r="A148" s="140"/>
      <c r="B148" s="140"/>
      <c r="L148" s="141"/>
      <c r="M148" s="141"/>
      <c r="N148" s="142"/>
      <c r="O148" s="142"/>
      <c r="P148" s="142"/>
      <c r="Q148" s="142"/>
      <c r="R148" s="143"/>
      <c r="S148" s="142"/>
      <c r="T148" s="141"/>
      <c r="U148" s="141"/>
      <c r="V148" s="143"/>
      <c r="W148" s="141"/>
      <c r="X148" s="141"/>
      <c r="Y148" s="11"/>
    </row>
    <row r="149" spans="1:25" ht="15.75" customHeight="1" x14ac:dyDescent="0.3">
      <c r="A149" s="140"/>
      <c r="B149" s="140"/>
      <c r="L149" s="141"/>
      <c r="M149" s="141"/>
      <c r="N149" s="142"/>
      <c r="O149" s="142"/>
      <c r="P149" s="142"/>
      <c r="Q149" s="142"/>
      <c r="R149" s="143"/>
      <c r="S149" s="142"/>
      <c r="T149" s="141"/>
      <c r="U149" s="141"/>
      <c r="V149" s="143"/>
      <c r="W149" s="141"/>
      <c r="X149" s="141"/>
      <c r="Y149" s="11"/>
    </row>
    <row r="150" spans="1:25" ht="15.75" customHeight="1" x14ac:dyDescent="0.3">
      <c r="A150" s="140"/>
      <c r="B150" s="140"/>
      <c r="L150" s="141"/>
      <c r="M150" s="141"/>
      <c r="N150" s="142"/>
      <c r="O150" s="142"/>
      <c r="P150" s="142"/>
      <c r="Q150" s="142"/>
      <c r="R150" s="143"/>
      <c r="S150" s="142"/>
      <c r="T150" s="141"/>
      <c r="U150" s="141"/>
      <c r="V150" s="143"/>
      <c r="W150" s="141"/>
      <c r="X150" s="141"/>
      <c r="Y150" s="11"/>
    </row>
    <row r="151" spans="1:25" ht="15.75" customHeight="1" x14ac:dyDescent="0.3">
      <c r="A151" s="140"/>
      <c r="B151" s="140"/>
      <c r="L151" s="141"/>
      <c r="M151" s="141"/>
      <c r="N151" s="142"/>
      <c r="O151" s="142"/>
      <c r="P151" s="142"/>
      <c r="Q151" s="142"/>
      <c r="R151" s="143"/>
      <c r="S151" s="142"/>
      <c r="T151" s="141"/>
      <c r="U151" s="141"/>
      <c r="V151" s="143"/>
      <c r="W151" s="141"/>
      <c r="X151" s="141"/>
      <c r="Y151" s="11"/>
    </row>
    <row r="152" spans="1:25" ht="15.75" customHeight="1" x14ac:dyDescent="0.3">
      <c r="A152" s="140"/>
      <c r="B152" s="140"/>
      <c r="L152" s="141"/>
      <c r="M152" s="141"/>
      <c r="N152" s="142"/>
      <c r="O152" s="142"/>
      <c r="P152" s="142"/>
      <c r="Q152" s="142"/>
      <c r="R152" s="143"/>
      <c r="S152" s="142"/>
      <c r="T152" s="141"/>
      <c r="U152" s="141"/>
      <c r="V152" s="143"/>
      <c r="W152" s="141"/>
      <c r="X152" s="141"/>
      <c r="Y152" s="11"/>
    </row>
    <row r="153" spans="1:25" ht="15.75" customHeight="1" x14ac:dyDescent="0.3">
      <c r="A153" s="140"/>
      <c r="B153" s="140"/>
      <c r="L153" s="141"/>
      <c r="M153" s="141"/>
      <c r="N153" s="142"/>
      <c r="O153" s="142"/>
      <c r="P153" s="142"/>
      <c r="Q153" s="142"/>
      <c r="R153" s="143"/>
      <c r="S153" s="142"/>
      <c r="T153" s="141"/>
      <c r="U153" s="141"/>
      <c r="V153" s="143"/>
      <c r="W153" s="141"/>
      <c r="X153" s="141"/>
      <c r="Y153" s="11"/>
    </row>
    <row r="154" spans="1:25" ht="15.75" customHeight="1" x14ac:dyDescent="0.3">
      <c r="A154" s="140"/>
      <c r="B154" s="140"/>
      <c r="L154" s="141"/>
      <c r="M154" s="141"/>
      <c r="N154" s="142"/>
      <c r="O154" s="142"/>
      <c r="P154" s="142"/>
      <c r="Q154" s="142"/>
      <c r="R154" s="143"/>
      <c r="S154" s="142"/>
      <c r="T154" s="141"/>
      <c r="U154" s="141"/>
      <c r="V154" s="143"/>
      <c r="W154" s="141"/>
      <c r="X154" s="141"/>
      <c r="Y154" s="11"/>
    </row>
    <row r="155" spans="1:25" ht="15.75" customHeight="1" x14ac:dyDescent="0.3">
      <c r="A155" s="140"/>
      <c r="B155" s="140"/>
      <c r="L155" s="141"/>
      <c r="M155" s="141"/>
      <c r="N155" s="142"/>
      <c r="O155" s="142"/>
      <c r="P155" s="142"/>
      <c r="Q155" s="142"/>
      <c r="R155" s="143"/>
      <c r="S155" s="142"/>
      <c r="T155" s="141"/>
      <c r="U155" s="141"/>
      <c r="V155" s="143"/>
      <c r="W155" s="141"/>
      <c r="X155" s="141"/>
      <c r="Y155" s="11"/>
    </row>
    <row r="156" spans="1:25" ht="15.75" customHeight="1" x14ac:dyDescent="0.3">
      <c r="A156" s="140"/>
      <c r="B156" s="140"/>
      <c r="L156" s="141"/>
      <c r="M156" s="141"/>
      <c r="N156" s="142"/>
      <c r="O156" s="142"/>
      <c r="P156" s="142"/>
      <c r="Q156" s="142"/>
      <c r="R156" s="143"/>
      <c r="S156" s="142"/>
      <c r="T156" s="141"/>
      <c r="U156" s="141"/>
      <c r="V156" s="143"/>
      <c r="W156" s="141"/>
      <c r="X156" s="141"/>
      <c r="Y156" s="11"/>
    </row>
    <row r="157" spans="1:25" ht="15.75" customHeight="1" x14ac:dyDescent="0.3">
      <c r="A157" s="140"/>
      <c r="B157" s="140"/>
      <c r="L157" s="141"/>
      <c r="M157" s="141"/>
      <c r="N157" s="142"/>
      <c r="O157" s="142"/>
      <c r="P157" s="142"/>
      <c r="Q157" s="142"/>
      <c r="R157" s="143"/>
      <c r="S157" s="142"/>
      <c r="T157" s="141"/>
      <c r="U157" s="141"/>
      <c r="V157" s="143"/>
      <c r="W157" s="141"/>
      <c r="X157" s="141"/>
      <c r="Y157" s="11"/>
    </row>
    <row r="158" spans="1:25" ht="15.75" customHeight="1" x14ac:dyDescent="0.3">
      <c r="A158" s="140"/>
      <c r="B158" s="140"/>
      <c r="L158" s="141"/>
      <c r="M158" s="141"/>
      <c r="N158" s="142"/>
      <c r="O158" s="142"/>
      <c r="P158" s="142"/>
      <c r="Q158" s="142"/>
      <c r="R158" s="143"/>
      <c r="S158" s="142"/>
      <c r="T158" s="141"/>
      <c r="U158" s="141"/>
      <c r="V158" s="143"/>
      <c r="W158" s="141"/>
      <c r="X158" s="141"/>
      <c r="Y158" s="11"/>
    </row>
    <row r="159" spans="1:25" ht="15.75" customHeight="1" x14ac:dyDescent="0.3">
      <c r="A159" s="140"/>
      <c r="B159" s="140"/>
      <c r="L159" s="141"/>
      <c r="M159" s="141"/>
      <c r="N159" s="142"/>
      <c r="O159" s="142"/>
      <c r="P159" s="142"/>
      <c r="Q159" s="142"/>
      <c r="R159" s="143"/>
      <c r="S159" s="142"/>
      <c r="T159" s="141"/>
      <c r="U159" s="141"/>
      <c r="V159" s="143"/>
      <c r="W159" s="141"/>
      <c r="X159" s="141"/>
      <c r="Y159" s="11"/>
    </row>
    <row r="160" spans="1:25" ht="15.75" customHeight="1" x14ac:dyDescent="0.3">
      <c r="A160" s="140"/>
      <c r="B160" s="140"/>
      <c r="L160" s="141"/>
      <c r="M160" s="141"/>
      <c r="N160" s="142"/>
      <c r="O160" s="142"/>
      <c r="P160" s="142"/>
      <c r="Q160" s="142"/>
      <c r="R160" s="143"/>
      <c r="S160" s="142"/>
      <c r="T160" s="141"/>
      <c r="U160" s="141"/>
      <c r="V160" s="143"/>
      <c r="W160" s="141"/>
      <c r="X160" s="141"/>
      <c r="Y160" s="11"/>
    </row>
    <row r="161" spans="1:25" ht="15.75" customHeight="1" x14ac:dyDescent="0.3">
      <c r="A161" s="140"/>
      <c r="B161" s="140"/>
      <c r="L161" s="141"/>
      <c r="M161" s="141"/>
      <c r="N161" s="142"/>
      <c r="O161" s="142"/>
      <c r="P161" s="142"/>
      <c r="Q161" s="142"/>
      <c r="R161" s="143"/>
      <c r="S161" s="142"/>
      <c r="T161" s="141"/>
      <c r="U161" s="141"/>
      <c r="V161" s="143"/>
      <c r="W161" s="141"/>
      <c r="X161" s="141"/>
      <c r="Y161" s="11"/>
    </row>
    <row r="162" spans="1:25" ht="15.75" customHeight="1" x14ac:dyDescent="0.3">
      <c r="A162" s="140"/>
      <c r="B162" s="140"/>
      <c r="L162" s="141"/>
      <c r="M162" s="141"/>
      <c r="N162" s="142"/>
      <c r="O162" s="142"/>
      <c r="P162" s="142"/>
      <c r="Q162" s="142"/>
      <c r="R162" s="143"/>
      <c r="S162" s="142"/>
      <c r="T162" s="141"/>
      <c r="U162" s="141"/>
      <c r="V162" s="143"/>
      <c r="W162" s="141"/>
      <c r="X162" s="141"/>
      <c r="Y162" s="11"/>
    </row>
    <row r="163" spans="1:25" ht="15.75" customHeight="1" x14ac:dyDescent="0.3">
      <c r="A163" s="140"/>
      <c r="B163" s="140"/>
      <c r="L163" s="141"/>
      <c r="M163" s="141"/>
      <c r="N163" s="142"/>
      <c r="O163" s="142"/>
      <c r="P163" s="142"/>
      <c r="Q163" s="142"/>
      <c r="R163" s="143"/>
      <c r="S163" s="142"/>
      <c r="T163" s="141"/>
      <c r="U163" s="141"/>
      <c r="V163" s="143"/>
      <c r="W163" s="141"/>
      <c r="X163" s="141"/>
      <c r="Y163" s="11"/>
    </row>
    <row r="164" spans="1:25" ht="15.75" customHeight="1" x14ac:dyDescent="0.3">
      <c r="A164" s="140"/>
      <c r="B164" s="140"/>
      <c r="L164" s="141"/>
      <c r="M164" s="141"/>
      <c r="N164" s="142"/>
      <c r="O164" s="142"/>
      <c r="P164" s="142"/>
      <c r="Q164" s="142"/>
      <c r="R164" s="143"/>
      <c r="S164" s="142"/>
      <c r="T164" s="141"/>
      <c r="U164" s="141"/>
      <c r="V164" s="143"/>
      <c r="W164" s="141"/>
      <c r="X164" s="141"/>
      <c r="Y164" s="11"/>
    </row>
    <row r="165" spans="1:25" ht="15.75" customHeight="1" x14ac:dyDescent="0.3">
      <c r="A165" s="140"/>
      <c r="B165" s="140"/>
      <c r="L165" s="141"/>
      <c r="M165" s="141"/>
      <c r="N165" s="142"/>
      <c r="O165" s="142"/>
      <c r="P165" s="142"/>
      <c r="Q165" s="142"/>
      <c r="R165" s="143"/>
      <c r="S165" s="142"/>
      <c r="T165" s="141"/>
      <c r="U165" s="141"/>
      <c r="V165" s="143"/>
      <c r="W165" s="141"/>
      <c r="X165" s="141"/>
      <c r="Y165" s="11"/>
    </row>
    <row r="166" spans="1:25" ht="15.75" customHeight="1" x14ac:dyDescent="0.3">
      <c r="A166" s="140"/>
      <c r="B166" s="140"/>
      <c r="L166" s="141"/>
      <c r="M166" s="141"/>
      <c r="N166" s="142"/>
      <c r="O166" s="142"/>
      <c r="P166" s="142"/>
      <c r="Q166" s="142"/>
      <c r="R166" s="143"/>
      <c r="S166" s="142"/>
      <c r="T166" s="141"/>
      <c r="U166" s="141"/>
      <c r="V166" s="143"/>
      <c r="W166" s="141"/>
      <c r="X166" s="141"/>
      <c r="Y166" s="11"/>
    </row>
    <row r="167" spans="1:25" ht="15.75" customHeight="1" x14ac:dyDescent="0.3">
      <c r="A167" s="140"/>
      <c r="B167" s="140"/>
      <c r="L167" s="141"/>
      <c r="M167" s="141"/>
      <c r="N167" s="142"/>
      <c r="O167" s="142"/>
      <c r="P167" s="142"/>
      <c r="Q167" s="142"/>
      <c r="R167" s="143"/>
      <c r="S167" s="142"/>
      <c r="T167" s="141"/>
      <c r="U167" s="141"/>
      <c r="V167" s="143"/>
      <c r="W167" s="141"/>
      <c r="X167" s="141"/>
      <c r="Y167" s="11"/>
    </row>
    <row r="168" spans="1:25" ht="15.75" customHeight="1" x14ac:dyDescent="0.3">
      <c r="A168" s="140"/>
      <c r="B168" s="140"/>
      <c r="L168" s="141"/>
      <c r="M168" s="141"/>
      <c r="N168" s="142"/>
      <c r="O168" s="142"/>
      <c r="P168" s="142"/>
      <c r="Q168" s="142"/>
      <c r="R168" s="143"/>
      <c r="S168" s="142"/>
      <c r="T168" s="141"/>
      <c r="U168" s="141"/>
      <c r="V168" s="143"/>
      <c r="W168" s="141"/>
      <c r="X168" s="141"/>
      <c r="Y168" s="11"/>
    </row>
    <row r="169" spans="1:25" ht="15.75" customHeight="1" x14ac:dyDescent="0.3">
      <c r="A169" s="140"/>
      <c r="B169" s="140"/>
      <c r="L169" s="141"/>
      <c r="M169" s="141"/>
      <c r="N169" s="142"/>
      <c r="O169" s="142"/>
      <c r="P169" s="142"/>
      <c r="Q169" s="142"/>
      <c r="R169" s="143"/>
      <c r="S169" s="142"/>
      <c r="T169" s="141"/>
      <c r="U169" s="141"/>
      <c r="V169" s="143"/>
      <c r="W169" s="141"/>
      <c r="X169" s="141"/>
      <c r="Y169" s="11"/>
    </row>
    <row r="170" spans="1:25" ht="15.75" customHeight="1" x14ac:dyDescent="0.3">
      <c r="A170" s="140"/>
      <c r="B170" s="140"/>
      <c r="L170" s="141"/>
      <c r="M170" s="141"/>
      <c r="N170" s="142"/>
      <c r="O170" s="142"/>
      <c r="P170" s="142"/>
      <c r="Q170" s="142"/>
      <c r="R170" s="143"/>
      <c r="S170" s="142"/>
      <c r="T170" s="141"/>
      <c r="U170" s="141"/>
      <c r="V170" s="143"/>
      <c r="W170" s="141"/>
      <c r="X170" s="141"/>
      <c r="Y170" s="11"/>
    </row>
    <row r="171" spans="1:25" ht="15.75" customHeight="1" x14ac:dyDescent="0.3">
      <c r="A171" s="140"/>
      <c r="B171" s="140"/>
      <c r="L171" s="141"/>
      <c r="M171" s="141"/>
      <c r="N171" s="142"/>
      <c r="O171" s="142"/>
      <c r="P171" s="142"/>
      <c r="Q171" s="142"/>
      <c r="R171" s="143"/>
      <c r="S171" s="142"/>
      <c r="T171" s="141"/>
      <c r="U171" s="141"/>
      <c r="V171" s="143"/>
      <c r="W171" s="141"/>
      <c r="X171" s="141"/>
      <c r="Y171" s="11"/>
    </row>
    <row r="172" spans="1:25" ht="15.75" customHeight="1" x14ac:dyDescent="0.3">
      <c r="A172" s="140"/>
      <c r="B172" s="140"/>
      <c r="L172" s="141"/>
      <c r="M172" s="141"/>
      <c r="N172" s="142"/>
      <c r="O172" s="142"/>
      <c r="P172" s="142"/>
      <c r="Q172" s="142"/>
      <c r="R172" s="143"/>
      <c r="S172" s="142"/>
      <c r="T172" s="141"/>
      <c r="U172" s="141"/>
      <c r="V172" s="143"/>
      <c r="W172" s="141"/>
      <c r="X172" s="141"/>
      <c r="Y172" s="11"/>
    </row>
    <row r="173" spans="1:25" ht="15.75" customHeight="1" x14ac:dyDescent="0.3">
      <c r="A173" s="140"/>
      <c r="B173" s="140"/>
      <c r="L173" s="141"/>
      <c r="M173" s="141"/>
      <c r="N173" s="142"/>
      <c r="O173" s="142"/>
      <c r="P173" s="142"/>
      <c r="Q173" s="142"/>
      <c r="R173" s="143"/>
      <c r="S173" s="142"/>
      <c r="T173" s="141"/>
      <c r="U173" s="141"/>
      <c r="V173" s="143"/>
      <c r="W173" s="141"/>
      <c r="X173" s="141"/>
      <c r="Y173" s="11"/>
    </row>
    <row r="174" spans="1:25" ht="15.75" customHeight="1" x14ac:dyDescent="0.3">
      <c r="A174" s="140"/>
      <c r="B174" s="140"/>
      <c r="L174" s="141"/>
      <c r="M174" s="141"/>
      <c r="N174" s="142"/>
      <c r="O174" s="142"/>
      <c r="P174" s="142"/>
      <c r="Q174" s="142"/>
      <c r="R174" s="143"/>
      <c r="S174" s="142"/>
      <c r="T174" s="141"/>
      <c r="U174" s="141"/>
      <c r="V174" s="143"/>
      <c r="W174" s="141"/>
      <c r="X174" s="141"/>
      <c r="Y174" s="11"/>
    </row>
    <row r="175" spans="1:25" ht="15.75" customHeight="1" x14ac:dyDescent="0.3">
      <c r="A175" s="140"/>
      <c r="B175" s="140"/>
      <c r="L175" s="141"/>
      <c r="M175" s="141"/>
      <c r="N175" s="142"/>
      <c r="O175" s="142"/>
      <c r="P175" s="142"/>
      <c r="Q175" s="142"/>
      <c r="R175" s="143"/>
      <c r="S175" s="142"/>
      <c r="T175" s="141"/>
      <c r="U175" s="141"/>
      <c r="V175" s="143"/>
      <c r="W175" s="141"/>
      <c r="X175" s="141"/>
      <c r="Y175" s="11"/>
    </row>
    <row r="176" spans="1:25" ht="15.75" customHeight="1" x14ac:dyDescent="0.3">
      <c r="A176" s="140"/>
      <c r="B176" s="140"/>
      <c r="L176" s="141"/>
      <c r="M176" s="141"/>
      <c r="N176" s="142"/>
      <c r="O176" s="142"/>
      <c r="P176" s="142"/>
      <c r="Q176" s="142"/>
      <c r="R176" s="143"/>
      <c r="S176" s="142"/>
      <c r="T176" s="141"/>
      <c r="U176" s="141"/>
      <c r="V176" s="143"/>
      <c r="W176" s="141"/>
      <c r="X176" s="141"/>
      <c r="Y176" s="11"/>
    </row>
    <row r="177" spans="1:25" ht="15.75" customHeight="1" x14ac:dyDescent="0.3">
      <c r="A177" s="140"/>
      <c r="B177" s="140"/>
      <c r="L177" s="141"/>
      <c r="M177" s="141"/>
      <c r="N177" s="142"/>
      <c r="O177" s="142"/>
      <c r="P177" s="142"/>
      <c r="Q177" s="142"/>
      <c r="R177" s="143"/>
      <c r="S177" s="142"/>
      <c r="T177" s="141"/>
      <c r="U177" s="141"/>
      <c r="V177" s="143"/>
      <c r="W177" s="141"/>
      <c r="X177" s="141"/>
      <c r="Y177" s="11"/>
    </row>
    <row r="178" spans="1:25" ht="15.75" customHeight="1" x14ac:dyDescent="0.3">
      <c r="A178" s="140"/>
      <c r="B178" s="140"/>
      <c r="L178" s="141"/>
      <c r="M178" s="141"/>
      <c r="N178" s="142"/>
      <c r="O178" s="142"/>
      <c r="P178" s="142"/>
      <c r="Q178" s="142"/>
      <c r="R178" s="143"/>
      <c r="S178" s="142"/>
      <c r="T178" s="141"/>
      <c r="U178" s="141"/>
      <c r="V178" s="143"/>
      <c r="W178" s="141"/>
      <c r="X178" s="141"/>
      <c r="Y178" s="11"/>
    </row>
    <row r="179" spans="1:25" ht="15.75" customHeight="1" x14ac:dyDescent="0.3">
      <c r="A179" s="140"/>
      <c r="B179" s="140"/>
      <c r="L179" s="141"/>
      <c r="M179" s="141"/>
      <c r="N179" s="142"/>
      <c r="O179" s="142"/>
      <c r="P179" s="142"/>
      <c r="Q179" s="142"/>
      <c r="R179" s="143"/>
      <c r="S179" s="142"/>
      <c r="T179" s="141"/>
      <c r="U179" s="141"/>
      <c r="V179" s="143"/>
      <c r="W179" s="141"/>
      <c r="X179" s="141"/>
      <c r="Y179" s="11"/>
    </row>
    <row r="180" spans="1:25" ht="15.75" customHeight="1" x14ac:dyDescent="0.3">
      <c r="A180" s="140"/>
      <c r="B180" s="140"/>
      <c r="L180" s="141"/>
      <c r="M180" s="141"/>
      <c r="N180" s="142"/>
      <c r="O180" s="142"/>
      <c r="P180" s="142"/>
      <c r="Q180" s="142"/>
      <c r="R180" s="143"/>
      <c r="S180" s="142"/>
      <c r="T180" s="141"/>
      <c r="U180" s="141"/>
      <c r="V180" s="143"/>
      <c r="W180" s="141"/>
      <c r="X180" s="141"/>
      <c r="Y180" s="11"/>
    </row>
    <row r="181" spans="1:25" ht="15.75" customHeight="1" x14ac:dyDescent="0.3">
      <c r="A181" s="140"/>
      <c r="B181" s="140"/>
      <c r="L181" s="141"/>
      <c r="M181" s="141"/>
      <c r="N181" s="142"/>
      <c r="O181" s="142"/>
      <c r="P181" s="142"/>
      <c r="Q181" s="142"/>
      <c r="R181" s="143"/>
      <c r="S181" s="142"/>
      <c r="T181" s="141"/>
      <c r="U181" s="141"/>
      <c r="V181" s="143"/>
      <c r="W181" s="141"/>
      <c r="X181" s="141"/>
      <c r="Y181" s="11"/>
    </row>
    <row r="182" spans="1:25" ht="15.75" customHeight="1" x14ac:dyDescent="0.3">
      <c r="A182" s="140"/>
      <c r="B182" s="140"/>
      <c r="L182" s="141"/>
      <c r="M182" s="141"/>
      <c r="N182" s="142"/>
      <c r="O182" s="142"/>
      <c r="P182" s="142"/>
      <c r="Q182" s="142"/>
      <c r="R182" s="143"/>
      <c r="S182" s="142"/>
      <c r="T182" s="141"/>
      <c r="U182" s="141"/>
      <c r="V182" s="143"/>
      <c r="W182" s="141"/>
      <c r="X182" s="141"/>
      <c r="Y182" s="11"/>
    </row>
    <row r="183" spans="1:25" ht="15.75" customHeight="1" x14ac:dyDescent="0.3">
      <c r="A183" s="140"/>
      <c r="B183" s="140"/>
      <c r="L183" s="141"/>
      <c r="M183" s="141"/>
      <c r="N183" s="142"/>
      <c r="O183" s="142"/>
      <c r="P183" s="142"/>
      <c r="Q183" s="142"/>
      <c r="R183" s="143"/>
      <c r="S183" s="142"/>
      <c r="T183" s="141"/>
      <c r="U183" s="141"/>
      <c r="V183" s="143"/>
      <c r="W183" s="141"/>
      <c r="X183" s="141"/>
      <c r="Y183" s="11"/>
    </row>
    <row r="184" spans="1:25" ht="15.75" customHeight="1" x14ac:dyDescent="0.3">
      <c r="A184" s="140"/>
      <c r="B184" s="140"/>
      <c r="L184" s="141"/>
      <c r="M184" s="141"/>
      <c r="N184" s="142"/>
      <c r="O184" s="142"/>
      <c r="P184" s="142"/>
      <c r="Q184" s="142"/>
      <c r="R184" s="143"/>
      <c r="S184" s="142"/>
      <c r="T184" s="141"/>
      <c r="U184" s="141"/>
      <c r="V184" s="143"/>
      <c r="W184" s="141"/>
      <c r="X184" s="141"/>
      <c r="Y184" s="11"/>
    </row>
    <row r="185" spans="1:25" ht="15.75" customHeight="1" x14ac:dyDescent="0.3">
      <c r="A185" s="140"/>
      <c r="B185" s="140"/>
      <c r="L185" s="141"/>
      <c r="M185" s="141"/>
      <c r="N185" s="142"/>
      <c r="O185" s="142"/>
      <c r="P185" s="142"/>
      <c r="Q185" s="142"/>
      <c r="R185" s="143"/>
      <c r="S185" s="142"/>
      <c r="T185" s="141"/>
      <c r="U185" s="141"/>
      <c r="V185" s="143"/>
      <c r="W185" s="141"/>
      <c r="X185" s="141"/>
      <c r="Y185" s="11"/>
    </row>
    <row r="186" spans="1:25" ht="15.75" customHeight="1" x14ac:dyDescent="0.3">
      <c r="A186" s="140"/>
      <c r="B186" s="140"/>
      <c r="L186" s="141"/>
      <c r="M186" s="141"/>
      <c r="N186" s="142"/>
      <c r="O186" s="142"/>
      <c r="P186" s="142"/>
      <c r="Q186" s="142"/>
      <c r="R186" s="143"/>
      <c r="S186" s="142"/>
      <c r="T186" s="141"/>
      <c r="U186" s="141"/>
      <c r="V186" s="143"/>
      <c r="W186" s="141"/>
      <c r="X186" s="141"/>
      <c r="Y186" s="11"/>
    </row>
    <row r="187" spans="1:25" ht="15.75" customHeight="1" x14ac:dyDescent="0.3">
      <c r="A187" s="140"/>
      <c r="B187" s="140"/>
      <c r="L187" s="141"/>
      <c r="M187" s="141"/>
      <c r="N187" s="142"/>
      <c r="O187" s="142"/>
      <c r="P187" s="142"/>
      <c r="Q187" s="142"/>
      <c r="R187" s="143"/>
      <c r="S187" s="142"/>
      <c r="T187" s="141"/>
      <c r="U187" s="141"/>
      <c r="V187" s="143"/>
      <c r="W187" s="141"/>
      <c r="X187" s="141"/>
      <c r="Y187" s="11"/>
    </row>
    <row r="188" spans="1:25" ht="15.75" customHeight="1" x14ac:dyDescent="0.3">
      <c r="A188" s="140"/>
      <c r="B188" s="140"/>
      <c r="L188" s="141"/>
      <c r="M188" s="141"/>
      <c r="N188" s="142"/>
      <c r="O188" s="142"/>
      <c r="P188" s="142"/>
      <c r="Q188" s="142"/>
      <c r="R188" s="143"/>
      <c r="S188" s="142"/>
      <c r="T188" s="141"/>
      <c r="U188" s="141"/>
      <c r="V188" s="143"/>
      <c r="W188" s="141"/>
      <c r="X188" s="141"/>
      <c r="Y188" s="11"/>
    </row>
    <row r="189" spans="1:25" ht="15.75" customHeight="1" x14ac:dyDescent="0.3">
      <c r="A189" s="140"/>
      <c r="B189" s="140"/>
      <c r="L189" s="141"/>
      <c r="M189" s="141"/>
      <c r="N189" s="142"/>
      <c r="O189" s="142"/>
      <c r="P189" s="142"/>
      <c r="Q189" s="142"/>
      <c r="R189" s="143"/>
      <c r="S189" s="142"/>
      <c r="T189" s="141"/>
      <c r="U189" s="141"/>
      <c r="V189" s="143"/>
      <c r="W189" s="141"/>
      <c r="X189" s="141"/>
      <c r="Y189" s="11"/>
    </row>
    <row r="190" spans="1:25" ht="15.75" customHeight="1" x14ac:dyDescent="0.3">
      <c r="A190" s="140"/>
      <c r="B190" s="140"/>
      <c r="L190" s="141"/>
      <c r="M190" s="141"/>
      <c r="N190" s="142"/>
      <c r="O190" s="142"/>
      <c r="P190" s="142"/>
      <c r="Q190" s="142"/>
      <c r="R190" s="143"/>
      <c r="S190" s="142"/>
      <c r="T190" s="141"/>
      <c r="U190" s="141"/>
      <c r="V190" s="143"/>
      <c r="W190" s="141"/>
      <c r="X190" s="141"/>
      <c r="Y190" s="11"/>
    </row>
    <row r="191" spans="1:25" ht="15.75" customHeight="1" x14ac:dyDescent="0.3">
      <c r="A191" s="140"/>
      <c r="B191" s="140"/>
      <c r="L191" s="141"/>
      <c r="M191" s="141"/>
      <c r="N191" s="142"/>
      <c r="O191" s="142"/>
      <c r="P191" s="142"/>
      <c r="Q191" s="142"/>
      <c r="R191" s="143"/>
      <c r="S191" s="142"/>
      <c r="T191" s="141"/>
      <c r="U191" s="141"/>
      <c r="V191" s="143"/>
      <c r="W191" s="141"/>
      <c r="X191" s="141"/>
      <c r="Y191" s="11"/>
    </row>
    <row r="192" spans="1:25" ht="15.75" customHeight="1" x14ac:dyDescent="0.3">
      <c r="A192" s="140"/>
      <c r="B192" s="140"/>
      <c r="L192" s="141"/>
      <c r="M192" s="141"/>
      <c r="N192" s="142"/>
      <c r="O192" s="142"/>
      <c r="P192" s="142"/>
      <c r="Q192" s="142"/>
      <c r="R192" s="143"/>
      <c r="S192" s="142"/>
      <c r="T192" s="141"/>
      <c r="U192" s="141"/>
      <c r="V192" s="143"/>
      <c r="W192" s="141"/>
      <c r="X192" s="141"/>
      <c r="Y192" s="11"/>
    </row>
    <row r="193" spans="1:25" ht="15.75" customHeight="1" x14ac:dyDescent="0.3">
      <c r="A193" s="140"/>
      <c r="B193" s="140"/>
      <c r="L193" s="141"/>
      <c r="M193" s="141"/>
      <c r="N193" s="142"/>
      <c r="O193" s="142"/>
      <c r="P193" s="142"/>
      <c r="Q193" s="142"/>
      <c r="R193" s="143"/>
      <c r="S193" s="142"/>
      <c r="T193" s="141"/>
      <c r="U193" s="141"/>
      <c r="V193" s="143"/>
      <c r="W193" s="141"/>
      <c r="X193" s="141"/>
      <c r="Y193" s="11"/>
    </row>
    <row r="194" spans="1:25" ht="15.75" customHeight="1" x14ac:dyDescent="0.3">
      <c r="A194" s="140"/>
      <c r="B194" s="140"/>
      <c r="L194" s="141"/>
      <c r="M194" s="141"/>
      <c r="N194" s="142"/>
      <c r="O194" s="142"/>
      <c r="P194" s="142"/>
      <c r="Q194" s="142"/>
      <c r="R194" s="143"/>
      <c r="S194" s="142"/>
      <c r="T194" s="141"/>
      <c r="U194" s="141"/>
      <c r="V194" s="143"/>
      <c r="W194" s="141"/>
      <c r="X194" s="141"/>
      <c r="Y194" s="11"/>
    </row>
    <row r="195" spans="1:25" ht="15.75" customHeight="1" x14ac:dyDescent="0.3">
      <c r="A195" s="140"/>
      <c r="B195" s="140"/>
      <c r="L195" s="141"/>
      <c r="M195" s="141"/>
      <c r="N195" s="142"/>
      <c r="O195" s="142"/>
      <c r="P195" s="142"/>
      <c r="Q195" s="142"/>
      <c r="R195" s="143"/>
      <c r="S195" s="142"/>
      <c r="T195" s="141"/>
      <c r="U195" s="141"/>
      <c r="V195" s="143"/>
      <c r="W195" s="141"/>
      <c r="X195" s="141"/>
      <c r="Y195" s="11"/>
    </row>
    <row r="196" spans="1:25" ht="15.75" customHeight="1" x14ac:dyDescent="0.3">
      <c r="A196" s="140"/>
      <c r="B196" s="140"/>
      <c r="L196" s="141"/>
      <c r="M196" s="141"/>
      <c r="N196" s="142"/>
      <c r="O196" s="142"/>
      <c r="P196" s="142"/>
      <c r="Q196" s="142"/>
      <c r="R196" s="143"/>
      <c r="S196" s="142"/>
      <c r="T196" s="141"/>
      <c r="U196" s="141"/>
      <c r="V196" s="143"/>
      <c r="W196" s="141"/>
      <c r="X196" s="141"/>
      <c r="Y196" s="11"/>
    </row>
    <row r="197" spans="1:25" ht="15.75" customHeight="1" x14ac:dyDescent="0.3">
      <c r="A197" s="140"/>
      <c r="B197" s="140"/>
      <c r="L197" s="141"/>
      <c r="M197" s="141"/>
      <c r="N197" s="142"/>
      <c r="O197" s="142"/>
      <c r="P197" s="142"/>
      <c r="Q197" s="142"/>
      <c r="R197" s="143"/>
      <c r="S197" s="142"/>
      <c r="T197" s="141"/>
      <c r="U197" s="141"/>
      <c r="V197" s="143"/>
      <c r="W197" s="141"/>
      <c r="X197" s="141"/>
      <c r="Y197" s="11"/>
    </row>
    <row r="198" spans="1:25" ht="15.75" customHeight="1" x14ac:dyDescent="0.3">
      <c r="A198" s="140"/>
      <c r="B198" s="140"/>
      <c r="L198" s="141"/>
      <c r="M198" s="141"/>
      <c r="N198" s="142"/>
      <c r="O198" s="142"/>
      <c r="P198" s="142"/>
      <c r="Q198" s="142"/>
      <c r="R198" s="143"/>
      <c r="S198" s="142"/>
      <c r="T198" s="141"/>
      <c r="U198" s="141"/>
      <c r="V198" s="143"/>
      <c r="W198" s="141"/>
      <c r="X198" s="141"/>
      <c r="Y198" s="11"/>
    </row>
    <row r="199" spans="1:25" ht="15.75" customHeight="1" x14ac:dyDescent="0.3">
      <c r="A199" s="140"/>
      <c r="B199" s="140"/>
      <c r="L199" s="141"/>
      <c r="M199" s="141"/>
      <c r="N199" s="142"/>
      <c r="O199" s="142"/>
      <c r="P199" s="142"/>
      <c r="Q199" s="142"/>
      <c r="R199" s="143"/>
      <c r="S199" s="142"/>
      <c r="T199" s="141"/>
      <c r="U199" s="141"/>
      <c r="V199" s="143"/>
      <c r="W199" s="141"/>
      <c r="X199" s="141"/>
      <c r="Y199" s="11"/>
    </row>
    <row r="200" spans="1:25" ht="15.75" customHeight="1" x14ac:dyDescent="0.3">
      <c r="A200" s="140"/>
      <c r="B200" s="140"/>
      <c r="L200" s="141"/>
      <c r="M200" s="141"/>
      <c r="N200" s="142"/>
      <c r="O200" s="142"/>
      <c r="P200" s="142"/>
      <c r="Q200" s="142"/>
      <c r="R200" s="143"/>
      <c r="S200" s="142"/>
      <c r="T200" s="141"/>
      <c r="U200" s="141"/>
      <c r="V200" s="143"/>
      <c r="W200" s="141"/>
      <c r="X200" s="141"/>
      <c r="Y200" s="11"/>
    </row>
    <row r="201" spans="1:25" ht="15.75" customHeight="1" x14ac:dyDescent="0.3">
      <c r="A201" s="140"/>
      <c r="B201" s="140"/>
      <c r="L201" s="141"/>
      <c r="M201" s="141"/>
      <c r="N201" s="142"/>
      <c r="O201" s="142"/>
      <c r="P201" s="142"/>
      <c r="Q201" s="142"/>
      <c r="R201" s="143"/>
      <c r="S201" s="142"/>
      <c r="T201" s="141"/>
      <c r="U201" s="141"/>
      <c r="V201" s="143"/>
      <c r="W201" s="141"/>
      <c r="X201" s="141"/>
      <c r="Y201" s="11"/>
    </row>
    <row r="202" spans="1:25" ht="15.75" customHeight="1" x14ac:dyDescent="0.3">
      <c r="A202" s="140"/>
      <c r="B202" s="140"/>
      <c r="L202" s="141"/>
      <c r="M202" s="141"/>
      <c r="N202" s="142"/>
      <c r="O202" s="142"/>
      <c r="P202" s="142"/>
      <c r="Q202" s="142"/>
      <c r="R202" s="143"/>
      <c r="S202" s="142"/>
      <c r="T202" s="141"/>
      <c r="U202" s="141"/>
      <c r="V202" s="143"/>
      <c r="W202" s="141"/>
      <c r="X202" s="141"/>
      <c r="Y202" s="11"/>
    </row>
    <row r="203" spans="1:25" ht="15.75" customHeight="1" x14ac:dyDescent="0.3">
      <c r="A203" s="140"/>
      <c r="B203" s="140"/>
      <c r="L203" s="141"/>
      <c r="M203" s="141"/>
      <c r="N203" s="142"/>
      <c r="O203" s="142"/>
      <c r="P203" s="142"/>
      <c r="Q203" s="142"/>
      <c r="R203" s="143"/>
      <c r="S203" s="142"/>
      <c r="T203" s="141"/>
      <c r="U203" s="141"/>
      <c r="V203" s="143"/>
      <c r="W203" s="141"/>
      <c r="X203" s="141"/>
      <c r="Y203" s="11"/>
    </row>
    <row r="204" spans="1:25" ht="15.75" customHeight="1" x14ac:dyDescent="0.3">
      <c r="A204" s="140"/>
      <c r="B204" s="140"/>
      <c r="L204" s="141"/>
      <c r="M204" s="141"/>
      <c r="N204" s="142"/>
      <c r="O204" s="142"/>
      <c r="P204" s="142"/>
      <c r="Q204" s="142"/>
      <c r="R204" s="143"/>
      <c r="S204" s="142"/>
      <c r="T204" s="141"/>
      <c r="U204" s="141"/>
      <c r="V204" s="143"/>
      <c r="W204" s="141"/>
      <c r="X204" s="141"/>
      <c r="Y204" s="11"/>
    </row>
    <row r="205" spans="1:25" ht="15.75" customHeight="1" x14ac:dyDescent="0.3">
      <c r="A205" s="140"/>
      <c r="B205" s="140"/>
      <c r="L205" s="141"/>
      <c r="M205" s="141"/>
      <c r="N205" s="142"/>
      <c r="O205" s="142"/>
      <c r="P205" s="142"/>
      <c r="Q205" s="142"/>
      <c r="R205" s="143"/>
      <c r="S205" s="142"/>
      <c r="T205" s="141"/>
      <c r="U205" s="141"/>
      <c r="V205" s="143"/>
      <c r="W205" s="141"/>
      <c r="X205" s="141"/>
      <c r="Y205" s="11"/>
    </row>
    <row r="206" spans="1:25" ht="15.75" customHeight="1" x14ac:dyDescent="0.3">
      <c r="A206" s="140"/>
      <c r="B206" s="140"/>
      <c r="L206" s="141"/>
      <c r="M206" s="141"/>
      <c r="N206" s="142"/>
      <c r="O206" s="142"/>
      <c r="P206" s="142"/>
      <c r="Q206" s="142"/>
      <c r="R206" s="143"/>
      <c r="S206" s="142"/>
      <c r="T206" s="141"/>
      <c r="U206" s="141"/>
      <c r="V206" s="143"/>
      <c r="W206" s="141"/>
      <c r="X206" s="141"/>
      <c r="Y206" s="11"/>
    </row>
    <row r="207" spans="1:25" ht="15.75" customHeight="1" x14ac:dyDescent="0.3">
      <c r="A207" s="140"/>
      <c r="B207" s="140"/>
      <c r="L207" s="141"/>
      <c r="M207" s="141"/>
      <c r="N207" s="142"/>
      <c r="O207" s="142"/>
      <c r="P207" s="142"/>
      <c r="Q207" s="142"/>
      <c r="R207" s="143"/>
      <c r="S207" s="142"/>
      <c r="T207" s="141"/>
      <c r="U207" s="141"/>
      <c r="V207" s="143"/>
      <c r="W207" s="141"/>
      <c r="X207" s="141"/>
      <c r="Y207" s="11"/>
    </row>
    <row r="208" spans="1:25" ht="15.75" customHeight="1" x14ac:dyDescent="0.3">
      <c r="A208" s="140"/>
      <c r="B208" s="140"/>
      <c r="L208" s="141"/>
      <c r="M208" s="141"/>
      <c r="N208" s="142"/>
      <c r="O208" s="142"/>
      <c r="P208" s="142"/>
      <c r="Q208" s="142"/>
      <c r="R208" s="143"/>
      <c r="S208" s="142"/>
      <c r="T208" s="141"/>
      <c r="U208" s="141"/>
      <c r="V208" s="143"/>
      <c r="W208" s="141"/>
      <c r="X208" s="141"/>
      <c r="Y208" s="11"/>
    </row>
    <row r="209" spans="1:25" ht="15.75" customHeight="1" x14ac:dyDescent="0.3">
      <c r="A209" s="140"/>
      <c r="B209" s="140"/>
      <c r="L209" s="141"/>
      <c r="M209" s="141"/>
      <c r="N209" s="142"/>
      <c r="O209" s="142"/>
      <c r="P209" s="142"/>
      <c r="Q209" s="142"/>
      <c r="R209" s="143"/>
      <c r="S209" s="142"/>
      <c r="T209" s="141"/>
      <c r="U209" s="141"/>
      <c r="V209" s="143"/>
      <c r="W209" s="141"/>
      <c r="X209" s="141"/>
      <c r="Y209" s="11"/>
    </row>
    <row r="210" spans="1:25" ht="15.75" customHeight="1" x14ac:dyDescent="0.3">
      <c r="A210" s="140"/>
      <c r="B210" s="140"/>
      <c r="L210" s="141"/>
      <c r="M210" s="141"/>
      <c r="N210" s="142"/>
      <c r="O210" s="142"/>
      <c r="P210" s="142"/>
      <c r="Q210" s="142"/>
      <c r="R210" s="143"/>
      <c r="S210" s="142"/>
      <c r="T210" s="141"/>
      <c r="U210" s="141"/>
      <c r="V210" s="143"/>
      <c r="W210" s="141"/>
      <c r="X210" s="141"/>
      <c r="Y210" s="11"/>
    </row>
    <row r="211" spans="1:25" ht="15.75" customHeight="1" x14ac:dyDescent="0.3">
      <c r="A211" s="140"/>
      <c r="B211" s="140"/>
      <c r="L211" s="141"/>
      <c r="M211" s="141"/>
      <c r="N211" s="142"/>
      <c r="O211" s="142"/>
      <c r="P211" s="142"/>
      <c r="Q211" s="142"/>
      <c r="R211" s="143"/>
      <c r="S211" s="142"/>
      <c r="T211" s="141"/>
      <c r="U211" s="141"/>
      <c r="V211" s="143"/>
      <c r="W211" s="141"/>
      <c r="X211" s="141"/>
      <c r="Y211" s="11"/>
    </row>
    <row r="212" spans="1:25" ht="15.75" customHeight="1" x14ac:dyDescent="0.3">
      <c r="A212" s="140"/>
      <c r="B212" s="140"/>
      <c r="L212" s="141"/>
      <c r="M212" s="141"/>
      <c r="N212" s="142"/>
      <c r="O212" s="142"/>
      <c r="P212" s="142"/>
      <c r="Q212" s="142"/>
      <c r="R212" s="143"/>
      <c r="S212" s="142"/>
      <c r="T212" s="141"/>
      <c r="U212" s="141"/>
      <c r="V212" s="143"/>
      <c r="W212" s="141"/>
      <c r="X212" s="141"/>
      <c r="Y212" s="11"/>
    </row>
    <row r="213" spans="1:25" ht="15.75" customHeight="1" x14ac:dyDescent="0.3">
      <c r="A213" s="140"/>
      <c r="B213" s="140"/>
      <c r="L213" s="141"/>
      <c r="M213" s="141"/>
      <c r="N213" s="142"/>
      <c r="O213" s="142"/>
      <c r="P213" s="142"/>
      <c r="Q213" s="142"/>
      <c r="R213" s="143"/>
      <c r="S213" s="142"/>
      <c r="T213" s="141"/>
      <c r="U213" s="141"/>
      <c r="V213" s="143"/>
      <c r="W213" s="141"/>
      <c r="X213" s="141"/>
      <c r="Y213" s="11"/>
    </row>
    <row r="214" spans="1:25" ht="15.75" customHeight="1" x14ac:dyDescent="0.3">
      <c r="A214" s="140"/>
      <c r="B214" s="140"/>
      <c r="L214" s="141"/>
      <c r="M214" s="141"/>
      <c r="N214" s="142"/>
      <c r="O214" s="142"/>
      <c r="P214" s="142"/>
      <c r="Q214" s="142"/>
      <c r="R214" s="143"/>
      <c r="S214" s="142"/>
      <c r="T214" s="141"/>
      <c r="U214" s="141"/>
      <c r="V214" s="143"/>
      <c r="W214" s="141"/>
      <c r="X214" s="141"/>
      <c r="Y214" s="11"/>
    </row>
    <row r="215" spans="1:25" ht="15.75" customHeight="1" x14ac:dyDescent="0.3">
      <c r="A215" s="140"/>
      <c r="B215" s="140"/>
      <c r="L215" s="141"/>
      <c r="M215" s="141"/>
      <c r="N215" s="142"/>
      <c r="O215" s="142"/>
      <c r="P215" s="142"/>
      <c r="Q215" s="142"/>
      <c r="R215" s="143"/>
      <c r="S215" s="142"/>
      <c r="T215" s="141"/>
      <c r="U215" s="141"/>
      <c r="V215" s="143"/>
      <c r="W215" s="141"/>
      <c r="X215" s="141"/>
      <c r="Y215" s="11"/>
    </row>
    <row r="216" spans="1:25" ht="15.75" customHeight="1" x14ac:dyDescent="0.3">
      <c r="A216" s="140"/>
      <c r="B216" s="140"/>
      <c r="L216" s="141"/>
      <c r="M216" s="141"/>
      <c r="N216" s="142"/>
      <c r="O216" s="142"/>
      <c r="P216" s="142"/>
      <c r="Q216" s="142"/>
      <c r="R216" s="143"/>
      <c r="S216" s="142"/>
      <c r="T216" s="141"/>
      <c r="U216" s="141"/>
      <c r="V216" s="143"/>
      <c r="W216" s="141"/>
      <c r="X216" s="141"/>
      <c r="Y216" s="11"/>
    </row>
    <row r="217" spans="1:25" ht="15.75" customHeight="1" x14ac:dyDescent="0.3">
      <c r="A217" s="140"/>
      <c r="B217" s="140"/>
      <c r="L217" s="141"/>
      <c r="M217" s="141"/>
      <c r="N217" s="142"/>
      <c r="O217" s="142"/>
      <c r="P217" s="142"/>
      <c r="Q217" s="142"/>
      <c r="R217" s="143"/>
      <c r="S217" s="142"/>
      <c r="T217" s="141"/>
      <c r="U217" s="141"/>
      <c r="V217" s="143"/>
      <c r="W217" s="141"/>
      <c r="X217" s="141"/>
      <c r="Y217" s="11"/>
    </row>
    <row r="218" spans="1:25" ht="15.75" customHeight="1" x14ac:dyDescent="0.3">
      <c r="A218" s="140"/>
      <c r="B218" s="140"/>
      <c r="L218" s="141"/>
      <c r="M218" s="141"/>
      <c r="N218" s="142"/>
      <c r="O218" s="142"/>
      <c r="P218" s="142"/>
      <c r="Q218" s="142"/>
      <c r="R218" s="143"/>
      <c r="S218" s="142"/>
      <c r="T218" s="141"/>
      <c r="U218" s="141"/>
      <c r="V218" s="143"/>
      <c r="W218" s="141"/>
      <c r="X218" s="141"/>
      <c r="Y218" s="11"/>
    </row>
    <row r="219" spans="1:25" ht="15.75" customHeight="1" x14ac:dyDescent="0.3">
      <c r="A219" s="140"/>
      <c r="B219" s="140"/>
      <c r="L219" s="141"/>
      <c r="M219" s="141"/>
      <c r="N219" s="142"/>
      <c r="O219" s="142"/>
      <c r="P219" s="142"/>
      <c r="Q219" s="142"/>
      <c r="R219" s="143"/>
      <c r="S219" s="142"/>
      <c r="T219" s="141"/>
      <c r="U219" s="141"/>
      <c r="V219" s="143"/>
      <c r="W219" s="141"/>
      <c r="X219" s="141"/>
      <c r="Y219" s="11"/>
    </row>
    <row r="220" spans="1:25" ht="15.75" customHeight="1" x14ac:dyDescent="0.3">
      <c r="A220" s="140"/>
      <c r="B220" s="140"/>
      <c r="L220" s="141"/>
      <c r="M220" s="141"/>
      <c r="N220" s="142"/>
      <c r="O220" s="142"/>
      <c r="P220" s="142"/>
      <c r="Q220" s="142"/>
      <c r="R220" s="143"/>
      <c r="S220" s="142"/>
      <c r="T220" s="141"/>
      <c r="U220" s="141"/>
      <c r="V220" s="143"/>
      <c r="W220" s="141"/>
      <c r="X220" s="141"/>
      <c r="Y220" s="11"/>
    </row>
    <row r="221" spans="1:25" ht="15.75" customHeight="1" x14ac:dyDescent="0.3">
      <c r="A221" s="140"/>
      <c r="B221" s="140"/>
      <c r="L221" s="141"/>
      <c r="M221" s="141"/>
      <c r="N221" s="142"/>
      <c r="O221" s="142"/>
      <c r="P221" s="142"/>
      <c r="Q221" s="142"/>
      <c r="R221" s="143"/>
      <c r="S221" s="142"/>
      <c r="T221" s="141"/>
      <c r="U221" s="141"/>
      <c r="V221" s="143"/>
      <c r="W221" s="141"/>
      <c r="X221" s="141"/>
      <c r="Y221" s="11"/>
    </row>
    <row r="222" spans="1:25" ht="15.75" customHeight="1" x14ac:dyDescent="0.3">
      <c r="A222" s="140"/>
      <c r="B222" s="140"/>
      <c r="L222" s="141"/>
      <c r="M222" s="141"/>
      <c r="N222" s="142"/>
      <c r="O222" s="142"/>
      <c r="P222" s="142"/>
      <c r="Q222" s="142"/>
      <c r="R222" s="143"/>
      <c r="S222" s="142"/>
      <c r="T222" s="141"/>
      <c r="U222" s="141"/>
      <c r="V222" s="143"/>
      <c r="W222" s="141"/>
      <c r="X222" s="141"/>
      <c r="Y222" s="11"/>
    </row>
    <row r="223" spans="1:25" ht="15.75" customHeight="1" x14ac:dyDescent="0.3">
      <c r="A223" s="140"/>
      <c r="B223" s="140"/>
      <c r="L223" s="141"/>
      <c r="M223" s="141"/>
      <c r="N223" s="142"/>
      <c r="O223" s="142"/>
      <c r="P223" s="142"/>
      <c r="Q223" s="142"/>
      <c r="R223" s="143"/>
      <c r="S223" s="142"/>
      <c r="T223" s="141"/>
      <c r="U223" s="141"/>
      <c r="V223" s="143"/>
      <c r="W223" s="141"/>
      <c r="X223" s="141"/>
      <c r="Y223" s="11"/>
    </row>
    <row r="224" spans="1:25" ht="15.75" customHeight="1" x14ac:dyDescent="0.3">
      <c r="A224" s="140"/>
      <c r="B224" s="140"/>
      <c r="L224" s="141"/>
      <c r="M224" s="141"/>
      <c r="N224" s="142"/>
      <c r="O224" s="142"/>
      <c r="P224" s="142"/>
      <c r="Q224" s="142"/>
      <c r="R224" s="143"/>
      <c r="S224" s="142"/>
      <c r="T224" s="141"/>
      <c r="U224" s="141"/>
      <c r="V224" s="143"/>
      <c r="W224" s="141"/>
      <c r="X224" s="141"/>
      <c r="Y224" s="11"/>
    </row>
    <row r="225" spans="1:25" ht="15.75" customHeight="1" x14ac:dyDescent="0.3">
      <c r="A225" s="140"/>
      <c r="B225" s="140"/>
      <c r="L225" s="141"/>
      <c r="M225" s="141"/>
      <c r="N225" s="142"/>
      <c r="O225" s="142"/>
      <c r="P225" s="142"/>
      <c r="Q225" s="142"/>
      <c r="R225" s="143"/>
      <c r="S225" s="142"/>
      <c r="T225" s="141"/>
      <c r="U225" s="141"/>
      <c r="V225" s="143"/>
      <c r="W225" s="141"/>
      <c r="X225" s="141"/>
      <c r="Y225" s="11"/>
    </row>
    <row r="226" spans="1:25" ht="15.75" customHeight="1" x14ac:dyDescent="0.3">
      <c r="A226" s="140"/>
      <c r="B226" s="140"/>
      <c r="L226" s="141"/>
      <c r="M226" s="141"/>
      <c r="N226" s="142"/>
      <c r="O226" s="142"/>
      <c r="P226" s="142"/>
      <c r="Q226" s="142"/>
      <c r="R226" s="143"/>
      <c r="S226" s="142"/>
      <c r="T226" s="141"/>
      <c r="U226" s="141"/>
      <c r="V226" s="143"/>
      <c r="W226" s="141"/>
      <c r="X226" s="141"/>
      <c r="Y226" s="11"/>
    </row>
    <row r="227" spans="1:25" ht="15.75" customHeight="1" x14ac:dyDescent="0.3">
      <c r="A227" s="140"/>
      <c r="B227" s="140"/>
      <c r="L227" s="141"/>
      <c r="M227" s="141"/>
      <c r="N227" s="142"/>
      <c r="O227" s="142"/>
      <c r="P227" s="142"/>
      <c r="Q227" s="142"/>
      <c r="R227" s="143"/>
      <c r="S227" s="142"/>
      <c r="T227" s="141"/>
      <c r="U227" s="141"/>
      <c r="V227" s="143"/>
      <c r="W227" s="141"/>
      <c r="X227" s="141"/>
      <c r="Y227" s="11"/>
    </row>
    <row r="228" spans="1:25" ht="15.75" customHeight="1" x14ac:dyDescent="0.3">
      <c r="A228" s="140"/>
      <c r="B228" s="140"/>
      <c r="L228" s="141"/>
      <c r="M228" s="141"/>
      <c r="N228" s="142"/>
      <c r="O228" s="142"/>
      <c r="P228" s="142"/>
      <c r="Q228" s="142"/>
      <c r="R228" s="143"/>
      <c r="S228" s="142"/>
      <c r="T228" s="141"/>
      <c r="U228" s="141"/>
      <c r="V228" s="143"/>
      <c r="W228" s="141"/>
      <c r="X228" s="141"/>
      <c r="Y228" s="11"/>
    </row>
    <row r="229" spans="1:25" ht="15.75" customHeight="1" x14ac:dyDescent="0.3">
      <c r="A229" s="140"/>
      <c r="B229" s="140"/>
      <c r="L229" s="141"/>
      <c r="M229" s="141"/>
      <c r="N229" s="142"/>
      <c r="O229" s="142"/>
      <c r="P229" s="142"/>
      <c r="Q229" s="142"/>
      <c r="R229" s="143"/>
      <c r="S229" s="142"/>
      <c r="T229" s="141"/>
      <c r="U229" s="141"/>
      <c r="V229" s="143"/>
      <c r="W229" s="141"/>
      <c r="X229" s="141"/>
      <c r="Y229" s="11"/>
    </row>
    <row r="230" spans="1:25" ht="15.75" customHeight="1" x14ac:dyDescent="0.3">
      <c r="A230" s="140"/>
      <c r="B230" s="140"/>
      <c r="L230" s="141"/>
      <c r="M230" s="141"/>
      <c r="N230" s="142"/>
      <c r="O230" s="142"/>
      <c r="P230" s="142"/>
      <c r="Q230" s="142"/>
      <c r="R230" s="143"/>
      <c r="S230" s="142"/>
      <c r="T230" s="141"/>
      <c r="U230" s="141"/>
      <c r="V230" s="143"/>
      <c r="W230" s="141"/>
      <c r="X230" s="141"/>
      <c r="Y230" s="11"/>
    </row>
    <row r="231" spans="1:25" ht="15.75" customHeight="1" x14ac:dyDescent="0.3">
      <c r="A231" s="140"/>
      <c r="B231" s="140"/>
      <c r="L231" s="141"/>
      <c r="M231" s="141"/>
      <c r="N231" s="142"/>
      <c r="O231" s="142"/>
      <c r="P231" s="142"/>
      <c r="Q231" s="142"/>
      <c r="R231" s="143"/>
      <c r="S231" s="142"/>
      <c r="T231" s="141"/>
      <c r="U231" s="141"/>
      <c r="V231" s="143"/>
      <c r="W231" s="141"/>
      <c r="X231" s="141"/>
      <c r="Y231" s="11"/>
    </row>
    <row r="232" spans="1:25" ht="15.75" customHeight="1" x14ac:dyDescent="0.3">
      <c r="A232" s="140"/>
      <c r="B232" s="140"/>
      <c r="L232" s="141"/>
      <c r="M232" s="141"/>
      <c r="N232" s="142"/>
      <c r="O232" s="142"/>
      <c r="P232" s="142"/>
      <c r="Q232" s="142"/>
      <c r="R232" s="143"/>
      <c r="S232" s="142"/>
      <c r="T232" s="141"/>
      <c r="U232" s="141"/>
      <c r="V232" s="143"/>
      <c r="W232" s="141"/>
      <c r="X232" s="141"/>
      <c r="Y232" s="11"/>
    </row>
    <row r="233" spans="1:25" ht="15.75" customHeight="1" x14ac:dyDescent="0.3">
      <c r="A233" s="140"/>
      <c r="B233" s="140"/>
      <c r="L233" s="141"/>
      <c r="M233" s="141"/>
      <c r="N233" s="142"/>
      <c r="O233" s="142"/>
      <c r="P233" s="142"/>
      <c r="Q233" s="142"/>
      <c r="R233" s="143"/>
      <c r="S233" s="142"/>
      <c r="T233" s="141"/>
      <c r="U233" s="141"/>
      <c r="V233" s="143"/>
      <c r="W233" s="141"/>
      <c r="X233" s="141"/>
      <c r="Y233" s="11"/>
    </row>
    <row r="234" spans="1:25" ht="15.75" customHeight="1" x14ac:dyDescent="0.3">
      <c r="A234" s="140"/>
      <c r="B234" s="140"/>
      <c r="L234" s="141"/>
      <c r="M234" s="141"/>
      <c r="N234" s="142"/>
      <c r="O234" s="142"/>
      <c r="P234" s="142"/>
      <c r="Q234" s="142"/>
      <c r="R234" s="143"/>
      <c r="S234" s="142"/>
      <c r="T234" s="141"/>
      <c r="U234" s="141"/>
      <c r="V234" s="143"/>
      <c r="W234" s="141"/>
      <c r="X234" s="141"/>
      <c r="Y234" s="11"/>
    </row>
    <row r="235" spans="1:25" ht="15.75" customHeight="1" x14ac:dyDescent="0.3">
      <c r="A235" s="140"/>
      <c r="B235" s="140"/>
      <c r="L235" s="141"/>
      <c r="M235" s="141"/>
      <c r="N235" s="142"/>
      <c r="O235" s="142"/>
      <c r="P235" s="142"/>
      <c r="Q235" s="142"/>
      <c r="R235" s="143"/>
      <c r="S235" s="142"/>
      <c r="T235" s="141"/>
      <c r="U235" s="141"/>
      <c r="V235" s="143"/>
      <c r="W235" s="141"/>
      <c r="X235" s="141"/>
      <c r="Y235" s="11"/>
    </row>
    <row r="236" spans="1:25" ht="15.75" customHeight="1" x14ac:dyDescent="0.3">
      <c r="A236" s="140"/>
      <c r="B236" s="140"/>
      <c r="L236" s="141"/>
      <c r="M236" s="141"/>
      <c r="N236" s="142"/>
      <c r="O236" s="142"/>
      <c r="P236" s="142"/>
      <c r="Q236" s="142"/>
      <c r="R236" s="143"/>
      <c r="S236" s="142"/>
      <c r="T236" s="141"/>
      <c r="U236" s="141"/>
      <c r="V236" s="143"/>
      <c r="W236" s="141"/>
      <c r="X236" s="141"/>
      <c r="Y236" s="11"/>
    </row>
    <row r="237" spans="1:25" ht="15.75" customHeight="1" x14ac:dyDescent="0.3">
      <c r="A237" s="140"/>
      <c r="B237" s="140"/>
      <c r="L237" s="141"/>
      <c r="M237" s="141"/>
      <c r="N237" s="142"/>
      <c r="O237" s="142"/>
      <c r="P237" s="142"/>
      <c r="Q237" s="142"/>
      <c r="R237" s="143"/>
      <c r="S237" s="142"/>
      <c r="T237" s="141"/>
      <c r="U237" s="141"/>
      <c r="V237" s="143"/>
      <c r="W237" s="141"/>
      <c r="X237" s="141"/>
      <c r="Y237" s="11"/>
    </row>
    <row r="238" spans="1:25" ht="15.75" customHeight="1" x14ac:dyDescent="0.3">
      <c r="A238" s="140"/>
      <c r="B238" s="140"/>
      <c r="L238" s="141"/>
      <c r="M238" s="141"/>
      <c r="N238" s="142"/>
      <c r="O238" s="142"/>
      <c r="P238" s="142"/>
      <c r="Q238" s="142"/>
      <c r="R238" s="143"/>
      <c r="S238" s="142"/>
      <c r="T238" s="141"/>
      <c r="U238" s="141"/>
      <c r="V238" s="143"/>
      <c r="W238" s="141"/>
      <c r="X238" s="141"/>
      <c r="Y238" s="11"/>
    </row>
    <row r="239" spans="1:25" ht="15.75" customHeight="1" x14ac:dyDescent="0.3">
      <c r="A239" s="140"/>
      <c r="B239" s="140"/>
      <c r="L239" s="141"/>
      <c r="M239" s="141"/>
      <c r="N239" s="142"/>
      <c r="O239" s="142"/>
      <c r="P239" s="142"/>
      <c r="Q239" s="142"/>
      <c r="R239" s="143"/>
      <c r="S239" s="142"/>
      <c r="T239" s="141"/>
      <c r="U239" s="141"/>
      <c r="V239" s="143"/>
      <c r="W239" s="141"/>
      <c r="X239" s="141"/>
      <c r="Y239" s="11"/>
    </row>
    <row r="240" spans="1:25" ht="15.75" customHeight="1" x14ac:dyDescent="0.3">
      <c r="A240" s="140"/>
      <c r="B240" s="140"/>
      <c r="L240" s="141"/>
      <c r="M240" s="141"/>
      <c r="N240" s="142"/>
      <c r="O240" s="142"/>
      <c r="P240" s="142"/>
      <c r="Q240" s="142"/>
      <c r="R240" s="143"/>
      <c r="S240" s="142"/>
      <c r="T240" s="141"/>
      <c r="U240" s="141"/>
      <c r="V240" s="143"/>
      <c r="W240" s="141"/>
      <c r="X240" s="141"/>
      <c r="Y240" s="11"/>
    </row>
    <row r="241" spans="1:25" ht="15.75" customHeight="1" x14ac:dyDescent="0.3">
      <c r="A241" s="140"/>
      <c r="B241" s="140"/>
      <c r="L241" s="141"/>
      <c r="M241" s="141"/>
      <c r="N241" s="142"/>
      <c r="O241" s="142"/>
      <c r="P241" s="142"/>
      <c r="Q241" s="142"/>
      <c r="R241" s="143"/>
      <c r="S241" s="142"/>
      <c r="T241" s="141"/>
      <c r="U241" s="141"/>
      <c r="V241" s="143"/>
      <c r="W241" s="141"/>
      <c r="X241" s="141"/>
      <c r="Y241" s="11"/>
    </row>
    <row r="242" spans="1:25" ht="15.75" customHeight="1" x14ac:dyDescent="0.3">
      <c r="A242" s="140"/>
      <c r="B242" s="140"/>
      <c r="L242" s="141"/>
      <c r="M242" s="141"/>
      <c r="N242" s="142"/>
      <c r="O242" s="142"/>
      <c r="P242" s="142"/>
      <c r="Q242" s="142"/>
      <c r="R242" s="143"/>
      <c r="S242" s="142"/>
      <c r="T242" s="141"/>
      <c r="U242" s="141"/>
      <c r="V242" s="143"/>
      <c r="W242" s="141"/>
      <c r="X242" s="141"/>
      <c r="Y242" s="11"/>
    </row>
    <row r="243" spans="1:25" ht="15.75" customHeight="1" x14ac:dyDescent="0.3">
      <c r="A243" s="140"/>
      <c r="B243" s="140"/>
      <c r="L243" s="141"/>
      <c r="M243" s="141"/>
      <c r="N243" s="142"/>
      <c r="O243" s="142"/>
      <c r="P243" s="142"/>
      <c r="Q243" s="142"/>
      <c r="R243" s="143"/>
      <c r="S243" s="142"/>
      <c r="T243" s="141"/>
      <c r="U243" s="141"/>
      <c r="V243" s="143"/>
      <c r="W243" s="141"/>
      <c r="X243" s="141"/>
      <c r="Y243" s="11"/>
    </row>
    <row r="244" spans="1:25" ht="15.75" customHeight="1" x14ac:dyDescent="0.3">
      <c r="A244" s="140"/>
      <c r="B244" s="140"/>
      <c r="L244" s="141"/>
      <c r="M244" s="141"/>
      <c r="N244" s="142"/>
      <c r="O244" s="142"/>
      <c r="P244" s="142"/>
      <c r="Q244" s="142"/>
      <c r="R244" s="143"/>
      <c r="S244" s="142"/>
      <c r="T244" s="141"/>
      <c r="U244" s="141"/>
      <c r="V244" s="143"/>
      <c r="W244" s="141"/>
      <c r="X244" s="141"/>
      <c r="Y244" s="11"/>
    </row>
    <row r="245" spans="1:25" ht="15.75" customHeight="1" x14ac:dyDescent="0.3">
      <c r="A245" s="140"/>
      <c r="B245" s="140"/>
      <c r="L245" s="141"/>
      <c r="M245" s="141"/>
      <c r="N245" s="142"/>
      <c r="O245" s="142"/>
      <c r="P245" s="142"/>
      <c r="Q245" s="142"/>
      <c r="R245" s="143"/>
      <c r="S245" s="142"/>
      <c r="T245" s="141"/>
      <c r="U245" s="141"/>
      <c r="V245" s="143"/>
      <c r="W245" s="141"/>
      <c r="X245" s="141"/>
      <c r="Y245" s="11"/>
    </row>
    <row r="246" spans="1:25" ht="15.75" customHeight="1" x14ac:dyDescent="0.3">
      <c r="A246" s="140"/>
      <c r="B246" s="140"/>
      <c r="L246" s="141"/>
      <c r="M246" s="141"/>
      <c r="N246" s="142"/>
      <c r="O246" s="142"/>
      <c r="P246" s="142"/>
      <c r="Q246" s="142"/>
      <c r="R246" s="143"/>
      <c r="S246" s="142"/>
      <c r="T246" s="141"/>
      <c r="U246" s="141"/>
      <c r="V246" s="143"/>
      <c r="W246" s="141"/>
      <c r="X246" s="141"/>
      <c r="Y246" s="11"/>
    </row>
    <row r="247" spans="1:25" ht="15.75" customHeight="1" x14ac:dyDescent="0.3">
      <c r="A247" s="140"/>
      <c r="B247" s="140"/>
      <c r="L247" s="141"/>
      <c r="M247" s="141"/>
      <c r="N247" s="142"/>
      <c r="O247" s="142"/>
      <c r="P247" s="142"/>
      <c r="Q247" s="142"/>
      <c r="R247" s="143"/>
      <c r="S247" s="142"/>
      <c r="T247" s="141"/>
      <c r="U247" s="141"/>
      <c r="V247" s="143"/>
      <c r="W247" s="141"/>
      <c r="X247" s="141"/>
      <c r="Y247" s="11"/>
    </row>
    <row r="248" spans="1:25" ht="15.75" customHeight="1" x14ac:dyDescent="0.3">
      <c r="A248" s="140"/>
      <c r="B248" s="140"/>
      <c r="L248" s="141"/>
      <c r="M248" s="141"/>
      <c r="N248" s="142"/>
      <c r="O248" s="142"/>
      <c r="P248" s="142"/>
      <c r="Q248" s="142"/>
      <c r="R248" s="143"/>
      <c r="S248" s="142"/>
      <c r="T248" s="141"/>
      <c r="U248" s="141"/>
      <c r="V248" s="143"/>
      <c r="W248" s="141"/>
      <c r="X248" s="141"/>
      <c r="Y248" s="11"/>
    </row>
    <row r="249" spans="1:25" ht="15.75" customHeight="1" x14ac:dyDescent="0.3">
      <c r="A249" s="140"/>
      <c r="B249" s="140"/>
      <c r="L249" s="141"/>
      <c r="M249" s="141"/>
      <c r="N249" s="142"/>
      <c r="O249" s="142"/>
      <c r="P249" s="142"/>
      <c r="Q249" s="142"/>
      <c r="R249" s="143"/>
      <c r="S249" s="142"/>
      <c r="T249" s="141"/>
      <c r="U249" s="141"/>
      <c r="V249" s="143"/>
      <c r="W249" s="141"/>
      <c r="X249" s="141"/>
      <c r="Y249" s="11"/>
    </row>
    <row r="250" spans="1:25" ht="15.75" customHeight="1" x14ac:dyDescent="0.3">
      <c r="A250" s="140"/>
      <c r="B250" s="140"/>
      <c r="L250" s="141"/>
      <c r="M250" s="141"/>
      <c r="N250" s="142"/>
      <c r="O250" s="142"/>
      <c r="P250" s="142"/>
      <c r="Q250" s="142"/>
      <c r="R250" s="143"/>
      <c r="S250" s="142"/>
      <c r="T250" s="141"/>
      <c r="U250" s="141"/>
      <c r="V250" s="143"/>
      <c r="W250" s="141"/>
      <c r="X250" s="141"/>
      <c r="Y250" s="11"/>
    </row>
    <row r="251" spans="1:25" ht="15.75" customHeight="1" x14ac:dyDescent="0.3">
      <c r="A251" s="140"/>
      <c r="B251" s="140"/>
      <c r="L251" s="141"/>
      <c r="M251" s="141"/>
      <c r="N251" s="142"/>
      <c r="O251" s="142"/>
      <c r="P251" s="142"/>
      <c r="Q251" s="142"/>
      <c r="R251" s="143"/>
      <c r="S251" s="142"/>
      <c r="T251" s="141"/>
      <c r="U251" s="141"/>
      <c r="V251" s="143"/>
      <c r="W251" s="141"/>
      <c r="X251" s="141"/>
      <c r="Y251" s="11"/>
    </row>
    <row r="252" spans="1:25" ht="15.75" customHeight="1" x14ac:dyDescent="0.3">
      <c r="A252" s="140"/>
      <c r="B252" s="140"/>
      <c r="L252" s="141"/>
      <c r="M252" s="141"/>
      <c r="N252" s="142"/>
      <c r="O252" s="142"/>
      <c r="P252" s="142"/>
      <c r="Q252" s="142"/>
      <c r="R252" s="143"/>
      <c r="S252" s="142"/>
      <c r="T252" s="141"/>
      <c r="U252" s="141"/>
      <c r="V252" s="143"/>
      <c r="W252" s="141"/>
      <c r="X252" s="141"/>
      <c r="Y252" s="11"/>
    </row>
    <row r="253" spans="1:25" ht="15.75" customHeight="1" x14ac:dyDescent="0.3">
      <c r="A253" s="140"/>
      <c r="B253" s="140"/>
      <c r="L253" s="141"/>
      <c r="M253" s="141"/>
      <c r="N253" s="142"/>
      <c r="O253" s="142"/>
      <c r="P253" s="142"/>
      <c r="Q253" s="142"/>
      <c r="R253" s="143"/>
      <c r="S253" s="142"/>
      <c r="T253" s="141"/>
      <c r="U253" s="141"/>
      <c r="V253" s="143"/>
      <c r="W253" s="141"/>
      <c r="X253" s="141"/>
      <c r="Y253" s="11"/>
    </row>
    <row r="254" spans="1:25" ht="15.75" customHeight="1" x14ac:dyDescent="0.3">
      <c r="A254" s="140"/>
      <c r="B254" s="140"/>
      <c r="L254" s="141"/>
      <c r="M254" s="141"/>
      <c r="N254" s="142"/>
      <c r="O254" s="142"/>
      <c r="P254" s="142"/>
      <c r="Q254" s="142"/>
      <c r="R254" s="143"/>
      <c r="S254" s="142"/>
      <c r="T254" s="141"/>
      <c r="U254" s="141"/>
      <c r="V254" s="143"/>
      <c r="W254" s="141"/>
      <c r="X254" s="141"/>
      <c r="Y254" s="11"/>
    </row>
    <row r="255" spans="1:25" ht="15.75" customHeight="1" x14ac:dyDescent="0.3">
      <c r="A255" s="140"/>
      <c r="B255" s="140"/>
      <c r="L255" s="141"/>
      <c r="M255" s="141"/>
      <c r="N255" s="142"/>
      <c r="O255" s="142"/>
      <c r="P255" s="142"/>
      <c r="Q255" s="142"/>
      <c r="R255" s="143"/>
      <c r="S255" s="142"/>
      <c r="T255" s="141"/>
      <c r="U255" s="141"/>
      <c r="V255" s="143"/>
      <c r="W255" s="141"/>
      <c r="X255" s="141"/>
      <c r="Y255" s="11"/>
    </row>
    <row r="256" spans="1:25" ht="15.75" customHeight="1" x14ac:dyDescent="0.3">
      <c r="A256" s="140"/>
      <c r="B256" s="140"/>
      <c r="L256" s="141"/>
      <c r="M256" s="141"/>
      <c r="N256" s="142"/>
      <c r="O256" s="142"/>
      <c r="P256" s="142"/>
      <c r="Q256" s="142"/>
      <c r="R256" s="143"/>
      <c r="S256" s="142"/>
      <c r="T256" s="141"/>
      <c r="U256" s="141"/>
      <c r="V256" s="143"/>
      <c r="W256" s="141"/>
      <c r="X256" s="141"/>
      <c r="Y256" s="11"/>
    </row>
    <row r="257" spans="1:25" ht="15.75" customHeight="1" x14ac:dyDescent="0.3">
      <c r="A257" s="140"/>
      <c r="B257" s="140"/>
      <c r="L257" s="141"/>
      <c r="M257" s="141"/>
      <c r="N257" s="142"/>
      <c r="O257" s="142"/>
      <c r="P257" s="142"/>
      <c r="Q257" s="142"/>
      <c r="R257" s="143"/>
      <c r="S257" s="142"/>
      <c r="T257" s="141"/>
      <c r="U257" s="141"/>
      <c r="V257" s="143"/>
      <c r="W257" s="141"/>
      <c r="X257" s="141"/>
      <c r="Y257" s="11"/>
    </row>
    <row r="258" spans="1:25" ht="15.75" customHeight="1" x14ac:dyDescent="0.3">
      <c r="A258" s="140"/>
      <c r="B258" s="140"/>
      <c r="L258" s="141"/>
      <c r="M258" s="141"/>
      <c r="N258" s="142"/>
      <c r="O258" s="142"/>
      <c r="P258" s="142"/>
      <c r="Q258" s="142"/>
      <c r="R258" s="143"/>
      <c r="S258" s="142"/>
      <c r="T258" s="141"/>
      <c r="U258" s="141"/>
      <c r="V258" s="143"/>
      <c r="W258" s="141"/>
      <c r="X258" s="141"/>
      <c r="Y258" s="11"/>
    </row>
    <row r="259" spans="1:25" ht="15.75" customHeight="1" x14ac:dyDescent="0.3">
      <c r="A259" s="140"/>
      <c r="B259" s="140"/>
      <c r="L259" s="141"/>
      <c r="M259" s="141"/>
      <c r="N259" s="142"/>
      <c r="O259" s="142"/>
      <c r="P259" s="142"/>
      <c r="Q259" s="142"/>
      <c r="R259" s="143"/>
      <c r="S259" s="142"/>
      <c r="T259" s="141"/>
      <c r="U259" s="141"/>
      <c r="V259" s="143"/>
      <c r="W259" s="141"/>
      <c r="X259" s="141"/>
      <c r="Y259" s="11"/>
    </row>
    <row r="260" spans="1:25" ht="15.75" customHeight="1" x14ac:dyDescent="0.3">
      <c r="A260" s="140"/>
      <c r="B260" s="140"/>
      <c r="L260" s="141"/>
      <c r="M260" s="141"/>
      <c r="N260" s="142"/>
      <c r="O260" s="142"/>
      <c r="P260" s="142"/>
      <c r="Q260" s="142"/>
      <c r="R260" s="143"/>
      <c r="S260" s="142"/>
      <c r="T260" s="141"/>
      <c r="U260" s="141"/>
      <c r="V260" s="143"/>
      <c r="W260" s="141"/>
      <c r="X260" s="141"/>
      <c r="Y260" s="11"/>
    </row>
    <row r="261" spans="1:25" ht="15.75" customHeight="1" x14ac:dyDescent="0.3">
      <c r="A261" s="140"/>
      <c r="B261" s="140"/>
      <c r="L261" s="141"/>
      <c r="M261" s="141"/>
      <c r="N261" s="142"/>
      <c r="O261" s="142"/>
      <c r="P261" s="142"/>
      <c r="Q261" s="142"/>
      <c r="R261" s="143"/>
      <c r="S261" s="142"/>
      <c r="T261" s="141"/>
      <c r="U261" s="141"/>
      <c r="V261" s="143"/>
      <c r="W261" s="141"/>
      <c r="X261" s="141"/>
      <c r="Y261" s="11"/>
    </row>
    <row r="262" spans="1:25" ht="15.75" customHeight="1" x14ac:dyDescent="0.3">
      <c r="A262" s="140"/>
      <c r="B262" s="140"/>
      <c r="L262" s="141"/>
      <c r="M262" s="141"/>
      <c r="N262" s="142"/>
      <c r="O262" s="142"/>
      <c r="P262" s="142"/>
      <c r="Q262" s="142"/>
      <c r="R262" s="143"/>
      <c r="S262" s="142"/>
      <c r="T262" s="141"/>
      <c r="U262" s="141"/>
      <c r="V262" s="143"/>
      <c r="W262" s="141"/>
      <c r="X262" s="141"/>
      <c r="Y262" s="11"/>
    </row>
    <row r="263" spans="1:25" ht="15.75" customHeight="1" x14ac:dyDescent="0.3">
      <c r="A263" s="140"/>
      <c r="B263" s="140"/>
      <c r="L263" s="141"/>
      <c r="M263" s="141"/>
      <c r="N263" s="142"/>
      <c r="O263" s="142"/>
      <c r="P263" s="142"/>
      <c r="Q263" s="142"/>
      <c r="R263" s="143"/>
      <c r="S263" s="142"/>
      <c r="T263" s="141"/>
      <c r="U263" s="141"/>
      <c r="V263" s="143"/>
      <c r="W263" s="141"/>
      <c r="X263" s="141"/>
      <c r="Y263" s="11"/>
    </row>
    <row r="264" spans="1:25" ht="15.75" customHeight="1" x14ac:dyDescent="0.3">
      <c r="A264" s="140"/>
      <c r="B264" s="140"/>
      <c r="L264" s="141"/>
      <c r="M264" s="141"/>
      <c r="N264" s="142"/>
      <c r="O264" s="142"/>
      <c r="P264" s="142"/>
      <c r="Q264" s="142"/>
      <c r="R264" s="143"/>
      <c r="S264" s="142"/>
      <c r="T264" s="141"/>
      <c r="U264" s="141"/>
      <c r="V264" s="143"/>
      <c r="W264" s="141"/>
      <c r="X264" s="141"/>
      <c r="Y264" s="11"/>
    </row>
    <row r="265" spans="1:25" ht="15.75" customHeight="1" x14ac:dyDescent="0.3">
      <c r="A265" s="140"/>
      <c r="B265" s="140"/>
      <c r="L265" s="141"/>
      <c r="M265" s="141"/>
      <c r="N265" s="142"/>
      <c r="O265" s="142"/>
      <c r="P265" s="142"/>
      <c r="Q265" s="142"/>
      <c r="R265" s="143"/>
      <c r="S265" s="142"/>
      <c r="T265" s="141"/>
      <c r="U265" s="141"/>
      <c r="V265" s="143"/>
      <c r="W265" s="141"/>
      <c r="X265" s="141"/>
      <c r="Y265" s="11"/>
    </row>
    <row r="266" spans="1:25" ht="15.75" customHeight="1" x14ac:dyDescent="0.3">
      <c r="A266" s="140"/>
      <c r="B266" s="140"/>
      <c r="L266" s="141"/>
      <c r="M266" s="141"/>
      <c r="N266" s="142"/>
      <c r="O266" s="142"/>
      <c r="P266" s="142"/>
      <c r="Q266" s="142"/>
      <c r="R266" s="143"/>
      <c r="S266" s="142"/>
      <c r="T266" s="141"/>
      <c r="U266" s="141"/>
      <c r="V266" s="143"/>
      <c r="W266" s="141"/>
      <c r="X266" s="141"/>
      <c r="Y266" s="11"/>
    </row>
    <row r="267" spans="1:25" ht="15.75" customHeight="1" x14ac:dyDescent="0.3">
      <c r="A267" s="140"/>
      <c r="B267" s="140"/>
      <c r="L267" s="141"/>
      <c r="M267" s="141"/>
      <c r="N267" s="142"/>
      <c r="O267" s="142"/>
      <c r="P267" s="142"/>
      <c r="Q267" s="142"/>
      <c r="R267" s="143"/>
      <c r="S267" s="142"/>
      <c r="T267" s="141"/>
      <c r="U267" s="141"/>
      <c r="V267" s="143"/>
      <c r="W267" s="141"/>
      <c r="X267" s="141"/>
      <c r="Y267" s="11"/>
    </row>
    <row r="268" spans="1:25" ht="15.75" customHeight="1" x14ac:dyDescent="0.3">
      <c r="A268" s="140"/>
      <c r="B268" s="140"/>
      <c r="L268" s="141"/>
      <c r="M268" s="141"/>
      <c r="N268" s="142"/>
      <c r="O268" s="142"/>
      <c r="P268" s="142"/>
      <c r="Q268" s="142"/>
      <c r="R268" s="143"/>
      <c r="S268" s="142"/>
      <c r="T268" s="141"/>
      <c r="U268" s="141"/>
      <c r="V268" s="143"/>
      <c r="W268" s="141"/>
      <c r="X268" s="141"/>
      <c r="Y268" s="11"/>
    </row>
    <row r="269" spans="1:25" ht="15.75" customHeight="1" x14ac:dyDescent="0.3">
      <c r="A269" s="140"/>
      <c r="B269" s="140"/>
      <c r="L269" s="141"/>
      <c r="M269" s="141"/>
      <c r="N269" s="142"/>
      <c r="O269" s="142"/>
      <c r="P269" s="142"/>
      <c r="Q269" s="142"/>
      <c r="R269" s="143"/>
      <c r="S269" s="142"/>
      <c r="T269" s="141"/>
      <c r="U269" s="141"/>
      <c r="V269" s="143"/>
      <c r="W269" s="141"/>
      <c r="X269" s="141"/>
      <c r="Y269" s="11"/>
    </row>
    <row r="270" spans="1:25" ht="15.75" customHeight="1" x14ac:dyDescent="0.3">
      <c r="A270" s="140"/>
      <c r="B270" s="140"/>
      <c r="L270" s="141"/>
      <c r="M270" s="141"/>
      <c r="N270" s="142"/>
      <c r="O270" s="142"/>
      <c r="P270" s="142"/>
      <c r="Q270" s="142"/>
      <c r="R270" s="143"/>
      <c r="S270" s="142"/>
      <c r="T270" s="141"/>
      <c r="U270" s="141"/>
      <c r="V270" s="143"/>
      <c r="W270" s="141"/>
      <c r="X270" s="141"/>
      <c r="Y270" s="11"/>
    </row>
    <row r="271" spans="1:25" ht="15.75" customHeight="1" x14ac:dyDescent="0.3">
      <c r="A271" s="140"/>
      <c r="B271" s="140"/>
      <c r="L271" s="141"/>
      <c r="M271" s="141"/>
      <c r="N271" s="142"/>
      <c r="O271" s="142"/>
      <c r="P271" s="142"/>
      <c r="Q271" s="142"/>
      <c r="R271" s="143"/>
      <c r="S271" s="142"/>
      <c r="T271" s="141"/>
      <c r="U271" s="141"/>
      <c r="V271" s="143"/>
      <c r="W271" s="141"/>
      <c r="X271" s="141"/>
      <c r="Y271" s="11"/>
    </row>
    <row r="272" spans="1:25" ht="15.75" customHeight="1" x14ac:dyDescent="0.3">
      <c r="A272" s="140"/>
      <c r="B272" s="140"/>
      <c r="L272" s="141"/>
      <c r="M272" s="141"/>
      <c r="N272" s="142"/>
      <c r="O272" s="142"/>
      <c r="P272" s="142"/>
      <c r="Q272" s="142"/>
      <c r="R272" s="143"/>
      <c r="S272" s="142"/>
      <c r="T272" s="141"/>
      <c r="U272" s="141"/>
      <c r="V272" s="143"/>
      <c r="W272" s="141"/>
      <c r="X272" s="141"/>
      <c r="Y272" s="11"/>
    </row>
    <row r="273" spans="1:25" ht="15.75" customHeight="1" x14ac:dyDescent="0.3">
      <c r="A273" s="140"/>
      <c r="B273" s="140"/>
      <c r="L273" s="141"/>
      <c r="M273" s="141"/>
      <c r="N273" s="142"/>
      <c r="O273" s="142"/>
      <c r="P273" s="142"/>
      <c r="Q273" s="142"/>
      <c r="R273" s="143"/>
      <c r="S273" s="142"/>
      <c r="T273" s="141"/>
      <c r="U273" s="141"/>
      <c r="V273" s="143"/>
      <c r="W273" s="141"/>
      <c r="X273" s="141"/>
      <c r="Y273" s="11"/>
    </row>
    <row r="274" spans="1:25" ht="15.75" customHeight="1" x14ac:dyDescent="0.3">
      <c r="A274" s="140"/>
      <c r="B274" s="140"/>
      <c r="L274" s="141"/>
      <c r="M274" s="141"/>
      <c r="N274" s="142"/>
      <c r="O274" s="142"/>
      <c r="P274" s="142"/>
      <c r="Q274" s="142"/>
      <c r="R274" s="143"/>
      <c r="S274" s="142"/>
      <c r="T274" s="141"/>
      <c r="U274" s="141"/>
      <c r="V274" s="143"/>
      <c r="W274" s="141"/>
      <c r="X274" s="141"/>
      <c r="Y274" s="11"/>
    </row>
    <row r="275" spans="1:25" ht="15.75" customHeight="1" x14ac:dyDescent="0.3">
      <c r="A275" s="140"/>
      <c r="B275" s="140"/>
      <c r="L275" s="141"/>
      <c r="M275" s="141"/>
      <c r="N275" s="142"/>
      <c r="O275" s="142"/>
      <c r="P275" s="142"/>
      <c r="Q275" s="142"/>
      <c r="R275" s="143"/>
      <c r="S275" s="142"/>
      <c r="T275" s="141"/>
      <c r="U275" s="141"/>
      <c r="V275" s="143"/>
      <c r="W275" s="141"/>
      <c r="X275" s="141"/>
      <c r="Y275" s="11"/>
    </row>
    <row r="276" spans="1:25" ht="15.75" customHeight="1" x14ac:dyDescent="0.3">
      <c r="A276" s="140"/>
      <c r="B276" s="140"/>
      <c r="L276" s="141"/>
      <c r="M276" s="141"/>
      <c r="N276" s="142"/>
      <c r="O276" s="142"/>
      <c r="P276" s="142"/>
      <c r="Q276" s="142"/>
      <c r="R276" s="143"/>
      <c r="S276" s="142"/>
      <c r="T276" s="141"/>
      <c r="U276" s="141"/>
      <c r="V276" s="143"/>
      <c r="W276" s="141"/>
      <c r="X276" s="141"/>
      <c r="Y276" s="11"/>
    </row>
    <row r="277" spans="1:25" ht="15.75" customHeight="1" x14ac:dyDescent="0.3">
      <c r="A277" s="140"/>
      <c r="B277" s="140"/>
      <c r="L277" s="141"/>
      <c r="M277" s="141"/>
      <c r="N277" s="142"/>
      <c r="O277" s="142"/>
      <c r="P277" s="142"/>
      <c r="Q277" s="142"/>
      <c r="R277" s="143"/>
      <c r="S277" s="142"/>
      <c r="T277" s="141"/>
      <c r="U277" s="141"/>
      <c r="V277" s="143"/>
      <c r="W277" s="141"/>
      <c r="X277" s="141"/>
      <c r="Y277" s="11"/>
    </row>
    <row r="278" spans="1:25" ht="15.75" customHeight="1" x14ac:dyDescent="0.3">
      <c r="A278" s="140"/>
      <c r="B278" s="140"/>
      <c r="L278" s="141"/>
      <c r="M278" s="141"/>
      <c r="N278" s="142"/>
      <c r="O278" s="142"/>
      <c r="P278" s="142"/>
      <c r="Q278" s="142"/>
      <c r="R278" s="143"/>
      <c r="S278" s="142"/>
      <c r="T278" s="141"/>
      <c r="U278" s="141"/>
      <c r="V278" s="143"/>
      <c r="W278" s="141"/>
      <c r="X278" s="141"/>
      <c r="Y278" s="11"/>
    </row>
    <row r="279" spans="1:25" ht="15.75" customHeight="1" x14ac:dyDescent="0.3">
      <c r="A279" s="140"/>
      <c r="B279" s="140"/>
      <c r="L279" s="141"/>
      <c r="M279" s="141"/>
      <c r="N279" s="142"/>
      <c r="O279" s="142"/>
      <c r="P279" s="142"/>
      <c r="Q279" s="142"/>
      <c r="R279" s="143"/>
      <c r="S279" s="142"/>
      <c r="T279" s="141"/>
      <c r="U279" s="141"/>
      <c r="V279" s="143"/>
      <c r="W279" s="141"/>
      <c r="X279" s="141"/>
      <c r="Y279" s="11"/>
    </row>
    <row r="280" spans="1:25" ht="15.75" customHeight="1" x14ac:dyDescent="0.3">
      <c r="A280" s="140"/>
      <c r="B280" s="140"/>
      <c r="L280" s="141"/>
      <c r="M280" s="141"/>
      <c r="N280" s="142"/>
      <c r="O280" s="142"/>
      <c r="P280" s="142"/>
      <c r="Q280" s="142"/>
      <c r="R280" s="143"/>
      <c r="S280" s="142"/>
      <c r="T280" s="141"/>
      <c r="U280" s="141"/>
      <c r="V280" s="143"/>
      <c r="W280" s="141"/>
      <c r="X280" s="141"/>
      <c r="Y280" s="11"/>
    </row>
    <row r="281" spans="1:25" ht="15.75" customHeight="1" x14ac:dyDescent="0.3">
      <c r="A281" s="140"/>
      <c r="B281" s="140"/>
      <c r="L281" s="141"/>
      <c r="M281" s="141"/>
      <c r="N281" s="142"/>
      <c r="O281" s="142"/>
      <c r="P281" s="142"/>
      <c r="Q281" s="142"/>
      <c r="R281" s="143"/>
      <c r="S281" s="142"/>
      <c r="T281" s="141"/>
      <c r="U281" s="141"/>
      <c r="V281" s="143"/>
      <c r="W281" s="141"/>
      <c r="X281" s="141"/>
      <c r="Y281" s="11"/>
    </row>
    <row r="282" spans="1:25" ht="15.75" customHeight="1" x14ac:dyDescent="0.3">
      <c r="A282" s="140"/>
      <c r="B282" s="140"/>
      <c r="L282" s="141"/>
      <c r="M282" s="141"/>
      <c r="N282" s="142"/>
      <c r="O282" s="142"/>
      <c r="P282" s="142"/>
      <c r="Q282" s="142"/>
      <c r="R282" s="143"/>
      <c r="S282" s="142"/>
      <c r="T282" s="141"/>
      <c r="U282" s="141"/>
      <c r="V282" s="143"/>
      <c r="W282" s="141"/>
      <c r="X282" s="141"/>
      <c r="Y282" s="11"/>
    </row>
    <row r="283" spans="1:25" ht="15.75" customHeight="1" x14ac:dyDescent="0.3">
      <c r="A283" s="140"/>
      <c r="B283" s="140"/>
      <c r="L283" s="141"/>
      <c r="M283" s="141"/>
      <c r="N283" s="142"/>
      <c r="O283" s="142"/>
      <c r="P283" s="142"/>
      <c r="Q283" s="142"/>
      <c r="R283" s="143"/>
      <c r="S283" s="142"/>
      <c r="T283" s="141"/>
      <c r="U283" s="141"/>
      <c r="V283" s="143"/>
      <c r="W283" s="141"/>
      <c r="X283" s="141"/>
      <c r="Y283" s="11"/>
    </row>
    <row r="284" spans="1:25" ht="15.75" customHeight="1" x14ac:dyDescent="0.3">
      <c r="A284" s="140"/>
      <c r="B284" s="140"/>
      <c r="L284" s="141"/>
      <c r="M284" s="141"/>
      <c r="N284" s="142"/>
      <c r="O284" s="142"/>
      <c r="P284" s="142"/>
      <c r="Q284" s="142"/>
      <c r="R284" s="143"/>
      <c r="S284" s="142"/>
      <c r="T284" s="141"/>
      <c r="U284" s="141"/>
      <c r="V284" s="143"/>
      <c r="W284" s="141"/>
      <c r="X284" s="141"/>
      <c r="Y284" s="11"/>
    </row>
    <row r="285" spans="1:25" ht="15.75" customHeight="1" x14ac:dyDescent="0.3">
      <c r="A285" s="140"/>
      <c r="B285" s="140"/>
      <c r="L285" s="141"/>
      <c r="M285" s="141"/>
      <c r="N285" s="142"/>
      <c r="O285" s="142"/>
      <c r="P285" s="142"/>
      <c r="Q285" s="142"/>
      <c r="R285" s="143"/>
      <c r="S285" s="142"/>
      <c r="T285" s="141"/>
      <c r="U285" s="141"/>
      <c r="V285" s="143"/>
      <c r="W285" s="141"/>
      <c r="X285" s="141"/>
      <c r="Y285" s="11"/>
    </row>
    <row r="286" spans="1:25" ht="15.75" customHeight="1" x14ac:dyDescent="0.25">
      <c r="N286" s="144"/>
      <c r="O286" s="144"/>
      <c r="P286" s="144"/>
      <c r="Q286" s="144"/>
    </row>
    <row r="287" spans="1:25" ht="15.75" customHeight="1" x14ac:dyDescent="0.25">
      <c r="N287" s="144"/>
      <c r="O287" s="144"/>
      <c r="P287" s="144"/>
      <c r="Q287" s="144"/>
    </row>
    <row r="288" spans="1:25" ht="15.75" customHeight="1" x14ac:dyDescent="0.25">
      <c r="N288" s="144"/>
      <c r="O288" s="144"/>
      <c r="P288" s="144"/>
      <c r="Q288" s="144"/>
    </row>
    <row r="289" spans="14:17" ht="15.75" customHeight="1" x14ac:dyDescent="0.25">
      <c r="N289" s="144"/>
      <c r="O289" s="144"/>
      <c r="P289" s="144"/>
      <c r="Q289" s="144"/>
    </row>
    <row r="290" spans="14:17" ht="15.75" customHeight="1" x14ac:dyDescent="0.25">
      <c r="N290" s="144"/>
      <c r="O290" s="144"/>
      <c r="P290" s="144"/>
      <c r="Q290" s="144"/>
    </row>
    <row r="291" spans="14:17" ht="15.75" customHeight="1" x14ac:dyDescent="0.25">
      <c r="N291" s="144"/>
      <c r="O291" s="144"/>
      <c r="P291" s="144"/>
      <c r="Q291" s="144"/>
    </row>
    <row r="292" spans="14:17" ht="15.75" customHeight="1" x14ac:dyDescent="0.25">
      <c r="N292" s="144"/>
      <c r="O292" s="144"/>
      <c r="P292" s="144"/>
      <c r="Q292" s="144"/>
    </row>
    <row r="293" spans="14:17" ht="15.75" customHeight="1" x14ac:dyDescent="0.25">
      <c r="N293" s="144"/>
      <c r="O293" s="144"/>
      <c r="P293" s="144"/>
      <c r="Q293" s="144"/>
    </row>
    <row r="294" spans="14:17" ht="15.75" customHeight="1" x14ac:dyDescent="0.25">
      <c r="N294" s="144"/>
      <c r="O294" s="144"/>
      <c r="P294" s="144"/>
      <c r="Q294" s="144"/>
    </row>
    <row r="295" spans="14:17" ht="15.75" customHeight="1" x14ac:dyDescent="0.25">
      <c r="N295" s="144"/>
      <c r="O295" s="144"/>
      <c r="P295" s="144"/>
      <c r="Q295" s="144"/>
    </row>
    <row r="296" spans="14:17" ht="15.75" customHeight="1" x14ac:dyDescent="0.25">
      <c r="N296" s="144"/>
      <c r="O296" s="144"/>
      <c r="P296" s="144"/>
      <c r="Q296" s="144"/>
    </row>
    <row r="297" spans="14:17" ht="15.75" customHeight="1" x14ac:dyDescent="0.25">
      <c r="N297" s="144"/>
      <c r="O297" s="144"/>
      <c r="P297" s="144"/>
      <c r="Q297" s="144"/>
    </row>
    <row r="298" spans="14:17" ht="15.75" customHeight="1" x14ac:dyDescent="0.25">
      <c r="N298" s="144"/>
      <c r="O298" s="144"/>
      <c r="P298" s="144"/>
      <c r="Q298" s="144"/>
    </row>
    <row r="299" spans="14:17" ht="15.75" customHeight="1" x14ac:dyDescent="0.25">
      <c r="N299" s="144"/>
      <c r="O299" s="144"/>
      <c r="P299" s="144"/>
      <c r="Q299" s="144"/>
    </row>
    <row r="300" spans="14:17" ht="15.75" customHeight="1" x14ac:dyDescent="0.25">
      <c r="N300" s="144"/>
      <c r="O300" s="144"/>
      <c r="P300" s="144"/>
      <c r="Q300" s="144"/>
    </row>
    <row r="301" spans="14:17" ht="15.75" customHeight="1" x14ac:dyDescent="0.25">
      <c r="N301" s="144"/>
      <c r="O301" s="144"/>
      <c r="P301" s="144"/>
      <c r="Q301" s="144"/>
    </row>
    <row r="302" spans="14:17" ht="15.75" customHeight="1" x14ac:dyDescent="0.25">
      <c r="N302" s="144"/>
      <c r="O302" s="144"/>
      <c r="P302" s="144"/>
      <c r="Q302" s="144"/>
    </row>
    <row r="303" spans="14:17" ht="15.75" customHeight="1" x14ac:dyDescent="0.25">
      <c r="N303" s="144"/>
      <c r="O303" s="144"/>
      <c r="P303" s="144"/>
      <c r="Q303" s="144"/>
    </row>
    <row r="304" spans="14:17" ht="15.75" customHeight="1" x14ac:dyDescent="0.25">
      <c r="N304" s="144"/>
      <c r="O304" s="144"/>
      <c r="P304" s="144"/>
      <c r="Q304" s="144"/>
    </row>
    <row r="305" spans="14:17" ht="15.75" customHeight="1" x14ac:dyDescent="0.25">
      <c r="N305" s="144"/>
      <c r="O305" s="144"/>
      <c r="P305" s="144"/>
      <c r="Q305" s="144"/>
    </row>
    <row r="306" spans="14:17" ht="15.75" customHeight="1" x14ac:dyDescent="0.25">
      <c r="N306" s="144"/>
      <c r="O306" s="144"/>
      <c r="P306" s="144"/>
      <c r="Q306" s="144"/>
    </row>
    <row r="307" spans="14:17" ht="15.75" customHeight="1" x14ac:dyDescent="0.25">
      <c r="N307" s="144"/>
      <c r="O307" s="144"/>
      <c r="P307" s="144"/>
      <c r="Q307" s="144"/>
    </row>
    <row r="308" spans="14:17" ht="15.75" customHeight="1" x14ac:dyDescent="0.25">
      <c r="N308" s="144"/>
      <c r="O308" s="144"/>
      <c r="P308" s="144"/>
      <c r="Q308" s="144"/>
    </row>
    <row r="309" spans="14:17" ht="15.75" customHeight="1" x14ac:dyDescent="0.25">
      <c r="N309" s="144"/>
      <c r="O309" s="144"/>
      <c r="P309" s="144"/>
      <c r="Q309" s="144"/>
    </row>
    <row r="310" spans="14:17" ht="15.75" customHeight="1" x14ac:dyDescent="0.25">
      <c r="N310" s="144"/>
      <c r="O310" s="144"/>
      <c r="P310" s="144"/>
      <c r="Q310" s="144"/>
    </row>
    <row r="311" spans="14:17" ht="15.75" customHeight="1" x14ac:dyDescent="0.25">
      <c r="N311" s="144"/>
      <c r="O311" s="144"/>
      <c r="P311" s="144"/>
      <c r="Q311" s="144"/>
    </row>
    <row r="312" spans="14:17" ht="15.75" customHeight="1" x14ac:dyDescent="0.25">
      <c r="N312" s="144"/>
      <c r="O312" s="144"/>
      <c r="P312" s="144"/>
      <c r="Q312" s="144"/>
    </row>
    <row r="313" spans="14:17" ht="15.75" customHeight="1" x14ac:dyDescent="0.25">
      <c r="N313" s="144"/>
      <c r="O313" s="144"/>
      <c r="P313" s="144"/>
      <c r="Q313" s="144"/>
    </row>
    <row r="314" spans="14:17" ht="15.75" customHeight="1" x14ac:dyDescent="0.25">
      <c r="N314" s="144"/>
      <c r="O314" s="144"/>
      <c r="P314" s="144"/>
      <c r="Q314" s="144"/>
    </row>
    <row r="315" spans="14:17" ht="15.75" customHeight="1" x14ac:dyDescent="0.25">
      <c r="N315" s="144"/>
      <c r="O315" s="144"/>
      <c r="P315" s="144"/>
      <c r="Q315" s="144"/>
    </row>
    <row r="316" spans="14:17" ht="15.75" customHeight="1" x14ac:dyDescent="0.25">
      <c r="N316" s="144"/>
      <c r="O316" s="144"/>
      <c r="P316" s="144"/>
      <c r="Q316" s="144"/>
    </row>
    <row r="317" spans="14:17" ht="15.75" customHeight="1" x14ac:dyDescent="0.25">
      <c r="N317" s="144"/>
      <c r="O317" s="144"/>
      <c r="P317" s="144"/>
      <c r="Q317" s="144"/>
    </row>
    <row r="318" spans="14:17" ht="15.75" customHeight="1" x14ac:dyDescent="0.25">
      <c r="N318" s="144"/>
      <c r="O318" s="144"/>
      <c r="P318" s="144"/>
      <c r="Q318" s="144"/>
    </row>
    <row r="319" spans="14:17" ht="15.75" customHeight="1" x14ac:dyDescent="0.25">
      <c r="N319" s="144"/>
      <c r="O319" s="144"/>
      <c r="P319" s="144"/>
      <c r="Q319" s="144"/>
    </row>
    <row r="320" spans="14:17" ht="15.75" customHeight="1" x14ac:dyDescent="0.25">
      <c r="N320" s="144"/>
      <c r="O320" s="144"/>
      <c r="P320" s="144"/>
      <c r="Q320" s="144"/>
    </row>
    <row r="321" spans="14:17" ht="15.75" customHeight="1" x14ac:dyDescent="0.25">
      <c r="N321" s="144"/>
      <c r="O321" s="144"/>
      <c r="P321" s="144"/>
      <c r="Q321" s="144"/>
    </row>
    <row r="322" spans="14:17" ht="15.75" customHeight="1" x14ac:dyDescent="0.25">
      <c r="N322" s="144"/>
      <c r="O322" s="144"/>
      <c r="P322" s="144"/>
      <c r="Q322" s="144"/>
    </row>
    <row r="323" spans="14:17" ht="15.75" customHeight="1" x14ac:dyDescent="0.25">
      <c r="N323" s="144"/>
      <c r="O323" s="144"/>
      <c r="P323" s="144"/>
      <c r="Q323" s="144"/>
    </row>
    <row r="324" spans="14:17" ht="15.75" customHeight="1" x14ac:dyDescent="0.25">
      <c r="N324" s="144"/>
      <c r="O324" s="144"/>
      <c r="P324" s="144"/>
      <c r="Q324" s="144"/>
    </row>
    <row r="325" spans="14:17" ht="15.75" customHeight="1" x14ac:dyDescent="0.25">
      <c r="N325" s="144"/>
      <c r="O325" s="144"/>
      <c r="P325" s="144"/>
      <c r="Q325" s="144"/>
    </row>
    <row r="326" spans="14:17" ht="15.75" customHeight="1" x14ac:dyDescent="0.25">
      <c r="N326" s="144"/>
      <c r="O326" s="144"/>
      <c r="P326" s="144"/>
      <c r="Q326" s="144"/>
    </row>
    <row r="327" spans="14:17" ht="15.75" customHeight="1" x14ac:dyDescent="0.25">
      <c r="N327" s="144"/>
      <c r="O327" s="144"/>
      <c r="P327" s="144"/>
      <c r="Q327" s="144"/>
    </row>
    <row r="328" spans="14:17" ht="15.75" customHeight="1" x14ac:dyDescent="0.25">
      <c r="N328" s="144"/>
      <c r="O328" s="144"/>
      <c r="P328" s="144"/>
      <c r="Q328" s="144"/>
    </row>
    <row r="329" spans="14:17" ht="15.75" customHeight="1" x14ac:dyDescent="0.25">
      <c r="N329" s="144"/>
      <c r="O329" s="144"/>
      <c r="P329" s="144"/>
      <c r="Q329" s="144"/>
    </row>
    <row r="330" spans="14:17" ht="15.75" customHeight="1" x14ac:dyDescent="0.25">
      <c r="N330" s="144"/>
      <c r="O330" s="144"/>
      <c r="P330" s="144"/>
      <c r="Q330" s="144"/>
    </row>
    <row r="331" spans="14:17" ht="15.75" customHeight="1" x14ac:dyDescent="0.25">
      <c r="N331" s="144"/>
      <c r="O331" s="144"/>
      <c r="P331" s="144"/>
      <c r="Q331" s="144"/>
    </row>
    <row r="332" spans="14:17" ht="15.75" customHeight="1" x14ac:dyDescent="0.25">
      <c r="N332" s="144"/>
      <c r="O332" s="144"/>
      <c r="P332" s="144"/>
      <c r="Q332" s="144"/>
    </row>
    <row r="333" spans="14:17" ht="15.75" customHeight="1" x14ac:dyDescent="0.25">
      <c r="N333" s="144"/>
      <c r="O333" s="144"/>
      <c r="P333" s="144"/>
      <c r="Q333" s="144"/>
    </row>
    <row r="334" spans="14:17" ht="15.75" customHeight="1" x14ac:dyDescent="0.25">
      <c r="N334" s="144"/>
      <c r="O334" s="144"/>
      <c r="P334" s="144"/>
      <c r="Q334" s="144"/>
    </row>
    <row r="335" spans="14:17" ht="15.75" customHeight="1" x14ac:dyDescent="0.25">
      <c r="N335" s="144"/>
      <c r="O335" s="144"/>
      <c r="P335" s="144"/>
      <c r="Q335" s="144"/>
    </row>
    <row r="336" spans="14:17" ht="15.75" customHeight="1" x14ac:dyDescent="0.25">
      <c r="N336" s="144"/>
      <c r="O336" s="144"/>
      <c r="P336" s="144"/>
      <c r="Q336" s="144"/>
    </row>
    <row r="337" spans="14:17" ht="15.75" customHeight="1" x14ac:dyDescent="0.25">
      <c r="N337" s="144"/>
      <c r="O337" s="144"/>
      <c r="P337" s="144"/>
      <c r="Q337" s="144"/>
    </row>
    <row r="338" spans="14:17" ht="15.75" customHeight="1" x14ac:dyDescent="0.25">
      <c r="N338" s="144"/>
      <c r="O338" s="144"/>
      <c r="P338" s="144"/>
      <c r="Q338" s="144"/>
    </row>
    <row r="339" spans="14:17" ht="15.75" customHeight="1" x14ac:dyDescent="0.25">
      <c r="N339" s="144"/>
      <c r="O339" s="144"/>
      <c r="P339" s="144"/>
      <c r="Q339" s="144"/>
    </row>
    <row r="340" spans="14:17" ht="15.75" customHeight="1" x14ac:dyDescent="0.25">
      <c r="N340" s="144"/>
      <c r="O340" s="144"/>
      <c r="P340" s="144"/>
      <c r="Q340" s="144"/>
    </row>
    <row r="341" spans="14:17" ht="15.75" customHeight="1" x14ac:dyDescent="0.25">
      <c r="N341" s="144"/>
      <c r="O341" s="144"/>
      <c r="P341" s="144"/>
      <c r="Q341" s="144"/>
    </row>
    <row r="342" spans="14:17" ht="15.75" customHeight="1" x14ac:dyDescent="0.25">
      <c r="N342" s="144"/>
      <c r="O342" s="144"/>
      <c r="P342" s="144"/>
      <c r="Q342" s="144"/>
    </row>
    <row r="343" spans="14:17" ht="15.75" customHeight="1" x14ac:dyDescent="0.25">
      <c r="N343" s="144"/>
      <c r="O343" s="144"/>
      <c r="P343" s="144"/>
      <c r="Q343" s="144"/>
    </row>
    <row r="344" spans="14:17" ht="15.75" customHeight="1" x14ac:dyDescent="0.25">
      <c r="N344" s="144"/>
      <c r="O344" s="144"/>
      <c r="P344" s="144"/>
      <c r="Q344" s="144"/>
    </row>
    <row r="345" spans="14:17" ht="15.75" customHeight="1" x14ac:dyDescent="0.25">
      <c r="N345" s="144"/>
      <c r="O345" s="144"/>
      <c r="P345" s="144"/>
      <c r="Q345" s="144"/>
    </row>
    <row r="346" spans="14:17" ht="15.75" customHeight="1" x14ac:dyDescent="0.25">
      <c r="N346" s="144"/>
      <c r="O346" s="144"/>
      <c r="P346" s="144"/>
      <c r="Q346" s="144"/>
    </row>
    <row r="347" spans="14:17" ht="15.75" customHeight="1" x14ac:dyDescent="0.25">
      <c r="N347" s="144"/>
      <c r="O347" s="144"/>
      <c r="P347" s="144"/>
      <c r="Q347" s="144"/>
    </row>
    <row r="348" spans="14:17" ht="15.75" customHeight="1" x14ac:dyDescent="0.25">
      <c r="N348" s="144"/>
      <c r="O348" s="144"/>
      <c r="P348" s="144"/>
      <c r="Q348" s="144"/>
    </row>
    <row r="349" spans="14:17" ht="15.75" customHeight="1" x14ac:dyDescent="0.25">
      <c r="N349" s="144"/>
      <c r="O349" s="144"/>
      <c r="P349" s="144"/>
      <c r="Q349" s="144"/>
    </row>
    <row r="350" spans="14:17" ht="15.75" customHeight="1" x14ac:dyDescent="0.25">
      <c r="N350" s="144"/>
      <c r="O350" s="144"/>
      <c r="P350" s="144"/>
      <c r="Q350" s="144"/>
    </row>
    <row r="351" spans="14:17" ht="15.75" customHeight="1" x14ac:dyDescent="0.25">
      <c r="N351" s="144"/>
      <c r="O351" s="144"/>
      <c r="P351" s="144"/>
      <c r="Q351" s="144"/>
    </row>
    <row r="352" spans="14:17" ht="15.75" customHeight="1" x14ac:dyDescent="0.25">
      <c r="N352" s="144"/>
      <c r="O352" s="144"/>
      <c r="P352" s="144"/>
      <c r="Q352" s="144"/>
    </row>
    <row r="353" spans="14:17" ht="15.75" customHeight="1" x14ac:dyDescent="0.25">
      <c r="N353" s="144"/>
      <c r="O353" s="144"/>
      <c r="P353" s="144"/>
      <c r="Q353" s="144"/>
    </row>
    <row r="354" spans="14:17" ht="15.75" customHeight="1" x14ac:dyDescent="0.25">
      <c r="N354" s="144"/>
      <c r="O354" s="144"/>
      <c r="P354" s="144"/>
      <c r="Q354" s="144"/>
    </row>
    <row r="355" spans="14:17" ht="15.75" customHeight="1" x14ac:dyDescent="0.25">
      <c r="N355" s="144"/>
      <c r="O355" s="144"/>
      <c r="P355" s="144"/>
      <c r="Q355" s="144"/>
    </row>
    <row r="356" spans="14:17" ht="15.75" customHeight="1" x14ac:dyDescent="0.25">
      <c r="N356" s="144"/>
      <c r="O356" s="144"/>
      <c r="P356" s="144"/>
      <c r="Q356" s="144"/>
    </row>
    <row r="357" spans="14:17" ht="15.75" customHeight="1" x14ac:dyDescent="0.25">
      <c r="N357" s="144"/>
      <c r="O357" s="144"/>
      <c r="P357" s="144"/>
      <c r="Q357" s="144"/>
    </row>
    <row r="358" spans="14:17" ht="15.75" customHeight="1" x14ac:dyDescent="0.25">
      <c r="N358" s="144"/>
      <c r="O358" s="144"/>
      <c r="P358" s="144"/>
      <c r="Q358" s="144"/>
    </row>
    <row r="359" spans="14:17" ht="15.75" customHeight="1" x14ac:dyDescent="0.25">
      <c r="N359" s="144"/>
      <c r="O359" s="144"/>
      <c r="P359" s="144"/>
      <c r="Q359" s="144"/>
    </row>
    <row r="360" spans="14:17" ht="15.75" customHeight="1" x14ac:dyDescent="0.25">
      <c r="N360" s="144"/>
      <c r="O360" s="144"/>
      <c r="P360" s="144"/>
      <c r="Q360" s="144"/>
    </row>
    <row r="361" spans="14:17" ht="15.75" customHeight="1" x14ac:dyDescent="0.25">
      <c r="N361" s="144"/>
      <c r="O361" s="144"/>
      <c r="P361" s="144"/>
      <c r="Q361" s="144"/>
    </row>
    <row r="362" spans="14:17" ht="15.75" customHeight="1" x14ac:dyDescent="0.25">
      <c r="N362" s="144"/>
      <c r="O362" s="144"/>
      <c r="P362" s="144"/>
      <c r="Q362" s="144"/>
    </row>
    <row r="363" spans="14:17" ht="15.75" customHeight="1" x14ac:dyDescent="0.25">
      <c r="N363" s="144"/>
      <c r="O363" s="144"/>
      <c r="P363" s="144"/>
      <c r="Q363" s="144"/>
    </row>
    <row r="364" spans="14:17" ht="15.75" customHeight="1" x14ac:dyDescent="0.25">
      <c r="N364" s="144"/>
      <c r="O364" s="144"/>
      <c r="P364" s="144"/>
      <c r="Q364" s="144"/>
    </row>
    <row r="365" spans="14:17" ht="15.75" customHeight="1" x14ac:dyDescent="0.25">
      <c r="N365" s="144"/>
      <c r="O365" s="144"/>
      <c r="P365" s="144"/>
      <c r="Q365" s="144"/>
    </row>
    <row r="366" spans="14:17" ht="15.75" customHeight="1" x14ac:dyDescent="0.25">
      <c r="N366" s="144"/>
      <c r="O366" s="144"/>
      <c r="P366" s="144"/>
      <c r="Q366" s="144"/>
    </row>
    <row r="367" spans="14:17" ht="15.75" customHeight="1" x14ac:dyDescent="0.25">
      <c r="N367" s="144"/>
      <c r="O367" s="144"/>
      <c r="P367" s="144"/>
      <c r="Q367" s="144"/>
    </row>
    <row r="368" spans="14:17" ht="15.75" customHeight="1" x14ac:dyDescent="0.25">
      <c r="N368" s="144"/>
      <c r="O368" s="144"/>
      <c r="P368" s="144"/>
      <c r="Q368" s="144"/>
    </row>
    <row r="369" spans="14:17" ht="15.75" customHeight="1" x14ac:dyDescent="0.25">
      <c r="N369" s="144"/>
      <c r="O369" s="144"/>
      <c r="P369" s="144"/>
      <c r="Q369" s="144"/>
    </row>
    <row r="370" spans="14:17" ht="15.75" customHeight="1" x14ac:dyDescent="0.25">
      <c r="N370" s="144"/>
      <c r="O370" s="144"/>
      <c r="P370" s="144"/>
      <c r="Q370" s="144"/>
    </row>
    <row r="371" spans="14:17" ht="15.75" customHeight="1" x14ac:dyDescent="0.25">
      <c r="N371" s="144"/>
      <c r="O371" s="144"/>
      <c r="P371" s="144"/>
      <c r="Q371" s="144"/>
    </row>
    <row r="372" spans="14:17" ht="15.75" customHeight="1" x14ac:dyDescent="0.25">
      <c r="N372" s="144"/>
      <c r="O372" s="144"/>
      <c r="P372" s="144"/>
      <c r="Q372" s="144"/>
    </row>
    <row r="373" spans="14:17" ht="15.75" customHeight="1" x14ac:dyDescent="0.25">
      <c r="N373" s="144"/>
      <c r="O373" s="144"/>
      <c r="P373" s="144"/>
      <c r="Q373" s="144"/>
    </row>
    <row r="374" spans="14:17" ht="15.75" customHeight="1" x14ac:dyDescent="0.25">
      <c r="N374" s="144"/>
      <c r="O374" s="144"/>
      <c r="P374" s="144"/>
      <c r="Q374" s="144"/>
    </row>
    <row r="375" spans="14:17" ht="15.75" customHeight="1" x14ac:dyDescent="0.25">
      <c r="N375" s="144"/>
      <c r="O375" s="144"/>
      <c r="P375" s="144"/>
      <c r="Q375" s="144"/>
    </row>
    <row r="376" spans="14:17" ht="15.75" customHeight="1" x14ac:dyDescent="0.25">
      <c r="N376" s="144"/>
      <c r="O376" s="144"/>
      <c r="P376" s="144"/>
      <c r="Q376" s="144"/>
    </row>
    <row r="377" spans="14:17" ht="15.75" customHeight="1" x14ac:dyDescent="0.25">
      <c r="N377" s="144"/>
      <c r="O377" s="144"/>
      <c r="P377" s="144"/>
      <c r="Q377" s="144"/>
    </row>
    <row r="378" spans="14:17" ht="15.75" customHeight="1" x14ac:dyDescent="0.25">
      <c r="N378" s="144"/>
      <c r="O378" s="144"/>
      <c r="P378" s="144"/>
      <c r="Q378" s="144"/>
    </row>
    <row r="379" spans="14:17" ht="15.75" customHeight="1" x14ac:dyDescent="0.25">
      <c r="N379" s="144"/>
      <c r="O379" s="144"/>
      <c r="P379" s="144"/>
      <c r="Q379" s="144"/>
    </row>
    <row r="380" spans="14:17" ht="15.75" customHeight="1" x14ac:dyDescent="0.25">
      <c r="N380" s="144"/>
      <c r="O380" s="144"/>
      <c r="P380" s="144"/>
      <c r="Q380" s="144"/>
    </row>
    <row r="381" spans="14:17" ht="15.75" customHeight="1" x14ac:dyDescent="0.25">
      <c r="N381" s="144"/>
      <c r="O381" s="144"/>
      <c r="P381" s="144"/>
      <c r="Q381" s="144"/>
    </row>
    <row r="382" spans="14:17" ht="15.75" customHeight="1" x14ac:dyDescent="0.25">
      <c r="N382" s="144"/>
      <c r="O382" s="144"/>
      <c r="P382" s="144"/>
      <c r="Q382" s="144"/>
    </row>
    <row r="383" spans="14:17" ht="15.75" customHeight="1" x14ac:dyDescent="0.25">
      <c r="N383" s="144"/>
      <c r="O383" s="144"/>
      <c r="P383" s="144"/>
      <c r="Q383" s="144"/>
    </row>
    <row r="384" spans="14:17" ht="15.75" customHeight="1" x14ac:dyDescent="0.25">
      <c r="N384" s="144"/>
      <c r="O384" s="144"/>
      <c r="P384" s="144"/>
      <c r="Q384" s="144"/>
    </row>
    <row r="385" spans="14:17" ht="15.75" customHeight="1" x14ac:dyDescent="0.25">
      <c r="N385" s="144"/>
      <c r="O385" s="144"/>
      <c r="P385" s="144"/>
      <c r="Q385" s="144"/>
    </row>
    <row r="386" spans="14:17" ht="15.75" customHeight="1" x14ac:dyDescent="0.25">
      <c r="N386" s="144"/>
      <c r="O386" s="144"/>
      <c r="P386" s="144"/>
      <c r="Q386" s="144"/>
    </row>
    <row r="387" spans="14:17" ht="15.75" customHeight="1" x14ac:dyDescent="0.25">
      <c r="N387" s="144"/>
      <c r="O387" s="144"/>
      <c r="P387" s="144"/>
      <c r="Q387" s="144"/>
    </row>
    <row r="388" spans="14:17" ht="15.75" customHeight="1" x14ac:dyDescent="0.25">
      <c r="N388" s="144"/>
      <c r="O388" s="144"/>
      <c r="P388" s="144"/>
      <c r="Q388" s="144"/>
    </row>
    <row r="389" spans="14:17" ht="15.75" customHeight="1" x14ac:dyDescent="0.25">
      <c r="N389" s="144"/>
      <c r="O389" s="144"/>
      <c r="P389" s="144"/>
      <c r="Q389" s="144"/>
    </row>
    <row r="390" spans="14:17" ht="15.75" customHeight="1" x14ac:dyDescent="0.25">
      <c r="N390" s="144"/>
      <c r="O390" s="144"/>
      <c r="P390" s="144"/>
      <c r="Q390" s="144"/>
    </row>
    <row r="391" spans="14:17" ht="15.75" customHeight="1" x14ac:dyDescent="0.25">
      <c r="N391" s="144"/>
      <c r="O391" s="144"/>
      <c r="P391" s="144"/>
      <c r="Q391" s="144"/>
    </row>
    <row r="392" spans="14:17" ht="15.75" customHeight="1" x14ac:dyDescent="0.25">
      <c r="N392" s="144"/>
      <c r="O392" s="144"/>
      <c r="P392" s="144"/>
      <c r="Q392" s="144"/>
    </row>
    <row r="393" spans="14:17" ht="15.75" customHeight="1" x14ac:dyDescent="0.25">
      <c r="N393" s="144"/>
      <c r="O393" s="144"/>
      <c r="P393" s="144"/>
      <c r="Q393" s="144"/>
    </row>
    <row r="394" spans="14:17" ht="15.75" customHeight="1" x14ac:dyDescent="0.25">
      <c r="N394" s="144"/>
      <c r="O394" s="144"/>
      <c r="P394" s="144"/>
      <c r="Q394" s="144"/>
    </row>
    <row r="395" spans="14:17" ht="15.75" customHeight="1" x14ac:dyDescent="0.25">
      <c r="N395" s="144"/>
      <c r="O395" s="144"/>
      <c r="P395" s="144"/>
      <c r="Q395" s="144"/>
    </row>
    <row r="396" spans="14:17" ht="15.75" customHeight="1" x14ac:dyDescent="0.25">
      <c r="N396" s="144"/>
      <c r="O396" s="144"/>
      <c r="P396" s="144"/>
      <c r="Q396" s="144"/>
    </row>
    <row r="397" spans="14:17" ht="15.75" customHeight="1" x14ac:dyDescent="0.25">
      <c r="N397" s="144"/>
      <c r="O397" s="144"/>
      <c r="P397" s="144"/>
      <c r="Q397" s="144"/>
    </row>
    <row r="398" spans="14:17" ht="15.75" customHeight="1" x14ac:dyDescent="0.25">
      <c r="N398" s="144"/>
      <c r="O398" s="144"/>
      <c r="P398" s="144"/>
      <c r="Q398" s="144"/>
    </row>
    <row r="399" spans="14:17" ht="15.75" customHeight="1" x14ac:dyDescent="0.25">
      <c r="N399" s="144"/>
      <c r="O399" s="144"/>
      <c r="P399" s="144"/>
      <c r="Q399" s="144"/>
    </row>
    <row r="400" spans="14:17" ht="15.75" customHeight="1" x14ac:dyDescent="0.25">
      <c r="N400" s="144"/>
      <c r="O400" s="144"/>
      <c r="P400" s="144"/>
      <c r="Q400" s="144"/>
    </row>
    <row r="401" spans="14:17" ht="15.75" customHeight="1" x14ac:dyDescent="0.25">
      <c r="N401" s="144"/>
      <c r="O401" s="144"/>
      <c r="P401" s="144"/>
      <c r="Q401" s="144"/>
    </row>
    <row r="402" spans="14:17" ht="15.75" customHeight="1" x14ac:dyDescent="0.25">
      <c r="N402" s="144"/>
      <c r="O402" s="144"/>
      <c r="P402" s="144"/>
      <c r="Q402" s="144"/>
    </row>
    <row r="403" spans="14:17" ht="15.75" customHeight="1" x14ac:dyDescent="0.25">
      <c r="N403" s="144"/>
      <c r="O403" s="144"/>
      <c r="P403" s="144"/>
      <c r="Q403" s="144"/>
    </row>
    <row r="404" spans="14:17" ht="15.75" customHeight="1" x14ac:dyDescent="0.25">
      <c r="N404" s="144"/>
      <c r="O404" s="144"/>
      <c r="P404" s="144"/>
      <c r="Q404" s="144"/>
    </row>
    <row r="405" spans="14:17" ht="15.75" customHeight="1" x14ac:dyDescent="0.25">
      <c r="N405" s="144"/>
      <c r="O405" s="144"/>
      <c r="P405" s="144"/>
      <c r="Q405" s="144"/>
    </row>
    <row r="406" spans="14:17" ht="15.75" customHeight="1" x14ac:dyDescent="0.25">
      <c r="N406" s="144"/>
      <c r="O406" s="144"/>
      <c r="P406" s="144"/>
      <c r="Q406" s="144"/>
    </row>
    <row r="407" spans="14:17" ht="15.75" customHeight="1" x14ac:dyDescent="0.25">
      <c r="N407" s="144"/>
      <c r="O407" s="144"/>
      <c r="P407" s="144"/>
      <c r="Q407" s="144"/>
    </row>
    <row r="408" spans="14:17" ht="15.75" customHeight="1" x14ac:dyDescent="0.25">
      <c r="N408" s="144"/>
      <c r="O408" s="144"/>
      <c r="P408" s="144"/>
      <c r="Q408" s="144"/>
    </row>
    <row r="409" spans="14:17" ht="15.75" customHeight="1" x14ac:dyDescent="0.25">
      <c r="N409" s="144"/>
      <c r="O409" s="144"/>
      <c r="P409" s="144"/>
      <c r="Q409" s="144"/>
    </row>
    <row r="410" spans="14:17" ht="15.75" customHeight="1" x14ac:dyDescent="0.25">
      <c r="N410" s="144"/>
      <c r="O410" s="144"/>
      <c r="P410" s="144"/>
      <c r="Q410" s="144"/>
    </row>
    <row r="411" spans="14:17" ht="15.75" customHeight="1" x14ac:dyDescent="0.25">
      <c r="N411" s="144"/>
      <c r="O411" s="144"/>
      <c r="P411" s="144"/>
      <c r="Q411" s="144"/>
    </row>
    <row r="412" spans="14:17" ht="15.75" customHeight="1" x14ac:dyDescent="0.25">
      <c r="N412" s="144"/>
      <c r="O412" s="144"/>
      <c r="P412" s="144"/>
      <c r="Q412" s="144"/>
    </row>
    <row r="413" spans="14:17" ht="15.75" customHeight="1" x14ac:dyDescent="0.25">
      <c r="N413" s="144"/>
      <c r="O413" s="144"/>
      <c r="P413" s="144"/>
      <c r="Q413" s="144"/>
    </row>
    <row r="414" spans="14:17" ht="15.75" customHeight="1" x14ac:dyDescent="0.25">
      <c r="N414" s="144"/>
      <c r="O414" s="144"/>
      <c r="P414" s="144"/>
      <c r="Q414" s="144"/>
    </row>
    <row r="415" spans="14:17" ht="15.75" customHeight="1" x14ac:dyDescent="0.25">
      <c r="N415" s="144"/>
      <c r="O415" s="144"/>
      <c r="P415" s="144"/>
      <c r="Q415" s="144"/>
    </row>
    <row r="416" spans="14:17" ht="15.75" customHeight="1" x14ac:dyDescent="0.25">
      <c r="N416" s="144"/>
      <c r="O416" s="144"/>
      <c r="P416" s="144"/>
      <c r="Q416" s="144"/>
    </row>
    <row r="417" spans="14:17" ht="15.75" customHeight="1" x14ac:dyDescent="0.25">
      <c r="N417" s="144"/>
      <c r="O417" s="144"/>
      <c r="P417" s="144"/>
      <c r="Q417" s="144"/>
    </row>
    <row r="418" spans="14:17" ht="15.75" customHeight="1" x14ac:dyDescent="0.25">
      <c r="N418" s="144"/>
      <c r="O418" s="144"/>
      <c r="P418" s="144"/>
      <c r="Q418" s="144"/>
    </row>
    <row r="419" spans="14:17" ht="15.75" customHeight="1" x14ac:dyDescent="0.25">
      <c r="N419" s="144"/>
      <c r="O419" s="144"/>
      <c r="P419" s="144"/>
      <c r="Q419" s="144"/>
    </row>
    <row r="420" spans="14:17" ht="15.75" customHeight="1" x14ac:dyDescent="0.25">
      <c r="N420" s="144"/>
      <c r="O420" s="144"/>
      <c r="P420" s="144"/>
      <c r="Q420" s="144"/>
    </row>
    <row r="421" spans="14:17" ht="15.75" customHeight="1" x14ac:dyDescent="0.25">
      <c r="N421" s="144"/>
      <c r="O421" s="144"/>
      <c r="P421" s="144"/>
      <c r="Q421" s="144"/>
    </row>
    <row r="422" spans="14:17" ht="15.75" customHeight="1" x14ac:dyDescent="0.25">
      <c r="N422" s="144"/>
      <c r="O422" s="144"/>
      <c r="P422" s="144"/>
      <c r="Q422" s="144"/>
    </row>
    <row r="423" spans="14:17" ht="15.75" customHeight="1" x14ac:dyDescent="0.25">
      <c r="N423" s="144"/>
      <c r="O423" s="144"/>
      <c r="P423" s="144"/>
      <c r="Q423" s="144"/>
    </row>
    <row r="424" spans="14:17" ht="15.75" customHeight="1" x14ac:dyDescent="0.25">
      <c r="N424" s="144"/>
      <c r="O424" s="144"/>
      <c r="P424" s="144"/>
      <c r="Q424" s="144"/>
    </row>
    <row r="425" spans="14:17" ht="15.75" customHeight="1" x14ac:dyDescent="0.25">
      <c r="N425" s="144"/>
      <c r="O425" s="144"/>
      <c r="P425" s="144"/>
      <c r="Q425" s="144"/>
    </row>
    <row r="426" spans="14:17" ht="15.75" customHeight="1" x14ac:dyDescent="0.25">
      <c r="N426" s="144"/>
      <c r="O426" s="144"/>
      <c r="P426" s="144"/>
      <c r="Q426" s="144"/>
    </row>
    <row r="427" spans="14:17" ht="15.75" customHeight="1" x14ac:dyDescent="0.25">
      <c r="N427" s="144"/>
      <c r="O427" s="144"/>
      <c r="P427" s="144"/>
      <c r="Q427" s="144"/>
    </row>
    <row r="428" spans="14:17" ht="15.75" customHeight="1" x14ac:dyDescent="0.25">
      <c r="N428" s="144"/>
      <c r="O428" s="144"/>
      <c r="P428" s="144"/>
      <c r="Q428" s="144"/>
    </row>
    <row r="429" spans="14:17" ht="15.75" customHeight="1" x14ac:dyDescent="0.25">
      <c r="N429" s="144"/>
      <c r="O429" s="144"/>
      <c r="P429" s="144"/>
      <c r="Q429" s="144"/>
    </row>
    <row r="430" spans="14:17" ht="15.75" customHeight="1" x14ac:dyDescent="0.25">
      <c r="N430" s="144"/>
      <c r="O430" s="144"/>
      <c r="P430" s="144"/>
      <c r="Q430" s="144"/>
    </row>
    <row r="431" spans="14:17" ht="15.75" customHeight="1" x14ac:dyDescent="0.25">
      <c r="N431" s="144"/>
      <c r="O431" s="144"/>
      <c r="P431" s="144"/>
      <c r="Q431" s="144"/>
    </row>
    <row r="432" spans="14:17" ht="15.75" customHeight="1" x14ac:dyDescent="0.25">
      <c r="N432" s="144"/>
      <c r="O432" s="144"/>
      <c r="P432" s="144"/>
      <c r="Q432" s="144"/>
    </row>
    <row r="433" spans="14:17" ht="15.75" customHeight="1" x14ac:dyDescent="0.25">
      <c r="N433" s="144"/>
      <c r="O433" s="144"/>
      <c r="P433" s="144"/>
      <c r="Q433" s="144"/>
    </row>
    <row r="434" spans="14:17" ht="15.75" customHeight="1" x14ac:dyDescent="0.25">
      <c r="N434" s="144"/>
      <c r="O434" s="144"/>
      <c r="P434" s="144"/>
      <c r="Q434" s="144"/>
    </row>
    <row r="435" spans="14:17" ht="15.75" customHeight="1" x14ac:dyDescent="0.25">
      <c r="N435" s="144"/>
      <c r="O435" s="144"/>
      <c r="P435" s="144"/>
      <c r="Q435" s="144"/>
    </row>
    <row r="436" spans="14:17" ht="15.75" customHeight="1" x14ac:dyDescent="0.25">
      <c r="N436" s="144"/>
      <c r="O436" s="144"/>
      <c r="P436" s="144"/>
      <c r="Q436" s="144"/>
    </row>
    <row r="437" spans="14:17" ht="15.75" customHeight="1" x14ac:dyDescent="0.25">
      <c r="N437" s="144"/>
      <c r="O437" s="144"/>
      <c r="P437" s="144"/>
      <c r="Q437" s="144"/>
    </row>
    <row r="438" spans="14:17" ht="15.75" customHeight="1" x14ac:dyDescent="0.25">
      <c r="N438" s="144"/>
      <c r="O438" s="144"/>
      <c r="P438" s="144"/>
      <c r="Q438" s="144"/>
    </row>
    <row r="439" spans="14:17" ht="15.75" customHeight="1" x14ac:dyDescent="0.25">
      <c r="N439" s="144"/>
      <c r="O439" s="144"/>
      <c r="P439" s="144"/>
      <c r="Q439" s="144"/>
    </row>
    <row r="440" spans="14:17" ht="15.75" customHeight="1" x14ac:dyDescent="0.25">
      <c r="N440" s="144"/>
      <c r="O440" s="144"/>
      <c r="P440" s="144"/>
      <c r="Q440" s="144"/>
    </row>
    <row r="441" spans="14:17" ht="15.75" customHeight="1" x14ac:dyDescent="0.25">
      <c r="N441" s="144"/>
      <c r="O441" s="144"/>
      <c r="P441" s="144"/>
      <c r="Q441" s="144"/>
    </row>
    <row r="442" spans="14:17" ht="15.75" customHeight="1" x14ac:dyDescent="0.25">
      <c r="N442" s="144"/>
      <c r="O442" s="144"/>
      <c r="P442" s="144"/>
      <c r="Q442" s="144"/>
    </row>
    <row r="443" spans="14:17" ht="15.75" customHeight="1" x14ac:dyDescent="0.25">
      <c r="N443" s="144"/>
      <c r="O443" s="144"/>
      <c r="P443" s="144"/>
      <c r="Q443" s="144"/>
    </row>
    <row r="444" spans="14:17" ht="15.75" customHeight="1" x14ac:dyDescent="0.25">
      <c r="N444" s="144"/>
      <c r="O444" s="144"/>
      <c r="P444" s="144"/>
      <c r="Q444" s="144"/>
    </row>
    <row r="445" spans="14:17" ht="15.75" customHeight="1" x14ac:dyDescent="0.25">
      <c r="N445" s="144"/>
      <c r="O445" s="144"/>
      <c r="P445" s="144"/>
      <c r="Q445" s="144"/>
    </row>
    <row r="446" spans="14:17" ht="15.75" customHeight="1" x14ac:dyDescent="0.25">
      <c r="N446" s="144"/>
      <c r="O446" s="144"/>
      <c r="P446" s="144"/>
      <c r="Q446" s="144"/>
    </row>
    <row r="447" spans="14:17" ht="15.75" customHeight="1" x14ac:dyDescent="0.25">
      <c r="N447" s="144"/>
      <c r="O447" s="144"/>
      <c r="P447" s="144"/>
      <c r="Q447" s="144"/>
    </row>
    <row r="448" spans="14:17" ht="15.75" customHeight="1" x14ac:dyDescent="0.25">
      <c r="N448" s="144"/>
      <c r="O448" s="144"/>
      <c r="P448" s="144"/>
      <c r="Q448" s="144"/>
    </row>
    <row r="449" spans="14:17" ht="15.75" customHeight="1" x14ac:dyDescent="0.25">
      <c r="N449" s="144"/>
      <c r="O449" s="144"/>
      <c r="P449" s="144"/>
      <c r="Q449" s="144"/>
    </row>
    <row r="450" spans="14:17" ht="15.75" customHeight="1" x14ac:dyDescent="0.25">
      <c r="N450" s="144"/>
      <c r="O450" s="144"/>
      <c r="P450" s="144"/>
      <c r="Q450" s="144"/>
    </row>
    <row r="451" spans="14:17" ht="15.75" customHeight="1" x14ac:dyDescent="0.25">
      <c r="N451" s="144"/>
      <c r="O451" s="144"/>
      <c r="P451" s="144"/>
      <c r="Q451" s="144"/>
    </row>
    <row r="452" spans="14:17" ht="15.75" customHeight="1" x14ac:dyDescent="0.25">
      <c r="N452" s="144"/>
      <c r="O452" s="144"/>
      <c r="P452" s="144"/>
      <c r="Q452" s="144"/>
    </row>
    <row r="453" spans="14:17" ht="15.75" customHeight="1" x14ac:dyDescent="0.25">
      <c r="N453" s="144"/>
      <c r="O453" s="144"/>
      <c r="P453" s="144"/>
      <c r="Q453" s="144"/>
    </row>
    <row r="454" spans="14:17" ht="15.75" customHeight="1" x14ac:dyDescent="0.25">
      <c r="N454" s="144"/>
      <c r="O454" s="144"/>
      <c r="P454" s="144"/>
      <c r="Q454" s="144"/>
    </row>
    <row r="455" spans="14:17" ht="15.75" customHeight="1" x14ac:dyDescent="0.25">
      <c r="N455" s="144"/>
      <c r="O455" s="144"/>
      <c r="P455" s="144"/>
      <c r="Q455" s="144"/>
    </row>
    <row r="456" spans="14:17" ht="15.75" customHeight="1" x14ac:dyDescent="0.25">
      <c r="N456" s="144"/>
      <c r="O456" s="144"/>
      <c r="P456" s="144"/>
      <c r="Q456" s="144"/>
    </row>
    <row r="457" spans="14:17" ht="15.75" customHeight="1" x14ac:dyDescent="0.25">
      <c r="N457" s="144"/>
      <c r="O457" s="144"/>
      <c r="P457" s="144"/>
      <c r="Q457" s="144"/>
    </row>
    <row r="458" spans="14:17" ht="15.75" customHeight="1" x14ac:dyDescent="0.25">
      <c r="N458" s="144"/>
      <c r="O458" s="144"/>
      <c r="P458" s="144"/>
      <c r="Q458" s="144"/>
    </row>
    <row r="459" spans="14:17" ht="15.75" customHeight="1" x14ac:dyDescent="0.25">
      <c r="N459" s="144"/>
      <c r="O459" s="144"/>
      <c r="P459" s="144"/>
      <c r="Q459" s="144"/>
    </row>
    <row r="460" spans="14:17" ht="15.75" customHeight="1" x14ac:dyDescent="0.25">
      <c r="N460" s="144"/>
      <c r="O460" s="144"/>
      <c r="P460" s="144"/>
      <c r="Q460" s="144"/>
    </row>
    <row r="461" spans="14:17" ht="15.75" customHeight="1" x14ac:dyDescent="0.25">
      <c r="N461" s="144"/>
      <c r="O461" s="144"/>
      <c r="P461" s="144"/>
      <c r="Q461" s="144"/>
    </row>
    <row r="462" spans="14:17" ht="15.75" customHeight="1" x14ac:dyDescent="0.25">
      <c r="N462" s="144"/>
      <c r="O462" s="144"/>
      <c r="P462" s="144"/>
      <c r="Q462" s="144"/>
    </row>
    <row r="463" spans="14:17" ht="15.75" customHeight="1" x14ac:dyDescent="0.25">
      <c r="N463" s="144"/>
      <c r="O463" s="144"/>
      <c r="P463" s="144"/>
      <c r="Q463" s="144"/>
    </row>
    <row r="464" spans="14:17" ht="15.75" customHeight="1" x14ac:dyDescent="0.25">
      <c r="N464" s="144"/>
      <c r="O464" s="144"/>
      <c r="P464" s="144"/>
      <c r="Q464" s="144"/>
    </row>
    <row r="465" spans="14:17" ht="15.75" customHeight="1" x14ac:dyDescent="0.25">
      <c r="N465" s="144"/>
      <c r="O465" s="144"/>
      <c r="P465" s="144"/>
      <c r="Q465" s="144"/>
    </row>
    <row r="466" spans="14:17" ht="15.75" customHeight="1" x14ac:dyDescent="0.25">
      <c r="N466" s="144"/>
      <c r="O466" s="144"/>
      <c r="P466" s="144"/>
      <c r="Q466" s="144"/>
    </row>
    <row r="467" spans="14:17" ht="15.75" customHeight="1" x14ac:dyDescent="0.25">
      <c r="N467" s="144"/>
      <c r="O467" s="144"/>
      <c r="P467" s="144"/>
      <c r="Q467" s="144"/>
    </row>
    <row r="468" spans="14:17" ht="15.75" customHeight="1" x14ac:dyDescent="0.25">
      <c r="N468" s="144"/>
      <c r="O468" s="144"/>
      <c r="P468" s="144"/>
      <c r="Q468" s="144"/>
    </row>
    <row r="469" spans="14:17" ht="15.75" customHeight="1" x14ac:dyDescent="0.25">
      <c r="N469" s="144"/>
      <c r="O469" s="144"/>
      <c r="P469" s="144"/>
      <c r="Q469" s="144"/>
    </row>
    <row r="470" spans="14:17" ht="15.75" customHeight="1" x14ac:dyDescent="0.25">
      <c r="N470" s="144"/>
      <c r="O470" s="144"/>
      <c r="P470" s="144"/>
      <c r="Q470" s="144"/>
    </row>
    <row r="471" spans="14:17" ht="15.75" customHeight="1" x14ac:dyDescent="0.25">
      <c r="N471" s="144"/>
      <c r="O471" s="144"/>
      <c r="P471" s="144"/>
      <c r="Q471" s="144"/>
    </row>
    <row r="472" spans="14:17" ht="15.75" customHeight="1" x14ac:dyDescent="0.25">
      <c r="N472" s="144"/>
      <c r="O472" s="144"/>
      <c r="P472" s="144"/>
      <c r="Q472" s="144"/>
    </row>
    <row r="473" spans="14:17" ht="15.75" customHeight="1" x14ac:dyDescent="0.25">
      <c r="N473" s="144"/>
      <c r="O473" s="144"/>
      <c r="P473" s="144"/>
      <c r="Q473" s="144"/>
    </row>
    <row r="474" spans="14:17" ht="15.75" customHeight="1" x14ac:dyDescent="0.25">
      <c r="N474" s="144"/>
      <c r="O474" s="144"/>
      <c r="P474" s="144"/>
      <c r="Q474" s="144"/>
    </row>
    <row r="475" spans="14:17" ht="15.75" customHeight="1" x14ac:dyDescent="0.25">
      <c r="N475" s="144"/>
      <c r="O475" s="144"/>
      <c r="P475" s="144"/>
      <c r="Q475" s="144"/>
    </row>
    <row r="476" spans="14:17" ht="15.75" customHeight="1" x14ac:dyDescent="0.25">
      <c r="N476" s="144"/>
      <c r="O476" s="144"/>
      <c r="P476" s="144"/>
      <c r="Q476" s="144"/>
    </row>
    <row r="477" spans="14:17" ht="15.75" customHeight="1" x14ac:dyDescent="0.25">
      <c r="N477" s="144"/>
      <c r="O477" s="144"/>
      <c r="P477" s="144"/>
      <c r="Q477" s="144"/>
    </row>
    <row r="478" spans="14:17" ht="15.75" customHeight="1" x14ac:dyDescent="0.25">
      <c r="N478" s="144"/>
      <c r="O478" s="144"/>
      <c r="P478" s="144"/>
      <c r="Q478" s="144"/>
    </row>
    <row r="479" spans="14:17" ht="15.75" customHeight="1" x14ac:dyDescent="0.25">
      <c r="N479" s="144"/>
      <c r="O479" s="144"/>
      <c r="P479" s="144"/>
      <c r="Q479" s="144"/>
    </row>
    <row r="480" spans="14:17" ht="15.75" customHeight="1" x14ac:dyDescent="0.25">
      <c r="N480" s="144"/>
      <c r="O480" s="144"/>
      <c r="P480" s="144"/>
      <c r="Q480" s="144"/>
    </row>
    <row r="481" spans="14:17" ht="15.75" customHeight="1" x14ac:dyDescent="0.25">
      <c r="N481" s="144"/>
      <c r="O481" s="144"/>
      <c r="P481" s="144"/>
      <c r="Q481" s="144"/>
    </row>
    <row r="482" spans="14:17" ht="15.75" customHeight="1" x14ac:dyDescent="0.25">
      <c r="N482" s="144"/>
      <c r="O482" s="144"/>
      <c r="P482" s="144"/>
      <c r="Q482" s="144"/>
    </row>
    <row r="483" spans="14:17" ht="15.75" customHeight="1" x14ac:dyDescent="0.25">
      <c r="N483" s="144"/>
      <c r="O483" s="144"/>
      <c r="P483" s="144"/>
      <c r="Q483" s="144"/>
    </row>
    <row r="484" spans="14:17" ht="15.75" customHeight="1" x14ac:dyDescent="0.25">
      <c r="N484" s="144"/>
      <c r="O484" s="144"/>
      <c r="P484" s="144"/>
      <c r="Q484" s="144"/>
    </row>
    <row r="485" spans="14:17" ht="15.75" customHeight="1" x14ac:dyDescent="0.25">
      <c r="N485" s="144"/>
      <c r="O485" s="144"/>
      <c r="P485" s="144"/>
      <c r="Q485" s="144"/>
    </row>
    <row r="486" spans="14:17" ht="15.75" customHeight="1" x14ac:dyDescent="0.25">
      <c r="N486" s="144"/>
      <c r="O486" s="144"/>
      <c r="P486" s="144"/>
      <c r="Q486" s="144"/>
    </row>
    <row r="487" spans="14:17" ht="15.75" customHeight="1" x14ac:dyDescent="0.25">
      <c r="N487" s="144"/>
      <c r="O487" s="144"/>
      <c r="P487" s="144"/>
      <c r="Q487" s="144"/>
    </row>
    <row r="488" spans="14:17" ht="15.75" customHeight="1" x14ac:dyDescent="0.25">
      <c r="N488" s="144"/>
      <c r="O488" s="144"/>
      <c r="P488" s="144"/>
      <c r="Q488" s="144"/>
    </row>
    <row r="489" spans="14:17" ht="15.75" customHeight="1" x14ac:dyDescent="0.25">
      <c r="N489" s="144"/>
      <c r="O489" s="144"/>
      <c r="P489" s="144"/>
      <c r="Q489" s="144"/>
    </row>
    <row r="490" spans="14:17" ht="15.75" customHeight="1" x14ac:dyDescent="0.25">
      <c r="N490" s="144"/>
      <c r="O490" s="144"/>
      <c r="P490" s="144"/>
      <c r="Q490" s="144"/>
    </row>
    <row r="491" spans="14:17" ht="15.75" customHeight="1" x14ac:dyDescent="0.25">
      <c r="N491" s="144"/>
      <c r="O491" s="144"/>
      <c r="P491" s="144"/>
      <c r="Q491" s="144"/>
    </row>
    <row r="492" spans="14:17" ht="15.75" customHeight="1" x14ac:dyDescent="0.25">
      <c r="N492" s="144"/>
      <c r="O492" s="144"/>
      <c r="P492" s="144"/>
      <c r="Q492" s="144"/>
    </row>
    <row r="493" spans="14:17" ht="15.75" customHeight="1" x14ac:dyDescent="0.25">
      <c r="N493" s="144"/>
      <c r="O493" s="144"/>
      <c r="P493" s="144"/>
      <c r="Q493" s="144"/>
    </row>
    <row r="494" spans="14:17" ht="15.75" customHeight="1" x14ac:dyDescent="0.25">
      <c r="N494" s="144"/>
      <c r="O494" s="144"/>
      <c r="P494" s="144"/>
      <c r="Q494" s="144"/>
    </row>
    <row r="495" spans="14:17" ht="15.75" customHeight="1" x14ac:dyDescent="0.25">
      <c r="N495" s="144"/>
      <c r="O495" s="144"/>
      <c r="P495" s="144"/>
      <c r="Q495" s="144"/>
    </row>
    <row r="496" spans="14:17" ht="15.75" customHeight="1" x14ac:dyDescent="0.25">
      <c r="N496" s="144"/>
      <c r="O496" s="144"/>
      <c r="P496" s="144"/>
      <c r="Q496" s="144"/>
    </row>
    <row r="497" spans="14:17" ht="15.75" customHeight="1" x14ac:dyDescent="0.25">
      <c r="N497" s="144"/>
      <c r="O497" s="144"/>
      <c r="P497" s="144"/>
      <c r="Q497" s="144"/>
    </row>
    <row r="498" spans="14:17" ht="15.75" customHeight="1" x14ac:dyDescent="0.25">
      <c r="N498" s="144"/>
      <c r="O498" s="144"/>
      <c r="P498" s="144"/>
      <c r="Q498" s="144"/>
    </row>
    <row r="499" spans="14:17" ht="15.75" customHeight="1" x14ac:dyDescent="0.25">
      <c r="N499" s="144"/>
      <c r="O499" s="144"/>
      <c r="P499" s="144"/>
      <c r="Q499" s="144"/>
    </row>
    <row r="500" spans="14:17" ht="15.75" customHeight="1" x14ac:dyDescent="0.25">
      <c r="N500" s="144"/>
      <c r="O500" s="144"/>
      <c r="P500" s="144"/>
      <c r="Q500" s="144"/>
    </row>
    <row r="501" spans="14:17" ht="15.75" customHeight="1" x14ac:dyDescent="0.25">
      <c r="N501" s="144"/>
      <c r="O501" s="144"/>
      <c r="P501" s="144"/>
      <c r="Q501" s="144"/>
    </row>
    <row r="502" spans="14:17" ht="15.75" customHeight="1" x14ac:dyDescent="0.25">
      <c r="N502" s="144"/>
      <c r="O502" s="144"/>
      <c r="P502" s="144"/>
      <c r="Q502" s="144"/>
    </row>
    <row r="503" spans="14:17" ht="15.75" customHeight="1" x14ac:dyDescent="0.25">
      <c r="N503" s="144"/>
      <c r="O503" s="144"/>
      <c r="P503" s="144"/>
      <c r="Q503" s="144"/>
    </row>
    <row r="504" spans="14:17" ht="15.75" customHeight="1" x14ac:dyDescent="0.25">
      <c r="N504" s="144"/>
      <c r="O504" s="144"/>
      <c r="P504" s="144"/>
      <c r="Q504" s="144"/>
    </row>
    <row r="505" spans="14:17" ht="15.75" customHeight="1" x14ac:dyDescent="0.25">
      <c r="N505" s="144"/>
      <c r="O505" s="144"/>
      <c r="P505" s="144"/>
      <c r="Q505" s="144"/>
    </row>
    <row r="506" spans="14:17" ht="15.75" customHeight="1" x14ac:dyDescent="0.25">
      <c r="N506" s="144"/>
      <c r="O506" s="144"/>
      <c r="P506" s="144"/>
      <c r="Q506" s="144"/>
    </row>
    <row r="507" spans="14:17" ht="15.75" customHeight="1" x14ac:dyDescent="0.25">
      <c r="N507" s="144"/>
      <c r="O507" s="144"/>
      <c r="P507" s="144"/>
      <c r="Q507" s="144"/>
    </row>
    <row r="508" spans="14:17" ht="15.75" customHeight="1" x14ac:dyDescent="0.25">
      <c r="N508" s="144"/>
      <c r="O508" s="144"/>
      <c r="P508" s="144"/>
      <c r="Q508" s="144"/>
    </row>
    <row r="509" spans="14:17" ht="15.75" customHeight="1" x14ac:dyDescent="0.25">
      <c r="N509" s="144"/>
      <c r="O509" s="144"/>
      <c r="P509" s="144"/>
      <c r="Q509" s="144"/>
    </row>
    <row r="510" spans="14:17" ht="15.75" customHeight="1" x14ac:dyDescent="0.25">
      <c r="N510" s="144"/>
      <c r="O510" s="144"/>
      <c r="P510" s="144"/>
      <c r="Q510" s="144"/>
    </row>
    <row r="511" spans="14:17" ht="15.75" customHeight="1" x14ac:dyDescent="0.25">
      <c r="N511" s="144"/>
      <c r="O511" s="144"/>
      <c r="P511" s="144"/>
      <c r="Q511" s="144"/>
    </row>
    <row r="512" spans="14:17" ht="15.75" customHeight="1" x14ac:dyDescent="0.25">
      <c r="N512" s="144"/>
      <c r="O512" s="144"/>
      <c r="P512" s="144"/>
      <c r="Q512" s="144"/>
    </row>
    <row r="513" spans="14:17" ht="15.75" customHeight="1" x14ac:dyDescent="0.25">
      <c r="N513" s="144"/>
      <c r="O513" s="144"/>
      <c r="P513" s="144"/>
      <c r="Q513" s="144"/>
    </row>
    <row r="514" spans="14:17" ht="15.75" customHeight="1" x14ac:dyDescent="0.25">
      <c r="N514" s="144"/>
      <c r="O514" s="144"/>
      <c r="P514" s="144"/>
      <c r="Q514" s="144"/>
    </row>
    <row r="515" spans="14:17" ht="15.75" customHeight="1" x14ac:dyDescent="0.25">
      <c r="N515" s="144"/>
      <c r="O515" s="144"/>
      <c r="P515" s="144"/>
      <c r="Q515" s="144"/>
    </row>
    <row r="516" spans="14:17" ht="15.75" customHeight="1" x14ac:dyDescent="0.25">
      <c r="N516" s="144"/>
      <c r="O516" s="144"/>
      <c r="P516" s="144"/>
      <c r="Q516" s="144"/>
    </row>
    <row r="517" spans="14:17" ht="15.75" customHeight="1" x14ac:dyDescent="0.25">
      <c r="N517" s="144"/>
      <c r="O517" s="144"/>
      <c r="P517" s="144"/>
      <c r="Q517" s="144"/>
    </row>
    <row r="518" spans="14:17" ht="15.75" customHeight="1" x14ac:dyDescent="0.25">
      <c r="N518" s="144"/>
      <c r="O518" s="144"/>
      <c r="P518" s="144"/>
      <c r="Q518" s="144"/>
    </row>
    <row r="519" spans="14:17" ht="15.75" customHeight="1" x14ac:dyDescent="0.25">
      <c r="N519" s="144"/>
      <c r="O519" s="144"/>
      <c r="P519" s="144"/>
      <c r="Q519" s="144"/>
    </row>
    <row r="520" spans="14:17" ht="15.75" customHeight="1" x14ac:dyDescent="0.25">
      <c r="N520" s="144"/>
      <c r="O520" s="144"/>
      <c r="P520" s="144"/>
      <c r="Q520" s="144"/>
    </row>
    <row r="521" spans="14:17" ht="15.75" customHeight="1" x14ac:dyDescent="0.25">
      <c r="N521" s="144"/>
      <c r="O521" s="144"/>
      <c r="P521" s="144"/>
      <c r="Q521" s="144"/>
    </row>
    <row r="522" spans="14:17" ht="15.75" customHeight="1" x14ac:dyDescent="0.25">
      <c r="N522" s="144"/>
      <c r="O522" s="144"/>
      <c r="P522" s="144"/>
      <c r="Q522" s="144"/>
    </row>
    <row r="523" spans="14:17" ht="15.75" customHeight="1" x14ac:dyDescent="0.25">
      <c r="N523" s="144"/>
      <c r="O523" s="144"/>
      <c r="P523" s="144"/>
      <c r="Q523" s="144"/>
    </row>
    <row r="524" spans="14:17" ht="15.75" customHeight="1" x14ac:dyDescent="0.25">
      <c r="N524" s="144"/>
      <c r="O524" s="144"/>
      <c r="P524" s="144"/>
      <c r="Q524" s="144"/>
    </row>
    <row r="525" spans="14:17" ht="15.75" customHeight="1" x14ac:dyDescent="0.25">
      <c r="N525" s="144"/>
      <c r="O525" s="144"/>
      <c r="P525" s="144"/>
      <c r="Q525" s="144"/>
    </row>
    <row r="526" spans="14:17" ht="15.75" customHeight="1" x14ac:dyDescent="0.25">
      <c r="N526" s="144"/>
      <c r="O526" s="144"/>
      <c r="P526" s="144"/>
      <c r="Q526" s="144"/>
    </row>
    <row r="527" spans="14:17" ht="15.75" customHeight="1" x14ac:dyDescent="0.25">
      <c r="N527" s="144"/>
      <c r="O527" s="144"/>
      <c r="P527" s="144"/>
      <c r="Q527" s="144"/>
    </row>
    <row r="528" spans="14:17" ht="15.75" customHeight="1" x14ac:dyDescent="0.25">
      <c r="N528" s="144"/>
      <c r="O528" s="144"/>
      <c r="P528" s="144"/>
      <c r="Q528" s="144"/>
    </row>
    <row r="529" spans="14:17" ht="15.75" customHeight="1" x14ac:dyDescent="0.25">
      <c r="N529" s="144"/>
      <c r="O529" s="144"/>
      <c r="P529" s="144"/>
      <c r="Q529" s="144"/>
    </row>
    <row r="530" spans="14:17" ht="15.75" customHeight="1" x14ac:dyDescent="0.25">
      <c r="N530" s="144"/>
      <c r="O530" s="144"/>
      <c r="P530" s="144"/>
      <c r="Q530" s="144"/>
    </row>
    <row r="531" spans="14:17" ht="15.75" customHeight="1" x14ac:dyDescent="0.25">
      <c r="N531" s="144"/>
      <c r="O531" s="144"/>
      <c r="P531" s="144"/>
      <c r="Q531" s="144"/>
    </row>
    <row r="532" spans="14:17" ht="15.75" customHeight="1" x14ac:dyDescent="0.25">
      <c r="N532" s="144"/>
      <c r="O532" s="144"/>
      <c r="P532" s="144"/>
      <c r="Q532" s="144"/>
    </row>
    <row r="533" spans="14:17" ht="15.75" customHeight="1" x14ac:dyDescent="0.25">
      <c r="N533" s="144"/>
      <c r="O533" s="144"/>
      <c r="P533" s="144"/>
      <c r="Q533" s="144"/>
    </row>
    <row r="534" spans="14:17" ht="15.75" customHeight="1" x14ac:dyDescent="0.25">
      <c r="N534" s="144"/>
      <c r="O534" s="144"/>
      <c r="P534" s="144"/>
      <c r="Q534" s="144"/>
    </row>
    <row r="535" spans="14:17" ht="15.75" customHeight="1" x14ac:dyDescent="0.25">
      <c r="N535" s="144"/>
      <c r="O535" s="144"/>
      <c r="P535" s="144"/>
      <c r="Q535" s="144"/>
    </row>
    <row r="536" spans="14:17" ht="15.75" customHeight="1" x14ac:dyDescent="0.25">
      <c r="N536" s="144"/>
      <c r="O536" s="144"/>
      <c r="P536" s="144"/>
      <c r="Q536" s="144"/>
    </row>
    <row r="537" spans="14:17" ht="15.75" customHeight="1" x14ac:dyDescent="0.25">
      <c r="N537" s="144"/>
      <c r="O537" s="144"/>
      <c r="P537" s="144"/>
      <c r="Q537" s="144"/>
    </row>
    <row r="538" spans="14:17" ht="15.75" customHeight="1" x14ac:dyDescent="0.25">
      <c r="N538" s="144"/>
      <c r="O538" s="144"/>
      <c r="P538" s="144"/>
      <c r="Q538" s="144"/>
    </row>
    <row r="539" spans="14:17" ht="15.75" customHeight="1" x14ac:dyDescent="0.25">
      <c r="N539" s="144"/>
      <c r="O539" s="144"/>
      <c r="P539" s="144"/>
      <c r="Q539" s="144"/>
    </row>
    <row r="540" spans="14:17" ht="15.75" customHeight="1" x14ac:dyDescent="0.25">
      <c r="N540" s="144"/>
      <c r="O540" s="144"/>
      <c r="P540" s="144"/>
      <c r="Q540" s="144"/>
    </row>
    <row r="541" spans="14:17" ht="15.75" customHeight="1" x14ac:dyDescent="0.25">
      <c r="N541" s="144"/>
      <c r="O541" s="144"/>
      <c r="P541" s="144"/>
      <c r="Q541" s="144"/>
    </row>
    <row r="542" spans="14:17" ht="15.75" customHeight="1" x14ac:dyDescent="0.25">
      <c r="N542" s="144"/>
      <c r="O542" s="144"/>
      <c r="P542" s="144"/>
      <c r="Q542" s="144"/>
    </row>
    <row r="543" spans="14:17" ht="15.75" customHeight="1" x14ac:dyDescent="0.25">
      <c r="N543" s="144"/>
      <c r="O543" s="144"/>
      <c r="P543" s="144"/>
      <c r="Q543" s="144"/>
    </row>
    <row r="544" spans="14:17" ht="15.75" customHeight="1" x14ac:dyDescent="0.25">
      <c r="N544" s="144"/>
      <c r="O544" s="144"/>
      <c r="P544" s="144"/>
      <c r="Q544" s="144"/>
    </row>
    <row r="545" spans="14:17" ht="15.75" customHeight="1" x14ac:dyDescent="0.25">
      <c r="N545" s="144"/>
      <c r="O545" s="144"/>
      <c r="P545" s="144"/>
      <c r="Q545" s="144"/>
    </row>
    <row r="546" spans="14:17" ht="15.75" customHeight="1" x14ac:dyDescent="0.25">
      <c r="N546" s="144"/>
      <c r="O546" s="144"/>
      <c r="P546" s="144"/>
      <c r="Q546" s="144"/>
    </row>
    <row r="547" spans="14:17" ht="15.75" customHeight="1" x14ac:dyDescent="0.25">
      <c r="N547" s="144"/>
      <c r="O547" s="144"/>
      <c r="P547" s="144"/>
      <c r="Q547" s="144"/>
    </row>
    <row r="548" spans="14:17" ht="15.75" customHeight="1" x14ac:dyDescent="0.25">
      <c r="N548" s="144"/>
      <c r="O548" s="144"/>
      <c r="P548" s="144"/>
      <c r="Q548" s="144"/>
    </row>
    <row r="549" spans="14:17" ht="15.75" customHeight="1" x14ac:dyDescent="0.25">
      <c r="N549" s="144"/>
      <c r="O549" s="144"/>
      <c r="P549" s="144"/>
      <c r="Q549" s="144"/>
    </row>
    <row r="550" spans="14:17" ht="15.75" customHeight="1" x14ac:dyDescent="0.25">
      <c r="N550" s="144"/>
      <c r="O550" s="144"/>
      <c r="P550" s="144"/>
      <c r="Q550" s="144"/>
    </row>
    <row r="551" spans="14:17" ht="15.75" customHeight="1" x14ac:dyDescent="0.25">
      <c r="N551" s="144"/>
      <c r="O551" s="144"/>
      <c r="P551" s="144"/>
      <c r="Q551" s="144"/>
    </row>
    <row r="552" spans="14:17" ht="15.75" customHeight="1" x14ac:dyDescent="0.25">
      <c r="N552" s="144"/>
      <c r="O552" s="144"/>
      <c r="P552" s="144"/>
      <c r="Q552" s="144"/>
    </row>
    <row r="553" spans="14:17" ht="15.75" customHeight="1" x14ac:dyDescent="0.25">
      <c r="N553" s="144"/>
      <c r="O553" s="144"/>
      <c r="P553" s="144"/>
      <c r="Q553" s="144"/>
    </row>
    <row r="554" spans="14:17" ht="15.75" customHeight="1" x14ac:dyDescent="0.25">
      <c r="N554" s="144"/>
      <c r="O554" s="144"/>
      <c r="P554" s="144"/>
      <c r="Q554" s="144"/>
    </row>
    <row r="555" spans="14:17" ht="15.75" customHeight="1" x14ac:dyDescent="0.25">
      <c r="N555" s="144"/>
      <c r="O555" s="144"/>
      <c r="P555" s="144"/>
      <c r="Q555" s="144"/>
    </row>
    <row r="556" spans="14:17" ht="15.75" customHeight="1" x14ac:dyDescent="0.25">
      <c r="N556" s="144"/>
      <c r="O556" s="144"/>
      <c r="P556" s="144"/>
      <c r="Q556" s="144"/>
    </row>
    <row r="557" spans="14:17" ht="15.75" customHeight="1" x14ac:dyDescent="0.25">
      <c r="N557" s="144"/>
      <c r="O557" s="144"/>
      <c r="P557" s="144"/>
      <c r="Q557" s="144"/>
    </row>
    <row r="558" spans="14:17" ht="15.75" customHeight="1" x14ac:dyDescent="0.25">
      <c r="N558" s="144"/>
      <c r="O558" s="144"/>
      <c r="P558" s="144"/>
      <c r="Q558" s="144"/>
    </row>
    <row r="559" spans="14:17" ht="15.75" customHeight="1" x14ac:dyDescent="0.25">
      <c r="N559" s="144"/>
      <c r="O559" s="144"/>
      <c r="P559" s="144"/>
      <c r="Q559" s="144"/>
    </row>
    <row r="560" spans="14:17" ht="15.75" customHeight="1" x14ac:dyDescent="0.25">
      <c r="N560" s="144"/>
      <c r="O560" s="144"/>
      <c r="P560" s="144"/>
      <c r="Q560" s="144"/>
    </row>
    <row r="561" spans="14:17" ht="15.75" customHeight="1" x14ac:dyDescent="0.25">
      <c r="N561" s="144"/>
      <c r="O561" s="144"/>
      <c r="P561" s="144"/>
      <c r="Q561" s="144"/>
    </row>
    <row r="562" spans="14:17" ht="15.75" customHeight="1" x14ac:dyDescent="0.25">
      <c r="N562" s="144"/>
      <c r="O562" s="144"/>
      <c r="P562" s="144"/>
      <c r="Q562" s="144"/>
    </row>
    <row r="563" spans="14:17" ht="15.75" customHeight="1" x14ac:dyDescent="0.25">
      <c r="N563" s="144"/>
      <c r="O563" s="144"/>
      <c r="P563" s="144"/>
      <c r="Q563" s="144"/>
    </row>
    <row r="564" spans="14:17" ht="15.75" customHeight="1" x14ac:dyDescent="0.25">
      <c r="N564" s="144"/>
      <c r="O564" s="144"/>
      <c r="P564" s="144"/>
      <c r="Q564" s="144"/>
    </row>
    <row r="565" spans="14:17" ht="15.75" customHeight="1" x14ac:dyDescent="0.25">
      <c r="N565" s="144"/>
      <c r="O565" s="144"/>
      <c r="P565" s="144"/>
      <c r="Q565" s="144"/>
    </row>
    <row r="566" spans="14:17" ht="15.75" customHeight="1" x14ac:dyDescent="0.25">
      <c r="N566" s="144"/>
      <c r="O566" s="144"/>
      <c r="P566" s="144"/>
      <c r="Q566" s="144"/>
    </row>
    <row r="567" spans="14:17" ht="15.75" customHeight="1" x14ac:dyDescent="0.25">
      <c r="N567" s="144"/>
      <c r="O567" s="144"/>
      <c r="P567" s="144"/>
      <c r="Q567" s="144"/>
    </row>
    <row r="568" spans="14:17" ht="15.75" customHeight="1" x14ac:dyDescent="0.25">
      <c r="N568" s="144"/>
      <c r="O568" s="144"/>
      <c r="P568" s="144"/>
      <c r="Q568" s="144"/>
    </row>
    <row r="569" spans="14:17" ht="15.75" customHeight="1" x14ac:dyDescent="0.25">
      <c r="N569" s="144"/>
      <c r="O569" s="144"/>
      <c r="P569" s="144"/>
      <c r="Q569" s="144"/>
    </row>
    <row r="570" spans="14:17" ht="15.75" customHeight="1" x14ac:dyDescent="0.25">
      <c r="N570" s="144"/>
      <c r="O570" s="144"/>
      <c r="P570" s="144"/>
      <c r="Q570" s="144"/>
    </row>
    <row r="571" spans="14:17" ht="15.75" customHeight="1" x14ac:dyDescent="0.25">
      <c r="N571" s="144"/>
      <c r="O571" s="144"/>
      <c r="P571" s="144"/>
      <c r="Q571" s="144"/>
    </row>
    <row r="572" spans="14:17" ht="15.75" customHeight="1" x14ac:dyDescent="0.25">
      <c r="N572" s="144"/>
      <c r="O572" s="144"/>
      <c r="P572" s="144"/>
      <c r="Q572" s="144"/>
    </row>
    <row r="573" spans="14:17" ht="15.75" customHeight="1" x14ac:dyDescent="0.25">
      <c r="N573" s="144"/>
      <c r="O573" s="144"/>
      <c r="P573" s="144"/>
      <c r="Q573" s="144"/>
    </row>
    <row r="574" spans="14:17" ht="15.75" customHeight="1" x14ac:dyDescent="0.25">
      <c r="N574" s="144"/>
      <c r="O574" s="144"/>
      <c r="P574" s="144"/>
      <c r="Q574" s="144"/>
    </row>
    <row r="575" spans="14:17" ht="15.75" customHeight="1" x14ac:dyDescent="0.25">
      <c r="N575" s="144"/>
      <c r="O575" s="144"/>
      <c r="P575" s="144"/>
      <c r="Q575" s="144"/>
    </row>
    <row r="576" spans="14:17" ht="15.75" customHeight="1" x14ac:dyDescent="0.25">
      <c r="N576" s="144"/>
      <c r="O576" s="144"/>
      <c r="P576" s="144"/>
      <c r="Q576" s="144"/>
    </row>
    <row r="577" spans="14:17" ht="15.75" customHeight="1" x14ac:dyDescent="0.25">
      <c r="N577" s="144"/>
      <c r="O577" s="144"/>
      <c r="P577" s="144"/>
      <c r="Q577" s="144"/>
    </row>
    <row r="578" spans="14:17" ht="15.75" customHeight="1" x14ac:dyDescent="0.25">
      <c r="N578" s="144"/>
      <c r="O578" s="144"/>
      <c r="P578" s="144"/>
      <c r="Q578" s="144"/>
    </row>
    <row r="579" spans="14:17" ht="15.75" customHeight="1" x14ac:dyDescent="0.25">
      <c r="N579" s="144"/>
      <c r="O579" s="144"/>
      <c r="P579" s="144"/>
      <c r="Q579" s="144"/>
    </row>
    <row r="580" spans="14:17" ht="15.75" customHeight="1" x14ac:dyDescent="0.25">
      <c r="N580" s="144"/>
      <c r="O580" s="144"/>
      <c r="P580" s="144"/>
      <c r="Q580" s="144"/>
    </row>
    <row r="581" spans="14:17" ht="15.75" customHeight="1" x14ac:dyDescent="0.25">
      <c r="N581" s="144"/>
      <c r="O581" s="144"/>
      <c r="P581" s="144"/>
      <c r="Q581" s="144"/>
    </row>
    <row r="582" spans="14:17" ht="15.75" customHeight="1" x14ac:dyDescent="0.25">
      <c r="N582" s="144"/>
      <c r="O582" s="144"/>
      <c r="P582" s="144"/>
      <c r="Q582" s="144"/>
    </row>
    <row r="583" spans="14:17" ht="15.75" customHeight="1" x14ac:dyDescent="0.25">
      <c r="N583" s="144"/>
      <c r="O583" s="144"/>
      <c r="P583" s="144"/>
      <c r="Q583" s="144"/>
    </row>
    <row r="584" spans="14:17" ht="15.75" customHeight="1" x14ac:dyDescent="0.25">
      <c r="N584" s="144"/>
      <c r="O584" s="144"/>
      <c r="P584" s="144"/>
      <c r="Q584" s="144"/>
    </row>
    <row r="585" spans="14:17" ht="15.75" customHeight="1" x14ac:dyDescent="0.25">
      <c r="N585" s="144"/>
      <c r="O585" s="144"/>
      <c r="P585" s="144"/>
      <c r="Q585" s="144"/>
    </row>
    <row r="586" spans="14:17" ht="15.75" customHeight="1" x14ac:dyDescent="0.25">
      <c r="N586" s="144"/>
      <c r="O586" s="144"/>
      <c r="P586" s="144"/>
      <c r="Q586" s="144"/>
    </row>
    <row r="587" spans="14:17" ht="15.75" customHeight="1" x14ac:dyDescent="0.25">
      <c r="N587" s="144"/>
      <c r="O587" s="144"/>
      <c r="P587" s="144"/>
      <c r="Q587" s="144"/>
    </row>
    <row r="588" spans="14:17" ht="15.75" customHeight="1" x14ac:dyDescent="0.25">
      <c r="N588" s="144"/>
      <c r="O588" s="144"/>
      <c r="P588" s="144"/>
      <c r="Q588" s="144"/>
    </row>
    <row r="589" spans="14:17" ht="15.75" customHeight="1" x14ac:dyDescent="0.25">
      <c r="N589" s="144"/>
      <c r="O589" s="144"/>
      <c r="P589" s="144"/>
      <c r="Q589" s="144"/>
    </row>
    <row r="590" spans="14:17" ht="15.75" customHeight="1" x14ac:dyDescent="0.25">
      <c r="N590" s="144"/>
      <c r="O590" s="144"/>
      <c r="P590" s="144"/>
      <c r="Q590" s="144"/>
    </row>
    <row r="591" spans="14:17" ht="15.75" customHeight="1" x14ac:dyDescent="0.25">
      <c r="N591" s="144"/>
      <c r="O591" s="144"/>
      <c r="P591" s="144"/>
      <c r="Q591" s="144"/>
    </row>
    <row r="592" spans="14:17" ht="15.75" customHeight="1" x14ac:dyDescent="0.25">
      <c r="N592" s="144"/>
      <c r="O592" s="144"/>
      <c r="P592" s="144"/>
      <c r="Q592" s="144"/>
    </row>
    <row r="593" spans="14:17" ht="15.75" customHeight="1" x14ac:dyDescent="0.25">
      <c r="N593" s="144"/>
      <c r="O593" s="144"/>
      <c r="P593" s="144"/>
      <c r="Q593" s="144"/>
    </row>
    <row r="594" spans="14:17" ht="15.75" customHeight="1" x14ac:dyDescent="0.25">
      <c r="N594" s="144"/>
      <c r="O594" s="144"/>
      <c r="P594" s="144"/>
      <c r="Q594" s="144"/>
    </row>
    <row r="595" spans="14:17" ht="15.75" customHeight="1" x14ac:dyDescent="0.25">
      <c r="N595" s="144"/>
      <c r="O595" s="144"/>
      <c r="P595" s="144"/>
      <c r="Q595" s="144"/>
    </row>
    <row r="596" spans="14:17" ht="15.75" customHeight="1" x14ac:dyDescent="0.25">
      <c r="N596" s="144"/>
      <c r="O596" s="144"/>
      <c r="P596" s="144"/>
      <c r="Q596" s="144"/>
    </row>
    <row r="597" spans="14:17" ht="15.75" customHeight="1" x14ac:dyDescent="0.25">
      <c r="N597" s="144"/>
      <c r="O597" s="144"/>
      <c r="P597" s="144"/>
      <c r="Q597" s="144"/>
    </row>
    <row r="598" spans="14:17" ht="15.75" customHeight="1" x14ac:dyDescent="0.25">
      <c r="N598" s="144"/>
      <c r="O598" s="144"/>
      <c r="P598" s="144"/>
      <c r="Q598" s="144"/>
    </row>
    <row r="599" spans="14:17" ht="15.75" customHeight="1" x14ac:dyDescent="0.25">
      <c r="N599" s="144"/>
      <c r="O599" s="144"/>
      <c r="P599" s="144"/>
      <c r="Q599" s="144"/>
    </row>
    <row r="600" spans="14:17" ht="15.75" customHeight="1" x14ac:dyDescent="0.25">
      <c r="N600" s="144"/>
      <c r="O600" s="144"/>
      <c r="P600" s="144"/>
      <c r="Q600" s="144"/>
    </row>
    <row r="601" spans="14:17" ht="15.75" customHeight="1" x14ac:dyDescent="0.25">
      <c r="N601" s="144"/>
      <c r="O601" s="144"/>
      <c r="P601" s="144"/>
      <c r="Q601" s="144"/>
    </row>
    <row r="602" spans="14:17" ht="15.75" customHeight="1" x14ac:dyDescent="0.25">
      <c r="N602" s="144"/>
      <c r="O602" s="144"/>
      <c r="P602" s="144"/>
      <c r="Q602" s="144"/>
    </row>
    <row r="603" spans="14:17" ht="15.75" customHeight="1" x14ac:dyDescent="0.25">
      <c r="N603" s="144"/>
      <c r="O603" s="144"/>
      <c r="P603" s="144"/>
      <c r="Q603" s="144"/>
    </row>
    <row r="604" spans="14:17" ht="15.75" customHeight="1" x14ac:dyDescent="0.25">
      <c r="N604" s="144"/>
      <c r="O604" s="144"/>
      <c r="P604" s="144"/>
      <c r="Q604" s="144"/>
    </row>
    <row r="605" spans="14:17" ht="15.75" customHeight="1" x14ac:dyDescent="0.25">
      <c r="N605" s="144"/>
      <c r="O605" s="144"/>
      <c r="P605" s="144"/>
      <c r="Q605" s="144"/>
    </row>
    <row r="606" spans="14:17" ht="15.75" customHeight="1" x14ac:dyDescent="0.25">
      <c r="N606" s="144"/>
      <c r="O606" s="144"/>
      <c r="P606" s="144"/>
      <c r="Q606" s="144"/>
    </row>
    <row r="607" spans="14:17" ht="15.75" customHeight="1" x14ac:dyDescent="0.25">
      <c r="N607" s="144"/>
      <c r="O607" s="144"/>
      <c r="P607" s="144"/>
      <c r="Q607" s="144"/>
    </row>
    <row r="608" spans="14:17" ht="15.75" customHeight="1" x14ac:dyDescent="0.25">
      <c r="N608" s="144"/>
      <c r="O608" s="144"/>
      <c r="P608" s="144"/>
      <c r="Q608" s="144"/>
    </row>
    <row r="609" spans="14:17" ht="15.75" customHeight="1" x14ac:dyDescent="0.25">
      <c r="N609" s="144"/>
      <c r="O609" s="144"/>
      <c r="P609" s="144"/>
      <c r="Q609" s="144"/>
    </row>
    <row r="610" spans="14:17" ht="15.75" customHeight="1" x14ac:dyDescent="0.25">
      <c r="N610" s="144"/>
      <c r="O610" s="144"/>
      <c r="P610" s="144"/>
      <c r="Q610" s="144"/>
    </row>
    <row r="611" spans="14:17" ht="15.75" customHeight="1" x14ac:dyDescent="0.25">
      <c r="N611" s="144"/>
      <c r="O611" s="144"/>
      <c r="P611" s="144"/>
      <c r="Q611" s="144"/>
    </row>
    <row r="612" spans="14:17" ht="15.75" customHeight="1" x14ac:dyDescent="0.25">
      <c r="N612" s="144"/>
      <c r="O612" s="144"/>
      <c r="P612" s="144"/>
      <c r="Q612" s="144"/>
    </row>
    <row r="613" spans="14:17" ht="15.75" customHeight="1" x14ac:dyDescent="0.25">
      <c r="N613" s="144"/>
      <c r="O613" s="144"/>
      <c r="P613" s="144"/>
      <c r="Q613" s="144"/>
    </row>
    <row r="614" spans="14:17" ht="15.75" customHeight="1" x14ac:dyDescent="0.25">
      <c r="N614" s="144"/>
      <c r="O614" s="144"/>
      <c r="P614" s="144"/>
      <c r="Q614" s="144"/>
    </row>
    <row r="615" spans="14:17" ht="15.75" customHeight="1" x14ac:dyDescent="0.25">
      <c r="N615" s="144"/>
      <c r="O615" s="144"/>
      <c r="P615" s="144"/>
      <c r="Q615" s="144"/>
    </row>
    <row r="616" spans="14:17" ht="15.75" customHeight="1" x14ac:dyDescent="0.25">
      <c r="N616" s="144"/>
      <c r="O616" s="144"/>
      <c r="P616" s="144"/>
      <c r="Q616" s="144"/>
    </row>
    <row r="617" spans="14:17" ht="15.75" customHeight="1" x14ac:dyDescent="0.25">
      <c r="N617" s="144"/>
      <c r="O617" s="144"/>
      <c r="P617" s="144"/>
      <c r="Q617" s="144"/>
    </row>
    <row r="618" spans="14:17" ht="15.75" customHeight="1" x14ac:dyDescent="0.25">
      <c r="N618" s="144"/>
      <c r="O618" s="144"/>
      <c r="P618" s="144"/>
      <c r="Q618" s="144"/>
    </row>
    <row r="619" spans="14:17" ht="15.75" customHeight="1" x14ac:dyDescent="0.25">
      <c r="N619" s="144"/>
      <c r="O619" s="144"/>
      <c r="P619" s="144"/>
      <c r="Q619" s="144"/>
    </row>
    <row r="620" spans="14:17" ht="15.75" customHeight="1" x14ac:dyDescent="0.25">
      <c r="N620" s="144"/>
      <c r="O620" s="144"/>
      <c r="P620" s="144"/>
      <c r="Q620" s="144"/>
    </row>
    <row r="621" spans="14:17" ht="15.75" customHeight="1" x14ac:dyDescent="0.25">
      <c r="N621" s="144"/>
      <c r="O621" s="144"/>
      <c r="P621" s="144"/>
      <c r="Q621" s="144"/>
    </row>
    <row r="622" spans="14:17" ht="15.75" customHeight="1" x14ac:dyDescent="0.25">
      <c r="N622" s="144"/>
      <c r="O622" s="144"/>
      <c r="P622" s="144"/>
      <c r="Q622" s="144"/>
    </row>
    <row r="623" spans="14:17" ht="15.75" customHeight="1" x14ac:dyDescent="0.25">
      <c r="N623" s="144"/>
      <c r="O623" s="144"/>
      <c r="P623" s="144"/>
      <c r="Q623" s="144"/>
    </row>
    <row r="624" spans="14:17" ht="15.75" customHeight="1" x14ac:dyDescent="0.25">
      <c r="N624" s="144"/>
      <c r="O624" s="144"/>
      <c r="P624" s="144"/>
      <c r="Q624" s="144"/>
    </row>
    <row r="625" spans="14:17" ht="15.75" customHeight="1" x14ac:dyDescent="0.25">
      <c r="N625" s="144"/>
      <c r="O625" s="144"/>
      <c r="P625" s="144"/>
      <c r="Q625" s="144"/>
    </row>
    <row r="626" spans="14:17" ht="15.75" customHeight="1" x14ac:dyDescent="0.25">
      <c r="N626" s="144"/>
      <c r="O626" s="144"/>
      <c r="P626" s="144"/>
      <c r="Q626" s="144"/>
    </row>
    <row r="627" spans="14:17" ht="15.75" customHeight="1" x14ac:dyDescent="0.25">
      <c r="N627" s="144"/>
      <c r="O627" s="144"/>
      <c r="P627" s="144"/>
      <c r="Q627" s="144"/>
    </row>
    <row r="628" spans="14:17" ht="15.75" customHeight="1" x14ac:dyDescent="0.25">
      <c r="N628" s="144"/>
      <c r="O628" s="144"/>
      <c r="P628" s="144"/>
      <c r="Q628" s="144"/>
    </row>
    <row r="629" spans="14:17" ht="15.75" customHeight="1" x14ac:dyDescent="0.25">
      <c r="N629" s="144"/>
      <c r="O629" s="144"/>
      <c r="P629" s="144"/>
      <c r="Q629" s="144"/>
    </row>
    <row r="630" spans="14:17" ht="15.75" customHeight="1" x14ac:dyDescent="0.25">
      <c r="N630" s="144"/>
      <c r="O630" s="144"/>
      <c r="P630" s="144"/>
      <c r="Q630" s="144"/>
    </row>
    <row r="631" spans="14:17" ht="15.75" customHeight="1" x14ac:dyDescent="0.25">
      <c r="N631" s="144"/>
      <c r="O631" s="144"/>
      <c r="P631" s="144"/>
      <c r="Q631" s="144"/>
    </row>
    <row r="632" spans="14:17" ht="15.75" customHeight="1" x14ac:dyDescent="0.25">
      <c r="N632" s="144"/>
      <c r="O632" s="144"/>
      <c r="P632" s="144"/>
      <c r="Q632" s="144"/>
    </row>
    <row r="633" spans="14:17" ht="15.75" customHeight="1" x14ac:dyDescent="0.25">
      <c r="N633" s="144"/>
      <c r="O633" s="144"/>
      <c r="P633" s="144"/>
      <c r="Q633" s="144"/>
    </row>
    <row r="634" spans="14:17" ht="15.75" customHeight="1" x14ac:dyDescent="0.25">
      <c r="N634" s="144"/>
      <c r="O634" s="144"/>
      <c r="P634" s="144"/>
      <c r="Q634" s="144"/>
    </row>
    <row r="635" spans="14:17" ht="15.75" customHeight="1" x14ac:dyDescent="0.25">
      <c r="N635" s="144"/>
      <c r="O635" s="144"/>
      <c r="P635" s="144"/>
      <c r="Q635" s="144"/>
    </row>
    <row r="636" spans="14:17" ht="15.75" customHeight="1" x14ac:dyDescent="0.25">
      <c r="N636" s="144"/>
      <c r="O636" s="144"/>
      <c r="P636" s="144"/>
      <c r="Q636" s="144"/>
    </row>
    <row r="637" spans="14:17" ht="15.75" customHeight="1" x14ac:dyDescent="0.25">
      <c r="N637" s="144"/>
      <c r="O637" s="144"/>
      <c r="P637" s="144"/>
      <c r="Q637" s="144"/>
    </row>
    <row r="638" spans="14:17" ht="15.75" customHeight="1" x14ac:dyDescent="0.25">
      <c r="N638" s="144"/>
      <c r="O638" s="144"/>
      <c r="P638" s="144"/>
      <c r="Q638" s="144"/>
    </row>
    <row r="639" spans="14:17" ht="15.75" customHeight="1" x14ac:dyDescent="0.25">
      <c r="N639" s="144"/>
      <c r="O639" s="144"/>
      <c r="P639" s="144"/>
      <c r="Q639" s="144"/>
    </row>
    <row r="640" spans="14:17" ht="15.75" customHeight="1" x14ac:dyDescent="0.25">
      <c r="N640" s="144"/>
      <c r="O640" s="144"/>
      <c r="P640" s="144"/>
      <c r="Q640" s="144"/>
    </row>
    <row r="641" spans="14:17" ht="15.75" customHeight="1" x14ac:dyDescent="0.25">
      <c r="N641" s="144"/>
      <c r="O641" s="144"/>
      <c r="P641" s="144"/>
      <c r="Q641" s="144"/>
    </row>
    <row r="642" spans="14:17" ht="15.75" customHeight="1" x14ac:dyDescent="0.25">
      <c r="N642" s="144"/>
      <c r="O642" s="144"/>
      <c r="P642" s="144"/>
      <c r="Q642" s="144"/>
    </row>
    <row r="643" spans="14:17" ht="15.75" customHeight="1" x14ac:dyDescent="0.25">
      <c r="N643" s="144"/>
      <c r="O643" s="144"/>
      <c r="P643" s="144"/>
      <c r="Q643" s="144"/>
    </row>
    <row r="644" spans="14:17" ht="15.75" customHeight="1" x14ac:dyDescent="0.25">
      <c r="N644" s="144"/>
      <c r="O644" s="144"/>
      <c r="P644" s="144"/>
      <c r="Q644" s="144"/>
    </row>
    <row r="645" spans="14:17" ht="15.75" customHeight="1" x14ac:dyDescent="0.25">
      <c r="N645" s="144"/>
      <c r="O645" s="144"/>
      <c r="P645" s="144"/>
      <c r="Q645" s="144"/>
    </row>
    <row r="646" spans="14:17" ht="15.75" customHeight="1" x14ac:dyDescent="0.25">
      <c r="N646" s="144"/>
      <c r="O646" s="144"/>
      <c r="P646" s="144"/>
      <c r="Q646" s="144"/>
    </row>
    <row r="647" spans="14:17" ht="15.75" customHeight="1" x14ac:dyDescent="0.25">
      <c r="N647" s="144"/>
      <c r="O647" s="144"/>
      <c r="P647" s="144"/>
      <c r="Q647" s="144"/>
    </row>
    <row r="648" spans="14:17" ht="15.75" customHeight="1" x14ac:dyDescent="0.25">
      <c r="N648" s="144"/>
      <c r="O648" s="144"/>
      <c r="P648" s="144"/>
      <c r="Q648" s="144"/>
    </row>
    <row r="649" spans="14:17" ht="15.75" customHeight="1" x14ac:dyDescent="0.25">
      <c r="N649" s="144"/>
      <c r="O649" s="144"/>
      <c r="P649" s="144"/>
      <c r="Q649" s="144"/>
    </row>
    <row r="650" spans="14:17" ht="15.75" customHeight="1" x14ac:dyDescent="0.25">
      <c r="N650" s="144"/>
      <c r="O650" s="144"/>
      <c r="P650" s="144"/>
      <c r="Q650" s="144"/>
    </row>
    <row r="651" spans="14:17" ht="15.75" customHeight="1" x14ac:dyDescent="0.25">
      <c r="N651" s="144"/>
      <c r="O651" s="144"/>
      <c r="P651" s="144"/>
      <c r="Q651" s="144"/>
    </row>
    <row r="652" spans="14:17" ht="15.75" customHeight="1" x14ac:dyDescent="0.25">
      <c r="N652" s="144"/>
      <c r="O652" s="144"/>
      <c r="P652" s="144"/>
      <c r="Q652" s="144"/>
    </row>
    <row r="653" spans="14:17" ht="15.75" customHeight="1" x14ac:dyDescent="0.25">
      <c r="N653" s="144"/>
      <c r="O653" s="144"/>
      <c r="P653" s="144"/>
      <c r="Q653" s="144"/>
    </row>
    <row r="654" spans="14:17" ht="15.75" customHeight="1" x14ac:dyDescent="0.25">
      <c r="N654" s="144"/>
      <c r="O654" s="144"/>
      <c r="P654" s="144"/>
      <c r="Q654" s="144"/>
    </row>
    <row r="655" spans="14:17" ht="15.75" customHeight="1" x14ac:dyDescent="0.25">
      <c r="N655" s="144"/>
      <c r="O655" s="144"/>
      <c r="P655" s="144"/>
      <c r="Q655" s="144"/>
    </row>
    <row r="656" spans="14:17" ht="15.75" customHeight="1" x14ac:dyDescent="0.25">
      <c r="N656" s="144"/>
      <c r="O656" s="144"/>
      <c r="P656" s="144"/>
      <c r="Q656" s="144"/>
    </row>
    <row r="657" spans="14:17" ht="15.75" customHeight="1" x14ac:dyDescent="0.25">
      <c r="N657" s="144"/>
      <c r="O657" s="144"/>
      <c r="P657" s="144"/>
      <c r="Q657" s="144"/>
    </row>
    <row r="658" spans="14:17" ht="15.75" customHeight="1" x14ac:dyDescent="0.25">
      <c r="N658" s="144"/>
      <c r="O658" s="144"/>
      <c r="P658" s="144"/>
      <c r="Q658" s="144"/>
    </row>
    <row r="659" spans="14:17" ht="15.75" customHeight="1" x14ac:dyDescent="0.25">
      <c r="N659" s="144"/>
      <c r="O659" s="144"/>
      <c r="P659" s="144"/>
      <c r="Q659" s="144"/>
    </row>
    <row r="660" spans="14:17" ht="15.75" customHeight="1" x14ac:dyDescent="0.25">
      <c r="N660" s="144"/>
      <c r="O660" s="144"/>
      <c r="P660" s="144"/>
      <c r="Q660" s="144"/>
    </row>
    <row r="661" spans="14:17" ht="15.75" customHeight="1" x14ac:dyDescent="0.25">
      <c r="N661" s="144"/>
      <c r="O661" s="144"/>
      <c r="P661" s="144"/>
      <c r="Q661" s="144"/>
    </row>
    <row r="662" spans="14:17" ht="15.75" customHeight="1" x14ac:dyDescent="0.25">
      <c r="N662" s="144"/>
      <c r="O662" s="144"/>
      <c r="P662" s="144"/>
      <c r="Q662" s="144"/>
    </row>
    <row r="663" spans="14:17" ht="15.75" customHeight="1" x14ac:dyDescent="0.25">
      <c r="N663" s="144"/>
      <c r="O663" s="144"/>
      <c r="P663" s="144"/>
      <c r="Q663" s="144"/>
    </row>
    <row r="664" spans="14:17" ht="15.75" customHeight="1" x14ac:dyDescent="0.25">
      <c r="N664" s="144"/>
      <c r="O664" s="144"/>
      <c r="P664" s="144"/>
      <c r="Q664" s="144"/>
    </row>
    <row r="665" spans="14:17" ht="15.75" customHeight="1" x14ac:dyDescent="0.25">
      <c r="N665" s="144"/>
      <c r="O665" s="144"/>
      <c r="P665" s="144"/>
      <c r="Q665" s="144"/>
    </row>
    <row r="666" spans="14:17" ht="15.75" customHeight="1" x14ac:dyDescent="0.25">
      <c r="N666" s="144"/>
      <c r="O666" s="144"/>
      <c r="P666" s="144"/>
      <c r="Q666" s="144"/>
    </row>
    <row r="667" spans="14:17" ht="15.75" customHeight="1" x14ac:dyDescent="0.25">
      <c r="N667" s="144"/>
      <c r="O667" s="144"/>
      <c r="P667" s="144"/>
      <c r="Q667" s="144"/>
    </row>
    <row r="668" spans="14:17" ht="15.75" customHeight="1" x14ac:dyDescent="0.25">
      <c r="N668" s="144"/>
      <c r="O668" s="144"/>
      <c r="P668" s="144"/>
      <c r="Q668" s="144"/>
    </row>
    <row r="669" spans="14:17" ht="15.75" customHeight="1" x14ac:dyDescent="0.25">
      <c r="N669" s="144"/>
      <c r="O669" s="144"/>
      <c r="P669" s="144"/>
      <c r="Q669" s="144"/>
    </row>
    <row r="670" spans="14:17" ht="15.75" customHeight="1" x14ac:dyDescent="0.25">
      <c r="N670" s="144"/>
      <c r="O670" s="144"/>
      <c r="P670" s="144"/>
      <c r="Q670" s="144"/>
    </row>
    <row r="671" spans="14:17" ht="15.75" customHeight="1" x14ac:dyDescent="0.25">
      <c r="N671" s="144"/>
      <c r="O671" s="144"/>
      <c r="P671" s="144"/>
      <c r="Q671" s="144"/>
    </row>
    <row r="672" spans="14:17" ht="15.75" customHeight="1" x14ac:dyDescent="0.25">
      <c r="N672" s="144"/>
      <c r="O672" s="144"/>
      <c r="P672" s="144"/>
      <c r="Q672" s="144"/>
    </row>
    <row r="673" spans="14:17" ht="15.75" customHeight="1" x14ac:dyDescent="0.25">
      <c r="N673" s="144"/>
      <c r="O673" s="144"/>
      <c r="P673" s="144"/>
      <c r="Q673" s="144"/>
    </row>
    <row r="674" spans="14:17" ht="15.75" customHeight="1" x14ac:dyDescent="0.25">
      <c r="N674" s="144"/>
      <c r="O674" s="144"/>
      <c r="P674" s="144"/>
      <c r="Q674" s="144"/>
    </row>
    <row r="675" spans="14:17" ht="15.75" customHeight="1" x14ac:dyDescent="0.25">
      <c r="N675" s="144"/>
      <c r="O675" s="144"/>
      <c r="P675" s="144"/>
      <c r="Q675" s="144"/>
    </row>
    <row r="676" spans="14:17" ht="15.75" customHeight="1" x14ac:dyDescent="0.25">
      <c r="N676" s="144"/>
      <c r="O676" s="144"/>
      <c r="P676" s="144"/>
      <c r="Q676" s="144"/>
    </row>
    <row r="677" spans="14:17" ht="15.75" customHeight="1" x14ac:dyDescent="0.25">
      <c r="N677" s="144"/>
      <c r="O677" s="144"/>
      <c r="P677" s="144"/>
      <c r="Q677" s="144"/>
    </row>
    <row r="678" spans="14:17" ht="15.75" customHeight="1" x14ac:dyDescent="0.25">
      <c r="N678" s="144"/>
      <c r="O678" s="144"/>
      <c r="P678" s="144"/>
      <c r="Q678" s="144"/>
    </row>
    <row r="679" spans="14:17" ht="15.75" customHeight="1" x14ac:dyDescent="0.25">
      <c r="N679" s="144"/>
      <c r="O679" s="144"/>
      <c r="P679" s="144"/>
      <c r="Q679" s="144"/>
    </row>
    <row r="680" spans="14:17" ht="15.75" customHeight="1" x14ac:dyDescent="0.25">
      <c r="N680" s="144"/>
      <c r="O680" s="144"/>
      <c r="P680" s="144"/>
      <c r="Q680" s="144"/>
    </row>
    <row r="681" spans="14:17" ht="15.75" customHeight="1" x14ac:dyDescent="0.25">
      <c r="N681" s="144"/>
      <c r="O681" s="144"/>
      <c r="P681" s="144"/>
      <c r="Q681" s="144"/>
    </row>
    <row r="682" spans="14:17" ht="15.75" customHeight="1" x14ac:dyDescent="0.25">
      <c r="N682" s="144"/>
      <c r="O682" s="144"/>
      <c r="P682" s="144"/>
      <c r="Q682" s="144"/>
    </row>
    <row r="683" spans="14:17" ht="15.75" customHeight="1" x14ac:dyDescent="0.25">
      <c r="N683" s="144"/>
      <c r="O683" s="144"/>
      <c r="P683" s="144"/>
      <c r="Q683" s="144"/>
    </row>
    <row r="684" spans="14:17" ht="15.75" customHeight="1" x14ac:dyDescent="0.25">
      <c r="N684" s="144"/>
      <c r="O684" s="144"/>
      <c r="P684" s="144"/>
      <c r="Q684" s="144"/>
    </row>
    <row r="685" spans="14:17" ht="15.75" customHeight="1" x14ac:dyDescent="0.25">
      <c r="N685" s="144"/>
      <c r="O685" s="144"/>
      <c r="P685" s="144"/>
      <c r="Q685" s="144"/>
    </row>
    <row r="686" spans="14:17" ht="15.75" customHeight="1" x14ac:dyDescent="0.25">
      <c r="N686" s="144"/>
      <c r="O686" s="144"/>
      <c r="P686" s="144"/>
      <c r="Q686" s="144"/>
    </row>
    <row r="687" spans="14:17" ht="15.75" customHeight="1" x14ac:dyDescent="0.25">
      <c r="N687" s="144"/>
      <c r="O687" s="144"/>
      <c r="P687" s="144"/>
      <c r="Q687" s="144"/>
    </row>
    <row r="688" spans="14:17" ht="15.75" customHeight="1" x14ac:dyDescent="0.25">
      <c r="N688" s="144"/>
      <c r="O688" s="144"/>
      <c r="P688" s="144"/>
      <c r="Q688" s="144"/>
    </row>
    <row r="689" spans="14:17" ht="15.75" customHeight="1" x14ac:dyDescent="0.25">
      <c r="N689" s="144"/>
      <c r="O689" s="144"/>
      <c r="P689" s="144"/>
      <c r="Q689" s="144"/>
    </row>
    <row r="690" spans="14:17" ht="15.75" customHeight="1" x14ac:dyDescent="0.25">
      <c r="N690" s="144"/>
      <c r="O690" s="144"/>
      <c r="P690" s="144"/>
      <c r="Q690" s="144"/>
    </row>
    <row r="691" spans="14:17" ht="15.75" customHeight="1" x14ac:dyDescent="0.25">
      <c r="N691" s="144"/>
      <c r="O691" s="144"/>
      <c r="P691" s="144"/>
      <c r="Q691" s="144"/>
    </row>
    <row r="692" spans="14:17" ht="15.75" customHeight="1" x14ac:dyDescent="0.25">
      <c r="N692" s="144"/>
      <c r="O692" s="144"/>
      <c r="P692" s="144"/>
      <c r="Q692" s="144"/>
    </row>
    <row r="693" spans="14:17" ht="15.75" customHeight="1" x14ac:dyDescent="0.25">
      <c r="N693" s="144"/>
      <c r="O693" s="144"/>
      <c r="P693" s="144"/>
      <c r="Q693" s="144"/>
    </row>
    <row r="694" spans="14:17" ht="15.75" customHeight="1" x14ac:dyDescent="0.25">
      <c r="N694" s="144"/>
      <c r="O694" s="144"/>
      <c r="P694" s="144"/>
      <c r="Q694" s="144"/>
    </row>
    <row r="695" spans="14:17" ht="15.75" customHeight="1" x14ac:dyDescent="0.25">
      <c r="N695" s="144"/>
      <c r="O695" s="144"/>
      <c r="P695" s="144"/>
      <c r="Q695" s="144"/>
    </row>
    <row r="696" spans="14:17" ht="15.75" customHeight="1" x14ac:dyDescent="0.25">
      <c r="N696" s="144"/>
      <c r="O696" s="144"/>
      <c r="P696" s="144"/>
      <c r="Q696" s="144"/>
    </row>
    <row r="697" spans="14:17" ht="15.75" customHeight="1" x14ac:dyDescent="0.25">
      <c r="N697" s="144"/>
      <c r="O697" s="144"/>
      <c r="P697" s="144"/>
      <c r="Q697" s="144"/>
    </row>
    <row r="698" spans="14:17" ht="15.75" customHeight="1" x14ac:dyDescent="0.25">
      <c r="N698" s="144"/>
      <c r="O698" s="144"/>
      <c r="P698" s="144"/>
      <c r="Q698" s="144"/>
    </row>
    <row r="699" spans="14:17" ht="15.75" customHeight="1" x14ac:dyDescent="0.25">
      <c r="N699" s="144"/>
      <c r="O699" s="144"/>
      <c r="P699" s="144"/>
      <c r="Q699" s="144"/>
    </row>
    <row r="700" spans="14:17" ht="15.75" customHeight="1" x14ac:dyDescent="0.25">
      <c r="N700" s="144"/>
      <c r="O700" s="144"/>
      <c r="P700" s="144"/>
      <c r="Q700" s="144"/>
    </row>
    <row r="701" spans="14:17" ht="15.75" customHeight="1" x14ac:dyDescent="0.25">
      <c r="N701" s="144"/>
      <c r="O701" s="144"/>
      <c r="P701" s="144"/>
      <c r="Q701" s="144"/>
    </row>
    <row r="702" spans="14:17" ht="15.75" customHeight="1" x14ac:dyDescent="0.25">
      <c r="N702" s="144"/>
      <c r="O702" s="144"/>
      <c r="P702" s="144"/>
      <c r="Q702" s="144"/>
    </row>
    <row r="703" spans="14:17" ht="15.75" customHeight="1" x14ac:dyDescent="0.25">
      <c r="N703" s="144"/>
      <c r="O703" s="144"/>
      <c r="P703" s="144"/>
      <c r="Q703" s="144"/>
    </row>
    <row r="704" spans="14:17" ht="15.75" customHeight="1" x14ac:dyDescent="0.25">
      <c r="N704" s="144"/>
      <c r="O704" s="144"/>
      <c r="P704" s="144"/>
      <c r="Q704" s="144"/>
    </row>
    <row r="705" spans="14:17" ht="15.75" customHeight="1" x14ac:dyDescent="0.25">
      <c r="N705" s="144"/>
      <c r="O705" s="144"/>
      <c r="P705" s="144"/>
      <c r="Q705" s="144"/>
    </row>
    <row r="706" spans="14:17" ht="15.75" customHeight="1" x14ac:dyDescent="0.25">
      <c r="N706" s="144"/>
      <c r="O706" s="144"/>
      <c r="P706" s="144"/>
      <c r="Q706" s="144"/>
    </row>
    <row r="707" spans="14:17" ht="15.75" customHeight="1" x14ac:dyDescent="0.25">
      <c r="N707" s="144"/>
      <c r="O707" s="144"/>
      <c r="P707" s="144"/>
      <c r="Q707" s="144"/>
    </row>
    <row r="708" spans="14:17" ht="15.75" customHeight="1" x14ac:dyDescent="0.25">
      <c r="N708" s="144"/>
      <c r="O708" s="144"/>
      <c r="P708" s="144"/>
      <c r="Q708" s="144"/>
    </row>
    <row r="709" spans="14:17" ht="15.75" customHeight="1" x14ac:dyDescent="0.25">
      <c r="N709" s="144"/>
      <c r="O709" s="144"/>
      <c r="P709" s="144"/>
      <c r="Q709" s="144"/>
    </row>
    <row r="710" spans="14:17" ht="15.75" customHeight="1" x14ac:dyDescent="0.25">
      <c r="N710" s="144"/>
      <c r="O710" s="144"/>
      <c r="P710" s="144"/>
      <c r="Q710" s="144"/>
    </row>
    <row r="711" spans="14:17" ht="15.75" customHeight="1" x14ac:dyDescent="0.25">
      <c r="N711" s="144"/>
      <c r="O711" s="144"/>
      <c r="P711" s="144"/>
      <c r="Q711" s="144"/>
    </row>
    <row r="712" spans="14:17" ht="15.75" customHeight="1" x14ac:dyDescent="0.25">
      <c r="N712" s="144"/>
      <c r="O712" s="144"/>
      <c r="P712" s="144"/>
      <c r="Q712" s="144"/>
    </row>
    <row r="713" spans="14:17" ht="15.75" customHeight="1" x14ac:dyDescent="0.25">
      <c r="N713" s="144"/>
      <c r="O713" s="144"/>
      <c r="P713" s="144"/>
      <c r="Q713" s="144"/>
    </row>
    <row r="714" spans="14:17" ht="15.75" customHeight="1" x14ac:dyDescent="0.25">
      <c r="N714" s="144"/>
      <c r="O714" s="144"/>
      <c r="P714" s="144"/>
      <c r="Q714" s="144"/>
    </row>
    <row r="715" spans="14:17" ht="15.75" customHeight="1" x14ac:dyDescent="0.25">
      <c r="N715" s="144"/>
      <c r="O715" s="144"/>
      <c r="P715" s="144"/>
      <c r="Q715" s="144"/>
    </row>
    <row r="716" spans="14:17" ht="15.75" customHeight="1" x14ac:dyDescent="0.25">
      <c r="N716" s="144"/>
      <c r="O716" s="144"/>
      <c r="P716" s="144"/>
      <c r="Q716" s="144"/>
    </row>
    <row r="717" spans="14:17" ht="15.75" customHeight="1" x14ac:dyDescent="0.25">
      <c r="N717" s="144"/>
      <c r="O717" s="144"/>
      <c r="P717" s="144"/>
      <c r="Q717" s="144"/>
    </row>
    <row r="718" spans="14:17" ht="15.75" customHeight="1" x14ac:dyDescent="0.25">
      <c r="N718" s="144"/>
      <c r="O718" s="144"/>
      <c r="P718" s="144"/>
      <c r="Q718" s="144"/>
    </row>
    <row r="719" spans="14:17" ht="15.75" customHeight="1" x14ac:dyDescent="0.25">
      <c r="N719" s="144"/>
      <c r="O719" s="144"/>
      <c r="P719" s="144"/>
      <c r="Q719" s="144"/>
    </row>
    <row r="720" spans="14:17" ht="15.75" customHeight="1" x14ac:dyDescent="0.25">
      <c r="N720" s="144"/>
      <c r="O720" s="144"/>
      <c r="P720" s="144"/>
      <c r="Q720" s="144"/>
    </row>
    <row r="721" spans="14:17" ht="15.75" customHeight="1" x14ac:dyDescent="0.25">
      <c r="N721" s="144"/>
      <c r="O721" s="144"/>
      <c r="P721" s="144"/>
      <c r="Q721" s="144"/>
    </row>
    <row r="722" spans="14:17" ht="15.75" customHeight="1" x14ac:dyDescent="0.25">
      <c r="N722" s="144"/>
      <c r="O722" s="144"/>
      <c r="P722" s="144"/>
      <c r="Q722" s="144"/>
    </row>
    <row r="723" spans="14:17" ht="15.75" customHeight="1" x14ac:dyDescent="0.25">
      <c r="N723" s="144"/>
      <c r="O723" s="144"/>
      <c r="P723" s="144"/>
      <c r="Q723" s="144"/>
    </row>
    <row r="724" spans="14:17" ht="15.75" customHeight="1" x14ac:dyDescent="0.25">
      <c r="N724" s="144"/>
      <c r="O724" s="144"/>
      <c r="P724" s="144"/>
      <c r="Q724" s="144"/>
    </row>
    <row r="725" spans="14:17" ht="15.75" customHeight="1" x14ac:dyDescent="0.25">
      <c r="N725" s="144"/>
      <c r="O725" s="144"/>
      <c r="P725" s="144"/>
      <c r="Q725" s="144"/>
    </row>
    <row r="726" spans="14:17" ht="15.75" customHeight="1" x14ac:dyDescent="0.25">
      <c r="N726" s="144"/>
      <c r="O726" s="144"/>
      <c r="P726" s="144"/>
      <c r="Q726" s="144"/>
    </row>
    <row r="727" spans="14:17" ht="15.75" customHeight="1" x14ac:dyDescent="0.25">
      <c r="N727" s="144"/>
      <c r="O727" s="144"/>
      <c r="P727" s="144"/>
      <c r="Q727" s="144"/>
    </row>
    <row r="728" spans="14:17" ht="15.75" customHeight="1" x14ac:dyDescent="0.25">
      <c r="N728" s="144"/>
      <c r="O728" s="144"/>
      <c r="P728" s="144"/>
      <c r="Q728" s="144"/>
    </row>
    <row r="729" spans="14:17" ht="15.75" customHeight="1" x14ac:dyDescent="0.25">
      <c r="N729" s="144"/>
      <c r="O729" s="144"/>
      <c r="P729" s="144"/>
      <c r="Q729" s="144"/>
    </row>
    <row r="730" spans="14:17" ht="15.75" customHeight="1" x14ac:dyDescent="0.25">
      <c r="N730" s="144"/>
      <c r="O730" s="144"/>
      <c r="P730" s="144"/>
      <c r="Q730" s="144"/>
    </row>
    <row r="731" spans="14:17" ht="15.75" customHeight="1" x14ac:dyDescent="0.25">
      <c r="N731" s="144"/>
      <c r="O731" s="144"/>
      <c r="P731" s="144"/>
      <c r="Q731" s="144"/>
    </row>
    <row r="732" spans="14:17" ht="15.75" customHeight="1" x14ac:dyDescent="0.25">
      <c r="N732" s="144"/>
      <c r="O732" s="144"/>
      <c r="P732" s="144"/>
      <c r="Q732" s="144"/>
    </row>
    <row r="733" spans="14:17" ht="15.75" customHeight="1" x14ac:dyDescent="0.25">
      <c r="N733" s="144"/>
      <c r="O733" s="144"/>
      <c r="P733" s="144"/>
      <c r="Q733" s="144"/>
    </row>
    <row r="734" spans="14:17" ht="15.75" customHeight="1" x14ac:dyDescent="0.25">
      <c r="N734" s="144"/>
      <c r="O734" s="144"/>
      <c r="P734" s="144"/>
      <c r="Q734" s="144"/>
    </row>
    <row r="735" spans="14:17" ht="15.75" customHeight="1" x14ac:dyDescent="0.25">
      <c r="N735" s="144"/>
      <c r="O735" s="144"/>
      <c r="P735" s="144"/>
      <c r="Q735" s="144"/>
    </row>
    <row r="736" spans="14:17" ht="15.75" customHeight="1" x14ac:dyDescent="0.25">
      <c r="N736" s="144"/>
      <c r="O736" s="144"/>
      <c r="P736" s="144"/>
      <c r="Q736" s="144"/>
    </row>
    <row r="737" spans="14:17" ht="15.75" customHeight="1" x14ac:dyDescent="0.25">
      <c r="N737" s="144"/>
      <c r="O737" s="144"/>
      <c r="P737" s="144"/>
      <c r="Q737" s="144"/>
    </row>
    <row r="738" spans="14:17" ht="15.75" customHeight="1" x14ac:dyDescent="0.25">
      <c r="N738" s="144"/>
      <c r="O738" s="144"/>
      <c r="P738" s="144"/>
      <c r="Q738" s="144"/>
    </row>
    <row r="739" spans="14:17" ht="15.75" customHeight="1" x14ac:dyDescent="0.25">
      <c r="N739" s="144"/>
      <c r="O739" s="144"/>
      <c r="P739" s="144"/>
      <c r="Q739" s="144"/>
    </row>
    <row r="740" spans="14:17" ht="15.75" customHeight="1" x14ac:dyDescent="0.25">
      <c r="N740" s="144"/>
      <c r="O740" s="144"/>
      <c r="P740" s="144"/>
      <c r="Q740" s="144"/>
    </row>
    <row r="741" spans="14:17" ht="15.75" customHeight="1" x14ac:dyDescent="0.25">
      <c r="N741" s="144"/>
      <c r="O741" s="144"/>
      <c r="P741" s="144"/>
      <c r="Q741" s="144"/>
    </row>
    <row r="742" spans="14:17" ht="15.75" customHeight="1" x14ac:dyDescent="0.25">
      <c r="N742" s="144"/>
      <c r="O742" s="144"/>
      <c r="P742" s="144"/>
      <c r="Q742" s="144"/>
    </row>
    <row r="743" spans="14:17" ht="15.75" customHeight="1" x14ac:dyDescent="0.25">
      <c r="N743" s="144"/>
      <c r="O743" s="144"/>
      <c r="P743" s="144"/>
      <c r="Q743" s="144"/>
    </row>
    <row r="744" spans="14:17" ht="15.75" customHeight="1" x14ac:dyDescent="0.25">
      <c r="N744" s="144"/>
      <c r="O744" s="144"/>
      <c r="P744" s="144"/>
      <c r="Q744" s="144"/>
    </row>
    <row r="745" spans="14:17" ht="15.75" customHeight="1" x14ac:dyDescent="0.25">
      <c r="N745" s="144"/>
      <c r="O745" s="144"/>
      <c r="P745" s="144"/>
      <c r="Q745" s="144"/>
    </row>
    <row r="746" spans="14:17" ht="15.75" customHeight="1" x14ac:dyDescent="0.25">
      <c r="N746" s="144"/>
      <c r="O746" s="144"/>
      <c r="P746" s="144"/>
      <c r="Q746" s="144"/>
    </row>
    <row r="747" spans="14:17" ht="15.75" customHeight="1" x14ac:dyDescent="0.25">
      <c r="N747" s="144"/>
      <c r="O747" s="144"/>
      <c r="P747" s="144"/>
      <c r="Q747" s="144"/>
    </row>
    <row r="748" spans="14:17" ht="15.75" customHeight="1" x14ac:dyDescent="0.25">
      <c r="N748" s="144"/>
      <c r="O748" s="144"/>
      <c r="P748" s="144"/>
      <c r="Q748" s="144"/>
    </row>
    <row r="749" spans="14:17" ht="15.75" customHeight="1" x14ac:dyDescent="0.25">
      <c r="N749" s="144"/>
      <c r="O749" s="144"/>
      <c r="P749" s="144"/>
      <c r="Q749" s="144"/>
    </row>
    <row r="750" spans="14:17" ht="15.75" customHeight="1" x14ac:dyDescent="0.25">
      <c r="N750" s="144"/>
      <c r="O750" s="144"/>
      <c r="P750" s="144"/>
      <c r="Q750" s="144"/>
    </row>
    <row r="751" spans="14:17" ht="15.75" customHeight="1" x14ac:dyDescent="0.25">
      <c r="N751" s="144"/>
      <c r="O751" s="144"/>
      <c r="P751" s="144"/>
      <c r="Q751" s="144"/>
    </row>
    <row r="752" spans="14:17" ht="15.75" customHeight="1" x14ac:dyDescent="0.25">
      <c r="N752" s="144"/>
      <c r="O752" s="144"/>
      <c r="P752" s="144"/>
      <c r="Q752" s="144"/>
    </row>
    <row r="753" spans="14:17" ht="15.75" customHeight="1" x14ac:dyDescent="0.25">
      <c r="N753" s="144"/>
      <c r="O753" s="144"/>
      <c r="P753" s="144"/>
      <c r="Q753" s="144"/>
    </row>
    <row r="754" spans="14:17" ht="15.75" customHeight="1" x14ac:dyDescent="0.25">
      <c r="N754" s="144"/>
      <c r="O754" s="144"/>
      <c r="P754" s="144"/>
      <c r="Q754" s="144"/>
    </row>
    <row r="755" spans="14:17" ht="15.75" customHeight="1" x14ac:dyDescent="0.25">
      <c r="N755" s="144"/>
      <c r="O755" s="144"/>
      <c r="P755" s="144"/>
      <c r="Q755" s="144"/>
    </row>
    <row r="756" spans="14:17" ht="15.75" customHeight="1" x14ac:dyDescent="0.25">
      <c r="N756" s="144"/>
      <c r="O756" s="144"/>
      <c r="P756" s="144"/>
      <c r="Q756" s="144"/>
    </row>
    <row r="757" spans="14:17" ht="15.75" customHeight="1" x14ac:dyDescent="0.25">
      <c r="N757" s="144"/>
      <c r="O757" s="144"/>
      <c r="P757" s="144"/>
      <c r="Q757" s="144"/>
    </row>
    <row r="758" spans="14:17" ht="15.75" customHeight="1" x14ac:dyDescent="0.25">
      <c r="N758" s="144"/>
      <c r="O758" s="144"/>
      <c r="P758" s="144"/>
      <c r="Q758" s="144"/>
    </row>
    <row r="759" spans="14:17" ht="15.75" customHeight="1" x14ac:dyDescent="0.25">
      <c r="N759" s="144"/>
      <c r="O759" s="144"/>
      <c r="P759" s="144"/>
      <c r="Q759" s="144"/>
    </row>
    <row r="760" spans="14:17" ht="15.75" customHeight="1" x14ac:dyDescent="0.25">
      <c r="N760" s="144"/>
      <c r="O760" s="144"/>
      <c r="P760" s="144"/>
      <c r="Q760" s="144"/>
    </row>
    <row r="761" spans="14:17" ht="15.75" customHeight="1" x14ac:dyDescent="0.25">
      <c r="N761" s="144"/>
      <c r="O761" s="144"/>
      <c r="P761" s="144"/>
      <c r="Q761" s="144"/>
    </row>
    <row r="762" spans="14:17" ht="15.75" customHeight="1" x14ac:dyDescent="0.25">
      <c r="N762" s="144"/>
      <c r="O762" s="144"/>
      <c r="P762" s="144"/>
      <c r="Q762" s="144"/>
    </row>
    <row r="763" spans="14:17" ht="15.75" customHeight="1" x14ac:dyDescent="0.25">
      <c r="N763" s="144"/>
      <c r="O763" s="144"/>
      <c r="P763" s="144"/>
      <c r="Q763" s="144"/>
    </row>
    <row r="764" spans="14:17" ht="15.75" customHeight="1" x14ac:dyDescent="0.25">
      <c r="N764" s="144"/>
      <c r="O764" s="144"/>
      <c r="P764" s="144"/>
      <c r="Q764" s="144"/>
    </row>
    <row r="765" spans="14:17" ht="15.75" customHeight="1" x14ac:dyDescent="0.25">
      <c r="N765" s="144"/>
      <c r="O765" s="144"/>
      <c r="P765" s="144"/>
      <c r="Q765" s="144"/>
    </row>
    <row r="766" spans="14:17" ht="15.75" customHeight="1" x14ac:dyDescent="0.25">
      <c r="N766" s="144"/>
      <c r="O766" s="144"/>
      <c r="P766" s="144"/>
      <c r="Q766" s="144"/>
    </row>
    <row r="767" spans="14:17" ht="15.75" customHeight="1" x14ac:dyDescent="0.25">
      <c r="N767" s="144"/>
      <c r="O767" s="144"/>
      <c r="P767" s="144"/>
      <c r="Q767" s="144"/>
    </row>
    <row r="768" spans="14:17" ht="15.75" customHeight="1" x14ac:dyDescent="0.25">
      <c r="N768" s="144"/>
      <c r="O768" s="144"/>
      <c r="P768" s="144"/>
      <c r="Q768" s="144"/>
    </row>
    <row r="769" spans="14:17" ht="15.75" customHeight="1" x14ac:dyDescent="0.25">
      <c r="N769" s="144"/>
      <c r="O769" s="144"/>
      <c r="P769" s="144"/>
      <c r="Q769" s="144"/>
    </row>
    <row r="770" spans="14:17" ht="15.75" customHeight="1" x14ac:dyDescent="0.25">
      <c r="N770" s="144"/>
      <c r="O770" s="144"/>
      <c r="P770" s="144"/>
      <c r="Q770" s="144"/>
    </row>
    <row r="771" spans="14:17" ht="15.75" customHeight="1" x14ac:dyDescent="0.25">
      <c r="N771" s="144"/>
      <c r="O771" s="144"/>
      <c r="P771" s="144"/>
      <c r="Q771" s="144"/>
    </row>
    <row r="772" spans="14:17" ht="15.75" customHeight="1" x14ac:dyDescent="0.25">
      <c r="N772" s="144"/>
      <c r="O772" s="144"/>
      <c r="P772" s="144"/>
      <c r="Q772" s="144"/>
    </row>
    <row r="773" spans="14:17" ht="15.75" customHeight="1" x14ac:dyDescent="0.25">
      <c r="N773" s="144"/>
      <c r="O773" s="144"/>
      <c r="P773" s="144"/>
      <c r="Q773" s="144"/>
    </row>
    <row r="774" spans="14:17" ht="15.75" customHeight="1" x14ac:dyDescent="0.25">
      <c r="N774" s="144"/>
      <c r="O774" s="144"/>
      <c r="P774" s="144"/>
      <c r="Q774" s="144"/>
    </row>
    <row r="775" spans="14:17" ht="15.75" customHeight="1" x14ac:dyDescent="0.25">
      <c r="N775" s="144"/>
      <c r="O775" s="144"/>
      <c r="P775" s="144"/>
      <c r="Q775" s="144"/>
    </row>
    <row r="776" spans="14:17" ht="15.75" customHeight="1" x14ac:dyDescent="0.25">
      <c r="N776" s="144"/>
      <c r="O776" s="144"/>
      <c r="P776" s="144"/>
      <c r="Q776" s="144"/>
    </row>
    <row r="777" spans="14:17" ht="15.75" customHeight="1" x14ac:dyDescent="0.25">
      <c r="N777" s="144"/>
      <c r="O777" s="144"/>
      <c r="P777" s="144"/>
      <c r="Q777" s="144"/>
    </row>
    <row r="778" spans="14:17" ht="15.75" customHeight="1" x14ac:dyDescent="0.25">
      <c r="N778" s="144"/>
      <c r="O778" s="144"/>
      <c r="P778" s="144"/>
      <c r="Q778" s="144"/>
    </row>
    <row r="779" spans="14:17" ht="15.75" customHeight="1" x14ac:dyDescent="0.25">
      <c r="N779" s="144"/>
      <c r="O779" s="144"/>
      <c r="P779" s="144"/>
      <c r="Q779" s="144"/>
    </row>
    <row r="780" spans="14:17" ht="15.75" customHeight="1" x14ac:dyDescent="0.25">
      <c r="N780" s="144"/>
      <c r="O780" s="144"/>
      <c r="P780" s="144"/>
      <c r="Q780" s="144"/>
    </row>
    <row r="781" spans="14:17" ht="15.75" customHeight="1" x14ac:dyDescent="0.25">
      <c r="N781" s="144"/>
      <c r="O781" s="144"/>
      <c r="P781" s="144"/>
      <c r="Q781" s="144"/>
    </row>
    <row r="782" spans="14:17" ht="15.75" customHeight="1" x14ac:dyDescent="0.25">
      <c r="N782" s="144"/>
      <c r="O782" s="144"/>
      <c r="P782" s="144"/>
      <c r="Q782" s="144"/>
    </row>
    <row r="783" spans="14:17" ht="15.75" customHeight="1" x14ac:dyDescent="0.25">
      <c r="N783" s="144"/>
      <c r="O783" s="144"/>
      <c r="P783" s="144"/>
      <c r="Q783" s="144"/>
    </row>
    <row r="784" spans="14:17" ht="15.75" customHeight="1" x14ac:dyDescent="0.25">
      <c r="N784" s="144"/>
      <c r="O784" s="144"/>
      <c r="P784" s="144"/>
      <c r="Q784" s="144"/>
    </row>
    <row r="785" spans="14:17" ht="15.75" customHeight="1" x14ac:dyDescent="0.25">
      <c r="N785" s="144"/>
      <c r="O785" s="144"/>
      <c r="P785" s="144"/>
      <c r="Q785" s="144"/>
    </row>
    <row r="786" spans="14:17" ht="15.75" customHeight="1" x14ac:dyDescent="0.25">
      <c r="N786" s="144"/>
      <c r="O786" s="144"/>
      <c r="P786" s="144"/>
      <c r="Q786" s="144"/>
    </row>
    <row r="787" spans="14:17" ht="15.75" customHeight="1" x14ac:dyDescent="0.25">
      <c r="N787" s="144"/>
      <c r="O787" s="144"/>
      <c r="P787" s="144"/>
      <c r="Q787" s="144"/>
    </row>
    <row r="788" spans="14:17" ht="15.75" customHeight="1" x14ac:dyDescent="0.25">
      <c r="N788" s="144"/>
      <c r="O788" s="144"/>
      <c r="P788" s="144"/>
      <c r="Q788" s="144"/>
    </row>
    <row r="789" spans="14:17" ht="15.75" customHeight="1" x14ac:dyDescent="0.25">
      <c r="N789" s="144"/>
      <c r="O789" s="144"/>
      <c r="P789" s="144"/>
      <c r="Q789" s="144"/>
    </row>
    <row r="790" spans="14:17" ht="15.75" customHeight="1" x14ac:dyDescent="0.25">
      <c r="N790" s="144"/>
      <c r="O790" s="144"/>
      <c r="P790" s="144"/>
      <c r="Q790" s="144"/>
    </row>
    <row r="791" spans="14:17" ht="15.75" customHeight="1" x14ac:dyDescent="0.25">
      <c r="N791" s="144"/>
      <c r="O791" s="144"/>
      <c r="P791" s="144"/>
      <c r="Q791" s="144"/>
    </row>
    <row r="792" spans="14:17" ht="15.75" customHeight="1" x14ac:dyDescent="0.25">
      <c r="N792" s="144"/>
      <c r="O792" s="144"/>
      <c r="P792" s="144"/>
      <c r="Q792" s="144"/>
    </row>
    <row r="793" spans="14:17" ht="15.75" customHeight="1" x14ac:dyDescent="0.25">
      <c r="N793" s="144"/>
      <c r="O793" s="144"/>
      <c r="P793" s="144"/>
      <c r="Q793" s="144"/>
    </row>
    <row r="794" spans="14:17" ht="15.75" customHeight="1" x14ac:dyDescent="0.25">
      <c r="N794" s="144"/>
      <c r="O794" s="144"/>
      <c r="P794" s="144"/>
      <c r="Q794" s="144"/>
    </row>
    <row r="795" spans="14:17" ht="15.75" customHeight="1" x14ac:dyDescent="0.25">
      <c r="N795" s="144"/>
      <c r="O795" s="144"/>
      <c r="P795" s="144"/>
      <c r="Q795" s="144"/>
    </row>
    <row r="796" spans="14:17" ht="15.75" customHeight="1" x14ac:dyDescent="0.25">
      <c r="N796" s="144"/>
      <c r="O796" s="144"/>
      <c r="P796" s="144"/>
      <c r="Q796" s="144"/>
    </row>
    <row r="797" spans="14:17" ht="15.75" customHeight="1" x14ac:dyDescent="0.25">
      <c r="N797" s="144"/>
      <c r="O797" s="144"/>
      <c r="P797" s="144"/>
      <c r="Q797" s="144"/>
    </row>
    <row r="798" spans="14:17" ht="15.75" customHeight="1" x14ac:dyDescent="0.25">
      <c r="N798" s="144"/>
      <c r="O798" s="144"/>
      <c r="P798" s="144"/>
      <c r="Q798" s="144"/>
    </row>
    <row r="799" spans="14:17" ht="15.75" customHeight="1" x14ac:dyDescent="0.25">
      <c r="N799" s="144"/>
      <c r="O799" s="144"/>
      <c r="P799" s="144"/>
      <c r="Q799" s="144"/>
    </row>
    <row r="800" spans="14:17" ht="15.75" customHeight="1" x14ac:dyDescent="0.25">
      <c r="N800" s="144"/>
      <c r="O800" s="144"/>
      <c r="P800" s="144"/>
      <c r="Q800" s="144"/>
    </row>
    <row r="801" spans="14:17" ht="15.75" customHeight="1" x14ac:dyDescent="0.25">
      <c r="N801" s="144"/>
      <c r="O801" s="144"/>
      <c r="P801" s="144"/>
      <c r="Q801" s="144"/>
    </row>
    <row r="802" spans="14:17" ht="15.75" customHeight="1" x14ac:dyDescent="0.25">
      <c r="N802" s="144"/>
      <c r="O802" s="144"/>
      <c r="P802" s="144"/>
      <c r="Q802" s="144"/>
    </row>
    <row r="803" spans="14:17" ht="15.75" customHeight="1" x14ac:dyDescent="0.25">
      <c r="N803" s="144"/>
      <c r="O803" s="144"/>
      <c r="P803" s="144"/>
      <c r="Q803" s="144"/>
    </row>
    <row r="804" spans="14:17" ht="15.75" customHeight="1" x14ac:dyDescent="0.25">
      <c r="N804" s="144"/>
      <c r="O804" s="144"/>
      <c r="P804" s="144"/>
      <c r="Q804" s="144"/>
    </row>
    <row r="805" spans="14:17" ht="15.75" customHeight="1" x14ac:dyDescent="0.25">
      <c r="N805" s="144"/>
      <c r="O805" s="144"/>
      <c r="P805" s="144"/>
      <c r="Q805" s="144"/>
    </row>
    <row r="806" spans="14:17" ht="15.75" customHeight="1" x14ac:dyDescent="0.25">
      <c r="N806" s="144"/>
      <c r="O806" s="144"/>
      <c r="P806" s="144"/>
      <c r="Q806" s="144"/>
    </row>
    <row r="807" spans="14:17" ht="15.75" customHeight="1" x14ac:dyDescent="0.25">
      <c r="N807" s="144"/>
      <c r="O807" s="144"/>
      <c r="P807" s="144"/>
      <c r="Q807" s="144"/>
    </row>
    <row r="808" spans="14:17" ht="15.75" customHeight="1" x14ac:dyDescent="0.25">
      <c r="N808" s="144"/>
      <c r="O808" s="144"/>
      <c r="P808" s="144"/>
      <c r="Q808" s="144"/>
    </row>
    <row r="809" spans="14:17" ht="15.75" customHeight="1" x14ac:dyDescent="0.25">
      <c r="N809" s="144"/>
      <c r="O809" s="144"/>
      <c r="P809" s="144"/>
      <c r="Q809" s="144"/>
    </row>
    <row r="810" spans="14:17" ht="15.75" customHeight="1" x14ac:dyDescent="0.25">
      <c r="N810" s="144"/>
      <c r="O810" s="144"/>
      <c r="P810" s="144"/>
      <c r="Q810" s="144"/>
    </row>
    <row r="811" spans="14:17" ht="15.75" customHeight="1" x14ac:dyDescent="0.25">
      <c r="N811" s="144"/>
      <c r="O811" s="144"/>
      <c r="P811" s="144"/>
      <c r="Q811" s="144"/>
    </row>
    <row r="812" spans="14:17" ht="15.75" customHeight="1" x14ac:dyDescent="0.25">
      <c r="N812" s="144"/>
      <c r="O812" s="144"/>
      <c r="P812" s="144"/>
      <c r="Q812" s="144"/>
    </row>
    <row r="813" spans="14:17" ht="15.75" customHeight="1" x14ac:dyDescent="0.25">
      <c r="N813" s="144"/>
      <c r="O813" s="144"/>
      <c r="P813" s="144"/>
      <c r="Q813" s="144"/>
    </row>
    <row r="814" spans="14:17" ht="15.75" customHeight="1" x14ac:dyDescent="0.25">
      <c r="N814" s="144"/>
      <c r="O814" s="144"/>
      <c r="P814" s="144"/>
      <c r="Q814" s="144"/>
    </row>
    <row r="815" spans="14:17" ht="15.75" customHeight="1" x14ac:dyDescent="0.25">
      <c r="N815" s="144"/>
      <c r="O815" s="144"/>
      <c r="P815" s="144"/>
      <c r="Q815" s="144"/>
    </row>
    <row r="816" spans="14:17" ht="15.75" customHeight="1" x14ac:dyDescent="0.25">
      <c r="N816" s="144"/>
      <c r="O816" s="144"/>
      <c r="P816" s="144"/>
      <c r="Q816" s="144"/>
    </row>
    <row r="817" spans="14:17" ht="15.75" customHeight="1" x14ac:dyDescent="0.25">
      <c r="N817" s="144"/>
      <c r="O817" s="144"/>
      <c r="P817" s="144"/>
      <c r="Q817" s="144"/>
    </row>
    <row r="818" spans="14:17" ht="15.75" customHeight="1" x14ac:dyDescent="0.25">
      <c r="N818" s="144"/>
      <c r="O818" s="144"/>
      <c r="P818" s="144"/>
      <c r="Q818" s="144"/>
    </row>
    <row r="819" spans="14:17" ht="15.75" customHeight="1" x14ac:dyDescent="0.25">
      <c r="N819" s="144"/>
      <c r="O819" s="144"/>
      <c r="P819" s="144"/>
      <c r="Q819" s="144"/>
    </row>
    <row r="820" spans="14:17" ht="15.75" customHeight="1" x14ac:dyDescent="0.25">
      <c r="N820" s="144"/>
      <c r="O820" s="144"/>
      <c r="P820" s="144"/>
      <c r="Q820" s="144"/>
    </row>
    <row r="821" spans="14:17" ht="15.75" customHeight="1" x14ac:dyDescent="0.25">
      <c r="N821" s="144"/>
      <c r="O821" s="144"/>
      <c r="P821" s="144"/>
      <c r="Q821" s="144"/>
    </row>
    <row r="822" spans="14:17" ht="15.75" customHeight="1" x14ac:dyDescent="0.25">
      <c r="N822" s="144"/>
      <c r="O822" s="144"/>
      <c r="P822" s="144"/>
      <c r="Q822" s="144"/>
    </row>
    <row r="823" spans="14:17" ht="15.75" customHeight="1" x14ac:dyDescent="0.25">
      <c r="N823" s="144"/>
      <c r="O823" s="144"/>
      <c r="P823" s="144"/>
      <c r="Q823" s="144"/>
    </row>
    <row r="824" spans="14:17" ht="15.75" customHeight="1" x14ac:dyDescent="0.25">
      <c r="N824" s="144"/>
      <c r="O824" s="144"/>
      <c r="P824" s="144"/>
      <c r="Q824" s="144"/>
    </row>
    <row r="825" spans="14:17" ht="15.75" customHeight="1" x14ac:dyDescent="0.25">
      <c r="N825" s="144"/>
      <c r="O825" s="144"/>
      <c r="P825" s="144"/>
      <c r="Q825" s="144"/>
    </row>
    <row r="826" spans="14:17" ht="15.75" customHeight="1" x14ac:dyDescent="0.25">
      <c r="N826" s="144"/>
      <c r="O826" s="144"/>
      <c r="P826" s="144"/>
      <c r="Q826" s="144"/>
    </row>
    <row r="827" spans="14:17" ht="15.75" customHeight="1" x14ac:dyDescent="0.25">
      <c r="N827" s="144"/>
      <c r="O827" s="144"/>
      <c r="P827" s="144"/>
      <c r="Q827" s="144"/>
    </row>
    <row r="828" spans="14:17" ht="15.75" customHeight="1" x14ac:dyDescent="0.25">
      <c r="N828" s="144"/>
      <c r="O828" s="144"/>
      <c r="P828" s="144"/>
      <c r="Q828" s="144"/>
    </row>
    <row r="829" spans="14:17" ht="15.75" customHeight="1" x14ac:dyDescent="0.25">
      <c r="N829" s="144"/>
      <c r="O829" s="144"/>
      <c r="P829" s="144"/>
      <c r="Q829" s="144"/>
    </row>
    <row r="830" spans="14:17" ht="15.75" customHeight="1" x14ac:dyDescent="0.25">
      <c r="N830" s="144"/>
      <c r="O830" s="144"/>
      <c r="P830" s="144"/>
      <c r="Q830" s="144"/>
    </row>
    <row r="831" spans="14:17" ht="15.75" customHeight="1" x14ac:dyDescent="0.25">
      <c r="N831" s="144"/>
      <c r="O831" s="144"/>
      <c r="P831" s="144"/>
      <c r="Q831" s="144"/>
    </row>
    <row r="832" spans="14:17" ht="15.75" customHeight="1" x14ac:dyDescent="0.25">
      <c r="N832" s="144"/>
      <c r="O832" s="144"/>
      <c r="P832" s="144"/>
      <c r="Q832" s="144"/>
    </row>
    <row r="833" spans="14:17" ht="15.75" customHeight="1" x14ac:dyDescent="0.25">
      <c r="N833" s="144"/>
      <c r="O833" s="144"/>
      <c r="P833" s="144"/>
      <c r="Q833" s="144"/>
    </row>
    <row r="834" spans="14:17" ht="15.75" customHeight="1" x14ac:dyDescent="0.25">
      <c r="N834" s="144"/>
      <c r="O834" s="144"/>
      <c r="P834" s="144"/>
      <c r="Q834" s="144"/>
    </row>
    <row r="835" spans="14:17" ht="15.75" customHeight="1" x14ac:dyDescent="0.25">
      <c r="N835" s="144"/>
      <c r="O835" s="144"/>
      <c r="P835" s="144"/>
      <c r="Q835" s="144"/>
    </row>
    <row r="836" spans="14:17" ht="15.75" customHeight="1" x14ac:dyDescent="0.25">
      <c r="N836" s="144"/>
      <c r="O836" s="144"/>
      <c r="P836" s="144"/>
      <c r="Q836" s="144"/>
    </row>
    <row r="837" spans="14:17" ht="15.75" customHeight="1" x14ac:dyDescent="0.25">
      <c r="N837" s="144"/>
      <c r="O837" s="144"/>
      <c r="P837" s="144"/>
      <c r="Q837" s="144"/>
    </row>
    <row r="838" spans="14:17" ht="15.75" customHeight="1" x14ac:dyDescent="0.25">
      <c r="N838" s="144"/>
      <c r="O838" s="144"/>
      <c r="P838" s="144"/>
      <c r="Q838" s="144"/>
    </row>
    <row r="839" spans="14:17" ht="15.75" customHeight="1" x14ac:dyDescent="0.25">
      <c r="N839" s="144"/>
      <c r="O839" s="144"/>
      <c r="P839" s="144"/>
      <c r="Q839" s="144"/>
    </row>
    <row r="840" spans="14:17" ht="15.75" customHeight="1" x14ac:dyDescent="0.25">
      <c r="N840" s="144"/>
      <c r="O840" s="144"/>
      <c r="P840" s="144"/>
      <c r="Q840" s="144"/>
    </row>
    <row r="841" spans="14:17" ht="15.75" customHeight="1" x14ac:dyDescent="0.25">
      <c r="N841" s="144"/>
      <c r="O841" s="144"/>
      <c r="P841" s="144"/>
      <c r="Q841" s="144"/>
    </row>
    <row r="842" spans="14:17" ht="15.75" customHeight="1" x14ac:dyDescent="0.25">
      <c r="N842" s="144"/>
      <c r="O842" s="144"/>
      <c r="P842" s="144"/>
      <c r="Q842" s="144"/>
    </row>
    <row r="843" spans="14:17" ht="15.75" customHeight="1" x14ac:dyDescent="0.25">
      <c r="N843" s="144"/>
      <c r="O843" s="144"/>
      <c r="P843" s="144"/>
      <c r="Q843" s="144"/>
    </row>
    <row r="844" spans="14:17" ht="15.75" customHeight="1" x14ac:dyDescent="0.25">
      <c r="N844" s="144"/>
      <c r="O844" s="144"/>
      <c r="P844" s="144"/>
      <c r="Q844" s="144"/>
    </row>
    <row r="845" spans="14:17" ht="15.75" customHeight="1" x14ac:dyDescent="0.25">
      <c r="N845" s="144"/>
      <c r="O845" s="144"/>
      <c r="P845" s="144"/>
      <c r="Q845" s="144"/>
    </row>
    <row r="846" spans="14:17" ht="15.75" customHeight="1" x14ac:dyDescent="0.25">
      <c r="N846" s="144"/>
      <c r="O846" s="144"/>
      <c r="P846" s="144"/>
      <c r="Q846" s="144"/>
    </row>
    <row r="847" spans="14:17" ht="15.75" customHeight="1" x14ac:dyDescent="0.25">
      <c r="N847" s="144"/>
      <c r="O847" s="144"/>
      <c r="P847" s="144"/>
      <c r="Q847" s="144"/>
    </row>
    <row r="848" spans="14:17" ht="15.75" customHeight="1" x14ac:dyDescent="0.25">
      <c r="N848" s="144"/>
      <c r="O848" s="144"/>
      <c r="P848" s="144"/>
      <c r="Q848" s="144"/>
    </row>
    <row r="849" spans="14:17" ht="15.75" customHeight="1" x14ac:dyDescent="0.25">
      <c r="N849" s="144"/>
      <c r="O849" s="144"/>
      <c r="P849" s="144"/>
      <c r="Q849" s="144"/>
    </row>
    <row r="850" spans="14:17" ht="15.75" customHeight="1" x14ac:dyDescent="0.25">
      <c r="N850" s="144"/>
      <c r="O850" s="144"/>
      <c r="P850" s="144"/>
      <c r="Q850" s="144"/>
    </row>
    <row r="851" spans="14:17" ht="15.75" customHeight="1" x14ac:dyDescent="0.25">
      <c r="N851" s="144"/>
      <c r="O851" s="144"/>
      <c r="P851" s="144"/>
      <c r="Q851" s="144"/>
    </row>
    <row r="852" spans="14:17" ht="15.75" customHeight="1" x14ac:dyDescent="0.25">
      <c r="N852" s="144"/>
      <c r="O852" s="144"/>
      <c r="P852" s="144"/>
      <c r="Q852" s="144"/>
    </row>
    <row r="853" spans="14:17" ht="15.75" customHeight="1" x14ac:dyDescent="0.25">
      <c r="N853" s="144"/>
      <c r="O853" s="144"/>
      <c r="P853" s="144"/>
      <c r="Q853" s="144"/>
    </row>
    <row r="854" spans="14:17" ht="15.75" customHeight="1" x14ac:dyDescent="0.25">
      <c r="N854" s="144"/>
      <c r="O854" s="144"/>
      <c r="P854" s="144"/>
      <c r="Q854" s="144"/>
    </row>
    <row r="855" spans="14:17" ht="15.75" customHeight="1" x14ac:dyDescent="0.25">
      <c r="N855" s="144"/>
      <c r="O855" s="144"/>
      <c r="P855" s="144"/>
      <c r="Q855" s="144"/>
    </row>
    <row r="856" spans="14:17" ht="15.75" customHeight="1" x14ac:dyDescent="0.25">
      <c r="N856" s="144"/>
      <c r="O856" s="144"/>
      <c r="P856" s="144"/>
      <c r="Q856" s="144"/>
    </row>
    <row r="857" spans="14:17" ht="15.75" customHeight="1" x14ac:dyDescent="0.25">
      <c r="N857" s="144"/>
      <c r="O857" s="144"/>
      <c r="P857" s="144"/>
      <c r="Q857" s="144"/>
    </row>
    <row r="858" spans="14:17" ht="15.75" customHeight="1" x14ac:dyDescent="0.25">
      <c r="N858" s="144"/>
      <c r="O858" s="144"/>
      <c r="P858" s="144"/>
      <c r="Q858" s="144"/>
    </row>
    <row r="859" spans="14:17" ht="15.75" customHeight="1" x14ac:dyDescent="0.25">
      <c r="N859" s="144"/>
      <c r="O859" s="144"/>
      <c r="P859" s="144"/>
      <c r="Q859" s="144"/>
    </row>
    <row r="860" spans="14:17" ht="15.75" customHeight="1" x14ac:dyDescent="0.25">
      <c r="N860" s="144"/>
      <c r="O860" s="144"/>
      <c r="P860" s="144"/>
      <c r="Q860" s="144"/>
    </row>
    <row r="861" spans="14:17" ht="15.75" customHeight="1" x14ac:dyDescent="0.25">
      <c r="N861" s="144"/>
      <c r="O861" s="144"/>
      <c r="P861" s="144"/>
      <c r="Q861" s="144"/>
    </row>
    <row r="862" spans="14:17" ht="15.75" customHeight="1" x14ac:dyDescent="0.25">
      <c r="N862" s="144"/>
      <c r="O862" s="144"/>
      <c r="P862" s="144"/>
      <c r="Q862" s="144"/>
    </row>
    <row r="863" spans="14:17" ht="15.75" customHeight="1" x14ac:dyDescent="0.25">
      <c r="N863" s="144"/>
      <c r="O863" s="144"/>
      <c r="P863" s="144"/>
      <c r="Q863" s="144"/>
    </row>
    <row r="864" spans="14:17" ht="15.75" customHeight="1" x14ac:dyDescent="0.25">
      <c r="N864" s="144"/>
      <c r="O864" s="144"/>
      <c r="P864" s="144"/>
      <c r="Q864" s="144"/>
    </row>
    <row r="865" spans="14:17" ht="15.75" customHeight="1" x14ac:dyDescent="0.25">
      <c r="N865" s="144"/>
      <c r="O865" s="144"/>
      <c r="P865" s="144"/>
      <c r="Q865" s="144"/>
    </row>
    <row r="866" spans="14:17" ht="15.75" customHeight="1" x14ac:dyDescent="0.25">
      <c r="N866" s="144"/>
      <c r="O866" s="144"/>
      <c r="P866" s="144"/>
      <c r="Q866" s="144"/>
    </row>
    <row r="867" spans="14:17" ht="15.75" customHeight="1" x14ac:dyDescent="0.25">
      <c r="N867" s="144"/>
      <c r="O867" s="144"/>
      <c r="P867" s="144"/>
      <c r="Q867" s="144"/>
    </row>
    <row r="868" spans="14:17" ht="15.75" customHeight="1" x14ac:dyDescent="0.25">
      <c r="N868" s="144"/>
      <c r="O868" s="144"/>
      <c r="P868" s="144"/>
      <c r="Q868" s="144"/>
    </row>
    <row r="869" spans="14:17" ht="15.75" customHeight="1" x14ac:dyDescent="0.25">
      <c r="N869" s="144"/>
      <c r="O869" s="144"/>
      <c r="P869" s="144"/>
      <c r="Q869" s="144"/>
    </row>
    <row r="870" spans="14:17" ht="15.75" customHeight="1" x14ac:dyDescent="0.25">
      <c r="N870" s="144"/>
      <c r="O870" s="144"/>
      <c r="P870" s="144"/>
      <c r="Q870" s="144"/>
    </row>
    <row r="871" spans="14:17" ht="15.75" customHeight="1" x14ac:dyDescent="0.25">
      <c r="N871" s="144"/>
      <c r="O871" s="144"/>
      <c r="P871" s="144"/>
      <c r="Q871" s="144"/>
    </row>
    <row r="872" spans="14:17" ht="15.75" customHeight="1" x14ac:dyDescent="0.25">
      <c r="N872" s="144"/>
      <c r="O872" s="144"/>
      <c r="P872" s="144"/>
      <c r="Q872" s="144"/>
    </row>
    <row r="873" spans="14:17" ht="15.75" customHeight="1" x14ac:dyDescent="0.25">
      <c r="N873" s="144"/>
      <c r="O873" s="144"/>
      <c r="P873" s="144"/>
      <c r="Q873" s="144"/>
    </row>
    <row r="874" spans="14:17" ht="15.75" customHeight="1" x14ac:dyDescent="0.25">
      <c r="N874" s="144"/>
      <c r="O874" s="144"/>
      <c r="P874" s="144"/>
      <c r="Q874" s="144"/>
    </row>
    <row r="875" spans="14:17" ht="15.75" customHeight="1" x14ac:dyDescent="0.25">
      <c r="N875" s="144"/>
      <c r="O875" s="144"/>
      <c r="P875" s="144"/>
      <c r="Q875" s="144"/>
    </row>
    <row r="876" spans="14:17" ht="15.75" customHeight="1" x14ac:dyDescent="0.25">
      <c r="N876" s="144"/>
      <c r="O876" s="144"/>
      <c r="P876" s="144"/>
      <c r="Q876" s="144"/>
    </row>
    <row r="877" spans="14:17" ht="15.75" customHeight="1" x14ac:dyDescent="0.25">
      <c r="N877" s="144"/>
      <c r="O877" s="144"/>
      <c r="P877" s="144"/>
      <c r="Q877" s="144"/>
    </row>
    <row r="878" spans="14:17" ht="15.75" customHeight="1" x14ac:dyDescent="0.25">
      <c r="N878" s="144"/>
      <c r="O878" s="144"/>
      <c r="P878" s="144"/>
      <c r="Q878" s="144"/>
    </row>
    <row r="879" spans="14:17" ht="15.75" customHeight="1" x14ac:dyDescent="0.25">
      <c r="N879" s="144"/>
      <c r="O879" s="144"/>
      <c r="P879" s="144"/>
      <c r="Q879" s="144"/>
    </row>
    <row r="880" spans="14:17" ht="15.75" customHeight="1" x14ac:dyDescent="0.25">
      <c r="N880" s="144"/>
      <c r="O880" s="144"/>
      <c r="P880" s="144"/>
      <c r="Q880" s="144"/>
    </row>
    <row r="881" spans="14:17" ht="15.75" customHeight="1" x14ac:dyDescent="0.25">
      <c r="N881" s="144"/>
      <c r="O881" s="144"/>
      <c r="P881" s="144"/>
      <c r="Q881" s="144"/>
    </row>
    <row r="882" spans="14:17" ht="15.75" customHeight="1" x14ac:dyDescent="0.25">
      <c r="N882" s="144"/>
      <c r="O882" s="144"/>
      <c r="P882" s="144"/>
      <c r="Q882" s="144"/>
    </row>
    <row r="883" spans="14:17" ht="15.75" customHeight="1" x14ac:dyDescent="0.25">
      <c r="N883" s="144"/>
      <c r="O883" s="144"/>
      <c r="P883" s="144"/>
      <c r="Q883" s="144"/>
    </row>
    <row r="884" spans="14:17" ht="15.75" customHeight="1" x14ac:dyDescent="0.25">
      <c r="N884" s="144"/>
      <c r="O884" s="144"/>
      <c r="P884" s="144"/>
      <c r="Q884" s="144"/>
    </row>
    <row r="885" spans="14:17" ht="15.75" customHeight="1" x14ac:dyDescent="0.25">
      <c r="N885" s="144"/>
      <c r="O885" s="144"/>
      <c r="P885" s="144"/>
      <c r="Q885" s="144"/>
    </row>
    <row r="886" spans="14:17" ht="15.75" customHeight="1" x14ac:dyDescent="0.25">
      <c r="N886" s="144"/>
      <c r="O886" s="144"/>
      <c r="P886" s="144"/>
      <c r="Q886" s="144"/>
    </row>
    <row r="887" spans="14:17" ht="15.75" customHeight="1" x14ac:dyDescent="0.25">
      <c r="N887" s="144"/>
      <c r="O887" s="144"/>
      <c r="P887" s="144"/>
      <c r="Q887" s="144"/>
    </row>
    <row r="888" spans="14:17" ht="15.75" customHeight="1" x14ac:dyDescent="0.25">
      <c r="N888" s="144"/>
      <c r="O888" s="144"/>
      <c r="P888" s="144"/>
      <c r="Q888" s="144"/>
    </row>
    <row r="889" spans="14:17" ht="15.75" customHeight="1" x14ac:dyDescent="0.25">
      <c r="N889" s="144"/>
      <c r="O889" s="144"/>
      <c r="P889" s="144"/>
      <c r="Q889" s="144"/>
    </row>
    <row r="890" spans="14:17" ht="15.75" customHeight="1" x14ac:dyDescent="0.25">
      <c r="N890" s="144"/>
      <c r="O890" s="144"/>
      <c r="P890" s="144"/>
      <c r="Q890" s="144"/>
    </row>
    <row r="891" spans="14:17" ht="15.75" customHeight="1" x14ac:dyDescent="0.25">
      <c r="N891" s="144"/>
      <c r="O891" s="144"/>
      <c r="P891" s="144"/>
      <c r="Q891" s="144"/>
    </row>
    <row r="892" spans="14:17" ht="15.75" customHeight="1" x14ac:dyDescent="0.25">
      <c r="N892" s="144"/>
      <c r="O892" s="144"/>
      <c r="P892" s="144"/>
      <c r="Q892" s="144"/>
    </row>
    <row r="893" spans="14:17" ht="15.75" customHeight="1" x14ac:dyDescent="0.25">
      <c r="N893" s="144"/>
      <c r="O893" s="144"/>
      <c r="P893" s="144"/>
      <c r="Q893" s="144"/>
    </row>
    <row r="894" spans="14:17" ht="15.75" customHeight="1" x14ac:dyDescent="0.25">
      <c r="N894" s="144"/>
      <c r="O894" s="144"/>
      <c r="P894" s="144"/>
      <c r="Q894" s="144"/>
    </row>
    <row r="895" spans="14:17" ht="15.75" customHeight="1" x14ac:dyDescent="0.25">
      <c r="N895" s="144"/>
      <c r="O895" s="144"/>
      <c r="P895" s="144"/>
      <c r="Q895" s="144"/>
    </row>
    <row r="896" spans="14:17" ht="15.75" customHeight="1" x14ac:dyDescent="0.25">
      <c r="N896" s="144"/>
      <c r="O896" s="144"/>
      <c r="P896" s="144"/>
      <c r="Q896" s="144"/>
    </row>
    <row r="897" spans="14:17" ht="15.75" customHeight="1" x14ac:dyDescent="0.25">
      <c r="N897" s="144"/>
      <c r="O897" s="144"/>
      <c r="P897" s="144"/>
      <c r="Q897" s="144"/>
    </row>
    <row r="898" spans="14:17" ht="15.75" customHeight="1" x14ac:dyDescent="0.25">
      <c r="N898" s="144"/>
      <c r="O898" s="144"/>
      <c r="P898" s="144"/>
      <c r="Q898" s="144"/>
    </row>
    <row r="899" spans="14:17" ht="15.75" customHeight="1" x14ac:dyDescent="0.25">
      <c r="N899" s="144"/>
      <c r="O899" s="144"/>
      <c r="P899" s="144"/>
      <c r="Q899" s="144"/>
    </row>
    <row r="900" spans="14:17" ht="15.75" customHeight="1" x14ac:dyDescent="0.25">
      <c r="N900" s="144"/>
      <c r="O900" s="144"/>
      <c r="P900" s="144"/>
      <c r="Q900" s="144"/>
    </row>
    <row r="901" spans="14:17" ht="15.75" customHeight="1" x14ac:dyDescent="0.25">
      <c r="N901" s="144"/>
      <c r="O901" s="144"/>
      <c r="P901" s="144"/>
      <c r="Q901" s="144"/>
    </row>
    <row r="902" spans="14:17" ht="15.75" customHeight="1" x14ac:dyDescent="0.25">
      <c r="N902" s="144"/>
      <c r="O902" s="144"/>
      <c r="P902" s="144"/>
      <c r="Q902" s="144"/>
    </row>
    <row r="903" spans="14:17" ht="15.75" customHeight="1" x14ac:dyDescent="0.25">
      <c r="N903" s="144"/>
      <c r="O903" s="144"/>
      <c r="P903" s="144"/>
      <c r="Q903" s="144"/>
    </row>
    <row r="904" spans="14:17" ht="15.75" customHeight="1" x14ac:dyDescent="0.25">
      <c r="N904" s="144"/>
      <c r="O904" s="144"/>
      <c r="P904" s="144"/>
      <c r="Q904" s="144"/>
    </row>
    <row r="905" spans="14:17" ht="15.75" customHeight="1" x14ac:dyDescent="0.25">
      <c r="N905" s="144"/>
      <c r="O905" s="144"/>
      <c r="P905" s="144"/>
      <c r="Q905" s="144"/>
    </row>
    <row r="906" spans="14:17" ht="15.75" customHeight="1" x14ac:dyDescent="0.25">
      <c r="N906" s="144"/>
      <c r="O906" s="144"/>
      <c r="P906" s="144"/>
      <c r="Q906" s="144"/>
    </row>
    <row r="907" spans="14:17" ht="15.75" customHeight="1" x14ac:dyDescent="0.25">
      <c r="N907" s="144"/>
      <c r="O907" s="144"/>
      <c r="P907" s="144"/>
      <c r="Q907" s="144"/>
    </row>
    <row r="908" spans="14:17" ht="15.75" customHeight="1" x14ac:dyDescent="0.25">
      <c r="N908" s="144"/>
      <c r="O908" s="144"/>
      <c r="P908" s="144"/>
      <c r="Q908" s="144"/>
    </row>
    <row r="909" spans="14:17" ht="15.75" customHeight="1" x14ac:dyDescent="0.25">
      <c r="N909" s="144"/>
      <c r="O909" s="144"/>
      <c r="P909" s="144"/>
      <c r="Q909" s="144"/>
    </row>
    <row r="910" spans="14:17" ht="15.75" customHeight="1" x14ac:dyDescent="0.25">
      <c r="N910" s="144"/>
      <c r="O910" s="144"/>
      <c r="P910" s="144"/>
      <c r="Q910" s="144"/>
    </row>
    <row r="911" spans="14:17" ht="15.75" customHeight="1" x14ac:dyDescent="0.25">
      <c r="N911" s="144"/>
      <c r="O911" s="144"/>
      <c r="P911" s="144"/>
      <c r="Q911" s="144"/>
    </row>
    <row r="912" spans="14:17" ht="15.75" customHeight="1" x14ac:dyDescent="0.25">
      <c r="N912" s="144"/>
      <c r="O912" s="144"/>
      <c r="P912" s="144"/>
      <c r="Q912" s="144"/>
    </row>
    <row r="913" spans="14:17" ht="15.75" customHeight="1" x14ac:dyDescent="0.25">
      <c r="N913" s="144"/>
      <c r="O913" s="144"/>
      <c r="P913" s="144"/>
      <c r="Q913" s="144"/>
    </row>
    <row r="914" spans="14:17" ht="15.75" customHeight="1" x14ac:dyDescent="0.25">
      <c r="N914" s="144"/>
      <c r="O914" s="144"/>
      <c r="P914" s="144"/>
      <c r="Q914" s="144"/>
    </row>
    <row r="915" spans="14:17" ht="15.75" customHeight="1" x14ac:dyDescent="0.25">
      <c r="N915" s="144"/>
      <c r="O915" s="144"/>
      <c r="P915" s="144"/>
      <c r="Q915" s="144"/>
    </row>
    <row r="916" spans="14:17" ht="15.75" customHeight="1" x14ac:dyDescent="0.25">
      <c r="N916" s="144"/>
      <c r="O916" s="144"/>
      <c r="P916" s="144"/>
      <c r="Q916" s="144"/>
    </row>
    <row r="917" spans="14:17" ht="15.75" customHeight="1" x14ac:dyDescent="0.25">
      <c r="N917" s="144"/>
      <c r="O917" s="144"/>
      <c r="P917" s="144"/>
      <c r="Q917" s="144"/>
    </row>
    <row r="918" spans="14:17" ht="15.75" customHeight="1" x14ac:dyDescent="0.25">
      <c r="N918" s="144"/>
      <c r="O918" s="144"/>
      <c r="P918" s="144"/>
      <c r="Q918" s="144"/>
    </row>
    <row r="919" spans="14:17" ht="15.75" customHeight="1" x14ac:dyDescent="0.25">
      <c r="N919" s="144"/>
      <c r="O919" s="144"/>
      <c r="P919" s="144"/>
      <c r="Q919" s="144"/>
    </row>
    <row r="920" spans="14:17" ht="15.75" customHeight="1" x14ac:dyDescent="0.25">
      <c r="N920" s="144"/>
      <c r="O920" s="144"/>
      <c r="P920" s="144"/>
      <c r="Q920" s="144"/>
    </row>
    <row r="921" spans="14:17" ht="15.75" customHeight="1" x14ac:dyDescent="0.25">
      <c r="N921" s="144"/>
      <c r="O921" s="144"/>
      <c r="P921" s="144"/>
      <c r="Q921" s="144"/>
    </row>
    <row r="922" spans="14:17" ht="15.75" customHeight="1" x14ac:dyDescent="0.25">
      <c r="N922" s="144"/>
      <c r="O922" s="144"/>
      <c r="P922" s="144"/>
      <c r="Q922" s="144"/>
    </row>
    <row r="923" spans="14:17" ht="15.75" customHeight="1" x14ac:dyDescent="0.25">
      <c r="N923" s="144"/>
      <c r="O923" s="144"/>
      <c r="P923" s="144"/>
      <c r="Q923" s="144"/>
    </row>
    <row r="924" spans="14:17" ht="15.75" customHeight="1" x14ac:dyDescent="0.25">
      <c r="N924" s="144"/>
      <c r="O924" s="144"/>
      <c r="P924" s="144"/>
      <c r="Q924" s="144"/>
    </row>
    <row r="925" spans="14:17" ht="15.75" customHeight="1" x14ac:dyDescent="0.25">
      <c r="N925" s="144"/>
      <c r="O925" s="144"/>
      <c r="P925" s="144"/>
      <c r="Q925" s="144"/>
    </row>
    <row r="926" spans="14:17" ht="15.75" customHeight="1" x14ac:dyDescent="0.25">
      <c r="N926" s="144"/>
      <c r="O926" s="144"/>
      <c r="P926" s="144"/>
      <c r="Q926" s="144"/>
    </row>
    <row r="927" spans="14:17" ht="15.75" customHeight="1" x14ac:dyDescent="0.25">
      <c r="N927" s="144"/>
      <c r="O927" s="144"/>
      <c r="P927" s="144"/>
      <c r="Q927" s="144"/>
    </row>
    <row r="928" spans="14:17" ht="15.75" customHeight="1" x14ac:dyDescent="0.25">
      <c r="N928" s="144"/>
      <c r="O928" s="144"/>
      <c r="P928" s="144"/>
      <c r="Q928" s="144"/>
    </row>
    <row r="929" spans="14:17" ht="15.75" customHeight="1" x14ac:dyDescent="0.25">
      <c r="N929" s="144"/>
      <c r="O929" s="144"/>
      <c r="P929" s="144"/>
      <c r="Q929" s="144"/>
    </row>
    <row r="930" spans="14:17" ht="15.75" customHeight="1" x14ac:dyDescent="0.25">
      <c r="N930" s="144"/>
      <c r="O930" s="144"/>
      <c r="P930" s="144"/>
      <c r="Q930" s="144"/>
    </row>
    <row r="931" spans="14:17" ht="15.75" customHeight="1" x14ac:dyDescent="0.25">
      <c r="N931" s="144"/>
      <c r="O931" s="144"/>
      <c r="P931" s="144"/>
      <c r="Q931" s="144"/>
    </row>
    <row r="932" spans="14:17" ht="15.75" customHeight="1" x14ac:dyDescent="0.25">
      <c r="N932" s="144"/>
      <c r="O932" s="144"/>
      <c r="P932" s="144"/>
      <c r="Q932" s="144"/>
    </row>
    <row r="933" spans="14:17" ht="15.75" customHeight="1" x14ac:dyDescent="0.25">
      <c r="N933" s="144"/>
      <c r="O933" s="144"/>
      <c r="P933" s="144"/>
      <c r="Q933" s="144"/>
    </row>
    <row r="934" spans="14:17" ht="15.75" customHeight="1" x14ac:dyDescent="0.25">
      <c r="N934" s="144"/>
      <c r="O934" s="144"/>
      <c r="P934" s="144"/>
      <c r="Q934" s="144"/>
    </row>
    <row r="935" spans="14:17" ht="15.75" customHeight="1" x14ac:dyDescent="0.25">
      <c r="N935" s="144"/>
      <c r="O935" s="144"/>
      <c r="P935" s="144"/>
      <c r="Q935" s="144"/>
    </row>
    <row r="936" spans="14:17" ht="15.75" customHeight="1" x14ac:dyDescent="0.25">
      <c r="N936" s="144"/>
      <c r="O936" s="144"/>
      <c r="P936" s="144"/>
      <c r="Q936" s="144"/>
    </row>
    <row r="937" spans="14:17" ht="15.75" customHeight="1" x14ac:dyDescent="0.25">
      <c r="N937" s="144"/>
      <c r="O937" s="144"/>
      <c r="P937" s="144"/>
      <c r="Q937" s="144"/>
    </row>
    <row r="938" spans="14:17" ht="15.75" customHeight="1" x14ac:dyDescent="0.25">
      <c r="N938" s="144"/>
      <c r="O938" s="144"/>
      <c r="P938" s="144"/>
      <c r="Q938" s="144"/>
    </row>
    <row r="939" spans="14:17" ht="15.75" customHeight="1" x14ac:dyDescent="0.25">
      <c r="N939" s="144"/>
      <c r="O939" s="144"/>
      <c r="P939" s="144"/>
      <c r="Q939" s="144"/>
    </row>
    <row r="940" spans="14:17" ht="15.75" customHeight="1" x14ac:dyDescent="0.25">
      <c r="N940" s="144"/>
      <c r="O940" s="144"/>
      <c r="P940" s="144"/>
      <c r="Q940" s="144"/>
    </row>
    <row r="941" spans="14:17" ht="15.75" customHeight="1" x14ac:dyDescent="0.25">
      <c r="N941" s="144"/>
      <c r="O941" s="144"/>
      <c r="P941" s="144"/>
      <c r="Q941" s="144"/>
    </row>
    <row r="942" spans="14:17" ht="15.75" customHeight="1" x14ac:dyDescent="0.25">
      <c r="N942" s="144"/>
      <c r="O942" s="144"/>
      <c r="P942" s="144"/>
      <c r="Q942" s="144"/>
    </row>
    <row r="943" spans="14:17" ht="15.75" customHeight="1" x14ac:dyDescent="0.25">
      <c r="N943" s="144"/>
      <c r="O943" s="144"/>
      <c r="P943" s="144"/>
      <c r="Q943" s="144"/>
    </row>
    <row r="944" spans="14:17" ht="15.75" customHeight="1" x14ac:dyDescent="0.25">
      <c r="N944" s="144"/>
      <c r="O944" s="144"/>
      <c r="P944" s="144"/>
      <c r="Q944" s="144"/>
    </row>
    <row r="945" spans="14:17" ht="15.75" customHeight="1" x14ac:dyDescent="0.25">
      <c r="N945" s="144"/>
      <c r="O945" s="144"/>
      <c r="P945" s="144"/>
      <c r="Q945" s="144"/>
    </row>
    <row r="946" spans="14:17" ht="15.75" customHeight="1" x14ac:dyDescent="0.25">
      <c r="N946" s="144"/>
      <c r="O946" s="144"/>
      <c r="P946" s="144"/>
      <c r="Q946" s="144"/>
    </row>
    <row r="947" spans="14:17" ht="15.75" customHeight="1" x14ac:dyDescent="0.25">
      <c r="N947" s="144"/>
      <c r="O947" s="144"/>
      <c r="P947" s="144"/>
      <c r="Q947" s="144"/>
    </row>
    <row r="948" spans="14:17" ht="15.75" customHeight="1" x14ac:dyDescent="0.25">
      <c r="N948" s="144"/>
      <c r="O948" s="144"/>
      <c r="P948" s="144"/>
      <c r="Q948" s="144"/>
    </row>
    <row r="949" spans="14:17" ht="15.75" customHeight="1" x14ac:dyDescent="0.25">
      <c r="N949" s="144"/>
      <c r="O949" s="144"/>
      <c r="P949" s="144"/>
      <c r="Q949" s="144"/>
    </row>
    <row r="950" spans="14:17" ht="15.75" customHeight="1" x14ac:dyDescent="0.25">
      <c r="N950" s="144"/>
      <c r="O950" s="144"/>
      <c r="P950" s="144"/>
      <c r="Q950" s="144"/>
    </row>
    <row r="951" spans="14:17" ht="15.75" customHeight="1" x14ac:dyDescent="0.25">
      <c r="N951" s="144"/>
      <c r="O951" s="144"/>
      <c r="P951" s="144"/>
      <c r="Q951" s="144"/>
    </row>
    <row r="952" spans="14:17" ht="15.75" customHeight="1" x14ac:dyDescent="0.25">
      <c r="N952" s="144"/>
      <c r="O952" s="144"/>
      <c r="P952" s="144"/>
      <c r="Q952" s="144"/>
    </row>
    <row r="953" spans="14:17" ht="15.75" customHeight="1" x14ac:dyDescent="0.25">
      <c r="N953" s="144"/>
      <c r="O953" s="144"/>
      <c r="P953" s="144"/>
      <c r="Q953" s="144"/>
    </row>
    <row r="954" spans="14:17" ht="15.75" customHeight="1" x14ac:dyDescent="0.25">
      <c r="N954" s="144"/>
      <c r="O954" s="144"/>
      <c r="P954" s="144"/>
      <c r="Q954" s="144"/>
    </row>
    <row r="955" spans="14:17" ht="15.75" customHeight="1" x14ac:dyDescent="0.25">
      <c r="N955" s="144"/>
      <c r="O955" s="144"/>
      <c r="P955" s="144"/>
      <c r="Q955" s="144"/>
    </row>
    <row r="956" spans="14:17" ht="15.75" customHeight="1" x14ac:dyDescent="0.25">
      <c r="N956" s="144"/>
      <c r="O956" s="144"/>
      <c r="P956" s="144"/>
      <c r="Q956" s="144"/>
    </row>
    <row r="957" spans="14:17" ht="15.75" customHeight="1" x14ac:dyDescent="0.25">
      <c r="N957" s="144"/>
      <c r="O957" s="144"/>
      <c r="P957" s="144"/>
      <c r="Q957" s="144"/>
    </row>
    <row r="958" spans="14:17" ht="15.75" customHeight="1" x14ac:dyDescent="0.25">
      <c r="N958" s="144"/>
      <c r="O958" s="144"/>
      <c r="P958" s="144"/>
      <c r="Q958" s="144"/>
    </row>
    <row r="959" spans="14:17" ht="15.75" customHeight="1" x14ac:dyDescent="0.25">
      <c r="N959" s="144"/>
      <c r="O959" s="144"/>
      <c r="P959" s="144"/>
      <c r="Q959" s="144"/>
    </row>
    <row r="960" spans="14:17" ht="15.75" customHeight="1" x14ac:dyDescent="0.25">
      <c r="N960" s="144"/>
      <c r="O960" s="144"/>
      <c r="P960" s="144"/>
      <c r="Q960" s="144"/>
    </row>
    <row r="961" spans="14:17" ht="15.75" customHeight="1" x14ac:dyDescent="0.25">
      <c r="N961" s="144"/>
      <c r="O961" s="144"/>
      <c r="P961" s="144"/>
      <c r="Q961" s="144"/>
    </row>
    <row r="962" spans="14:17" ht="15.75" customHeight="1" x14ac:dyDescent="0.25">
      <c r="N962" s="144"/>
      <c r="O962" s="144"/>
      <c r="P962" s="144"/>
      <c r="Q962" s="144"/>
    </row>
    <row r="963" spans="14:17" ht="15.75" customHeight="1" x14ac:dyDescent="0.25">
      <c r="N963" s="144"/>
      <c r="O963" s="144"/>
      <c r="P963" s="144"/>
      <c r="Q963" s="144"/>
    </row>
    <row r="964" spans="14:17" ht="15.75" customHeight="1" x14ac:dyDescent="0.25">
      <c r="N964" s="144"/>
      <c r="O964" s="144"/>
      <c r="P964" s="144"/>
      <c r="Q964" s="144"/>
    </row>
    <row r="965" spans="14:17" ht="15.75" customHeight="1" x14ac:dyDescent="0.25">
      <c r="N965" s="144"/>
      <c r="O965" s="144"/>
      <c r="P965" s="144"/>
      <c r="Q965" s="144"/>
    </row>
    <row r="966" spans="14:17" ht="15.75" customHeight="1" x14ac:dyDescent="0.25">
      <c r="N966" s="144"/>
      <c r="O966" s="144"/>
      <c r="P966" s="144"/>
      <c r="Q966" s="144"/>
    </row>
    <row r="967" spans="14:17" ht="15.75" customHeight="1" x14ac:dyDescent="0.25">
      <c r="N967" s="144"/>
      <c r="O967" s="144"/>
      <c r="P967" s="144"/>
      <c r="Q967" s="144"/>
    </row>
    <row r="968" spans="14:17" ht="15.75" customHeight="1" x14ac:dyDescent="0.25">
      <c r="N968" s="144"/>
      <c r="O968" s="144"/>
      <c r="P968" s="144"/>
      <c r="Q968" s="144"/>
    </row>
    <row r="969" spans="14:17" ht="15.75" customHeight="1" x14ac:dyDescent="0.25">
      <c r="N969" s="144"/>
      <c r="O969" s="144"/>
      <c r="P969" s="144"/>
      <c r="Q969" s="144"/>
    </row>
    <row r="970" spans="14:17" ht="15.75" customHeight="1" x14ac:dyDescent="0.25">
      <c r="N970" s="144"/>
      <c r="O970" s="144"/>
      <c r="P970" s="144"/>
      <c r="Q970" s="144"/>
    </row>
    <row r="971" spans="14:17" ht="15.75" customHeight="1" x14ac:dyDescent="0.25">
      <c r="N971" s="144"/>
      <c r="O971" s="144"/>
      <c r="P971" s="144"/>
      <c r="Q971" s="144"/>
    </row>
    <row r="972" spans="14:17" ht="15.75" customHeight="1" x14ac:dyDescent="0.25">
      <c r="N972" s="144"/>
      <c r="O972" s="144"/>
      <c r="P972" s="144"/>
      <c r="Q972" s="144"/>
    </row>
    <row r="973" spans="14:17" ht="15.75" customHeight="1" x14ac:dyDescent="0.25">
      <c r="N973" s="144"/>
      <c r="O973" s="144"/>
      <c r="P973" s="144"/>
      <c r="Q973" s="144"/>
    </row>
    <row r="974" spans="14:17" ht="15.75" customHeight="1" x14ac:dyDescent="0.25">
      <c r="N974" s="144"/>
      <c r="O974" s="144"/>
      <c r="P974" s="144"/>
      <c r="Q974" s="144"/>
    </row>
    <row r="975" spans="14:17" ht="15.75" customHeight="1" x14ac:dyDescent="0.25">
      <c r="N975" s="144"/>
      <c r="O975" s="144"/>
      <c r="P975" s="144"/>
      <c r="Q975" s="144"/>
    </row>
    <row r="976" spans="14:17" ht="15.75" customHeight="1" x14ac:dyDescent="0.25">
      <c r="N976" s="144"/>
      <c r="O976" s="144"/>
      <c r="P976" s="144"/>
      <c r="Q976" s="144"/>
    </row>
    <row r="977" spans="14:17" ht="15.75" customHeight="1" x14ac:dyDescent="0.25">
      <c r="N977" s="144"/>
      <c r="O977" s="144"/>
      <c r="P977" s="144"/>
      <c r="Q977" s="144"/>
    </row>
    <row r="978" spans="14:17" ht="15.75" customHeight="1" x14ac:dyDescent="0.25">
      <c r="N978" s="144"/>
      <c r="O978" s="144"/>
      <c r="P978" s="144"/>
      <c r="Q978" s="144"/>
    </row>
    <row r="979" spans="14:17" ht="15.75" customHeight="1" x14ac:dyDescent="0.25">
      <c r="N979" s="144"/>
      <c r="O979" s="144"/>
      <c r="P979" s="144"/>
      <c r="Q979" s="144"/>
    </row>
    <row r="980" spans="14:17" ht="15.75" customHeight="1" x14ac:dyDescent="0.25">
      <c r="N980" s="144"/>
      <c r="O980" s="144"/>
      <c r="P980" s="144"/>
      <c r="Q980" s="144"/>
    </row>
    <row r="981" spans="14:17" ht="15.75" customHeight="1" x14ac:dyDescent="0.25">
      <c r="N981" s="144"/>
      <c r="O981" s="144"/>
      <c r="P981" s="144"/>
      <c r="Q981" s="144"/>
    </row>
    <row r="982" spans="14:17" ht="15.75" customHeight="1" x14ac:dyDescent="0.25">
      <c r="N982" s="144"/>
      <c r="O982" s="144"/>
      <c r="P982" s="144"/>
      <c r="Q982" s="144"/>
    </row>
    <row r="983" spans="14:17" ht="15.75" customHeight="1" x14ac:dyDescent="0.25">
      <c r="N983" s="144"/>
      <c r="O983" s="144"/>
      <c r="P983" s="144"/>
      <c r="Q983" s="144"/>
    </row>
    <row r="984" spans="14:17" ht="15.75" customHeight="1" x14ac:dyDescent="0.25">
      <c r="N984" s="144"/>
      <c r="O984" s="144"/>
      <c r="P984" s="144"/>
      <c r="Q984" s="144"/>
    </row>
    <row r="985" spans="14:17" ht="15.75" customHeight="1" x14ac:dyDescent="0.25">
      <c r="N985" s="144"/>
      <c r="O985" s="144"/>
      <c r="P985" s="144"/>
      <c r="Q985" s="144"/>
    </row>
    <row r="986" spans="14:17" ht="15.75" customHeight="1" x14ac:dyDescent="0.25">
      <c r="N986" s="144"/>
      <c r="O986" s="144"/>
      <c r="P986" s="144"/>
      <c r="Q986" s="144"/>
    </row>
    <row r="987" spans="14:17" ht="15.75" customHeight="1" x14ac:dyDescent="0.25">
      <c r="N987" s="144"/>
      <c r="O987" s="144"/>
      <c r="P987" s="144"/>
      <c r="Q987" s="144"/>
    </row>
    <row r="988" spans="14:17" ht="15.75" customHeight="1" x14ac:dyDescent="0.25">
      <c r="N988" s="144"/>
      <c r="O988" s="144"/>
      <c r="P988" s="144"/>
      <c r="Q988" s="144"/>
    </row>
    <row r="989" spans="14:17" ht="15.75" customHeight="1" x14ac:dyDescent="0.25">
      <c r="N989" s="144"/>
      <c r="O989" s="144"/>
      <c r="P989" s="144"/>
      <c r="Q989" s="144"/>
    </row>
    <row r="990" spans="14:17" ht="15.75" customHeight="1" x14ac:dyDescent="0.25">
      <c r="N990" s="144"/>
      <c r="O990" s="144"/>
      <c r="P990" s="144"/>
      <c r="Q990" s="144"/>
    </row>
    <row r="991" spans="14:17" ht="15.75" customHeight="1" x14ac:dyDescent="0.25">
      <c r="N991" s="144"/>
      <c r="O991" s="144"/>
      <c r="P991" s="144"/>
      <c r="Q991" s="144"/>
    </row>
    <row r="992" spans="14:17" ht="15.75" customHeight="1" x14ac:dyDescent="0.25">
      <c r="N992" s="144"/>
      <c r="O992" s="144"/>
      <c r="P992" s="144"/>
      <c r="Q992" s="144"/>
    </row>
    <row r="993" spans="14:17" ht="15.75" customHeight="1" x14ac:dyDescent="0.25">
      <c r="N993" s="144"/>
      <c r="O993" s="144"/>
      <c r="P993" s="144"/>
      <c r="Q993" s="144"/>
    </row>
    <row r="994" spans="14:17" ht="15.75" customHeight="1" x14ac:dyDescent="0.25">
      <c r="N994" s="144"/>
      <c r="O994" s="144"/>
      <c r="P994" s="144"/>
      <c r="Q994" s="144"/>
    </row>
    <row r="995" spans="14:17" ht="15.75" customHeight="1" x14ac:dyDescent="0.25">
      <c r="N995" s="144"/>
      <c r="O995" s="144"/>
      <c r="P995" s="144"/>
      <c r="Q995" s="144"/>
    </row>
    <row r="996" spans="14:17" ht="15.75" customHeight="1" x14ac:dyDescent="0.25">
      <c r="N996" s="144"/>
      <c r="O996" s="144"/>
      <c r="P996" s="144"/>
      <c r="Q996" s="144"/>
    </row>
    <row r="997" spans="14:17" ht="15.75" customHeight="1" x14ac:dyDescent="0.25">
      <c r="N997" s="144"/>
      <c r="O997" s="144"/>
      <c r="P997" s="144"/>
      <c r="Q997" s="144"/>
    </row>
    <row r="998" spans="14:17" ht="15.75" customHeight="1" x14ac:dyDescent="0.25">
      <c r="N998" s="144"/>
      <c r="O998" s="144"/>
      <c r="P998" s="144"/>
      <c r="Q998" s="144"/>
    </row>
    <row r="999" spans="14:17" ht="15.75" customHeight="1" x14ac:dyDescent="0.25">
      <c r="N999" s="144"/>
      <c r="O999" s="144"/>
      <c r="P999" s="144"/>
      <c r="Q999" s="144"/>
    </row>
    <row r="1000" spans="14:17" ht="15.75" customHeight="1" x14ac:dyDescent="0.25">
      <c r="N1000" s="144"/>
      <c r="O1000" s="144"/>
      <c r="P1000" s="144"/>
      <c r="Q1000" s="144"/>
    </row>
  </sheetData>
  <autoFilter ref="A1:Y37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1" width="11.09765625" customWidth="1"/>
    <col min="2" max="2" width="10.8984375" customWidth="1"/>
    <col min="3" max="3" width="17.09765625" customWidth="1"/>
    <col min="4" max="4" width="10.19921875" customWidth="1"/>
    <col min="5" max="5" width="58.69921875" customWidth="1"/>
    <col min="6" max="6" width="23.3984375" customWidth="1"/>
    <col min="7" max="7" width="12" customWidth="1"/>
    <col min="8" max="8" width="29.3984375" customWidth="1"/>
    <col min="9" max="9" width="12.3984375" customWidth="1"/>
    <col min="10" max="10" width="30.5" customWidth="1"/>
    <col min="11" max="11" width="12.59765625" customWidth="1"/>
    <col min="12" max="12" width="7.69921875" customWidth="1"/>
    <col min="13" max="13" width="19.3984375" customWidth="1"/>
    <col min="14" max="14" width="18.09765625" customWidth="1"/>
    <col min="15" max="15" width="8.19921875" customWidth="1"/>
    <col min="16" max="16" width="16.09765625" customWidth="1"/>
    <col min="17" max="17" width="31.8984375" customWidth="1"/>
    <col min="18" max="18" width="35.09765625" customWidth="1"/>
    <col min="19" max="19" width="19.8984375" customWidth="1"/>
    <col min="20" max="20" width="18.69921875" customWidth="1"/>
    <col min="21" max="21" width="20.5" customWidth="1"/>
    <col min="22" max="22" width="26.69921875" customWidth="1"/>
    <col min="23" max="23" width="22.8984375" customWidth="1"/>
    <col min="24" max="24" width="24.09765625" customWidth="1"/>
    <col min="25" max="25" width="20.3984375" customWidth="1"/>
  </cols>
  <sheetData>
    <row r="1" spans="1:25" ht="14.4" x14ac:dyDescent="0.3">
      <c r="A1" s="136" t="s">
        <v>0</v>
      </c>
      <c r="B1" s="137" t="s">
        <v>1</v>
      </c>
      <c r="C1" s="137" t="s">
        <v>2</v>
      </c>
      <c r="D1" s="137" t="s">
        <v>3</v>
      </c>
      <c r="E1" s="137" t="s">
        <v>4</v>
      </c>
      <c r="F1" s="137" t="s">
        <v>5</v>
      </c>
      <c r="G1" s="137" t="s">
        <v>6</v>
      </c>
      <c r="H1" s="137" t="s">
        <v>7</v>
      </c>
      <c r="I1" s="137" t="s">
        <v>8</v>
      </c>
      <c r="J1" s="137" t="s">
        <v>9</v>
      </c>
      <c r="K1" s="137" t="s">
        <v>10</v>
      </c>
      <c r="L1" s="137" t="s">
        <v>11</v>
      </c>
      <c r="M1" s="137" t="s">
        <v>12</v>
      </c>
      <c r="N1" s="137" t="s">
        <v>13</v>
      </c>
      <c r="O1" s="138" t="s">
        <v>14</v>
      </c>
      <c r="P1" s="138" t="s">
        <v>15</v>
      </c>
      <c r="Q1" s="138" t="s">
        <v>16</v>
      </c>
      <c r="R1" s="137" t="s">
        <v>17</v>
      </c>
      <c r="S1" s="137" t="s">
        <v>18</v>
      </c>
      <c r="T1" s="137" t="s">
        <v>19</v>
      </c>
      <c r="U1" s="137" t="s">
        <v>20</v>
      </c>
      <c r="V1" s="137" t="s">
        <v>21</v>
      </c>
      <c r="W1" s="137" t="s">
        <v>22</v>
      </c>
      <c r="X1" s="137" t="s">
        <v>23</v>
      </c>
      <c r="Y1" s="139" t="s">
        <v>24</v>
      </c>
    </row>
    <row r="2" spans="1:25" ht="14.4" x14ac:dyDescent="0.3">
      <c r="A2" s="4">
        <v>45963</v>
      </c>
      <c r="B2" s="4">
        <v>45963</v>
      </c>
      <c r="C2" s="5" t="s">
        <v>48</v>
      </c>
      <c r="D2" s="5" t="s">
        <v>28</v>
      </c>
      <c r="E2" s="5" t="s">
        <v>49</v>
      </c>
      <c r="F2" s="5" t="s">
        <v>50</v>
      </c>
      <c r="G2" s="5" t="s">
        <v>31</v>
      </c>
      <c r="H2" s="5" t="s">
        <v>51</v>
      </c>
      <c r="I2" s="5" t="s">
        <v>52</v>
      </c>
      <c r="J2" s="5" t="s">
        <v>176</v>
      </c>
      <c r="K2" s="7">
        <v>6</v>
      </c>
      <c r="L2" s="7">
        <v>1</v>
      </c>
      <c r="M2" s="16">
        <v>0.16666700000000001</v>
      </c>
      <c r="N2" s="10" t="s">
        <v>107</v>
      </c>
      <c r="O2" s="9">
        <v>2.91</v>
      </c>
      <c r="P2" s="9">
        <v>21.9</v>
      </c>
      <c r="Q2" s="9">
        <v>13.29</v>
      </c>
      <c r="R2" s="9">
        <v>7.53</v>
      </c>
      <c r="S2" s="7">
        <v>1</v>
      </c>
      <c r="T2" s="7">
        <v>1</v>
      </c>
      <c r="U2" s="8">
        <v>1</v>
      </c>
      <c r="V2" s="7">
        <v>1</v>
      </c>
      <c r="W2" s="7">
        <v>0</v>
      </c>
      <c r="X2" s="10" t="s">
        <v>55</v>
      </c>
      <c r="Y2" s="10" t="s">
        <v>36</v>
      </c>
    </row>
    <row r="3" spans="1:25" ht="14.4" x14ac:dyDescent="0.3">
      <c r="A3" s="4">
        <v>45963</v>
      </c>
      <c r="B3" s="4">
        <v>45969</v>
      </c>
      <c r="C3" s="5" t="s">
        <v>105</v>
      </c>
      <c r="D3" s="5" t="s">
        <v>28</v>
      </c>
      <c r="E3" s="5" t="s">
        <v>106</v>
      </c>
      <c r="F3" s="5" t="s">
        <v>30</v>
      </c>
      <c r="G3" s="5" t="s">
        <v>31</v>
      </c>
      <c r="H3" s="5" t="s">
        <v>30</v>
      </c>
      <c r="I3" s="5" t="s">
        <v>65</v>
      </c>
      <c r="J3" s="5" t="s">
        <v>30</v>
      </c>
      <c r="K3" s="7">
        <v>2756</v>
      </c>
      <c r="L3" s="7">
        <v>10</v>
      </c>
      <c r="M3" s="16">
        <v>3.6280000000000001E-3</v>
      </c>
      <c r="N3" s="10" t="s">
        <v>177</v>
      </c>
      <c r="O3" s="9">
        <v>21.94</v>
      </c>
      <c r="P3" s="9">
        <v>24.94</v>
      </c>
      <c r="Q3" s="9">
        <v>87.97</v>
      </c>
      <c r="R3" s="9">
        <v>1.1399999999999999</v>
      </c>
      <c r="S3" s="7">
        <v>1</v>
      </c>
      <c r="T3" s="7">
        <v>1</v>
      </c>
      <c r="U3" s="16">
        <v>0.1</v>
      </c>
      <c r="V3" s="7">
        <v>1</v>
      </c>
      <c r="W3" s="7">
        <v>0</v>
      </c>
      <c r="X3" s="10" t="s">
        <v>35</v>
      </c>
      <c r="Y3" s="10" t="s">
        <v>36</v>
      </c>
    </row>
    <row r="4" spans="1:25" ht="14.4" x14ac:dyDescent="0.3">
      <c r="A4" s="4">
        <v>45963</v>
      </c>
      <c r="B4" s="4">
        <v>45963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30</v>
      </c>
      <c r="I4" s="5" t="s">
        <v>32</v>
      </c>
      <c r="J4" s="5" t="s">
        <v>162</v>
      </c>
      <c r="K4" s="7">
        <v>13</v>
      </c>
      <c r="L4" s="7">
        <v>1</v>
      </c>
      <c r="M4" s="16">
        <v>7.6923000000000005E-2</v>
      </c>
      <c r="N4" s="10" t="s">
        <v>34</v>
      </c>
      <c r="O4" s="9">
        <v>2.83</v>
      </c>
      <c r="P4" s="9">
        <v>24.94</v>
      </c>
      <c r="Q4" s="9">
        <v>11.35</v>
      </c>
      <c r="R4" s="9">
        <v>8.81</v>
      </c>
      <c r="S4" s="7">
        <v>1</v>
      </c>
      <c r="T4" s="7">
        <v>1</v>
      </c>
      <c r="U4" s="8">
        <v>1</v>
      </c>
      <c r="V4" s="7">
        <v>1</v>
      </c>
      <c r="W4" s="7">
        <v>0</v>
      </c>
      <c r="X4" s="10" t="s">
        <v>35</v>
      </c>
      <c r="Y4" s="10" t="s">
        <v>36</v>
      </c>
    </row>
    <row r="5" spans="1:25" ht="14.4" x14ac:dyDescent="0.3">
      <c r="A5" s="4">
        <v>45963</v>
      </c>
      <c r="B5" s="4">
        <v>45964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30</v>
      </c>
      <c r="I5" s="5" t="s">
        <v>32</v>
      </c>
      <c r="J5" s="5" t="s">
        <v>178</v>
      </c>
      <c r="K5" s="7">
        <v>25</v>
      </c>
      <c r="L5" s="7">
        <v>2</v>
      </c>
      <c r="M5" s="16">
        <v>0.08</v>
      </c>
      <c r="N5" s="10" t="s">
        <v>179</v>
      </c>
      <c r="O5" s="9">
        <v>8.68</v>
      </c>
      <c r="P5" s="9">
        <v>24.94</v>
      </c>
      <c r="Q5" s="9">
        <v>34.799999999999997</v>
      </c>
      <c r="R5" s="9">
        <v>2.87</v>
      </c>
      <c r="S5" s="7">
        <v>1</v>
      </c>
      <c r="T5" s="7">
        <v>1</v>
      </c>
      <c r="U5" s="16">
        <v>0.5</v>
      </c>
      <c r="V5" s="7">
        <v>1</v>
      </c>
      <c r="W5" s="7">
        <v>0</v>
      </c>
      <c r="X5" s="10" t="s">
        <v>35</v>
      </c>
      <c r="Y5" s="10" t="s">
        <v>36</v>
      </c>
    </row>
    <row r="6" spans="1:25" ht="14.4" x14ac:dyDescent="0.3">
      <c r="A6" s="4">
        <v>45963</v>
      </c>
      <c r="B6" s="4">
        <v>45963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30</v>
      </c>
      <c r="I6" s="5" t="s">
        <v>32</v>
      </c>
      <c r="J6" s="5" t="s">
        <v>180</v>
      </c>
      <c r="K6" s="7">
        <v>1</v>
      </c>
      <c r="L6" s="7">
        <v>1</v>
      </c>
      <c r="M6" s="8">
        <v>1</v>
      </c>
      <c r="N6" s="10" t="s">
        <v>179</v>
      </c>
      <c r="O6" s="9">
        <v>4.34</v>
      </c>
      <c r="P6" s="9">
        <v>24.94</v>
      </c>
      <c r="Q6" s="9">
        <v>17.399999999999999</v>
      </c>
      <c r="R6" s="9">
        <v>5.75</v>
      </c>
      <c r="S6" s="7">
        <v>1</v>
      </c>
      <c r="T6" s="7">
        <v>1</v>
      </c>
      <c r="U6" s="8">
        <v>1</v>
      </c>
      <c r="V6" s="7">
        <v>1</v>
      </c>
      <c r="W6" s="7">
        <v>0</v>
      </c>
      <c r="X6" s="10" t="s">
        <v>35</v>
      </c>
      <c r="Y6" s="10" t="s">
        <v>36</v>
      </c>
    </row>
    <row r="7" spans="1:25" ht="14.4" x14ac:dyDescent="0.3">
      <c r="A7" s="4">
        <v>45963</v>
      </c>
      <c r="B7" s="4">
        <v>45965</v>
      </c>
      <c r="C7" s="5" t="s">
        <v>85</v>
      </c>
      <c r="D7" s="5" t="s">
        <v>28</v>
      </c>
      <c r="E7" s="5" t="s">
        <v>108</v>
      </c>
      <c r="F7" s="5" t="s">
        <v>109</v>
      </c>
      <c r="G7" s="5" t="s">
        <v>31</v>
      </c>
      <c r="H7" s="5" t="s">
        <v>110</v>
      </c>
      <c r="I7" s="5" t="s">
        <v>44</v>
      </c>
      <c r="J7" s="5" t="s">
        <v>111</v>
      </c>
      <c r="K7" s="7">
        <v>4</v>
      </c>
      <c r="L7" s="7">
        <v>2</v>
      </c>
      <c r="M7" s="16">
        <v>0.5</v>
      </c>
      <c r="N7" s="10" t="s">
        <v>181</v>
      </c>
      <c r="O7" s="9">
        <v>4.99</v>
      </c>
      <c r="P7" s="9">
        <v>43.8</v>
      </c>
      <c r="Q7" s="9">
        <v>11.39</v>
      </c>
      <c r="R7" s="9">
        <v>8.7799999999999994</v>
      </c>
      <c r="S7" s="7">
        <v>2</v>
      </c>
      <c r="T7" s="7">
        <v>2</v>
      </c>
      <c r="U7" s="8">
        <v>1</v>
      </c>
      <c r="V7" s="7">
        <v>2</v>
      </c>
      <c r="W7" s="7">
        <v>0</v>
      </c>
      <c r="X7" s="10" t="s">
        <v>67</v>
      </c>
      <c r="Y7" s="10" t="s">
        <v>36</v>
      </c>
    </row>
    <row r="8" spans="1:25" ht="14.4" x14ac:dyDescent="0.3">
      <c r="A8" s="4">
        <v>45963</v>
      </c>
      <c r="B8" s="4">
        <v>45968</v>
      </c>
      <c r="C8" s="5" t="s">
        <v>143</v>
      </c>
      <c r="D8" s="5" t="s">
        <v>28</v>
      </c>
      <c r="E8" s="5" t="s">
        <v>144</v>
      </c>
      <c r="F8" s="5" t="s">
        <v>32</v>
      </c>
      <c r="G8" s="5" t="s">
        <v>31</v>
      </c>
      <c r="H8" s="5" t="s">
        <v>173</v>
      </c>
      <c r="I8" s="5" t="s">
        <v>65</v>
      </c>
      <c r="J8" s="5" t="s">
        <v>173</v>
      </c>
      <c r="K8" s="7">
        <v>185</v>
      </c>
      <c r="L8" s="7">
        <v>3</v>
      </c>
      <c r="M8" s="16">
        <v>1.6216000000000001E-2</v>
      </c>
      <c r="N8" s="10" t="s">
        <v>182</v>
      </c>
      <c r="O8" s="9">
        <v>2.48</v>
      </c>
      <c r="P8" s="9">
        <v>49.88</v>
      </c>
      <c r="Q8" s="9">
        <v>4.97</v>
      </c>
      <c r="R8" s="9">
        <v>20.11</v>
      </c>
      <c r="S8" s="7">
        <v>2</v>
      </c>
      <c r="T8" s="7">
        <v>2</v>
      </c>
      <c r="U8" s="16">
        <v>0.66666700000000001</v>
      </c>
      <c r="V8" s="7">
        <v>2</v>
      </c>
      <c r="W8" s="7">
        <v>0</v>
      </c>
      <c r="X8" s="10" t="s">
        <v>78</v>
      </c>
      <c r="Y8" s="10" t="s">
        <v>36</v>
      </c>
    </row>
    <row r="9" spans="1:25" ht="14.4" x14ac:dyDescent="0.3">
      <c r="A9" s="4">
        <v>45963</v>
      </c>
      <c r="B9" s="4">
        <v>45969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30</v>
      </c>
      <c r="I9" s="5" t="s">
        <v>32</v>
      </c>
      <c r="J9" s="5" t="s">
        <v>183</v>
      </c>
      <c r="K9" s="7">
        <v>37</v>
      </c>
      <c r="L9" s="7">
        <v>6</v>
      </c>
      <c r="M9" s="16">
        <v>0.162162</v>
      </c>
      <c r="N9" s="10" t="s">
        <v>165</v>
      </c>
      <c r="O9" s="9">
        <v>23.16</v>
      </c>
      <c r="P9" s="9">
        <v>49.88</v>
      </c>
      <c r="Q9" s="9">
        <v>46.43</v>
      </c>
      <c r="R9" s="9">
        <v>2.15</v>
      </c>
      <c r="S9" s="7">
        <v>2</v>
      </c>
      <c r="T9" s="7">
        <v>2</v>
      </c>
      <c r="U9" s="16">
        <v>0.33333299999999999</v>
      </c>
      <c r="V9" s="7">
        <v>2</v>
      </c>
      <c r="W9" s="7">
        <v>0</v>
      </c>
      <c r="X9" s="10" t="s">
        <v>78</v>
      </c>
      <c r="Y9" s="10" t="s">
        <v>36</v>
      </c>
    </row>
    <row r="10" spans="1:25" ht="14.4" x14ac:dyDescent="0.3">
      <c r="A10" s="4">
        <v>45963</v>
      </c>
      <c r="B10" s="4">
        <v>45969</v>
      </c>
      <c r="C10" s="5" t="s">
        <v>105</v>
      </c>
      <c r="D10" s="5" t="s">
        <v>28</v>
      </c>
      <c r="E10" s="5" t="s">
        <v>117</v>
      </c>
      <c r="F10" s="5" t="s">
        <v>118</v>
      </c>
      <c r="G10" s="5" t="s">
        <v>31</v>
      </c>
      <c r="H10" s="5" t="s">
        <v>119</v>
      </c>
      <c r="I10" s="5" t="s">
        <v>65</v>
      </c>
      <c r="J10" s="5" t="s">
        <v>119</v>
      </c>
      <c r="K10" s="7">
        <v>1957</v>
      </c>
      <c r="L10" s="7">
        <v>52</v>
      </c>
      <c r="M10" s="16">
        <v>2.6571000000000001E-2</v>
      </c>
      <c r="N10" s="10" t="s">
        <v>184</v>
      </c>
      <c r="O10" s="9">
        <v>156.44999999999999</v>
      </c>
      <c r="P10" s="9">
        <v>249.4</v>
      </c>
      <c r="Q10" s="9">
        <v>62.73</v>
      </c>
      <c r="R10" s="9">
        <v>1.59</v>
      </c>
      <c r="S10" s="7">
        <v>10</v>
      </c>
      <c r="T10" s="7">
        <v>10</v>
      </c>
      <c r="U10" s="16">
        <v>0.19230800000000001</v>
      </c>
      <c r="V10" s="7">
        <v>10</v>
      </c>
      <c r="W10" s="7">
        <v>0</v>
      </c>
      <c r="X10" s="10" t="s">
        <v>185</v>
      </c>
      <c r="Y10" s="10" t="s">
        <v>36</v>
      </c>
    </row>
    <row r="11" spans="1:25" ht="14.4" x14ac:dyDescent="0.3">
      <c r="A11" s="4">
        <v>45963</v>
      </c>
      <c r="B11" s="4">
        <v>45964</v>
      </c>
      <c r="C11" s="5" t="s">
        <v>27</v>
      </c>
      <c r="D11" s="5" t="s">
        <v>28</v>
      </c>
      <c r="E11" s="5" t="s">
        <v>56</v>
      </c>
      <c r="F11" s="5" t="s">
        <v>57</v>
      </c>
      <c r="G11" s="5" t="s">
        <v>31</v>
      </c>
      <c r="H11" s="12" t="e">
        <f>+maca +root</f>
        <v>#NAME?</v>
      </c>
      <c r="I11" s="5" t="s">
        <v>32</v>
      </c>
      <c r="J11" s="5" t="s">
        <v>119</v>
      </c>
      <c r="K11" s="7">
        <v>0</v>
      </c>
      <c r="L11" s="7">
        <v>0</v>
      </c>
      <c r="M11" s="13"/>
      <c r="N11" s="14"/>
      <c r="O11" s="9">
        <v>0</v>
      </c>
      <c r="P11" s="9">
        <v>49.88</v>
      </c>
      <c r="Q11" s="9">
        <v>0</v>
      </c>
      <c r="R11" s="15"/>
      <c r="S11" s="7">
        <v>2</v>
      </c>
      <c r="T11" s="7">
        <v>2</v>
      </c>
      <c r="U11" s="13"/>
      <c r="V11" s="7">
        <v>2</v>
      </c>
      <c r="W11" s="7">
        <v>0</v>
      </c>
      <c r="X11" s="10" t="s">
        <v>78</v>
      </c>
      <c r="Y11" s="10" t="s">
        <v>36</v>
      </c>
    </row>
    <row r="12" spans="1:25" ht="14.4" x14ac:dyDescent="0.3">
      <c r="A12" s="4">
        <v>45963</v>
      </c>
      <c r="B12" s="4">
        <v>45969</v>
      </c>
      <c r="C12" s="5" t="s">
        <v>40</v>
      </c>
      <c r="D12" s="5" t="s">
        <v>28</v>
      </c>
      <c r="E12" s="5" t="s">
        <v>41</v>
      </c>
      <c r="F12" s="5" t="s">
        <v>42</v>
      </c>
      <c r="G12" s="5" t="s">
        <v>31</v>
      </c>
      <c r="H12" s="5" t="s">
        <v>43</v>
      </c>
      <c r="I12" s="5" t="s">
        <v>44</v>
      </c>
      <c r="J12" s="5" t="s">
        <v>60</v>
      </c>
      <c r="K12" s="7">
        <v>66</v>
      </c>
      <c r="L12" s="7">
        <v>5</v>
      </c>
      <c r="M12" s="16">
        <v>7.5758000000000006E-2</v>
      </c>
      <c r="N12" s="10" t="s">
        <v>186</v>
      </c>
      <c r="O12" s="9">
        <v>14.93</v>
      </c>
      <c r="P12" s="9">
        <v>24.94</v>
      </c>
      <c r="Q12" s="9">
        <v>59.86</v>
      </c>
      <c r="R12" s="9">
        <v>1.67</v>
      </c>
      <c r="S12" s="7">
        <v>1</v>
      </c>
      <c r="T12" s="7">
        <v>1</v>
      </c>
      <c r="U12" s="16">
        <v>0.2</v>
      </c>
      <c r="V12" s="7">
        <v>1</v>
      </c>
      <c r="W12" s="7">
        <v>0</v>
      </c>
      <c r="X12" s="10" t="s">
        <v>35</v>
      </c>
      <c r="Y12" s="10" t="s">
        <v>36</v>
      </c>
    </row>
    <row r="13" spans="1:25" ht="14.4" x14ac:dyDescent="0.3">
      <c r="A13" s="4">
        <v>45963</v>
      </c>
      <c r="B13" s="4">
        <v>45969</v>
      </c>
      <c r="C13" s="5" t="s">
        <v>40</v>
      </c>
      <c r="D13" s="5" t="s">
        <v>28</v>
      </c>
      <c r="E13" s="5" t="s">
        <v>41</v>
      </c>
      <c r="F13" s="5" t="s">
        <v>42</v>
      </c>
      <c r="G13" s="5" t="s">
        <v>31</v>
      </c>
      <c r="H13" s="5" t="s">
        <v>43</v>
      </c>
      <c r="I13" s="5" t="s">
        <v>44</v>
      </c>
      <c r="J13" s="5" t="s">
        <v>43</v>
      </c>
      <c r="K13" s="7">
        <v>120</v>
      </c>
      <c r="L13" s="7">
        <v>10</v>
      </c>
      <c r="M13" s="16">
        <v>8.3333000000000004E-2</v>
      </c>
      <c r="N13" s="10" t="s">
        <v>187</v>
      </c>
      <c r="O13" s="9">
        <v>31.14</v>
      </c>
      <c r="P13" s="9">
        <v>49.88</v>
      </c>
      <c r="Q13" s="9">
        <v>62.43</v>
      </c>
      <c r="R13" s="9">
        <v>1.6</v>
      </c>
      <c r="S13" s="7">
        <v>2</v>
      </c>
      <c r="T13" s="7">
        <v>2</v>
      </c>
      <c r="U13" s="16">
        <v>0.2</v>
      </c>
      <c r="V13" s="7">
        <v>2</v>
      </c>
      <c r="W13" s="7">
        <v>0</v>
      </c>
      <c r="X13" s="10" t="s">
        <v>78</v>
      </c>
      <c r="Y13" s="10" t="s">
        <v>36</v>
      </c>
    </row>
    <row r="14" spans="1:25" ht="14.4" x14ac:dyDescent="0.3">
      <c r="A14" s="4">
        <v>45963</v>
      </c>
      <c r="B14" s="4">
        <v>45963</v>
      </c>
      <c r="C14" s="5" t="s">
        <v>48</v>
      </c>
      <c r="D14" s="5" t="s">
        <v>28</v>
      </c>
      <c r="E14" s="5" t="s">
        <v>49</v>
      </c>
      <c r="F14" s="5" t="s">
        <v>50</v>
      </c>
      <c r="G14" s="5" t="s">
        <v>31</v>
      </c>
      <c r="H14" s="5" t="s">
        <v>51</v>
      </c>
      <c r="I14" s="5" t="s">
        <v>52</v>
      </c>
      <c r="J14" s="5" t="s">
        <v>188</v>
      </c>
      <c r="K14" s="7">
        <v>1</v>
      </c>
      <c r="L14" s="7">
        <v>1</v>
      </c>
      <c r="M14" s="8">
        <v>1</v>
      </c>
      <c r="N14" s="10" t="s">
        <v>131</v>
      </c>
      <c r="O14" s="9">
        <v>3</v>
      </c>
      <c r="P14" s="9">
        <v>21.9</v>
      </c>
      <c r="Q14" s="9">
        <v>13.7</v>
      </c>
      <c r="R14" s="9">
        <v>7.3</v>
      </c>
      <c r="S14" s="7">
        <v>1</v>
      </c>
      <c r="T14" s="7">
        <v>1</v>
      </c>
      <c r="U14" s="8">
        <v>1</v>
      </c>
      <c r="V14" s="7">
        <v>1</v>
      </c>
      <c r="W14" s="7">
        <v>0</v>
      </c>
      <c r="X14" s="10" t="s">
        <v>55</v>
      </c>
      <c r="Y14" s="10" t="s">
        <v>36</v>
      </c>
    </row>
    <row r="15" spans="1:25" ht="14.4" x14ac:dyDescent="0.3">
      <c r="A15" s="4">
        <v>45964</v>
      </c>
      <c r="B15" s="4">
        <v>45968</v>
      </c>
      <c r="C15" s="5" t="s">
        <v>27</v>
      </c>
      <c r="D15" s="5" t="s">
        <v>28</v>
      </c>
      <c r="E15" s="5" t="s">
        <v>56</v>
      </c>
      <c r="F15" s="5" t="s">
        <v>57</v>
      </c>
      <c r="G15" s="5" t="s">
        <v>31</v>
      </c>
      <c r="H15" s="12" t="e">
        <f>+maca +root</f>
        <v>#NAME?</v>
      </c>
      <c r="I15" s="5" t="s">
        <v>32</v>
      </c>
      <c r="J15" s="5" t="s">
        <v>159</v>
      </c>
      <c r="K15" s="7">
        <v>54</v>
      </c>
      <c r="L15" s="7">
        <v>3</v>
      </c>
      <c r="M15" s="16">
        <v>5.5556000000000001E-2</v>
      </c>
      <c r="N15" s="10" t="s">
        <v>160</v>
      </c>
      <c r="O15" s="9">
        <v>11.07</v>
      </c>
      <c r="P15" s="9">
        <v>24.94</v>
      </c>
      <c r="Q15" s="9">
        <v>44.39</v>
      </c>
      <c r="R15" s="9">
        <v>2.25</v>
      </c>
      <c r="S15" s="7">
        <v>1</v>
      </c>
      <c r="T15" s="7">
        <v>1</v>
      </c>
      <c r="U15" s="16">
        <v>0.33333299999999999</v>
      </c>
      <c r="V15" s="7">
        <v>1</v>
      </c>
      <c r="W15" s="7">
        <v>0</v>
      </c>
      <c r="X15" s="10" t="s">
        <v>35</v>
      </c>
      <c r="Y15" s="10" t="s">
        <v>36</v>
      </c>
    </row>
    <row r="16" spans="1:25" ht="14.4" x14ac:dyDescent="0.3">
      <c r="A16" s="4">
        <v>45964</v>
      </c>
      <c r="B16" s="4">
        <v>45968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30</v>
      </c>
      <c r="I16" s="5" t="s">
        <v>32</v>
      </c>
      <c r="J16" s="5" t="s">
        <v>161</v>
      </c>
      <c r="K16" s="7">
        <v>8</v>
      </c>
      <c r="L16" s="7">
        <v>2</v>
      </c>
      <c r="M16" s="16">
        <v>0.25</v>
      </c>
      <c r="N16" s="10" t="s">
        <v>160</v>
      </c>
      <c r="O16" s="9">
        <v>7.38</v>
      </c>
      <c r="P16" s="9">
        <v>24.94</v>
      </c>
      <c r="Q16" s="9">
        <v>29.59</v>
      </c>
      <c r="R16" s="9">
        <v>3.38</v>
      </c>
      <c r="S16" s="7">
        <v>1</v>
      </c>
      <c r="T16" s="7">
        <v>1</v>
      </c>
      <c r="U16" s="16">
        <v>0.5</v>
      </c>
      <c r="V16" s="7">
        <v>1</v>
      </c>
      <c r="W16" s="7">
        <v>0</v>
      </c>
      <c r="X16" s="10" t="s">
        <v>35</v>
      </c>
      <c r="Y16" s="10" t="s">
        <v>36</v>
      </c>
    </row>
    <row r="17" spans="1:25" ht="14.4" x14ac:dyDescent="0.3">
      <c r="A17" s="4">
        <v>45964</v>
      </c>
      <c r="B17" s="4">
        <v>45969</v>
      </c>
      <c r="C17" s="5" t="s">
        <v>27</v>
      </c>
      <c r="D17" s="5" t="s">
        <v>28</v>
      </c>
      <c r="E17" s="5" t="s">
        <v>71</v>
      </c>
      <c r="F17" s="5" t="s">
        <v>72</v>
      </c>
      <c r="G17" s="5" t="s">
        <v>31</v>
      </c>
      <c r="H17" s="5" t="s">
        <v>73</v>
      </c>
      <c r="I17" s="5" t="s">
        <v>52</v>
      </c>
      <c r="J17" s="5" t="s">
        <v>162</v>
      </c>
      <c r="K17" s="7">
        <v>58</v>
      </c>
      <c r="L17" s="7">
        <v>3</v>
      </c>
      <c r="M17" s="16">
        <v>5.1723999999999999E-2</v>
      </c>
      <c r="N17" s="10" t="s">
        <v>163</v>
      </c>
      <c r="O17" s="9">
        <v>11.44</v>
      </c>
      <c r="P17" s="9">
        <v>49.88</v>
      </c>
      <c r="Q17" s="9">
        <v>22.94</v>
      </c>
      <c r="R17" s="9">
        <v>4.3600000000000003</v>
      </c>
      <c r="S17" s="7">
        <v>2</v>
      </c>
      <c r="T17" s="7">
        <v>2</v>
      </c>
      <c r="U17" s="16">
        <v>0.66666700000000001</v>
      </c>
      <c r="V17" s="7">
        <v>2</v>
      </c>
      <c r="W17" s="7">
        <v>0</v>
      </c>
      <c r="X17" s="10" t="s">
        <v>78</v>
      </c>
      <c r="Y17" s="10" t="s">
        <v>36</v>
      </c>
    </row>
    <row r="18" spans="1:25" ht="14.4" x14ac:dyDescent="0.3">
      <c r="A18" s="4">
        <v>45964</v>
      </c>
      <c r="B18" s="4">
        <v>45964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30</v>
      </c>
      <c r="I18" s="5" t="s">
        <v>32</v>
      </c>
      <c r="J18" s="5" t="s">
        <v>164</v>
      </c>
      <c r="K18" s="7">
        <v>4</v>
      </c>
      <c r="L18" s="7">
        <v>1</v>
      </c>
      <c r="M18" s="16">
        <v>0.25</v>
      </c>
      <c r="N18" s="10" t="s">
        <v>165</v>
      </c>
      <c r="O18" s="9">
        <v>3.86</v>
      </c>
      <c r="P18" s="9">
        <v>24.94</v>
      </c>
      <c r="Q18" s="9">
        <v>15.48</v>
      </c>
      <c r="R18" s="9">
        <v>6.46</v>
      </c>
      <c r="S18" s="7">
        <v>1</v>
      </c>
      <c r="T18" s="7">
        <v>1</v>
      </c>
      <c r="U18" s="8">
        <v>1</v>
      </c>
      <c r="V18" s="7">
        <v>1</v>
      </c>
      <c r="W18" s="7">
        <v>0</v>
      </c>
      <c r="X18" s="10" t="s">
        <v>35</v>
      </c>
      <c r="Y18" s="10" t="s">
        <v>36</v>
      </c>
    </row>
    <row r="19" spans="1:25" ht="14.4" x14ac:dyDescent="0.3">
      <c r="A19" s="4">
        <v>45964</v>
      </c>
      <c r="B19" s="4">
        <v>45964</v>
      </c>
      <c r="C19" s="5" t="s">
        <v>48</v>
      </c>
      <c r="D19" s="5" t="s">
        <v>28</v>
      </c>
      <c r="E19" s="5" t="s">
        <v>49</v>
      </c>
      <c r="F19" s="5" t="s">
        <v>50</v>
      </c>
      <c r="G19" s="5" t="s">
        <v>31</v>
      </c>
      <c r="H19" s="5" t="s">
        <v>51</v>
      </c>
      <c r="I19" s="5" t="s">
        <v>52</v>
      </c>
      <c r="J19" s="5" t="s">
        <v>166</v>
      </c>
      <c r="K19" s="7">
        <v>1</v>
      </c>
      <c r="L19" s="7">
        <v>1</v>
      </c>
      <c r="M19" s="8">
        <v>1</v>
      </c>
      <c r="N19" s="10" t="s">
        <v>131</v>
      </c>
      <c r="O19" s="9">
        <v>3</v>
      </c>
      <c r="P19" s="9">
        <v>21.9</v>
      </c>
      <c r="Q19" s="9">
        <v>13.7</v>
      </c>
      <c r="R19" s="9">
        <v>7.3</v>
      </c>
      <c r="S19" s="7">
        <v>1</v>
      </c>
      <c r="T19" s="7">
        <v>1</v>
      </c>
      <c r="U19" s="8">
        <v>1</v>
      </c>
      <c r="V19" s="7">
        <v>1</v>
      </c>
      <c r="W19" s="7">
        <v>0</v>
      </c>
      <c r="X19" s="10" t="s">
        <v>55</v>
      </c>
      <c r="Y19" s="10" t="s">
        <v>36</v>
      </c>
    </row>
    <row r="20" spans="1:25" ht="14.4" x14ac:dyDescent="0.3">
      <c r="A20" s="4">
        <v>45964</v>
      </c>
      <c r="B20" s="4">
        <v>45968</v>
      </c>
      <c r="C20" s="5" t="s">
        <v>48</v>
      </c>
      <c r="D20" s="5" t="s">
        <v>28</v>
      </c>
      <c r="E20" s="5" t="s">
        <v>62</v>
      </c>
      <c r="F20" s="5" t="s">
        <v>63</v>
      </c>
      <c r="G20" s="5" t="s">
        <v>31</v>
      </c>
      <c r="H20" s="5" t="s">
        <v>88</v>
      </c>
      <c r="I20" s="5" t="s">
        <v>65</v>
      </c>
      <c r="J20" s="5" t="s">
        <v>89</v>
      </c>
      <c r="K20" s="7">
        <v>11</v>
      </c>
      <c r="L20" s="7">
        <v>2</v>
      </c>
      <c r="M20" s="16">
        <v>0.18181800000000001</v>
      </c>
      <c r="N20" s="10" t="s">
        <v>167</v>
      </c>
      <c r="O20" s="9">
        <v>10.36</v>
      </c>
      <c r="P20" s="9">
        <v>21.9</v>
      </c>
      <c r="Q20" s="9">
        <v>47.31</v>
      </c>
      <c r="R20" s="9">
        <v>2.11</v>
      </c>
      <c r="S20" s="7">
        <v>1</v>
      </c>
      <c r="T20" s="7">
        <v>1</v>
      </c>
      <c r="U20" s="16">
        <v>0.5</v>
      </c>
      <c r="V20" s="7">
        <v>1</v>
      </c>
      <c r="W20" s="7">
        <v>0</v>
      </c>
      <c r="X20" s="10" t="s">
        <v>55</v>
      </c>
      <c r="Y20" s="10" t="s">
        <v>36</v>
      </c>
    </row>
    <row r="21" spans="1:25" ht="15.75" customHeight="1" x14ac:dyDescent="0.3">
      <c r="A21" s="4">
        <v>45964</v>
      </c>
      <c r="B21" s="4">
        <v>45964</v>
      </c>
      <c r="C21" s="5" t="s">
        <v>48</v>
      </c>
      <c r="D21" s="5" t="s">
        <v>28</v>
      </c>
      <c r="E21" s="5" t="s">
        <v>62</v>
      </c>
      <c r="F21" s="5" t="s">
        <v>63</v>
      </c>
      <c r="G21" s="5" t="s">
        <v>31</v>
      </c>
      <c r="H21" s="5" t="s">
        <v>168</v>
      </c>
      <c r="I21" s="5" t="s">
        <v>65</v>
      </c>
      <c r="J21" s="5" t="s">
        <v>169</v>
      </c>
      <c r="K21" s="7">
        <v>6</v>
      </c>
      <c r="L21" s="7">
        <v>1</v>
      </c>
      <c r="M21" s="16">
        <v>0.16666700000000001</v>
      </c>
      <c r="N21" s="10" t="s">
        <v>170</v>
      </c>
      <c r="O21" s="9">
        <v>4.28</v>
      </c>
      <c r="P21" s="9">
        <v>21.9</v>
      </c>
      <c r="Q21" s="9">
        <v>19.54</v>
      </c>
      <c r="R21" s="9">
        <v>5.12</v>
      </c>
      <c r="S21" s="7">
        <v>1</v>
      </c>
      <c r="T21" s="7">
        <v>1</v>
      </c>
      <c r="U21" s="8">
        <v>1</v>
      </c>
      <c r="V21" s="7">
        <v>1</v>
      </c>
      <c r="W21" s="7">
        <v>0</v>
      </c>
      <c r="X21" s="10" t="s">
        <v>55</v>
      </c>
      <c r="Y21" s="10" t="s">
        <v>36</v>
      </c>
    </row>
    <row r="22" spans="1:25" ht="15.75" customHeight="1" x14ac:dyDescent="0.3">
      <c r="A22" s="4">
        <v>45964</v>
      </c>
      <c r="B22" s="4">
        <v>45969</v>
      </c>
      <c r="C22" s="5" t="s">
        <v>48</v>
      </c>
      <c r="D22" s="5" t="s">
        <v>28</v>
      </c>
      <c r="E22" s="5" t="s">
        <v>62</v>
      </c>
      <c r="F22" s="5" t="s">
        <v>63</v>
      </c>
      <c r="G22" s="5" t="s">
        <v>31</v>
      </c>
      <c r="H22" s="5" t="s">
        <v>168</v>
      </c>
      <c r="I22" s="5" t="s">
        <v>65</v>
      </c>
      <c r="J22" s="5" t="s">
        <v>171</v>
      </c>
      <c r="K22" s="7">
        <v>12</v>
      </c>
      <c r="L22" s="7">
        <v>3</v>
      </c>
      <c r="M22" s="16">
        <v>0.25</v>
      </c>
      <c r="N22" s="10" t="s">
        <v>172</v>
      </c>
      <c r="O22" s="9">
        <v>10.78</v>
      </c>
      <c r="P22" s="9">
        <v>21.9</v>
      </c>
      <c r="Q22" s="9">
        <v>49.22</v>
      </c>
      <c r="R22" s="9">
        <v>2.0299999999999998</v>
      </c>
      <c r="S22" s="7">
        <v>1</v>
      </c>
      <c r="T22" s="7">
        <v>1</v>
      </c>
      <c r="U22" s="16">
        <v>0.33333299999999999</v>
      </c>
      <c r="V22" s="7">
        <v>1</v>
      </c>
      <c r="W22" s="7">
        <v>0</v>
      </c>
      <c r="X22" s="10" t="s">
        <v>55</v>
      </c>
      <c r="Y22" s="10" t="s">
        <v>36</v>
      </c>
    </row>
    <row r="23" spans="1:25" ht="15.75" customHeight="1" x14ac:dyDescent="0.3">
      <c r="A23" s="4">
        <v>45964</v>
      </c>
      <c r="B23" s="4">
        <v>45964</v>
      </c>
      <c r="C23" s="5" t="s">
        <v>143</v>
      </c>
      <c r="D23" s="5" t="s">
        <v>28</v>
      </c>
      <c r="E23" s="5" t="s">
        <v>144</v>
      </c>
      <c r="F23" s="5" t="s">
        <v>32</v>
      </c>
      <c r="G23" s="5" t="s">
        <v>31</v>
      </c>
      <c r="H23" s="5" t="s">
        <v>173</v>
      </c>
      <c r="I23" s="5" t="s">
        <v>32</v>
      </c>
      <c r="J23" s="5" t="s">
        <v>174</v>
      </c>
      <c r="K23" s="7">
        <v>2</v>
      </c>
      <c r="L23" s="7">
        <v>1</v>
      </c>
      <c r="M23" s="16">
        <v>0.5</v>
      </c>
      <c r="N23" s="10" t="s">
        <v>175</v>
      </c>
      <c r="O23" s="9">
        <v>0.76</v>
      </c>
      <c r="P23" s="9">
        <v>24.94</v>
      </c>
      <c r="Q23" s="9">
        <v>3.05</v>
      </c>
      <c r="R23" s="9">
        <v>32.82</v>
      </c>
      <c r="S23" s="7">
        <v>1</v>
      </c>
      <c r="T23" s="7">
        <v>1</v>
      </c>
      <c r="U23" s="8">
        <v>1</v>
      </c>
      <c r="V23" s="7">
        <v>1</v>
      </c>
      <c r="W23" s="7">
        <v>0</v>
      </c>
      <c r="X23" s="10" t="s">
        <v>35</v>
      </c>
      <c r="Y23" s="10" t="s">
        <v>36</v>
      </c>
    </row>
    <row r="24" spans="1:25" ht="15.75" customHeight="1" x14ac:dyDescent="0.3">
      <c r="A24" s="4">
        <v>45965</v>
      </c>
      <c r="B24" s="4">
        <v>45965</v>
      </c>
      <c r="C24" s="5" t="s">
        <v>27</v>
      </c>
      <c r="D24" s="5" t="s">
        <v>28</v>
      </c>
      <c r="E24" s="5" t="s">
        <v>71</v>
      </c>
      <c r="F24" s="5" t="s">
        <v>72</v>
      </c>
      <c r="G24" s="5" t="s">
        <v>31</v>
      </c>
      <c r="H24" s="5" t="s">
        <v>51</v>
      </c>
      <c r="I24" s="5" t="s">
        <v>52</v>
      </c>
      <c r="J24" s="5" t="s">
        <v>145</v>
      </c>
      <c r="K24" s="7">
        <v>13</v>
      </c>
      <c r="L24" s="7">
        <v>1</v>
      </c>
      <c r="M24" s="16">
        <v>7.6923000000000005E-2</v>
      </c>
      <c r="N24" s="10" t="s">
        <v>124</v>
      </c>
      <c r="O24" s="9">
        <v>2.63</v>
      </c>
      <c r="P24" s="9">
        <v>24.94</v>
      </c>
      <c r="Q24" s="9">
        <v>10.55</v>
      </c>
      <c r="R24" s="9">
        <v>9.48</v>
      </c>
      <c r="S24" s="7">
        <v>1</v>
      </c>
      <c r="T24" s="7">
        <v>1</v>
      </c>
      <c r="U24" s="8">
        <v>1</v>
      </c>
      <c r="V24" s="7">
        <v>1</v>
      </c>
      <c r="W24" s="7">
        <v>0</v>
      </c>
      <c r="X24" s="10" t="s">
        <v>35</v>
      </c>
      <c r="Y24" s="10" t="s">
        <v>36</v>
      </c>
    </row>
    <row r="25" spans="1:25" ht="15.75" customHeight="1" x14ac:dyDescent="0.3">
      <c r="A25" s="4">
        <v>45965</v>
      </c>
      <c r="B25" s="4">
        <v>45965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30</v>
      </c>
      <c r="I25" s="5" t="s">
        <v>32</v>
      </c>
      <c r="J25" s="5" t="s">
        <v>155</v>
      </c>
      <c r="K25" s="7">
        <v>6</v>
      </c>
      <c r="L25" s="7">
        <v>1</v>
      </c>
      <c r="M25" s="16">
        <v>0.16666700000000001</v>
      </c>
      <c r="N25" s="10" t="s">
        <v>34</v>
      </c>
      <c r="O25" s="9">
        <v>2.83</v>
      </c>
      <c r="P25" s="9">
        <v>24.94</v>
      </c>
      <c r="Q25" s="9">
        <v>11.35</v>
      </c>
      <c r="R25" s="9">
        <v>8.81</v>
      </c>
      <c r="S25" s="7">
        <v>1</v>
      </c>
      <c r="T25" s="7">
        <v>1</v>
      </c>
      <c r="U25" s="8">
        <v>1</v>
      </c>
      <c r="V25" s="7">
        <v>1</v>
      </c>
      <c r="W25" s="7">
        <v>0</v>
      </c>
      <c r="X25" s="10" t="s">
        <v>35</v>
      </c>
      <c r="Y25" s="10" t="s">
        <v>36</v>
      </c>
    </row>
    <row r="26" spans="1:25" ht="15.75" customHeight="1" x14ac:dyDescent="0.3">
      <c r="A26" s="4">
        <v>45965</v>
      </c>
      <c r="B26" s="4">
        <v>45965</v>
      </c>
      <c r="C26" s="5" t="s">
        <v>27</v>
      </c>
      <c r="D26" s="5" t="s">
        <v>28</v>
      </c>
      <c r="E26" s="5" t="s">
        <v>71</v>
      </c>
      <c r="F26" s="5" t="s">
        <v>72</v>
      </c>
      <c r="G26" s="5" t="s">
        <v>31</v>
      </c>
      <c r="H26" s="5" t="s">
        <v>51</v>
      </c>
      <c r="I26" s="5" t="s">
        <v>52</v>
      </c>
      <c r="J26" s="5" t="s">
        <v>156</v>
      </c>
      <c r="K26" s="7">
        <v>1</v>
      </c>
      <c r="L26" s="7">
        <v>1</v>
      </c>
      <c r="M26" s="8">
        <v>1</v>
      </c>
      <c r="N26" s="10" t="s">
        <v>157</v>
      </c>
      <c r="O26" s="9">
        <v>2.62</v>
      </c>
      <c r="P26" s="9">
        <v>24.94</v>
      </c>
      <c r="Q26" s="9">
        <v>10.51</v>
      </c>
      <c r="R26" s="9">
        <v>9.52</v>
      </c>
      <c r="S26" s="7">
        <v>1</v>
      </c>
      <c r="T26" s="7">
        <v>1</v>
      </c>
      <c r="U26" s="8">
        <v>1</v>
      </c>
      <c r="V26" s="7">
        <v>1</v>
      </c>
      <c r="W26" s="7">
        <v>0</v>
      </c>
      <c r="X26" s="10" t="s">
        <v>35</v>
      </c>
      <c r="Y26" s="10" t="s">
        <v>36</v>
      </c>
    </row>
    <row r="27" spans="1:25" ht="15.75" customHeight="1" x14ac:dyDescent="0.3">
      <c r="A27" s="4">
        <v>45965</v>
      </c>
      <c r="B27" s="4">
        <v>45965</v>
      </c>
      <c r="C27" s="5" t="s">
        <v>48</v>
      </c>
      <c r="D27" s="5" t="s">
        <v>28</v>
      </c>
      <c r="E27" s="5" t="s">
        <v>49</v>
      </c>
      <c r="F27" s="5" t="s">
        <v>50</v>
      </c>
      <c r="G27" s="5" t="s">
        <v>31</v>
      </c>
      <c r="H27" s="5" t="s">
        <v>51</v>
      </c>
      <c r="I27" s="5" t="s">
        <v>52</v>
      </c>
      <c r="J27" s="5" t="s">
        <v>158</v>
      </c>
      <c r="K27" s="7">
        <v>1</v>
      </c>
      <c r="L27" s="7">
        <v>1</v>
      </c>
      <c r="M27" s="8">
        <v>1</v>
      </c>
      <c r="N27" s="10" t="s">
        <v>131</v>
      </c>
      <c r="O27" s="9">
        <v>3</v>
      </c>
      <c r="P27" s="9">
        <v>21.9</v>
      </c>
      <c r="Q27" s="9">
        <v>13.7</v>
      </c>
      <c r="R27" s="9">
        <v>7.3</v>
      </c>
      <c r="S27" s="7">
        <v>1</v>
      </c>
      <c r="T27" s="7">
        <v>1</v>
      </c>
      <c r="U27" s="8">
        <v>1</v>
      </c>
      <c r="V27" s="7">
        <v>1</v>
      </c>
      <c r="W27" s="7">
        <v>0</v>
      </c>
      <c r="X27" s="10" t="s">
        <v>55</v>
      </c>
      <c r="Y27" s="10" t="s">
        <v>36</v>
      </c>
    </row>
    <row r="28" spans="1:25" ht="15.75" customHeight="1" x14ac:dyDescent="0.3">
      <c r="A28" s="4">
        <v>45966</v>
      </c>
      <c r="B28" s="4">
        <v>45966</v>
      </c>
      <c r="C28" s="5" t="s">
        <v>143</v>
      </c>
      <c r="D28" s="5" t="s">
        <v>28</v>
      </c>
      <c r="E28" s="5" t="s">
        <v>144</v>
      </c>
      <c r="F28" s="5" t="s">
        <v>32</v>
      </c>
      <c r="G28" s="5" t="s">
        <v>31</v>
      </c>
      <c r="H28" s="5" t="s">
        <v>30</v>
      </c>
      <c r="I28" s="5" t="s">
        <v>44</v>
      </c>
      <c r="J28" s="5" t="s">
        <v>145</v>
      </c>
      <c r="K28" s="7">
        <v>108</v>
      </c>
      <c r="L28" s="7">
        <v>1</v>
      </c>
      <c r="M28" s="16">
        <v>9.2589999999999999E-3</v>
      </c>
      <c r="N28" s="10" t="s">
        <v>146</v>
      </c>
      <c r="O28" s="9">
        <v>0.63</v>
      </c>
      <c r="P28" s="9">
        <v>24.94</v>
      </c>
      <c r="Q28" s="9">
        <v>2.5299999999999998</v>
      </c>
      <c r="R28" s="9">
        <v>39.590000000000003</v>
      </c>
      <c r="S28" s="7">
        <v>1</v>
      </c>
      <c r="T28" s="7">
        <v>1</v>
      </c>
      <c r="U28" s="8">
        <v>1</v>
      </c>
      <c r="V28" s="7">
        <v>1</v>
      </c>
      <c r="W28" s="7">
        <v>0</v>
      </c>
      <c r="X28" s="10" t="s">
        <v>35</v>
      </c>
      <c r="Y28" s="10" t="s">
        <v>36</v>
      </c>
    </row>
    <row r="29" spans="1:25" ht="15.75" customHeight="1" x14ac:dyDescent="0.3">
      <c r="A29" s="4">
        <v>45966</v>
      </c>
      <c r="B29" s="4">
        <v>45966</v>
      </c>
      <c r="C29" s="5" t="s">
        <v>27</v>
      </c>
      <c r="D29" s="5" t="s">
        <v>28</v>
      </c>
      <c r="E29" s="5" t="s">
        <v>56</v>
      </c>
      <c r="F29" s="5" t="s">
        <v>57</v>
      </c>
      <c r="G29" s="5" t="s">
        <v>31</v>
      </c>
      <c r="H29" s="12" t="e">
        <f>+maca +root</f>
        <v>#NAME?</v>
      </c>
      <c r="I29" s="5" t="s">
        <v>32</v>
      </c>
      <c r="J29" s="5" t="s">
        <v>147</v>
      </c>
      <c r="K29" s="7">
        <v>2</v>
      </c>
      <c r="L29" s="7">
        <v>1</v>
      </c>
      <c r="M29" s="16">
        <v>0.5</v>
      </c>
      <c r="N29" s="10" t="s">
        <v>148</v>
      </c>
      <c r="O29" s="9">
        <v>3.44</v>
      </c>
      <c r="P29" s="9">
        <v>24.94</v>
      </c>
      <c r="Q29" s="9">
        <v>13.79</v>
      </c>
      <c r="R29" s="9">
        <v>7.25</v>
      </c>
      <c r="S29" s="7">
        <v>1</v>
      </c>
      <c r="T29" s="7">
        <v>1</v>
      </c>
      <c r="U29" s="8">
        <v>1</v>
      </c>
      <c r="V29" s="7">
        <v>1</v>
      </c>
      <c r="W29" s="7">
        <v>0</v>
      </c>
      <c r="X29" s="10" t="s">
        <v>35</v>
      </c>
      <c r="Y29" s="10" t="s">
        <v>36</v>
      </c>
    </row>
    <row r="30" spans="1:25" ht="15.75" customHeight="1" x14ac:dyDescent="0.3">
      <c r="A30" s="4">
        <v>45966</v>
      </c>
      <c r="B30" s="4">
        <v>45966</v>
      </c>
      <c r="C30" s="5" t="s">
        <v>27</v>
      </c>
      <c r="D30" s="5" t="s">
        <v>28</v>
      </c>
      <c r="E30" s="5" t="s">
        <v>71</v>
      </c>
      <c r="F30" s="5" t="s">
        <v>72</v>
      </c>
      <c r="G30" s="5" t="s">
        <v>31</v>
      </c>
      <c r="H30" s="5" t="s">
        <v>73</v>
      </c>
      <c r="I30" s="5" t="s">
        <v>52</v>
      </c>
      <c r="J30" s="5" t="s">
        <v>43</v>
      </c>
      <c r="K30" s="7">
        <v>9</v>
      </c>
      <c r="L30" s="7">
        <v>1</v>
      </c>
      <c r="M30" s="16">
        <v>0.111111</v>
      </c>
      <c r="N30" s="10" t="s">
        <v>149</v>
      </c>
      <c r="O30" s="9">
        <v>3.06</v>
      </c>
      <c r="P30" s="9">
        <v>24.94</v>
      </c>
      <c r="Q30" s="9">
        <v>12.27</v>
      </c>
      <c r="R30" s="9">
        <v>8.15</v>
      </c>
      <c r="S30" s="7">
        <v>1</v>
      </c>
      <c r="T30" s="7">
        <v>1</v>
      </c>
      <c r="U30" s="8">
        <v>1</v>
      </c>
      <c r="V30" s="7">
        <v>1</v>
      </c>
      <c r="W30" s="7">
        <v>0</v>
      </c>
      <c r="X30" s="10" t="s">
        <v>35</v>
      </c>
      <c r="Y30" s="10" t="s">
        <v>36</v>
      </c>
    </row>
    <row r="31" spans="1:25" ht="15.75" customHeight="1" x14ac:dyDescent="0.3">
      <c r="A31" s="4">
        <v>45966</v>
      </c>
      <c r="B31" s="4">
        <v>45969</v>
      </c>
      <c r="C31" s="5" t="s">
        <v>27</v>
      </c>
      <c r="D31" s="5" t="s">
        <v>28</v>
      </c>
      <c r="E31" s="5" t="s">
        <v>71</v>
      </c>
      <c r="F31" s="5" t="s">
        <v>72</v>
      </c>
      <c r="G31" s="5" t="s">
        <v>31</v>
      </c>
      <c r="H31" s="5" t="s">
        <v>73</v>
      </c>
      <c r="I31" s="5" t="s">
        <v>52</v>
      </c>
      <c r="J31" s="5" t="s">
        <v>101</v>
      </c>
      <c r="K31" s="7">
        <v>350</v>
      </c>
      <c r="L31" s="7">
        <v>6</v>
      </c>
      <c r="M31" s="16">
        <v>1.7142999999999999E-2</v>
      </c>
      <c r="N31" s="10" t="s">
        <v>150</v>
      </c>
      <c r="O31" s="9">
        <v>23.36</v>
      </c>
      <c r="P31" s="9">
        <v>49.88</v>
      </c>
      <c r="Q31" s="9">
        <v>46.83</v>
      </c>
      <c r="R31" s="9">
        <v>2.14</v>
      </c>
      <c r="S31" s="7">
        <v>2</v>
      </c>
      <c r="T31" s="7">
        <v>2</v>
      </c>
      <c r="U31" s="16">
        <v>0.33333299999999999</v>
      </c>
      <c r="V31" s="7">
        <v>2</v>
      </c>
      <c r="W31" s="7">
        <v>0</v>
      </c>
      <c r="X31" s="10" t="s">
        <v>78</v>
      </c>
      <c r="Y31" s="10" t="s">
        <v>36</v>
      </c>
    </row>
    <row r="32" spans="1:25" ht="15.75" customHeight="1" x14ac:dyDescent="0.3">
      <c r="A32" s="4">
        <v>45966</v>
      </c>
      <c r="B32" s="4">
        <v>45966</v>
      </c>
      <c r="C32" s="5" t="s">
        <v>85</v>
      </c>
      <c r="D32" s="5" t="s">
        <v>28</v>
      </c>
      <c r="E32" s="5" t="s">
        <v>108</v>
      </c>
      <c r="F32" s="5" t="s">
        <v>109</v>
      </c>
      <c r="G32" s="5" t="s">
        <v>31</v>
      </c>
      <c r="H32" s="5" t="s">
        <v>110</v>
      </c>
      <c r="I32" s="5" t="s">
        <v>44</v>
      </c>
      <c r="J32" s="5" t="s">
        <v>151</v>
      </c>
      <c r="K32" s="7">
        <v>2</v>
      </c>
      <c r="L32" s="7">
        <v>1</v>
      </c>
      <c r="M32" s="16">
        <v>0.5</v>
      </c>
      <c r="N32" s="10" t="s">
        <v>152</v>
      </c>
      <c r="O32" s="9">
        <v>3.09</v>
      </c>
      <c r="P32" s="9">
        <v>24.94</v>
      </c>
      <c r="Q32" s="9">
        <v>12.39</v>
      </c>
      <c r="R32" s="9">
        <v>8.07</v>
      </c>
      <c r="S32" s="7">
        <v>1</v>
      </c>
      <c r="T32" s="7">
        <v>1</v>
      </c>
      <c r="U32" s="8">
        <v>1</v>
      </c>
      <c r="V32" s="7">
        <v>1</v>
      </c>
      <c r="W32" s="7">
        <v>0</v>
      </c>
      <c r="X32" s="10" t="s">
        <v>35</v>
      </c>
      <c r="Y32" s="10" t="s">
        <v>36</v>
      </c>
    </row>
    <row r="33" spans="1:25" ht="15.75" customHeight="1" x14ac:dyDescent="0.3">
      <c r="A33" s="4">
        <v>45966</v>
      </c>
      <c r="B33" s="4">
        <v>45968</v>
      </c>
      <c r="C33" s="5" t="s">
        <v>48</v>
      </c>
      <c r="D33" s="5" t="s">
        <v>28</v>
      </c>
      <c r="E33" s="5" t="s">
        <v>49</v>
      </c>
      <c r="F33" s="5" t="s">
        <v>50</v>
      </c>
      <c r="G33" s="5" t="s">
        <v>31</v>
      </c>
      <c r="H33" s="5" t="s">
        <v>51</v>
      </c>
      <c r="I33" s="5" t="s">
        <v>52</v>
      </c>
      <c r="J33" s="5" t="s">
        <v>153</v>
      </c>
      <c r="K33" s="7">
        <v>36</v>
      </c>
      <c r="L33" s="7">
        <v>3</v>
      </c>
      <c r="M33" s="16">
        <v>8.3333000000000004E-2</v>
      </c>
      <c r="N33" s="10" t="s">
        <v>154</v>
      </c>
      <c r="O33" s="9">
        <v>6.74</v>
      </c>
      <c r="P33" s="9">
        <v>43.8</v>
      </c>
      <c r="Q33" s="9">
        <v>15.39</v>
      </c>
      <c r="R33" s="9">
        <v>6.5</v>
      </c>
      <c r="S33" s="7">
        <v>2</v>
      </c>
      <c r="T33" s="7">
        <v>2</v>
      </c>
      <c r="U33" s="16">
        <v>0.66666700000000001</v>
      </c>
      <c r="V33" s="7">
        <v>2</v>
      </c>
      <c r="W33" s="7">
        <v>0</v>
      </c>
      <c r="X33" s="10" t="s">
        <v>67</v>
      </c>
      <c r="Y33" s="10" t="s">
        <v>36</v>
      </c>
    </row>
    <row r="34" spans="1:25" ht="15.75" customHeight="1" x14ac:dyDescent="0.3">
      <c r="A34" s="4">
        <v>45967</v>
      </c>
      <c r="B34" s="4">
        <v>45967</v>
      </c>
      <c r="C34" s="5" t="s">
        <v>27</v>
      </c>
      <c r="D34" s="5" t="s">
        <v>28</v>
      </c>
      <c r="E34" s="5" t="s">
        <v>56</v>
      </c>
      <c r="F34" s="5" t="s">
        <v>57</v>
      </c>
      <c r="G34" s="5" t="s">
        <v>31</v>
      </c>
      <c r="H34" s="12" t="e">
        <f>+maca +root</f>
        <v>#NAME?</v>
      </c>
      <c r="I34" s="5" t="s">
        <v>32</v>
      </c>
      <c r="J34" s="5" t="s">
        <v>137</v>
      </c>
      <c r="K34" s="7">
        <v>3</v>
      </c>
      <c r="L34" s="7">
        <v>1</v>
      </c>
      <c r="M34" s="16">
        <v>0.33333299999999999</v>
      </c>
      <c r="N34" s="10" t="s">
        <v>59</v>
      </c>
      <c r="O34" s="9">
        <v>4.3499999999999996</v>
      </c>
      <c r="P34" s="9">
        <v>24.94</v>
      </c>
      <c r="Q34" s="9">
        <v>17.440000000000001</v>
      </c>
      <c r="R34" s="9">
        <v>5.73</v>
      </c>
      <c r="S34" s="7">
        <v>1</v>
      </c>
      <c r="T34" s="7">
        <v>1</v>
      </c>
      <c r="U34" s="8">
        <v>1</v>
      </c>
      <c r="V34" s="7">
        <v>1</v>
      </c>
      <c r="W34" s="7">
        <v>0</v>
      </c>
      <c r="X34" s="10" t="s">
        <v>35</v>
      </c>
      <c r="Y34" s="10" t="s">
        <v>36</v>
      </c>
    </row>
    <row r="35" spans="1:25" ht="15.75" customHeight="1" x14ac:dyDescent="0.3">
      <c r="A35" s="4">
        <v>45967</v>
      </c>
      <c r="B35" s="4">
        <v>45967</v>
      </c>
      <c r="C35" s="5" t="s">
        <v>40</v>
      </c>
      <c r="D35" s="5" t="s">
        <v>28</v>
      </c>
      <c r="E35" s="5" t="s">
        <v>41</v>
      </c>
      <c r="F35" s="5" t="s">
        <v>42</v>
      </c>
      <c r="G35" s="5" t="s">
        <v>31</v>
      </c>
      <c r="H35" s="5" t="s">
        <v>43</v>
      </c>
      <c r="I35" s="5" t="s">
        <v>44</v>
      </c>
      <c r="J35" s="5" t="s">
        <v>138</v>
      </c>
      <c r="K35" s="7">
        <v>1</v>
      </c>
      <c r="L35" s="7">
        <v>1</v>
      </c>
      <c r="M35" s="8">
        <v>1</v>
      </c>
      <c r="N35" s="10" t="s">
        <v>139</v>
      </c>
      <c r="O35" s="9">
        <v>2.08</v>
      </c>
      <c r="P35" s="9">
        <v>24.94</v>
      </c>
      <c r="Q35" s="9">
        <v>8.34</v>
      </c>
      <c r="R35" s="9">
        <v>11.99</v>
      </c>
      <c r="S35" s="7">
        <v>1</v>
      </c>
      <c r="T35" s="7">
        <v>1</v>
      </c>
      <c r="U35" s="8">
        <v>1</v>
      </c>
      <c r="V35" s="7">
        <v>1</v>
      </c>
      <c r="W35" s="7">
        <v>0</v>
      </c>
      <c r="X35" s="10" t="s">
        <v>35</v>
      </c>
      <c r="Y35" s="10" t="s">
        <v>36</v>
      </c>
    </row>
    <row r="36" spans="1:25" ht="15.75" customHeight="1" x14ac:dyDescent="0.3">
      <c r="A36" s="4">
        <v>45967</v>
      </c>
      <c r="B36" s="4">
        <v>45967</v>
      </c>
      <c r="C36" s="5" t="s">
        <v>27</v>
      </c>
      <c r="D36" s="5" t="s">
        <v>28</v>
      </c>
      <c r="E36" s="5" t="s">
        <v>71</v>
      </c>
      <c r="F36" s="5" t="s">
        <v>72</v>
      </c>
      <c r="G36" s="5" t="s">
        <v>31</v>
      </c>
      <c r="H36" s="5" t="s">
        <v>73</v>
      </c>
      <c r="I36" s="5" t="s">
        <v>52</v>
      </c>
      <c r="J36" s="5" t="s">
        <v>140</v>
      </c>
      <c r="K36" s="7">
        <v>13</v>
      </c>
      <c r="L36" s="7">
        <v>1</v>
      </c>
      <c r="M36" s="16">
        <v>7.6923000000000005E-2</v>
      </c>
      <c r="N36" s="10" t="s">
        <v>141</v>
      </c>
      <c r="O36" s="9">
        <v>4.68</v>
      </c>
      <c r="P36" s="9">
        <v>24.94</v>
      </c>
      <c r="Q36" s="9">
        <v>18.77</v>
      </c>
      <c r="R36" s="9">
        <v>5.33</v>
      </c>
      <c r="S36" s="7">
        <v>1</v>
      </c>
      <c r="T36" s="7">
        <v>1</v>
      </c>
      <c r="U36" s="8">
        <v>1</v>
      </c>
      <c r="V36" s="7">
        <v>1</v>
      </c>
      <c r="W36" s="7">
        <v>0</v>
      </c>
      <c r="X36" s="10" t="s">
        <v>35</v>
      </c>
      <c r="Y36" s="10" t="s">
        <v>36</v>
      </c>
    </row>
    <row r="37" spans="1:25" ht="15.75" customHeight="1" x14ac:dyDescent="0.3">
      <c r="A37" s="4">
        <v>45967</v>
      </c>
      <c r="B37" s="4">
        <v>45967</v>
      </c>
      <c r="C37" s="5" t="s">
        <v>27</v>
      </c>
      <c r="D37" s="5" t="s">
        <v>28</v>
      </c>
      <c r="E37" s="5" t="s">
        <v>56</v>
      </c>
      <c r="F37" s="5" t="s">
        <v>57</v>
      </c>
      <c r="G37" s="5" t="s">
        <v>31</v>
      </c>
      <c r="H37" s="12" t="e">
        <f>+maca +root</f>
        <v>#NAME?</v>
      </c>
      <c r="I37" s="5" t="s">
        <v>32</v>
      </c>
      <c r="J37" s="5" t="s">
        <v>142</v>
      </c>
      <c r="K37" s="7">
        <v>3</v>
      </c>
      <c r="L37" s="7">
        <v>1</v>
      </c>
      <c r="M37" s="16">
        <v>0.33333299999999999</v>
      </c>
      <c r="N37" s="10" t="s">
        <v>82</v>
      </c>
      <c r="O37" s="9">
        <v>2.0699999999999998</v>
      </c>
      <c r="P37" s="9">
        <v>24.94</v>
      </c>
      <c r="Q37" s="9">
        <v>8.3000000000000007</v>
      </c>
      <c r="R37" s="9">
        <v>12.05</v>
      </c>
      <c r="S37" s="7">
        <v>1</v>
      </c>
      <c r="T37" s="7">
        <v>1</v>
      </c>
      <c r="U37" s="8">
        <v>1</v>
      </c>
      <c r="V37" s="7">
        <v>1</v>
      </c>
      <c r="W37" s="7">
        <v>0</v>
      </c>
      <c r="X37" s="10" t="s">
        <v>35</v>
      </c>
      <c r="Y37" s="10" t="s">
        <v>36</v>
      </c>
    </row>
    <row r="38" spans="1:25" ht="15.75" customHeight="1" x14ac:dyDescent="0.3">
      <c r="A38" s="4">
        <v>45968</v>
      </c>
      <c r="B38" s="4">
        <v>45968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30</v>
      </c>
      <c r="I38" s="5" t="s">
        <v>32</v>
      </c>
      <c r="J38" s="5" t="s">
        <v>133</v>
      </c>
      <c r="K38" s="7">
        <v>2</v>
      </c>
      <c r="L38" s="7">
        <v>1</v>
      </c>
      <c r="M38" s="16">
        <v>0.5</v>
      </c>
      <c r="N38" s="10" t="s">
        <v>90</v>
      </c>
      <c r="O38" s="9">
        <v>3.41</v>
      </c>
      <c r="P38" s="9">
        <v>24.94</v>
      </c>
      <c r="Q38" s="9">
        <v>13.67</v>
      </c>
      <c r="R38" s="9">
        <v>7.31</v>
      </c>
      <c r="S38" s="7">
        <v>1</v>
      </c>
      <c r="T38" s="7">
        <v>1</v>
      </c>
      <c r="U38" s="8">
        <v>1</v>
      </c>
      <c r="V38" s="7">
        <v>1</v>
      </c>
      <c r="W38" s="7">
        <v>0</v>
      </c>
      <c r="X38" s="10" t="s">
        <v>35</v>
      </c>
      <c r="Y38" s="10" t="s">
        <v>36</v>
      </c>
    </row>
    <row r="39" spans="1:25" ht="15.75" customHeight="1" x14ac:dyDescent="0.3">
      <c r="A39" s="4">
        <v>45968</v>
      </c>
      <c r="B39" s="4">
        <v>45968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30</v>
      </c>
      <c r="I39" s="5" t="s">
        <v>32</v>
      </c>
      <c r="J39" s="5" t="s">
        <v>134</v>
      </c>
      <c r="K39" s="7">
        <v>1</v>
      </c>
      <c r="L39" s="7">
        <v>1</v>
      </c>
      <c r="M39" s="8">
        <v>1</v>
      </c>
      <c r="N39" s="10" t="s">
        <v>135</v>
      </c>
      <c r="O39" s="9">
        <v>2.59</v>
      </c>
      <c r="P39" s="9">
        <v>24.94</v>
      </c>
      <c r="Q39" s="9">
        <v>10.38</v>
      </c>
      <c r="R39" s="9">
        <v>9.6300000000000008</v>
      </c>
      <c r="S39" s="7">
        <v>1</v>
      </c>
      <c r="T39" s="7">
        <v>1</v>
      </c>
      <c r="U39" s="8">
        <v>1</v>
      </c>
      <c r="V39" s="7">
        <v>1</v>
      </c>
      <c r="W39" s="7">
        <v>0</v>
      </c>
      <c r="X39" s="10" t="s">
        <v>35</v>
      </c>
      <c r="Y39" s="10" t="s">
        <v>36</v>
      </c>
    </row>
    <row r="40" spans="1:25" ht="15.75" customHeight="1" x14ac:dyDescent="0.3">
      <c r="A40" s="4">
        <v>45968</v>
      </c>
      <c r="B40" s="4">
        <v>45968</v>
      </c>
      <c r="C40" s="5" t="s">
        <v>27</v>
      </c>
      <c r="D40" s="5" t="s">
        <v>28</v>
      </c>
      <c r="E40" s="5" t="s">
        <v>56</v>
      </c>
      <c r="F40" s="5" t="s">
        <v>57</v>
      </c>
      <c r="G40" s="5" t="s">
        <v>31</v>
      </c>
      <c r="H40" s="12" t="e">
        <f>+maca +root</f>
        <v>#NAME?</v>
      </c>
      <c r="I40" s="5" t="s">
        <v>32</v>
      </c>
      <c r="J40" s="5" t="s">
        <v>136</v>
      </c>
      <c r="K40" s="7">
        <v>2</v>
      </c>
      <c r="L40" s="7">
        <v>1</v>
      </c>
      <c r="M40" s="16">
        <v>0.5</v>
      </c>
      <c r="N40" s="10" t="s">
        <v>59</v>
      </c>
      <c r="O40" s="9">
        <v>4.3499999999999996</v>
      </c>
      <c r="P40" s="9">
        <v>49.88</v>
      </c>
      <c r="Q40" s="9">
        <v>8.7200000000000006</v>
      </c>
      <c r="R40" s="9">
        <v>11.47</v>
      </c>
      <c r="S40" s="7">
        <v>1</v>
      </c>
      <c r="T40" s="7">
        <v>2</v>
      </c>
      <c r="U40" s="8">
        <v>1</v>
      </c>
      <c r="V40" s="7">
        <v>2</v>
      </c>
      <c r="W40" s="7">
        <v>0</v>
      </c>
      <c r="X40" s="10" t="s">
        <v>78</v>
      </c>
      <c r="Y40" s="10" t="s">
        <v>36</v>
      </c>
    </row>
    <row r="41" spans="1:25" ht="15.75" customHeight="1" x14ac:dyDescent="0.3">
      <c r="A41" s="4">
        <v>45969</v>
      </c>
      <c r="B41" s="4">
        <v>45969</v>
      </c>
      <c r="C41" s="5" t="s">
        <v>48</v>
      </c>
      <c r="D41" s="5" t="s">
        <v>28</v>
      </c>
      <c r="E41" s="5" t="s">
        <v>49</v>
      </c>
      <c r="F41" s="5" t="s">
        <v>50</v>
      </c>
      <c r="G41" s="5" t="s">
        <v>31</v>
      </c>
      <c r="H41" s="5" t="s">
        <v>51</v>
      </c>
      <c r="I41" s="5" t="s">
        <v>52</v>
      </c>
      <c r="J41" s="5" t="s">
        <v>130</v>
      </c>
      <c r="K41" s="7">
        <v>1</v>
      </c>
      <c r="L41" s="7">
        <v>1</v>
      </c>
      <c r="M41" s="8">
        <v>1</v>
      </c>
      <c r="N41" s="10" t="s">
        <v>131</v>
      </c>
      <c r="O41" s="9">
        <v>3</v>
      </c>
      <c r="P41" s="9">
        <v>21.9</v>
      </c>
      <c r="Q41" s="9">
        <v>13.7</v>
      </c>
      <c r="R41" s="9">
        <v>7.3</v>
      </c>
      <c r="S41" s="7">
        <v>1</v>
      </c>
      <c r="T41" s="7">
        <v>1</v>
      </c>
      <c r="U41" s="8">
        <v>1</v>
      </c>
      <c r="V41" s="7">
        <v>1</v>
      </c>
      <c r="W41" s="7">
        <v>0</v>
      </c>
      <c r="X41" s="10" t="s">
        <v>55</v>
      </c>
      <c r="Y41" s="10" t="s">
        <v>36</v>
      </c>
    </row>
    <row r="42" spans="1:25" ht="15.75" customHeight="1" x14ac:dyDescent="0.3">
      <c r="A42" s="4">
        <v>45969</v>
      </c>
      <c r="B42" s="4">
        <v>45969</v>
      </c>
      <c r="C42" s="5" t="s">
        <v>27</v>
      </c>
      <c r="D42" s="5" t="s">
        <v>28</v>
      </c>
      <c r="E42" s="5" t="s">
        <v>71</v>
      </c>
      <c r="F42" s="5" t="s">
        <v>72</v>
      </c>
      <c r="G42" s="5" t="s">
        <v>31</v>
      </c>
      <c r="H42" s="5" t="s">
        <v>51</v>
      </c>
      <c r="I42" s="5" t="s">
        <v>52</v>
      </c>
      <c r="J42" s="5" t="s">
        <v>119</v>
      </c>
      <c r="K42" s="7">
        <v>0</v>
      </c>
      <c r="L42" s="7">
        <v>0</v>
      </c>
      <c r="M42" s="13"/>
      <c r="N42" s="14"/>
      <c r="O42" s="9">
        <v>0</v>
      </c>
      <c r="P42" s="9">
        <v>24.94</v>
      </c>
      <c r="Q42" s="9">
        <v>0</v>
      </c>
      <c r="R42" s="15"/>
      <c r="S42" s="7">
        <v>1</v>
      </c>
      <c r="T42" s="7">
        <v>1</v>
      </c>
      <c r="U42" s="13"/>
      <c r="V42" s="7">
        <v>1</v>
      </c>
      <c r="W42" s="7">
        <v>0</v>
      </c>
      <c r="X42" s="10" t="s">
        <v>35</v>
      </c>
      <c r="Y42" s="10" t="s">
        <v>36</v>
      </c>
    </row>
    <row r="43" spans="1:25" ht="15.75" customHeight="1" x14ac:dyDescent="0.3">
      <c r="A43" s="4">
        <v>45969</v>
      </c>
      <c r="B43" s="4">
        <v>45969</v>
      </c>
      <c r="C43" s="5" t="s">
        <v>27</v>
      </c>
      <c r="D43" s="5" t="s">
        <v>28</v>
      </c>
      <c r="E43" s="5" t="s">
        <v>56</v>
      </c>
      <c r="F43" s="5" t="s">
        <v>57</v>
      </c>
      <c r="G43" s="5" t="s">
        <v>31</v>
      </c>
      <c r="H43" s="12" t="e">
        <f>+maca +root</f>
        <v>#NAME?</v>
      </c>
      <c r="I43" s="5" t="s">
        <v>32</v>
      </c>
      <c r="J43" s="5" t="s">
        <v>132</v>
      </c>
      <c r="K43" s="7">
        <v>2</v>
      </c>
      <c r="L43" s="7">
        <v>1</v>
      </c>
      <c r="M43" s="16">
        <v>0.5</v>
      </c>
      <c r="N43" s="10" t="s">
        <v>102</v>
      </c>
      <c r="O43" s="9">
        <v>2.73</v>
      </c>
      <c r="P43" s="9">
        <v>24.94</v>
      </c>
      <c r="Q43" s="9">
        <v>10.95</v>
      </c>
      <c r="R43" s="9">
        <v>9.14</v>
      </c>
      <c r="S43" s="7">
        <v>1</v>
      </c>
      <c r="T43" s="7">
        <v>1</v>
      </c>
      <c r="U43" s="8">
        <v>1</v>
      </c>
      <c r="V43" s="7">
        <v>1</v>
      </c>
      <c r="W43" s="7">
        <v>0</v>
      </c>
      <c r="X43" s="10" t="s">
        <v>35</v>
      </c>
      <c r="Y43" s="10" t="s">
        <v>36</v>
      </c>
    </row>
    <row r="44" spans="1:25" ht="15.75" customHeight="1" x14ac:dyDescent="0.3">
      <c r="A44" s="140"/>
      <c r="B44" s="140"/>
      <c r="K44" s="141"/>
      <c r="L44" s="141"/>
      <c r="M44" s="143"/>
      <c r="N44" s="11"/>
      <c r="O44" s="142"/>
      <c r="P44" s="142"/>
      <c r="Q44" s="142"/>
      <c r="R44" s="142"/>
      <c r="S44" s="141"/>
      <c r="T44" s="141"/>
      <c r="U44" s="143"/>
      <c r="V44" s="141"/>
      <c r="W44" s="141"/>
      <c r="X44" s="11"/>
      <c r="Y44" s="11"/>
    </row>
    <row r="45" spans="1:25" ht="15.75" customHeight="1" x14ac:dyDescent="0.3">
      <c r="A45" s="140"/>
      <c r="B45" s="140"/>
      <c r="K45" s="141"/>
      <c r="L45" s="141"/>
      <c r="M45" s="143"/>
      <c r="N45" s="11"/>
      <c r="O45" s="142"/>
      <c r="P45" s="142"/>
      <c r="Q45" s="142"/>
      <c r="R45" s="142"/>
      <c r="S45" s="141"/>
      <c r="T45" s="141"/>
      <c r="U45" s="143"/>
      <c r="V45" s="141"/>
      <c r="W45" s="141"/>
      <c r="X45" s="11"/>
      <c r="Y45" s="11"/>
    </row>
    <row r="46" spans="1:25" ht="15.75" customHeight="1" x14ac:dyDescent="0.3">
      <c r="A46" s="140"/>
      <c r="B46" s="140"/>
      <c r="K46" s="141"/>
      <c r="L46" s="141"/>
      <c r="M46" s="143"/>
      <c r="N46" s="11"/>
      <c r="O46" s="142"/>
      <c r="P46" s="142"/>
      <c r="Q46" s="142"/>
      <c r="R46" s="142"/>
      <c r="S46" s="141"/>
      <c r="T46" s="141"/>
      <c r="U46" s="143"/>
      <c r="V46" s="141"/>
      <c r="W46" s="141"/>
      <c r="X46" s="11"/>
      <c r="Y46" s="11"/>
    </row>
    <row r="47" spans="1:25" ht="15.75" customHeight="1" x14ac:dyDescent="0.3">
      <c r="A47" s="140"/>
      <c r="B47" s="140"/>
      <c r="K47" s="141"/>
      <c r="L47" s="141"/>
      <c r="M47" s="143"/>
      <c r="N47" s="11"/>
      <c r="O47" s="142"/>
      <c r="P47" s="142"/>
      <c r="Q47" s="142"/>
      <c r="R47" s="142"/>
      <c r="S47" s="141"/>
      <c r="T47" s="141"/>
      <c r="U47" s="143"/>
      <c r="V47" s="141"/>
      <c r="W47" s="141"/>
      <c r="X47" s="11"/>
      <c r="Y47" s="11"/>
    </row>
    <row r="48" spans="1:25" ht="15.75" customHeight="1" x14ac:dyDescent="0.3">
      <c r="A48" s="140"/>
      <c r="B48" s="140"/>
      <c r="K48" s="141"/>
      <c r="L48" s="141"/>
      <c r="M48" s="143"/>
      <c r="N48" s="11"/>
      <c r="O48" s="142"/>
      <c r="P48" s="142"/>
      <c r="Q48" s="142"/>
      <c r="R48" s="142"/>
      <c r="S48" s="141"/>
      <c r="T48" s="141"/>
      <c r="U48" s="143"/>
      <c r="V48" s="141"/>
      <c r="W48" s="141"/>
      <c r="X48" s="11"/>
      <c r="Y48" s="11"/>
    </row>
    <row r="49" spans="1:25" ht="15.75" customHeight="1" x14ac:dyDescent="0.3">
      <c r="A49" s="140"/>
      <c r="B49" s="140"/>
      <c r="K49" s="141"/>
      <c r="L49" s="141"/>
      <c r="M49" s="143"/>
      <c r="N49" s="11"/>
      <c r="O49" s="142"/>
      <c r="P49" s="142"/>
      <c r="Q49" s="142"/>
      <c r="R49" s="142"/>
      <c r="S49" s="141"/>
      <c r="T49" s="141"/>
      <c r="U49" s="143"/>
      <c r="V49" s="141"/>
      <c r="W49" s="141"/>
      <c r="X49" s="11"/>
      <c r="Y49" s="11"/>
    </row>
    <row r="50" spans="1:25" ht="15.75" customHeight="1" x14ac:dyDescent="0.3">
      <c r="A50" s="140"/>
      <c r="B50" s="140"/>
      <c r="K50" s="141"/>
      <c r="L50" s="141"/>
      <c r="M50" s="143"/>
      <c r="N50" s="11"/>
      <c r="O50" s="142"/>
      <c r="P50" s="142"/>
      <c r="Q50" s="142"/>
      <c r="R50" s="142"/>
      <c r="S50" s="141"/>
      <c r="T50" s="141"/>
      <c r="U50" s="143"/>
      <c r="V50" s="141"/>
      <c r="W50" s="141"/>
      <c r="X50" s="11"/>
      <c r="Y50" s="11"/>
    </row>
    <row r="51" spans="1:25" ht="15.75" customHeight="1" x14ac:dyDescent="0.3">
      <c r="A51" s="140"/>
      <c r="B51" s="140"/>
      <c r="K51" s="141"/>
      <c r="L51" s="141"/>
      <c r="M51" s="143"/>
      <c r="N51" s="11"/>
      <c r="O51" s="142"/>
      <c r="P51" s="142"/>
      <c r="Q51" s="142"/>
      <c r="R51" s="142"/>
      <c r="S51" s="141"/>
      <c r="T51" s="141"/>
      <c r="U51" s="143"/>
      <c r="V51" s="141"/>
      <c r="W51" s="141"/>
      <c r="X51" s="11"/>
      <c r="Y51" s="11"/>
    </row>
    <row r="52" spans="1:25" ht="15.75" customHeight="1" x14ac:dyDescent="0.3">
      <c r="A52" s="140"/>
      <c r="B52" s="140"/>
      <c r="K52" s="141"/>
      <c r="L52" s="141"/>
      <c r="M52" s="143"/>
      <c r="N52" s="11"/>
      <c r="O52" s="142"/>
      <c r="P52" s="142"/>
      <c r="Q52" s="142"/>
      <c r="R52" s="142"/>
      <c r="S52" s="141"/>
      <c r="T52" s="141"/>
      <c r="U52" s="143"/>
      <c r="V52" s="141"/>
      <c r="W52" s="141"/>
      <c r="X52" s="11"/>
      <c r="Y52" s="11"/>
    </row>
    <row r="53" spans="1:25" ht="15.75" customHeight="1" x14ac:dyDescent="0.3">
      <c r="A53" s="140"/>
      <c r="B53" s="140"/>
      <c r="K53" s="141"/>
      <c r="L53" s="141"/>
      <c r="M53" s="143"/>
      <c r="N53" s="11"/>
      <c r="O53" s="142"/>
      <c r="P53" s="142"/>
      <c r="Q53" s="142"/>
      <c r="R53" s="142"/>
      <c r="S53" s="141"/>
      <c r="T53" s="141"/>
      <c r="U53" s="143"/>
      <c r="V53" s="141"/>
      <c r="W53" s="141"/>
      <c r="X53" s="11"/>
      <c r="Y53" s="11"/>
    </row>
    <row r="54" spans="1:25" ht="15.75" customHeight="1" x14ac:dyDescent="0.3">
      <c r="A54" s="140"/>
      <c r="B54" s="140"/>
      <c r="K54" s="141"/>
      <c r="L54" s="141"/>
      <c r="M54" s="143"/>
      <c r="N54" s="11"/>
      <c r="O54" s="142"/>
      <c r="P54" s="142"/>
      <c r="Q54" s="142"/>
      <c r="R54" s="142"/>
      <c r="S54" s="141"/>
      <c r="T54" s="141"/>
      <c r="U54" s="143"/>
      <c r="V54" s="141"/>
      <c r="W54" s="141"/>
      <c r="X54" s="11"/>
      <c r="Y54" s="11"/>
    </row>
    <row r="55" spans="1:25" ht="15.75" customHeight="1" x14ac:dyDescent="0.3">
      <c r="A55" s="140"/>
      <c r="B55" s="140"/>
      <c r="K55" s="141"/>
      <c r="L55" s="141"/>
      <c r="M55" s="143"/>
      <c r="N55" s="11"/>
      <c r="O55" s="142"/>
      <c r="P55" s="142"/>
      <c r="Q55" s="142"/>
      <c r="R55" s="142"/>
      <c r="S55" s="141"/>
      <c r="T55" s="141"/>
      <c r="U55" s="143"/>
      <c r="V55" s="141"/>
      <c r="W55" s="141"/>
      <c r="X55" s="11"/>
      <c r="Y55" s="11"/>
    </row>
    <row r="56" spans="1:25" ht="15.75" customHeight="1" x14ac:dyDescent="0.3">
      <c r="A56" s="140"/>
      <c r="B56" s="140"/>
      <c r="K56" s="141"/>
      <c r="L56" s="141"/>
      <c r="M56" s="143"/>
      <c r="N56" s="11"/>
      <c r="O56" s="142"/>
      <c r="P56" s="142"/>
      <c r="Q56" s="142"/>
      <c r="R56" s="142"/>
      <c r="S56" s="141"/>
      <c r="T56" s="141"/>
      <c r="U56" s="143"/>
      <c r="V56" s="141"/>
      <c r="W56" s="141"/>
      <c r="X56" s="11"/>
      <c r="Y56" s="11"/>
    </row>
    <row r="57" spans="1:25" ht="15.75" customHeight="1" x14ac:dyDescent="0.3">
      <c r="A57" s="140"/>
      <c r="B57" s="140"/>
      <c r="K57" s="141"/>
      <c r="L57" s="141"/>
      <c r="M57" s="143"/>
      <c r="N57" s="11"/>
      <c r="O57" s="142"/>
      <c r="P57" s="142"/>
      <c r="Q57" s="142"/>
      <c r="R57" s="142"/>
      <c r="S57" s="141"/>
      <c r="T57" s="141"/>
      <c r="U57" s="143"/>
      <c r="V57" s="141"/>
      <c r="W57" s="141"/>
      <c r="X57" s="11"/>
      <c r="Y57" s="11"/>
    </row>
    <row r="58" spans="1:25" ht="15.75" customHeight="1" x14ac:dyDescent="0.3">
      <c r="A58" s="140"/>
      <c r="B58" s="140"/>
      <c r="K58" s="141"/>
      <c r="L58" s="141"/>
      <c r="M58" s="143"/>
      <c r="N58" s="11"/>
      <c r="O58" s="142"/>
      <c r="P58" s="142"/>
      <c r="Q58" s="142"/>
      <c r="R58" s="142"/>
      <c r="S58" s="141"/>
      <c r="T58" s="141"/>
      <c r="U58" s="143"/>
      <c r="V58" s="141"/>
      <c r="W58" s="141"/>
      <c r="X58" s="11"/>
      <c r="Y58" s="11"/>
    </row>
    <row r="59" spans="1:25" ht="15.75" customHeight="1" x14ac:dyDescent="0.3">
      <c r="A59" s="140"/>
      <c r="B59" s="140"/>
      <c r="K59" s="141"/>
      <c r="L59" s="141"/>
      <c r="M59" s="143"/>
      <c r="N59" s="11"/>
      <c r="O59" s="142"/>
      <c r="P59" s="142"/>
      <c r="Q59" s="142"/>
      <c r="R59" s="142"/>
      <c r="S59" s="141"/>
      <c r="T59" s="141"/>
      <c r="U59" s="143"/>
      <c r="V59" s="141"/>
      <c r="W59" s="141"/>
      <c r="X59" s="11"/>
      <c r="Y59" s="11"/>
    </row>
    <row r="60" spans="1:25" ht="15.75" customHeight="1" x14ac:dyDescent="0.3">
      <c r="A60" s="140"/>
      <c r="B60" s="140"/>
      <c r="K60" s="141"/>
      <c r="L60" s="141"/>
      <c r="M60" s="143"/>
      <c r="N60" s="11"/>
      <c r="O60" s="142"/>
      <c r="P60" s="142"/>
      <c r="Q60" s="142"/>
      <c r="R60" s="142"/>
      <c r="S60" s="141"/>
      <c r="T60" s="141"/>
      <c r="U60" s="143"/>
      <c r="V60" s="141"/>
      <c r="W60" s="141"/>
      <c r="X60" s="11"/>
      <c r="Y60" s="11"/>
    </row>
    <row r="61" spans="1:25" ht="15.75" customHeight="1" x14ac:dyDescent="0.3">
      <c r="A61" s="140"/>
      <c r="B61" s="140"/>
      <c r="K61" s="141"/>
      <c r="L61" s="141"/>
      <c r="M61" s="143"/>
      <c r="N61" s="11"/>
      <c r="O61" s="142"/>
      <c r="P61" s="142"/>
      <c r="Q61" s="142"/>
      <c r="R61" s="142"/>
      <c r="S61" s="141"/>
      <c r="T61" s="141"/>
      <c r="U61" s="143"/>
      <c r="V61" s="141"/>
      <c r="W61" s="141"/>
      <c r="X61" s="11"/>
      <c r="Y61" s="11"/>
    </row>
    <row r="62" spans="1:25" ht="15.75" customHeight="1" x14ac:dyDescent="0.3">
      <c r="A62" s="140"/>
      <c r="B62" s="140"/>
      <c r="K62" s="141"/>
      <c r="L62" s="141"/>
      <c r="M62" s="143"/>
      <c r="N62" s="11"/>
      <c r="O62" s="142"/>
      <c r="P62" s="142"/>
      <c r="Q62" s="142"/>
      <c r="R62" s="142"/>
      <c r="S62" s="141"/>
      <c r="T62" s="141"/>
      <c r="U62" s="143"/>
      <c r="V62" s="141"/>
      <c r="W62" s="141"/>
      <c r="X62" s="11"/>
      <c r="Y62" s="11"/>
    </row>
    <row r="63" spans="1:25" ht="15.75" customHeight="1" x14ac:dyDescent="0.3">
      <c r="A63" s="140"/>
      <c r="B63" s="140"/>
      <c r="K63" s="141"/>
      <c r="L63" s="141"/>
      <c r="M63" s="143"/>
      <c r="N63" s="11"/>
      <c r="O63" s="142"/>
      <c r="P63" s="142"/>
      <c r="Q63" s="142"/>
      <c r="R63" s="142"/>
      <c r="S63" s="141"/>
      <c r="T63" s="141"/>
      <c r="U63" s="143"/>
      <c r="V63" s="141"/>
      <c r="W63" s="141"/>
      <c r="X63" s="11"/>
      <c r="Y63" s="11"/>
    </row>
    <row r="64" spans="1:25" ht="15.75" customHeight="1" x14ac:dyDescent="0.3">
      <c r="A64" s="140"/>
      <c r="B64" s="140"/>
      <c r="K64" s="141"/>
      <c r="L64" s="141"/>
      <c r="M64" s="143"/>
      <c r="N64" s="11"/>
      <c r="O64" s="142"/>
      <c r="P64" s="142"/>
      <c r="Q64" s="142"/>
      <c r="R64" s="142"/>
      <c r="S64" s="141"/>
      <c r="T64" s="141"/>
      <c r="U64" s="143"/>
      <c r="V64" s="141"/>
      <c r="W64" s="141"/>
      <c r="X64" s="11"/>
      <c r="Y64" s="11"/>
    </row>
    <row r="65" spans="1:25" ht="15.75" customHeight="1" x14ac:dyDescent="0.3">
      <c r="A65" s="140"/>
      <c r="B65" s="140"/>
      <c r="K65" s="141"/>
      <c r="L65" s="141"/>
      <c r="M65" s="143"/>
      <c r="N65" s="11"/>
      <c r="O65" s="142"/>
      <c r="P65" s="142"/>
      <c r="Q65" s="142"/>
      <c r="R65" s="142"/>
      <c r="S65" s="141"/>
      <c r="T65" s="141"/>
      <c r="U65" s="143"/>
      <c r="V65" s="141"/>
      <c r="W65" s="141"/>
      <c r="X65" s="11"/>
      <c r="Y65" s="11"/>
    </row>
    <row r="66" spans="1:25" ht="15.75" customHeight="1" x14ac:dyDescent="0.3">
      <c r="A66" s="140"/>
      <c r="B66" s="140"/>
      <c r="K66" s="141"/>
      <c r="L66" s="141"/>
      <c r="M66" s="143"/>
      <c r="N66" s="11"/>
      <c r="O66" s="142"/>
      <c r="P66" s="142"/>
      <c r="Q66" s="142"/>
      <c r="R66" s="142"/>
      <c r="S66" s="141"/>
      <c r="T66" s="141"/>
      <c r="U66" s="143"/>
      <c r="V66" s="141"/>
      <c r="W66" s="141"/>
      <c r="X66" s="11"/>
      <c r="Y66" s="11"/>
    </row>
    <row r="67" spans="1:25" ht="15.75" customHeight="1" x14ac:dyDescent="0.3">
      <c r="A67" s="140"/>
      <c r="B67" s="140"/>
      <c r="K67" s="141"/>
      <c r="L67" s="141"/>
      <c r="M67" s="143"/>
      <c r="N67" s="11"/>
      <c r="O67" s="142"/>
      <c r="P67" s="142"/>
      <c r="Q67" s="142"/>
      <c r="R67" s="142"/>
      <c r="S67" s="141"/>
      <c r="T67" s="141"/>
      <c r="U67" s="143"/>
      <c r="V67" s="141"/>
      <c r="W67" s="141"/>
      <c r="X67" s="11"/>
      <c r="Y67" s="11"/>
    </row>
    <row r="68" spans="1:25" ht="15.75" customHeight="1" x14ac:dyDescent="0.3">
      <c r="A68" s="140"/>
      <c r="B68" s="140"/>
      <c r="K68" s="141"/>
      <c r="L68" s="141"/>
      <c r="M68" s="143"/>
      <c r="N68" s="11"/>
      <c r="O68" s="142"/>
      <c r="P68" s="142"/>
      <c r="Q68" s="142"/>
      <c r="R68" s="142"/>
      <c r="S68" s="141"/>
      <c r="T68" s="141"/>
      <c r="U68" s="143"/>
      <c r="V68" s="141"/>
      <c r="W68" s="141"/>
      <c r="X68" s="11"/>
      <c r="Y68" s="11"/>
    </row>
    <row r="69" spans="1:25" ht="15.75" customHeight="1" x14ac:dyDescent="0.3">
      <c r="A69" s="140"/>
      <c r="B69" s="140"/>
      <c r="K69" s="141"/>
      <c r="L69" s="141"/>
      <c r="M69" s="143"/>
      <c r="N69" s="11"/>
      <c r="O69" s="142"/>
      <c r="P69" s="142"/>
      <c r="Q69" s="142"/>
      <c r="R69" s="142"/>
      <c r="S69" s="141"/>
      <c r="T69" s="141"/>
      <c r="U69" s="143"/>
      <c r="V69" s="141"/>
      <c r="W69" s="141"/>
      <c r="X69" s="11"/>
      <c r="Y69" s="11"/>
    </row>
    <row r="70" spans="1:25" ht="15.75" customHeight="1" x14ac:dyDescent="0.3">
      <c r="A70" s="140"/>
      <c r="B70" s="140"/>
      <c r="K70" s="141"/>
      <c r="L70" s="141"/>
      <c r="M70" s="143"/>
      <c r="N70" s="11"/>
      <c r="O70" s="142"/>
      <c r="P70" s="142"/>
      <c r="Q70" s="142"/>
      <c r="R70" s="142"/>
      <c r="S70" s="141"/>
      <c r="T70" s="141"/>
      <c r="U70" s="143"/>
      <c r="V70" s="141"/>
      <c r="W70" s="141"/>
      <c r="X70" s="11"/>
      <c r="Y70" s="11"/>
    </row>
    <row r="71" spans="1:25" ht="15.75" customHeight="1" x14ac:dyDescent="0.3">
      <c r="A71" s="140"/>
      <c r="B71" s="140"/>
      <c r="K71" s="141"/>
      <c r="L71" s="141"/>
      <c r="M71" s="143"/>
      <c r="N71" s="11"/>
      <c r="O71" s="142"/>
      <c r="P71" s="142"/>
      <c r="Q71" s="142"/>
      <c r="R71" s="142"/>
      <c r="S71" s="141"/>
      <c r="T71" s="141"/>
      <c r="U71" s="143"/>
      <c r="V71" s="141"/>
      <c r="W71" s="141"/>
      <c r="X71" s="11"/>
      <c r="Y71" s="11"/>
    </row>
    <row r="72" spans="1:25" ht="15.75" customHeight="1" x14ac:dyDescent="0.3">
      <c r="A72" s="140"/>
      <c r="B72" s="140"/>
      <c r="K72" s="141"/>
      <c r="L72" s="141"/>
      <c r="M72" s="143"/>
      <c r="N72" s="11"/>
      <c r="O72" s="142"/>
      <c r="P72" s="142"/>
      <c r="Q72" s="142"/>
      <c r="R72" s="142"/>
      <c r="S72" s="141"/>
      <c r="T72" s="141"/>
      <c r="U72" s="143"/>
      <c r="V72" s="141"/>
      <c r="W72" s="141"/>
      <c r="X72" s="11"/>
      <c r="Y72" s="11"/>
    </row>
    <row r="73" spans="1:25" ht="15.75" customHeight="1" x14ac:dyDescent="0.3">
      <c r="A73" s="140"/>
      <c r="B73" s="140"/>
      <c r="K73" s="141"/>
      <c r="L73" s="141"/>
      <c r="M73" s="143"/>
      <c r="N73" s="11"/>
      <c r="O73" s="142"/>
      <c r="P73" s="142"/>
      <c r="Q73" s="142"/>
      <c r="R73" s="142"/>
      <c r="S73" s="141"/>
      <c r="T73" s="141"/>
      <c r="U73" s="143"/>
      <c r="V73" s="141"/>
      <c r="W73" s="141"/>
      <c r="X73" s="11"/>
      <c r="Y73" s="11"/>
    </row>
    <row r="74" spans="1:25" ht="15.75" customHeight="1" x14ac:dyDescent="0.3">
      <c r="A74" s="140"/>
      <c r="B74" s="140"/>
      <c r="K74" s="141"/>
      <c r="L74" s="141"/>
      <c r="M74" s="143"/>
      <c r="N74" s="11"/>
      <c r="O74" s="142"/>
      <c r="P74" s="142"/>
      <c r="Q74" s="142"/>
      <c r="R74" s="142"/>
      <c r="S74" s="141"/>
      <c r="T74" s="141"/>
      <c r="U74" s="143"/>
      <c r="V74" s="141"/>
      <c r="W74" s="141"/>
      <c r="X74" s="11"/>
      <c r="Y74" s="11"/>
    </row>
    <row r="75" spans="1:25" ht="15.75" customHeight="1" x14ac:dyDescent="0.3">
      <c r="A75" s="140"/>
      <c r="B75" s="140"/>
      <c r="K75" s="141"/>
      <c r="L75" s="141"/>
      <c r="M75" s="143"/>
      <c r="N75" s="11"/>
      <c r="O75" s="142"/>
      <c r="P75" s="142"/>
      <c r="Q75" s="142"/>
      <c r="R75" s="142"/>
      <c r="S75" s="141"/>
      <c r="T75" s="141"/>
      <c r="U75" s="143"/>
      <c r="V75" s="141"/>
      <c r="W75" s="141"/>
      <c r="X75" s="11"/>
      <c r="Y75" s="11"/>
    </row>
    <row r="76" spans="1:25" ht="15.75" customHeight="1" x14ac:dyDescent="0.3">
      <c r="A76" s="140"/>
      <c r="B76" s="140"/>
      <c r="K76" s="141"/>
      <c r="L76" s="141"/>
      <c r="M76" s="143"/>
      <c r="N76" s="11"/>
      <c r="O76" s="142"/>
      <c r="P76" s="142"/>
      <c r="Q76" s="142"/>
      <c r="R76" s="142"/>
      <c r="S76" s="141"/>
      <c r="T76" s="141"/>
      <c r="U76" s="143"/>
      <c r="V76" s="141"/>
      <c r="W76" s="141"/>
      <c r="X76" s="11"/>
      <c r="Y76" s="11"/>
    </row>
    <row r="77" spans="1:25" ht="15.75" customHeight="1" x14ac:dyDescent="0.3">
      <c r="A77" s="140"/>
      <c r="B77" s="140"/>
      <c r="K77" s="141"/>
      <c r="L77" s="141"/>
      <c r="M77" s="143"/>
      <c r="N77" s="11"/>
      <c r="O77" s="142"/>
      <c r="P77" s="142"/>
      <c r="Q77" s="142"/>
      <c r="R77" s="142"/>
      <c r="S77" s="141"/>
      <c r="T77" s="141"/>
      <c r="U77" s="143"/>
      <c r="V77" s="141"/>
      <c r="W77" s="141"/>
      <c r="X77" s="11"/>
      <c r="Y77" s="11"/>
    </row>
    <row r="78" spans="1:25" ht="15.75" customHeight="1" x14ac:dyDescent="0.3">
      <c r="A78" s="140"/>
      <c r="B78" s="140"/>
      <c r="K78" s="141"/>
      <c r="L78" s="141"/>
      <c r="M78" s="143"/>
      <c r="N78" s="11"/>
      <c r="O78" s="142"/>
      <c r="P78" s="142"/>
      <c r="Q78" s="142"/>
      <c r="R78" s="142"/>
      <c r="S78" s="141"/>
      <c r="T78" s="141"/>
      <c r="U78" s="143"/>
      <c r="V78" s="141"/>
      <c r="W78" s="141"/>
      <c r="X78" s="11"/>
      <c r="Y78" s="11"/>
    </row>
    <row r="79" spans="1:25" ht="15.75" customHeight="1" x14ac:dyDescent="0.3">
      <c r="A79" s="140"/>
      <c r="B79" s="140"/>
      <c r="K79" s="141"/>
      <c r="L79" s="141"/>
      <c r="M79" s="143"/>
      <c r="N79" s="11"/>
      <c r="O79" s="142"/>
      <c r="P79" s="142"/>
      <c r="Q79" s="142"/>
      <c r="R79" s="142"/>
      <c r="S79" s="141"/>
      <c r="T79" s="141"/>
      <c r="U79" s="143"/>
      <c r="V79" s="141"/>
      <c r="W79" s="141"/>
      <c r="X79" s="11"/>
      <c r="Y79" s="11"/>
    </row>
    <row r="80" spans="1:25" ht="15.75" customHeight="1" x14ac:dyDescent="0.3">
      <c r="A80" s="140"/>
      <c r="B80" s="140"/>
      <c r="K80" s="141"/>
      <c r="L80" s="141"/>
      <c r="M80" s="143"/>
      <c r="N80" s="11"/>
      <c r="O80" s="142"/>
      <c r="P80" s="142"/>
      <c r="Q80" s="142"/>
      <c r="R80" s="142"/>
      <c r="S80" s="141"/>
      <c r="T80" s="141"/>
      <c r="U80" s="143"/>
      <c r="V80" s="141"/>
      <c r="W80" s="141"/>
      <c r="X80" s="11"/>
      <c r="Y80" s="11"/>
    </row>
    <row r="81" spans="1:25" ht="15.75" customHeight="1" x14ac:dyDescent="0.3">
      <c r="A81" s="140"/>
      <c r="B81" s="140"/>
      <c r="K81" s="141"/>
      <c r="L81" s="141"/>
      <c r="M81" s="143"/>
      <c r="N81" s="11"/>
      <c r="O81" s="142"/>
      <c r="P81" s="142"/>
      <c r="Q81" s="142"/>
      <c r="R81" s="142"/>
      <c r="S81" s="141"/>
      <c r="T81" s="141"/>
      <c r="U81" s="143"/>
      <c r="V81" s="141"/>
      <c r="W81" s="141"/>
      <c r="X81" s="11"/>
      <c r="Y81" s="11"/>
    </row>
    <row r="82" spans="1:25" ht="15.75" customHeight="1" x14ac:dyDescent="0.3">
      <c r="A82" s="140"/>
      <c r="B82" s="140"/>
      <c r="K82" s="141"/>
      <c r="L82" s="141"/>
      <c r="M82" s="143"/>
      <c r="N82" s="11"/>
      <c r="O82" s="142"/>
      <c r="P82" s="142"/>
      <c r="Q82" s="142"/>
      <c r="R82" s="142"/>
      <c r="S82" s="141"/>
      <c r="T82" s="141"/>
      <c r="U82" s="143"/>
      <c r="V82" s="141"/>
      <c r="W82" s="141"/>
      <c r="X82" s="11"/>
      <c r="Y82" s="11"/>
    </row>
    <row r="83" spans="1:25" ht="15.75" customHeight="1" x14ac:dyDescent="0.3">
      <c r="A83" s="140"/>
      <c r="B83" s="140"/>
      <c r="K83" s="141"/>
      <c r="L83" s="141"/>
      <c r="M83" s="143"/>
      <c r="N83" s="11"/>
      <c r="O83" s="142"/>
      <c r="P83" s="142"/>
      <c r="Q83" s="142"/>
      <c r="R83" s="142"/>
      <c r="S83" s="141"/>
      <c r="T83" s="141"/>
      <c r="U83" s="143"/>
      <c r="V83" s="141"/>
      <c r="W83" s="141"/>
      <c r="X83" s="11"/>
      <c r="Y83" s="11"/>
    </row>
    <row r="84" spans="1:25" ht="15.75" customHeight="1" x14ac:dyDescent="0.3">
      <c r="A84" s="140"/>
      <c r="B84" s="140"/>
      <c r="K84" s="141"/>
      <c r="L84" s="141"/>
      <c r="M84" s="143"/>
      <c r="N84" s="11"/>
      <c r="O84" s="142"/>
      <c r="P84" s="142"/>
      <c r="Q84" s="142"/>
      <c r="R84" s="142"/>
      <c r="S84" s="141"/>
      <c r="T84" s="141"/>
      <c r="U84" s="143"/>
      <c r="V84" s="141"/>
      <c r="W84" s="141"/>
      <c r="X84" s="11"/>
      <c r="Y84" s="11"/>
    </row>
    <row r="85" spans="1:25" ht="15.75" customHeight="1" x14ac:dyDescent="0.3">
      <c r="A85" s="140"/>
      <c r="B85" s="140"/>
      <c r="K85" s="141"/>
      <c r="L85" s="141"/>
      <c r="M85" s="143"/>
      <c r="N85" s="11"/>
      <c r="O85" s="142"/>
      <c r="P85" s="142"/>
      <c r="Q85" s="142"/>
      <c r="R85" s="142"/>
      <c r="S85" s="141"/>
      <c r="T85" s="141"/>
      <c r="U85" s="143"/>
      <c r="V85" s="141"/>
      <c r="W85" s="141"/>
      <c r="X85" s="11"/>
      <c r="Y85" s="11"/>
    </row>
    <row r="86" spans="1:25" ht="15.75" customHeight="1" x14ac:dyDescent="0.3">
      <c r="A86" s="140"/>
      <c r="B86" s="140"/>
      <c r="K86" s="141"/>
      <c r="L86" s="141"/>
      <c r="M86" s="143"/>
      <c r="N86" s="11"/>
      <c r="O86" s="142"/>
      <c r="P86" s="142"/>
      <c r="Q86" s="142"/>
      <c r="R86" s="142"/>
      <c r="S86" s="141"/>
      <c r="T86" s="141"/>
      <c r="U86" s="143"/>
      <c r="V86" s="141"/>
      <c r="W86" s="141"/>
      <c r="X86" s="11"/>
      <c r="Y86" s="11"/>
    </row>
    <row r="87" spans="1:25" ht="15.75" customHeight="1" x14ac:dyDescent="0.3">
      <c r="A87" s="140"/>
      <c r="B87" s="140"/>
      <c r="K87" s="141"/>
      <c r="L87" s="141"/>
      <c r="M87" s="143"/>
      <c r="N87" s="11"/>
      <c r="O87" s="142"/>
      <c r="P87" s="142"/>
      <c r="Q87" s="142"/>
      <c r="R87" s="142"/>
      <c r="S87" s="141"/>
      <c r="T87" s="141"/>
      <c r="U87" s="143"/>
      <c r="V87" s="141"/>
      <c r="W87" s="141"/>
      <c r="X87" s="11"/>
      <c r="Y87" s="11"/>
    </row>
    <row r="88" spans="1:25" ht="15.75" customHeight="1" x14ac:dyDescent="0.3">
      <c r="A88" s="140"/>
      <c r="B88" s="140"/>
      <c r="K88" s="141"/>
      <c r="L88" s="141"/>
      <c r="M88" s="143"/>
      <c r="N88" s="11"/>
      <c r="O88" s="142"/>
      <c r="P88" s="142"/>
      <c r="Q88" s="142"/>
      <c r="R88" s="142"/>
      <c r="S88" s="141"/>
      <c r="T88" s="141"/>
      <c r="U88" s="143"/>
      <c r="V88" s="141"/>
      <c r="W88" s="141"/>
      <c r="X88" s="11"/>
      <c r="Y88" s="11"/>
    </row>
    <row r="89" spans="1:25" ht="15.75" customHeight="1" x14ac:dyDescent="0.3">
      <c r="A89" s="140"/>
      <c r="B89" s="140"/>
      <c r="K89" s="141"/>
      <c r="L89" s="141"/>
      <c r="M89" s="143"/>
      <c r="N89" s="11"/>
      <c r="O89" s="142"/>
      <c r="P89" s="142"/>
      <c r="Q89" s="142"/>
      <c r="R89" s="142"/>
      <c r="S89" s="141"/>
      <c r="T89" s="141"/>
      <c r="U89" s="143"/>
      <c r="V89" s="141"/>
      <c r="W89" s="141"/>
      <c r="X89" s="11"/>
      <c r="Y89" s="11"/>
    </row>
    <row r="90" spans="1:25" ht="15.75" customHeight="1" x14ac:dyDescent="0.3">
      <c r="A90" s="140"/>
      <c r="B90" s="140"/>
      <c r="K90" s="141"/>
      <c r="L90" s="141"/>
      <c r="M90" s="143"/>
      <c r="N90" s="11"/>
      <c r="O90" s="142"/>
      <c r="P90" s="142"/>
      <c r="Q90" s="142"/>
      <c r="R90" s="142"/>
      <c r="S90" s="141"/>
      <c r="T90" s="141"/>
      <c r="U90" s="143"/>
      <c r="V90" s="141"/>
      <c r="W90" s="141"/>
      <c r="X90" s="11"/>
      <c r="Y90" s="11"/>
    </row>
    <row r="91" spans="1:25" ht="15.75" customHeight="1" x14ac:dyDescent="0.3">
      <c r="A91" s="140"/>
      <c r="B91" s="140"/>
      <c r="K91" s="141"/>
      <c r="L91" s="141"/>
      <c r="M91" s="143"/>
      <c r="N91" s="11"/>
      <c r="O91" s="142"/>
      <c r="P91" s="142"/>
      <c r="Q91" s="142"/>
      <c r="R91" s="142"/>
      <c r="S91" s="141"/>
      <c r="T91" s="141"/>
      <c r="U91" s="143"/>
      <c r="V91" s="141"/>
      <c r="W91" s="141"/>
      <c r="X91" s="11"/>
      <c r="Y91" s="11"/>
    </row>
    <row r="92" spans="1:25" ht="15.75" customHeight="1" x14ac:dyDescent="0.3">
      <c r="A92" s="140"/>
      <c r="B92" s="140"/>
      <c r="K92" s="141"/>
      <c r="L92" s="141"/>
      <c r="M92" s="143"/>
      <c r="N92" s="11"/>
      <c r="O92" s="142"/>
      <c r="P92" s="142"/>
      <c r="Q92" s="142"/>
      <c r="R92" s="142"/>
      <c r="S92" s="141"/>
      <c r="T92" s="141"/>
      <c r="U92" s="143"/>
      <c r="V92" s="141"/>
      <c r="W92" s="141"/>
      <c r="X92" s="11"/>
      <c r="Y92" s="11"/>
    </row>
    <row r="93" spans="1:25" ht="15.75" customHeight="1" x14ac:dyDescent="0.3">
      <c r="A93" s="140"/>
      <c r="B93" s="140"/>
      <c r="K93" s="141"/>
      <c r="L93" s="141"/>
      <c r="M93" s="143"/>
      <c r="N93" s="11"/>
      <c r="O93" s="142"/>
      <c r="P93" s="142"/>
      <c r="Q93" s="142"/>
      <c r="R93" s="142"/>
      <c r="S93" s="141"/>
      <c r="T93" s="141"/>
      <c r="U93" s="143"/>
      <c r="V93" s="141"/>
      <c r="W93" s="141"/>
      <c r="X93" s="11"/>
      <c r="Y93" s="11"/>
    </row>
    <row r="94" spans="1:25" ht="15.75" customHeight="1" x14ac:dyDescent="0.3">
      <c r="A94" s="140"/>
      <c r="B94" s="140"/>
      <c r="K94" s="141"/>
      <c r="L94" s="141"/>
      <c r="M94" s="143"/>
      <c r="N94" s="11"/>
      <c r="O94" s="142"/>
      <c r="P94" s="142"/>
      <c r="Q94" s="142"/>
      <c r="R94" s="142"/>
      <c r="S94" s="141"/>
      <c r="T94" s="141"/>
      <c r="U94" s="143"/>
      <c r="V94" s="141"/>
      <c r="W94" s="141"/>
      <c r="X94" s="11"/>
      <c r="Y94" s="11"/>
    </row>
    <row r="95" spans="1:25" ht="15.75" customHeight="1" x14ac:dyDescent="0.3">
      <c r="A95" s="140"/>
      <c r="B95" s="140"/>
      <c r="K95" s="141"/>
      <c r="L95" s="141"/>
      <c r="M95" s="143"/>
      <c r="N95" s="11"/>
      <c r="O95" s="142"/>
      <c r="P95" s="142"/>
      <c r="Q95" s="142"/>
      <c r="R95" s="142"/>
      <c r="S95" s="141"/>
      <c r="T95" s="141"/>
      <c r="U95" s="143"/>
      <c r="V95" s="141"/>
      <c r="W95" s="141"/>
      <c r="X95" s="11"/>
      <c r="Y95" s="11"/>
    </row>
    <row r="96" spans="1:25" ht="15.75" customHeight="1" x14ac:dyDescent="0.3">
      <c r="A96" s="140"/>
      <c r="B96" s="140"/>
      <c r="K96" s="141"/>
      <c r="L96" s="141"/>
      <c r="M96" s="143"/>
      <c r="N96" s="11"/>
      <c r="O96" s="142"/>
      <c r="P96" s="142"/>
      <c r="Q96" s="142"/>
      <c r="R96" s="142"/>
      <c r="S96" s="141"/>
      <c r="T96" s="141"/>
      <c r="U96" s="143"/>
      <c r="V96" s="141"/>
      <c r="W96" s="141"/>
      <c r="X96" s="11"/>
      <c r="Y96" s="11"/>
    </row>
    <row r="97" spans="1:25" ht="15.75" customHeight="1" x14ac:dyDescent="0.3">
      <c r="A97" s="140"/>
      <c r="B97" s="140"/>
      <c r="K97" s="141"/>
      <c r="L97" s="141"/>
      <c r="M97" s="143"/>
      <c r="N97" s="11"/>
      <c r="O97" s="142"/>
      <c r="P97" s="142"/>
      <c r="Q97" s="142"/>
      <c r="R97" s="142"/>
      <c r="S97" s="141"/>
      <c r="T97" s="141"/>
      <c r="U97" s="143"/>
      <c r="V97" s="141"/>
      <c r="W97" s="141"/>
      <c r="X97" s="11"/>
      <c r="Y97" s="11"/>
    </row>
    <row r="98" spans="1:25" ht="15.75" customHeight="1" x14ac:dyDescent="0.3">
      <c r="A98" s="140"/>
      <c r="B98" s="140"/>
      <c r="K98" s="141"/>
      <c r="L98" s="141"/>
      <c r="M98" s="143"/>
      <c r="N98" s="11"/>
      <c r="O98" s="142"/>
      <c r="P98" s="142"/>
      <c r="Q98" s="142"/>
      <c r="R98" s="142"/>
      <c r="S98" s="141"/>
      <c r="T98" s="141"/>
      <c r="U98" s="143"/>
      <c r="V98" s="141"/>
      <c r="W98" s="141"/>
      <c r="X98" s="11"/>
      <c r="Y98" s="11"/>
    </row>
    <row r="99" spans="1:25" ht="15.75" customHeight="1" x14ac:dyDescent="0.3">
      <c r="A99" s="140"/>
      <c r="B99" s="140"/>
      <c r="K99" s="141"/>
      <c r="L99" s="141"/>
      <c r="M99" s="143"/>
      <c r="N99" s="11"/>
      <c r="O99" s="142"/>
      <c r="P99" s="142"/>
      <c r="Q99" s="142"/>
      <c r="R99" s="142"/>
      <c r="S99" s="141"/>
      <c r="T99" s="141"/>
      <c r="U99" s="143"/>
      <c r="V99" s="141"/>
      <c r="W99" s="141"/>
      <c r="X99" s="11"/>
      <c r="Y99" s="11"/>
    </row>
    <row r="100" spans="1:25" ht="15.75" customHeight="1" x14ac:dyDescent="0.3">
      <c r="A100" s="140"/>
      <c r="B100" s="140"/>
      <c r="K100" s="141"/>
      <c r="L100" s="141"/>
      <c r="M100" s="143"/>
      <c r="N100" s="11"/>
      <c r="O100" s="142"/>
      <c r="P100" s="142"/>
      <c r="Q100" s="142"/>
      <c r="R100" s="142"/>
      <c r="S100" s="141"/>
      <c r="T100" s="141"/>
      <c r="U100" s="143"/>
      <c r="V100" s="141"/>
      <c r="W100" s="141"/>
      <c r="X100" s="11"/>
      <c r="Y100" s="11"/>
    </row>
    <row r="101" spans="1:25" ht="15.75" customHeight="1" x14ac:dyDescent="0.3">
      <c r="A101" s="140"/>
      <c r="B101" s="140"/>
      <c r="K101" s="141"/>
      <c r="L101" s="141"/>
      <c r="M101" s="143"/>
      <c r="N101" s="11"/>
      <c r="O101" s="142"/>
      <c r="P101" s="142"/>
      <c r="Q101" s="142"/>
      <c r="R101" s="142"/>
      <c r="S101" s="141"/>
      <c r="T101" s="141"/>
      <c r="U101" s="143"/>
      <c r="V101" s="141"/>
      <c r="W101" s="141"/>
      <c r="X101" s="11"/>
      <c r="Y101" s="11"/>
    </row>
    <row r="102" spans="1:25" ht="15.75" customHeight="1" x14ac:dyDescent="0.3">
      <c r="A102" s="140"/>
      <c r="B102" s="140"/>
      <c r="K102" s="141"/>
      <c r="L102" s="141"/>
      <c r="M102" s="143"/>
      <c r="N102" s="11"/>
      <c r="O102" s="142"/>
      <c r="P102" s="142"/>
      <c r="Q102" s="142"/>
      <c r="R102" s="142"/>
      <c r="S102" s="141"/>
      <c r="T102" s="141"/>
      <c r="U102" s="143"/>
      <c r="V102" s="141"/>
      <c r="W102" s="141"/>
      <c r="X102" s="11"/>
      <c r="Y102" s="11"/>
    </row>
    <row r="103" spans="1:25" ht="15.75" customHeight="1" x14ac:dyDescent="0.3">
      <c r="A103" s="140"/>
      <c r="B103" s="140"/>
      <c r="K103" s="141"/>
      <c r="L103" s="141"/>
      <c r="M103" s="143"/>
      <c r="N103" s="11"/>
      <c r="O103" s="142"/>
      <c r="P103" s="142"/>
      <c r="Q103" s="142"/>
      <c r="R103" s="142"/>
      <c r="S103" s="141"/>
      <c r="T103" s="141"/>
      <c r="U103" s="143"/>
      <c r="V103" s="141"/>
      <c r="W103" s="141"/>
      <c r="X103" s="11"/>
      <c r="Y103" s="11"/>
    </row>
    <row r="104" spans="1:25" ht="15.75" customHeight="1" x14ac:dyDescent="0.3">
      <c r="A104" s="140"/>
      <c r="B104" s="140"/>
      <c r="K104" s="141"/>
      <c r="L104" s="141"/>
      <c r="M104" s="143"/>
      <c r="N104" s="11"/>
      <c r="O104" s="142"/>
      <c r="P104" s="142"/>
      <c r="Q104" s="142"/>
      <c r="R104" s="142"/>
      <c r="S104" s="141"/>
      <c r="T104" s="141"/>
      <c r="U104" s="143"/>
      <c r="V104" s="141"/>
      <c r="W104" s="141"/>
      <c r="X104" s="11"/>
      <c r="Y104" s="11"/>
    </row>
    <row r="105" spans="1:25" ht="15.75" customHeight="1" x14ac:dyDescent="0.3">
      <c r="A105" s="140"/>
      <c r="B105" s="140"/>
      <c r="K105" s="141"/>
      <c r="L105" s="141"/>
      <c r="M105" s="143"/>
      <c r="N105" s="11"/>
      <c r="O105" s="142"/>
      <c r="P105" s="142"/>
      <c r="Q105" s="142"/>
      <c r="R105" s="142"/>
      <c r="S105" s="141"/>
      <c r="T105" s="141"/>
      <c r="U105" s="143"/>
      <c r="V105" s="141"/>
      <c r="W105" s="141"/>
      <c r="X105" s="11"/>
      <c r="Y105" s="11"/>
    </row>
    <row r="106" spans="1:25" ht="15.75" customHeight="1" x14ac:dyDescent="0.3">
      <c r="A106" s="140"/>
      <c r="B106" s="140"/>
      <c r="K106" s="141"/>
      <c r="L106" s="141"/>
      <c r="M106" s="143"/>
      <c r="N106" s="11"/>
      <c r="O106" s="142"/>
      <c r="P106" s="142"/>
      <c r="Q106" s="142"/>
      <c r="R106" s="142"/>
      <c r="S106" s="141"/>
      <c r="T106" s="141"/>
      <c r="U106" s="143"/>
      <c r="V106" s="141"/>
      <c r="W106" s="141"/>
      <c r="X106" s="11"/>
      <c r="Y106" s="11"/>
    </row>
    <row r="107" spans="1:25" ht="15.75" customHeight="1" x14ac:dyDescent="0.3">
      <c r="A107" s="140"/>
      <c r="B107" s="140"/>
      <c r="K107" s="141"/>
      <c r="L107" s="141"/>
      <c r="M107" s="143"/>
      <c r="N107" s="11"/>
      <c r="O107" s="142"/>
      <c r="P107" s="142"/>
      <c r="Q107" s="142"/>
      <c r="R107" s="142"/>
      <c r="S107" s="141"/>
      <c r="T107" s="141"/>
      <c r="U107" s="143"/>
      <c r="V107" s="141"/>
      <c r="W107" s="141"/>
      <c r="X107" s="11"/>
      <c r="Y107" s="11"/>
    </row>
    <row r="108" spans="1:25" ht="15.75" customHeight="1" x14ac:dyDescent="0.3">
      <c r="A108" s="140"/>
      <c r="B108" s="140"/>
      <c r="K108" s="141"/>
      <c r="L108" s="141"/>
      <c r="M108" s="143"/>
      <c r="N108" s="11"/>
      <c r="O108" s="142"/>
      <c r="P108" s="142"/>
      <c r="Q108" s="142"/>
      <c r="R108" s="142"/>
      <c r="S108" s="141"/>
      <c r="T108" s="141"/>
      <c r="U108" s="143"/>
      <c r="V108" s="141"/>
      <c r="W108" s="141"/>
      <c r="X108" s="11"/>
      <c r="Y108" s="11"/>
    </row>
    <row r="109" spans="1:25" ht="15.75" customHeight="1" x14ac:dyDescent="0.3">
      <c r="A109" s="140"/>
      <c r="B109" s="140"/>
      <c r="K109" s="141"/>
      <c r="L109" s="141"/>
      <c r="M109" s="143"/>
      <c r="N109" s="11"/>
      <c r="O109" s="142"/>
      <c r="P109" s="142"/>
      <c r="Q109" s="142"/>
      <c r="R109" s="142"/>
      <c r="S109" s="141"/>
      <c r="T109" s="141"/>
      <c r="U109" s="143"/>
      <c r="V109" s="141"/>
      <c r="W109" s="141"/>
      <c r="X109" s="11"/>
      <c r="Y109" s="11"/>
    </row>
    <row r="110" spans="1:25" ht="15.75" customHeight="1" x14ac:dyDescent="0.3">
      <c r="A110" s="140"/>
      <c r="B110" s="140"/>
      <c r="K110" s="141"/>
      <c r="L110" s="141"/>
      <c r="M110" s="143"/>
      <c r="N110" s="11"/>
      <c r="O110" s="142"/>
      <c r="P110" s="142"/>
      <c r="Q110" s="142"/>
      <c r="R110" s="142"/>
      <c r="S110" s="141"/>
      <c r="T110" s="141"/>
      <c r="U110" s="143"/>
      <c r="V110" s="141"/>
      <c r="W110" s="141"/>
      <c r="X110" s="11"/>
      <c r="Y110" s="11"/>
    </row>
    <row r="111" spans="1:25" ht="15.75" customHeight="1" x14ac:dyDescent="0.3">
      <c r="A111" s="140"/>
      <c r="B111" s="140"/>
      <c r="K111" s="141"/>
      <c r="L111" s="141"/>
      <c r="M111" s="143"/>
      <c r="N111" s="11"/>
      <c r="O111" s="142"/>
      <c r="P111" s="142"/>
      <c r="Q111" s="142"/>
      <c r="R111" s="142"/>
      <c r="S111" s="141"/>
      <c r="T111" s="141"/>
      <c r="U111" s="143"/>
      <c r="V111" s="141"/>
      <c r="W111" s="141"/>
      <c r="X111" s="11"/>
      <c r="Y111" s="11"/>
    </row>
    <row r="112" spans="1:25" ht="15.75" customHeight="1" x14ac:dyDescent="0.3">
      <c r="A112" s="140"/>
      <c r="B112" s="140"/>
      <c r="K112" s="141"/>
      <c r="L112" s="141"/>
      <c r="M112" s="143"/>
      <c r="N112" s="11"/>
      <c r="O112" s="142"/>
      <c r="P112" s="142"/>
      <c r="Q112" s="142"/>
      <c r="R112" s="142"/>
      <c r="S112" s="141"/>
      <c r="T112" s="141"/>
      <c r="U112" s="143"/>
      <c r="V112" s="141"/>
      <c r="W112" s="141"/>
      <c r="X112" s="11"/>
      <c r="Y112" s="11"/>
    </row>
    <row r="113" spans="1:25" ht="15.75" customHeight="1" x14ac:dyDescent="0.3">
      <c r="A113" s="140"/>
      <c r="B113" s="140"/>
      <c r="K113" s="141"/>
      <c r="L113" s="141"/>
      <c r="M113" s="143"/>
      <c r="N113" s="11"/>
      <c r="O113" s="142"/>
      <c r="P113" s="142"/>
      <c r="Q113" s="142"/>
      <c r="R113" s="142"/>
      <c r="S113" s="141"/>
      <c r="T113" s="141"/>
      <c r="U113" s="143"/>
      <c r="V113" s="141"/>
      <c r="W113" s="141"/>
      <c r="X113" s="11"/>
      <c r="Y113" s="11"/>
    </row>
    <row r="114" spans="1:25" ht="15.75" customHeight="1" x14ac:dyDescent="0.3">
      <c r="A114" s="140"/>
      <c r="B114" s="140"/>
      <c r="K114" s="141"/>
      <c r="L114" s="141"/>
      <c r="M114" s="143"/>
      <c r="N114" s="11"/>
      <c r="O114" s="142"/>
      <c r="P114" s="142"/>
      <c r="Q114" s="142"/>
      <c r="R114" s="142"/>
      <c r="S114" s="141"/>
      <c r="T114" s="141"/>
      <c r="U114" s="143"/>
      <c r="V114" s="141"/>
      <c r="W114" s="141"/>
      <c r="X114" s="11"/>
      <c r="Y114" s="11"/>
    </row>
    <row r="115" spans="1:25" ht="15.75" customHeight="1" x14ac:dyDescent="0.3">
      <c r="A115" s="140"/>
      <c r="B115" s="140"/>
      <c r="K115" s="141"/>
      <c r="L115" s="141"/>
      <c r="M115" s="143"/>
      <c r="N115" s="11"/>
      <c r="O115" s="142"/>
      <c r="P115" s="142"/>
      <c r="Q115" s="142"/>
      <c r="R115" s="142"/>
      <c r="S115" s="141"/>
      <c r="T115" s="141"/>
      <c r="U115" s="143"/>
      <c r="V115" s="141"/>
      <c r="W115" s="141"/>
      <c r="X115" s="11"/>
      <c r="Y115" s="11"/>
    </row>
    <row r="116" spans="1:25" ht="15.75" customHeight="1" x14ac:dyDescent="0.3">
      <c r="A116" s="140"/>
      <c r="B116" s="140"/>
      <c r="K116" s="141"/>
      <c r="L116" s="141"/>
      <c r="M116" s="143"/>
      <c r="N116" s="11"/>
      <c r="O116" s="142"/>
      <c r="P116" s="142"/>
      <c r="Q116" s="142"/>
      <c r="R116" s="142"/>
      <c r="S116" s="141"/>
      <c r="T116" s="141"/>
      <c r="U116" s="143"/>
      <c r="V116" s="141"/>
      <c r="W116" s="141"/>
      <c r="X116" s="11"/>
      <c r="Y116" s="11"/>
    </row>
    <row r="117" spans="1:25" ht="15.75" customHeight="1" x14ac:dyDescent="0.3">
      <c r="A117" s="140"/>
      <c r="B117" s="140"/>
      <c r="K117" s="141"/>
      <c r="L117" s="141"/>
      <c r="M117" s="143"/>
      <c r="N117" s="11"/>
      <c r="O117" s="142"/>
      <c r="P117" s="142"/>
      <c r="Q117" s="142"/>
      <c r="R117" s="142"/>
      <c r="S117" s="141"/>
      <c r="T117" s="141"/>
      <c r="U117" s="143"/>
      <c r="V117" s="141"/>
      <c r="W117" s="141"/>
      <c r="X117" s="11"/>
      <c r="Y117" s="11"/>
    </row>
    <row r="118" spans="1:25" ht="15.75" customHeight="1" x14ac:dyDescent="0.3">
      <c r="A118" s="140"/>
      <c r="B118" s="140"/>
      <c r="K118" s="141"/>
      <c r="L118" s="141"/>
      <c r="M118" s="143"/>
      <c r="N118" s="11"/>
      <c r="O118" s="142"/>
      <c r="P118" s="142"/>
      <c r="Q118" s="142"/>
      <c r="R118" s="142"/>
      <c r="S118" s="141"/>
      <c r="T118" s="141"/>
      <c r="U118" s="143"/>
      <c r="V118" s="141"/>
      <c r="W118" s="141"/>
      <c r="X118" s="11"/>
      <c r="Y118" s="11"/>
    </row>
    <row r="119" spans="1:25" ht="15.75" customHeight="1" x14ac:dyDescent="0.3">
      <c r="A119" s="140"/>
      <c r="B119" s="140"/>
      <c r="K119" s="141"/>
      <c r="L119" s="141"/>
      <c r="M119" s="143"/>
      <c r="N119" s="11"/>
      <c r="O119" s="142"/>
      <c r="P119" s="142"/>
      <c r="Q119" s="142"/>
      <c r="R119" s="142"/>
      <c r="S119" s="141"/>
      <c r="T119" s="141"/>
      <c r="U119" s="143"/>
      <c r="V119" s="141"/>
      <c r="W119" s="141"/>
      <c r="X119" s="11"/>
      <c r="Y119" s="11"/>
    </row>
    <row r="120" spans="1:25" ht="15.75" customHeight="1" x14ac:dyDescent="0.3">
      <c r="A120" s="140"/>
      <c r="B120" s="140"/>
      <c r="K120" s="141"/>
      <c r="L120" s="141"/>
      <c r="M120" s="143"/>
      <c r="N120" s="11"/>
      <c r="O120" s="142"/>
      <c r="P120" s="142"/>
      <c r="Q120" s="142"/>
      <c r="R120" s="142"/>
      <c r="S120" s="141"/>
      <c r="T120" s="141"/>
      <c r="U120" s="143"/>
      <c r="V120" s="141"/>
      <c r="W120" s="141"/>
      <c r="X120" s="11"/>
      <c r="Y120" s="11"/>
    </row>
    <row r="121" spans="1:25" ht="15.75" customHeight="1" x14ac:dyDescent="0.3">
      <c r="A121" s="140"/>
      <c r="B121" s="140"/>
      <c r="K121" s="141"/>
      <c r="L121" s="141"/>
      <c r="M121" s="143"/>
      <c r="N121" s="11"/>
      <c r="O121" s="142"/>
      <c r="P121" s="142"/>
      <c r="Q121" s="142"/>
      <c r="R121" s="142"/>
      <c r="S121" s="141"/>
      <c r="T121" s="141"/>
      <c r="U121" s="143"/>
      <c r="V121" s="141"/>
      <c r="W121" s="141"/>
      <c r="X121" s="11"/>
      <c r="Y121" s="11"/>
    </row>
    <row r="122" spans="1:25" ht="15.75" customHeight="1" x14ac:dyDescent="0.3">
      <c r="A122" s="140"/>
      <c r="B122" s="140"/>
      <c r="K122" s="141"/>
      <c r="L122" s="141"/>
      <c r="M122" s="143"/>
      <c r="N122" s="11"/>
      <c r="O122" s="142"/>
      <c r="P122" s="142"/>
      <c r="Q122" s="142"/>
      <c r="R122" s="142"/>
      <c r="S122" s="141"/>
      <c r="T122" s="141"/>
      <c r="U122" s="143"/>
      <c r="V122" s="141"/>
      <c r="W122" s="141"/>
      <c r="X122" s="11"/>
      <c r="Y122" s="11"/>
    </row>
    <row r="123" spans="1:25" ht="15.75" customHeight="1" x14ac:dyDescent="0.3">
      <c r="A123" s="140"/>
      <c r="B123" s="140"/>
      <c r="K123" s="141"/>
      <c r="L123" s="141"/>
      <c r="M123" s="143"/>
      <c r="N123" s="11"/>
      <c r="O123" s="142"/>
      <c r="P123" s="142"/>
      <c r="Q123" s="142"/>
      <c r="R123" s="142"/>
      <c r="S123" s="141"/>
      <c r="T123" s="141"/>
      <c r="U123" s="143"/>
      <c r="V123" s="141"/>
      <c r="W123" s="141"/>
      <c r="X123" s="11"/>
      <c r="Y123" s="11"/>
    </row>
    <row r="124" spans="1:25" ht="15.75" customHeight="1" x14ac:dyDescent="0.3">
      <c r="A124" s="140"/>
      <c r="B124" s="140"/>
      <c r="K124" s="141"/>
      <c r="L124" s="141"/>
      <c r="M124" s="143"/>
      <c r="N124" s="11"/>
      <c r="O124" s="142"/>
      <c r="P124" s="142"/>
      <c r="Q124" s="142"/>
      <c r="R124" s="142"/>
      <c r="S124" s="141"/>
      <c r="T124" s="141"/>
      <c r="U124" s="143"/>
      <c r="V124" s="141"/>
      <c r="W124" s="141"/>
      <c r="X124" s="11"/>
      <c r="Y124" s="11"/>
    </row>
    <row r="125" spans="1:25" ht="15.75" customHeight="1" x14ac:dyDescent="0.3">
      <c r="A125" s="140"/>
      <c r="B125" s="140"/>
      <c r="K125" s="141"/>
      <c r="L125" s="141"/>
      <c r="M125" s="143"/>
      <c r="N125" s="11"/>
      <c r="O125" s="142"/>
      <c r="P125" s="142"/>
      <c r="Q125" s="142"/>
      <c r="R125" s="142"/>
      <c r="S125" s="141"/>
      <c r="T125" s="141"/>
      <c r="U125" s="143"/>
      <c r="V125" s="141"/>
      <c r="W125" s="141"/>
      <c r="X125" s="11"/>
      <c r="Y125" s="11"/>
    </row>
    <row r="126" spans="1:25" ht="15.75" customHeight="1" x14ac:dyDescent="0.3">
      <c r="A126" s="140"/>
      <c r="B126" s="140"/>
      <c r="K126" s="141"/>
      <c r="L126" s="141"/>
      <c r="M126" s="143"/>
      <c r="N126" s="11"/>
      <c r="O126" s="142"/>
      <c r="P126" s="142"/>
      <c r="Q126" s="142"/>
      <c r="R126" s="142"/>
      <c r="S126" s="141"/>
      <c r="T126" s="141"/>
      <c r="U126" s="143"/>
      <c r="V126" s="141"/>
      <c r="W126" s="141"/>
      <c r="X126" s="11"/>
      <c r="Y126" s="11"/>
    </row>
    <row r="127" spans="1:25" ht="15.75" customHeight="1" x14ac:dyDescent="0.3">
      <c r="A127" s="140"/>
      <c r="B127" s="140"/>
      <c r="K127" s="141"/>
      <c r="L127" s="141"/>
      <c r="M127" s="143"/>
      <c r="N127" s="11"/>
      <c r="O127" s="142"/>
      <c r="P127" s="142"/>
      <c r="Q127" s="142"/>
      <c r="R127" s="142"/>
      <c r="S127" s="141"/>
      <c r="T127" s="141"/>
      <c r="U127" s="143"/>
      <c r="V127" s="141"/>
      <c r="W127" s="141"/>
      <c r="X127" s="11"/>
      <c r="Y127" s="11"/>
    </row>
    <row r="128" spans="1:25" ht="15.75" customHeight="1" x14ac:dyDescent="0.3">
      <c r="A128" s="140"/>
      <c r="B128" s="140"/>
      <c r="K128" s="141"/>
      <c r="L128" s="141"/>
      <c r="M128" s="143"/>
      <c r="N128" s="11"/>
      <c r="O128" s="142"/>
      <c r="P128" s="142"/>
      <c r="Q128" s="142"/>
      <c r="R128" s="142"/>
      <c r="S128" s="141"/>
      <c r="T128" s="141"/>
      <c r="U128" s="143"/>
      <c r="V128" s="141"/>
      <c r="W128" s="141"/>
      <c r="X128" s="11"/>
      <c r="Y128" s="11"/>
    </row>
    <row r="129" spans="1:25" ht="15.75" customHeight="1" x14ac:dyDescent="0.3">
      <c r="A129" s="140"/>
      <c r="B129" s="140"/>
      <c r="K129" s="141"/>
      <c r="L129" s="141"/>
      <c r="M129" s="143"/>
      <c r="N129" s="11"/>
      <c r="O129" s="142"/>
      <c r="P129" s="142"/>
      <c r="Q129" s="142"/>
      <c r="R129" s="142"/>
      <c r="S129" s="141"/>
      <c r="T129" s="141"/>
      <c r="U129" s="143"/>
      <c r="V129" s="141"/>
      <c r="W129" s="141"/>
      <c r="X129" s="11"/>
      <c r="Y129" s="11"/>
    </row>
    <row r="130" spans="1:25" ht="15.75" customHeight="1" x14ac:dyDescent="0.3">
      <c r="A130" s="140"/>
      <c r="B130" s="140"/>
      <c r="K130" s="141"/>
      <c r="L130" s="141"/>
      <c r="M130" s="143"/>
      <c r="N130" s="11"/>
      <c r="O130" s="142"/>
      <c r="P130" s="142"/>
      <c r="Q130" s="142"/>
      <c r="R130" s="142"/>
      <c r="S130" s="141"/>
      <c r="T130" s="141"/>
      <c r="U130" s="143"/>
      <c r="V130" s="141"/>
      <c r="W130" s="141"/>
      <c r="X130" s="11"/>
      <c r="Y130" s="11"/>
    </row>
    <row r="131" spans="1:25" ht="15.75" customHeight="1" x14ac:dyDescent="0.3">
      <c r="A131" s="140"/>
      <c r="B131" s="140"/>
      <c r="K131" s="141"/>
      <c r="L131" s="141"/>
      <c r="M131" s="143"/>
      <c r="N131" s="11"/>
      <c r="O131" s="142"/>
      <c r="P131" s="142"/>
      <c r="Q131" s="142"/>
      <c r="R131" s="142"/>
      <c r="S131" s="141"/>
      <c r="T131" s="141"/>
      <c r="U131" s="143"/>
      <c r="V131" s="141"/>
      <c r="W131" s="141"/>
      <c r="X131" s="11"/>
      <c r="Y131" s="11"/>
    </row>
    <row r="132" spans="1:25" ht="15.75" customHeight="1" x14ac:dyDescent="0.3">
      <c r="A132" s="140"/>
      <c r="B132" s="140"/>
      <c r="K132" s="141"/>
      <c r="L132" s="141"/>
      <c r="M132" s="143"/>
      <c r="N132" s="11"/>
      <c r="O132" s="142"/>
      <c r="P132" s="142"/>
      <c r="Q132" s="142"/>
      <c r="R132" s="142"/>
      <c r="S132" s="141"/>
      <c r="T132" s="141"/>
      <c r="U132" s="143"/>
      <c r="V132" s="141"/>
      <c r="W132" s="141"/>
      <c r="X132" s="11"/>
      <c r="Y132" s="11"/>
    </row>
    <row r="133" spans="1:25" ht="15.75" customHeight="1" x14ac:dyDescent="0.3">
      <c r="A133" s="140"/>
      <c r="B133" s="140"/>
      <c r="K133" s="141"/>
      <c r="L133" s="141"/>
      <c r="M133" s="143"/>
      <c r="N133" s="11"/>
      <c r="O133" s="142"/>
      <c r="P133" s="142"/>
      <c r="Q133" s="142"/>
      <c r="R133" s="142"/>
      <c r="S133" s="141"/>
      <c r="T133" s="141"/>
      <c r="U133" s="143"/>
      <c r="V133" s="141"/>
      <c r="W133" s="141"/>
      <c r="X133" s="11"/>
      <c r="Y133" s="11"/>
    </row>
    <row r="134" spans="1:25" ht="15.75" customHeight="1" x14ac:dyDescent="0.3">
      <c r="A134" s="140"/>
      <c r="B134" s="140"/>
      <c r="K134" s="141"/>
      <c r="L134" s="141"/>
      <c r="M134" s="143"/>
      <c r="N134" s="11"/>
      <c r="O134" s="142"/>
      <c r="P134" s="142"/>
      <c r="Q134" s="142"/>
      <c r="R134" s="142"/>
      <c r="S134" s="141"/>
      <c r="T134" s="141"/>
      <c r="U134" s="143"/>
      <c r="V134" s="141"/>
      <c r="W134" s="141"/>
      <c r="X134" s="11"/>
      <c r="Y134" s="11"/>
    </row>
    <row r="135" spans="1:25" ht="15.75" customHeight="1" x14ac:dyDescent="0.3">
      <c r="A135" s="140"/>
      <c r="B135" s="140"/>
      <c r="K135" s="141"/>
      <c r="L135" s="141"/>
      <c r="M135" s="143"/>
      <c r="N135" s="11"/>
      <c r="O135" s="142"/>
      <c r="P135" s="142"/>
      <c r="Q135" s="142"/>
      <c r="R135" s="142"/>
      <c r="S135" s="141"/>
      <c r="T135" s="141"/>
      <c r="U135" s="143"/>
      <c r="V135" s="141"/>
      <c r="W135" s="141"/>
      <c r="X135" s="11"/>
      <c r="Y135" s="11"/>
    </row>
    <row r="136" spans="1:25" ht="15.75" customHeight="1" x14ac:dyDescent="0.3">
      <c r="A136" s="140"/>
      <c r="B136" s="140"/>
      <c r="K136" s="141"/>
      <c r="L136" s="141"/>
      <c r="M136" s="143"/>
      <c r="N136" s="11"/>
      <c r="O136" s="142"/>
      <c r="P136" s="142"/>
      <c r="Q136" s="142"/>
      <c r="R136" s="142"/>
      <c r="S136" s="141"/>
      <c r="T136" s="141"/>
      <c r="U136" s="143"/>
      <c r="V136" s="141"/>
      <c r="W136" s="141"/>
      <c r="X136" s="11"/>
      <c r="Y136" s="11"/>
    </row>
    <row r="137" spans="1:25" ht="15.75" customHeight="1" x14ac:dyDescent="0.3">
      <c r="A137" s="140"/>
      <c r="B137" s="140"/>
      <c r="K137" s="141"/>
      <c r="L137" s="141"/>
      <c r="M137" s="143"/>
      <c r="N137" s="11"/>
      <c r="O137" s="142"/>
      <c r="P137" s="142"/>
      <c r="Q137" s="142"/>
      <c r="R137" s="142"/>
      <c r="S137" s="141"/>
      <c r="T137" s="141"/>
      <c r="U137" s="143"/>
      <c r="V137" s="141"/>
      <c r="W137" s="141"/>
      <c r="X137" s="11"/>
      <c r="Y137" s="11"/>
    </row>
    <row r="138" spans="1:25" ht="15.75" customHeight="1" x14ac:dyDescent="0.3">
      <c r="A138" s="140"/>
      <c r="B138" s="140"/>
      <c r="K138" s="141"/>
      <c r="L138" s="141"/>
      <c r="M138" s="143"/>
      <c r="N138" s="11"/>
      <c r="O138" s="142"/>
      <c r="P138" s="142"/>
      <c r="Q138" s="142"/>
      <c r="R138" s="142"/>
      <c r="S138" s="141"/>
      <c r="T138" s="141"/>
      <c r="U138" s="143"/>
      <c r="V138" s="141"/>
      <c r="W138" s="141"/>
      <c r="X138" s="11"/>
      <c r="Y138" s="11"/>
    </row>
    <row r="139" spans="1:25" ht="15.75" customHeight="1" x14ac:dyDescent="0.3">
      <c r="A139" s="140"/>
      <c r="B139" s="140"/>
      <c r="K139" s="141"/>
      <c r="L139" s="141"/>
      <c r="M139" s="143"/>
      <c r="N139" s="11"/>
      <c r="O139" s="142"/>
      <c r="P139" s="142"/>
      <c r="Q139" s="142"/>
      <c r="R139" s="142"/>
      <c r="S139" s="141"/>
      <c r="T139" s="141"/>
      <c r="U139" s="143"/>
      <c r="V139" s="141"/>
      <c r="W139" s="141"/>
      <c r="X139" s="11"/>
      <c r="Y139" s="11"/>
    </row>
    <row r="140" spans="1:25" ht="15.75" customHeight="1" x14ac:dyDescent="0.3">
      <c r="A140" s="140"/>
      <c r="B140" s="140"/>
      <c r="K140" s="141"/>
      <c r="L140" s="141"/>
      <c r="M140" s="143"/>
      <c r="N140" s="11"/>
      <c r="O140" s="142"/>
      <c r="P140" s="142"/>
      <c r="Q140" s="142"/>
      <c r="R140" s="142"/>
      <c r="S140" s="141"/>
      <c r="T140" s="141"/>
      <c r="U140" s="143"/>
      <c r="V140" s="141"/>
      <c r="W140" s="141"/>
      <c r="X140" s="11"/>
      <c r="Y140" s="11"/>
    </row>
    <row r="141" spans="1:25" ht="15.75" customHeight="1" x14ac:dyDescent="0.3">
      <c r="A141" s="140"/>
      <c r="B141" s="140"/>
      <c r="K141" s="141"/>
      <c r="L141" s="141"/>
      <c r="M141" s="143"/>
      <c r="N141" s="11"/>
      <c r="O141" s="142"/>
      <c r="P141" s="142"/>
      <c r="Q141" s="142"/>
      <c r="R141" s="142"/>
      <c r="S141" s="141"/>
      <c r="T141" s="141"/>
      <c r="U141" s="143"/>
      <c r="V141" s="141"/>
      <c r="W141" s="141"/>
      <c r="X141" s="11"/>
      <c r="Y141" s="11"/>
    </row>
    <row r="142" spans="1:25" ht="15.75" customHeight="1" x14ac:dyDescent="0.3">
      <c r="A142" s="140"/>
      <c r="B142" s="140"/>
      <c r="K142" s="141"/>
      <c r="L142" s="141"/>
      <c r="M142" s="143"/>
      <c r="N142" s="11"/>
      <c r="O142" s="142"/>
      <c r="P142" s="142"/>
      <c r="Q142" s="142"/>
      <c r="R142" s="142"/>
      <c r="S142" s="141"/>
      <c r="T142" s="141"/>
      <c r="U142" s="143"/>
      <c r="V142" s="141"/>
      <c r="W142" s="141"/>
      <c r="X142" s="11"/>
      <c r="Y142" s="11"/>
    </row>
    <row r="143" spans="1:25" ht="15.75" customHeight="1" x14ac:dyDescent="0.3">
      <c r="A143" s="140"/>
      <c r="B143" s="140"/>
      <c r="K143" s="141"/>
      <c r="L143" s="141"/>
      <c r="M143" s="143"/>
      <c r="N143" s="11"/>
      <c r="O143" s="142"/>
      <c r="P143" s="142"/>
      <c r="Q143" s="142"/>
      <c r="R143" s="142"/>
      <c r="S143" s="141"/>
      <c r="T143" s="141"/>
      <c r="U143" s="143"/>
      <c r="V143" s="141"/>
      <c r="W143" s="141"/>
      <c r="X143" s="11"/>
      <c r="Y143" s="11"/>
    </row>
    <row r="144" spans="1:25" ht="15.75" customHeight="1" x14ac:dyDescent="0.3">
      <c r="A144" s="140"/>
      <c r="B144" s="140"/>
      <c r="K144" s="141"/>
      <c r="L144" s="141"/>
      <c r="M144" s="143"/>
      <c r="N144" s="11"/>
      <c r="O144" s="142"/>
      <c r="P144" s="142"/>
      <c r="Q144" s="142"/>
      <c r="R144" s="142"/>
      <c r="S144" s="141"/>
      <c r="T144" s="141"/>
      <c r="U144" s="143"/>
      <c r="V144" s="141"/>
      <c r="W144" s="141"/>
      <c r="X144" s="11"/>
      <c r="Y144" s="11"/>
    </row>
    <row r="145" spans="1:25" ht="15.75" customHeight="1" x14ac:dyDescent="0.3">
      <c r="A145" s="140"/>
      <c r="B145" s="140"/>
      <c r="K145" s="141"/>
      <c r="L145" s="141"/>
      <c r="M145" s="143"/>
      <c r="N145" s="11"/>
      <c r="O145" s="142"/>
      <c r="P145" s="142"/>
      <c r="Q145" s="142"/>
      <c r="R145" s="142"/>
      <c r="S145" s="141"/>
      <c r="T145" s="141"/>
      <c r="U145" s="143"/>
      <c r="V145" s="141"/>
      <c r="W145" s="141"/>
      <c r="X145" s="11"/>
      <c r="Y145" s="11"/>
    </row>
    <row r="146" spans="1:25" ht="15.75" customHeight="1" x14ac:dyDescent="0.3">
      <c r="A146" s="140"/>
      <c r="B146" s="140"/>
      <c r="K146" s="141"/>
      <c r="L146" s="141"/>
      <c r="M146" s="143"/>
      <c r="N146" s="11"/>
      <c r="O146" s="142"/>
      <c r="P146" s="142"/>
      <c r="Q146" s="142"/>
      <c r="R146" s="142"/>
      <c r="S146" s="141"/>
      <c r="T146" s="141"/>
      <c r="U146" s="143"/>
      <c r="V146" s="141"/>
      <c r="W146" s="141"/>
      <c r="X146" s="11"/>
      <c r="Y146" s="11"/>
    </row>
    <row r="147" spans="1:25" ht="15.75" customHeight="1" x14ac:dyDescent="0.3">
      <c r="A147" s="140"/>
      <c r="B147" s="140"/>
      <c r="K147" s="141"/>
      <c r="L147" s="141"/>
      <c r="M147" s="143"/>
      <c r="N147" s="11"/>
      <c r="O147" s="142"/>
      <c r="P147" s="142"/>
      <c r="Q147" s="142"/>
      <c r="R147" s="142"/>
      <c r="S147" s="141"/>
      <c r="T147" s="141"/>
      <c r="U147" s="143"/>
      <c r="V147" s="141"/>
      <c r="W147" s="141"/>
      <c r="X147" s="11"/>
      <c r="Y147" s="11"/>
    </row>
    <row r="148" spans="1:25" ht="15.75" customHeight="1" x14ac:dyDescent="0.3">
      <c r="A148" s="140"/>
      <c r="B148" s="140"/>
      <c r="K148" s="141"/>
      <c r="L148" s="141"/>
      <c r="M148" s="143"/>
      <c r="N148" s="11"/>
      <c r="O148" s="142"/>
      <c r="P148" s="142"/>
      <c r="Q148" s="142"/>
      <c r="R148" s="142"/>
      <c r="S148" s="141"/>
      <c r="T148" s="141"/>
      <c r="U148" s="143"/>
      <c r="V148" s="141"/>
      <c r="W148" s="141"/>
      <c r="X148" s="11"/>
      <c r="Y148" s="11"/>
    </row>
    <row r="149" spans="1:25" ht="15.75" customHeight="1" x14ac:dyDescent="0.3">
      <c r="A149" s="140"/>
      <c r="B149" s="140"/>
      <c r="K149" s="141"/>
      <c r="L149" s="141"/>
      <c r="M149" s="143"/>
      <c r="N149" s="11"/>
      <c r="O149" s="142"/>
      <c r="P149" s="142"/>
      <c r="Q149" s="142"/>
      <c r="R149" s="142"/>
      <c r="S149" s="141"/>
      <c r="T149" s="141"/>
      <c r="U149" s="143"/>
      <c r="V149" s="141"/>
      <c r="W149" s="141"/>
      <c r="X149" s="11"/>
      <c r="Y149" s="11"/>
    </row>
    <row r="150" spans="1:25" ht="15.75" customHeight="1" x14ac:dyDescent="0.3">
      <c r="A150" s="140"/>
      <c r="B150" s="140"/>
      <c r="K150" s="141"/>
      <c r="L150" s="141"/>
      <c r="M150" s="143"/>
      <c r="N150" s="11"/>
      <c r="O150" s="142"/>
      <c r="P150" s="142"/>
      <c r="Q150" s="142"/>
      <c r="R150" s="142"/>
      <c r="S150" s="141"/>
      <c r="T150" s="141"/>
      <c r="U150" s="143"/>
      <c r="V150" s="141"/>
      <c r="W150" s="141"/>
      <c r="X150" s="11"/>
      <c r="Y150" s="11"/>
    </row>
    <row r="151" spans="1:25" ht="15.75" customHeight="1" x14ac:dyDescent="0.3">
      <c r="A151" s="140"/>
      <c r="B151" s="140"/>
      <c r="K151" s="141"/>
      <c r="L151" s="141"/>
      <c r="M151" s="143"/>
      <c r="N151" s="11"/>
      <c r="O151" s="142"/>
      <c r="P151" s="142"/>
      <c r="Q151" s="142"/>
      <c r="R151" s="142"/>
      <c r="S151" s="141"/>
      <c r="T151" s="141"/>
      <c r="U151" s="143"/>
      <c r="V151" s="141"/>
      <c r="W151" s="141"/>
      <c r="X151" s="11"/>
      <c r="Y151" s="11"/>
    </row>
    <row r="152" spans="1:25" ht="15.75" customHeight="1" x14ac:dyDescent="0.3">
      <c r="A152" s="140"/>
      <c r="B152" s="140"/>
      <c r="K152" s="141"/>
      <c r="L152" s="141"/>
      <c r="M152" s="143"/>
      <c r="N152" s="11"/>
      <c r="O152" s="142"/>
      <c r="P152" s="142"/>
      <c r="Q152" s="142"/>
      <c r="R152" s="142"/>
      <c r="S152" s="141"/>
      <c r="T152" s="141"/>
      <c r="U152" s="143"/>
      <c r="V152" s="141"/>
      <c r="W152" s="141"/>
      <c r="X152" s="11"/>
      <c r="Y152" s="11"/>
    </row>
    <row r="153" spans="1:25" ht="15.75" customHeight="1" x14ac:dyDescent="0.3">
      <c r="A153" s="140"/>
      <c r="B153" s="140"/>
      <c r="K153" s="141"/>
      <c r="L153" s="141"/>
      <c r="M153" s="143"/>
      <c r="N153" s="11"/>
      <c r="O153" s="142"/>
      <c r="P153" s="142"/>
      <c r="Q153" s="142"/>
      <c r="R153" s="142"/>
      <c r="S153" s="141"/>
      <c r="T153" s="141"/>
      <c r="U153" s="143"/>
      <c r="V153" s="141"/>
      <c r="W153" s="141"/>
      <c r="X153" s="11"/>
      <c r="Y153" s="11"/>
    </row>
    <row r="154" spans="1:25" ht="15.75" customHeight="1" x14ac:dyDescent="0.3">
      <c r="A154" s="140"/>
      <c r="B154" s="140"/>
      <c r="K154" s="141"/>
      <c r="L154" s="141"/>
      <c r="M154" s="143"/>
      <c r="N154" s="11"/>
      <c r="O154" s="142"/>
      <c r="P154" s="142"/>
      <c r="Q154" s="142"/>
      <c r="R154" s="142"/>
      <c r="S154" s="141"/>
      <c r="T154" s="141"/>
      <c r="U154" s="143"/>
      <c r="V154" s="141"/>
      <c r="W154" s="141"/>
      <c r="X154" s="11"/>
      <c r="Y154" s="11"/>
    </row>
    <row r="155" spans="1:25" ht="15.75" customHeight="1" x14ac:dyDescent="0.3">
      <c r="A155" s="140"/>
      <c r="B155" s="140"/>
      <c r="K155" s="141"/>
      <c r="L155" s="141"/>
      <c r="M155" s="143"/>
      <c r="N155" s="11"/>
      <c r="O155" s="142"/>
      <c r="P155" s="142"/>
      <c r="Q155" s="142"/>
      <c r="R155" s="142"/>
      <c r="S155" s="141"/>
      <c r="T155" s="141"/>
      <c r="U155" s="143"/>
      <c r="V155" s="141"/>
      <c r="W155" s="141"/>
      <c r="X155" s="11"/>
      <c r="Y155" s="11"/>
    </row>
    <row r="156" spans="1:25" ht="15.75" customHeight="1" x14ac:dyDescent="0.3">
      <c r="A156" s="140"/>
      <c r="B156" s="140"/>
      <c r="K156" s="141"/>
      <c r="L156" s="141"/>
      <c r="M156" s="143"/>
      <c r="N156" s="11"/>
      <c r="O156" s="142"/>
      <c r="P156" s="142"/>
      <c r="Q156" s="142"/>
      <c r="R156" s="142"/>
      <c r="S156" s="141"/>
      <c r="T156" s="141"/>
      <c r="U156" s="143"/>
      <c r="V156" s="141"/>
      <c r="W156" s="141"/>
      <c r="X156" s="11"/>
      <c r="Y156" s="11"/>
    </row>
    <row r="157" spans="1:25" ht="15.75" customHeight="1" x14ac:dyDescent="0.3">
      <c r="A157" s="140"/>
      <c r="B157" s="140"/>
      <c r="K157" s="141"/>
      <c r="L157" s="141"/>
      <c r="M157" s="143"/>
      <c r="N157" s="11"/>
      <c r="O157" s="142"/>
      <c r="P157" s="142"/>
      <c r="Q157" s="142"/>
      <c r="R157" s="142"/>
      <c r="S157" s="141"/>
      <c r="T157" s="141"/>
      <c r="U157" s="143"/>
      <c r="V157" s="141"/>
      <c r="W157" s="141"/>
      <c r="X157" s="11"/>
      <c r="Y157" s="11"/>
    </row>
    <row r="158" spans="1:25" ht="15.75" customHeight="1" x14ac:dyDescent="0.3">
      <c r="A158" s="140"/>
      <c r="B158" s="140"/>
      <c r="K158" s="141"/>
      <c r="L158" s="141"/>
      <c r="M158" s="143"/>
      <c r="N158" s="11"/>
      <c r="O158" s="142"/>
      <c r="P158" s="142"/>
      <c r="Q158" s="142"/>
      <c r="R158" s="142"/>
      <c r="S158" s="141"/>
      <c r="T158" s="141"/>
      <c r="U158" s="143"/>
      <c r="V158" s="141"/>
      <c r="W158" s="141"/>
      <c r="X158" s="11"/>
      <c r="Y158" s="11"/>
    </row>
    <row r="159" spans="1:25" ht="15.75" customHeight="1" x14ac:dyDescent="0.3">
      <c r="A159" s="140"/>
      <c r="B159" s="140"/>
      <c r="K159" s="141"/>
      <c r="L159" s="141"/>
      <c r="M159" s="143"/>
      <c r="N159" s="11"/>
      <c r="O159" s="142"/>
      <c r="P159" s="142"/>
      <c r="Q159" s="142"/>
      <c r="R159" s="142"/>
      <c r="S159" s="141"/>
      <c r="T159" s="141"/>
      <c r="U159" s="143"/>
      <c r="V159" s="141"/>
      <c r="W159" s="141"/>
      <c r="X159" s="11"/>
      <c r="Y159" s="11"/>
    </row>
    <row r="160" spans="1:25" ht="15.75" customHeight="1" x14ac:dyDescent="0.3">
      <c r="A160" s="140"/>
      <c r="B160" s="140"/>
      <c r="K160" s="141"/>
      <c r="L160" s="141"/>
      <c r="M160" s="143"/>
      <c r="N160" s="11"/>
      <c r="O160" s="142"/>
      <c r="P160" s="142"/>
      <c r="Q160" s="142"/>
      <c r="R160" s="142"/>
      <c r="S160" s="141"/>
      <c r="T160" s="141"/>
      <c r="U160" s="143"/>
      <c r="V160" s="141"/>
      <c r="W160" s="141"/>
      <c r="X160" s="11"/>
      <c r="Y160" s="11"/>
    </row>
    <row r="161" spans="1:25" ht="15.75" customHeight="1" x14ac:dyDescent="0.3">
      <c r="A161" s="140"/>
      <c r="B161" s="140"/>
      <c r="K161" s="141"/>
      <c r="L161" s="141"/>
      <c r="M161" s="143"/>
      <c r="N161" s="11"/>
      <c r="O161" s="142"/>
      <c r="P161" s="142"/>
      <c r="Q161" s="142"/>
      <c r="R161" s="142"/>
      <c r="S161" s="141"/>
      <c r="T161" s="141"/>
      <c r="U161" s="143"/>
      <c r="V161" s="141"/>
      <c r="W161" s="141"/>
      <c r="X161" s="11"/>
      <c r="Y161" s="11"/>
    </row>
    <row r="162" spans="1:25" ht="15.75" customHeight="1" x14ac:dyDescent="0.3">
      <c r="A162" s="140"/>
      <c r="B162" s="140"/>
      <c r="K162" s="141"/>
      <c r="L162" s="141"/>
      <c r="M162" s="143"/>
      <c r="N162" s="11"/>
      <c r="O162" s="142"/>
      <c r="P162" s="142"/>
      <c r="Q162" s="142"/>
      <c r="R162" s="142"/>
      <c r="S162" s="141"/>
      <c r="T162" s="141"/>
      <c r="U162" s="143"/>
      <c r="V162" s="141"/>
      <c r="W162" s="141"/>
      <c r="X162" s="11"/>
      <c r="Y162" s="11"/>
    </row>
    <row r="163" spans="1:25" ht="15.75" customHeight="1" x14ac:dyDescent="0.3">
      <c r="A163" s="140"/>
      <c r="B163" s="140"/>
      <c r="K163" s="141"/>
      <c r="L163" s="141"/>
      <c r="M163" s="143"/>
      <c r="N163" s="11"/>
      <c r="O163" s="142"/>
      <c r="P163" s="142"/>
      <c r="Q163" s="142"/>
      <c r="R163" s="142"/>
      <c r="S163" s="141"/>
      <c r="T163" s="141"/>
      <c r="U163" s="143"/>
      <c r="V163" s="141"/>
      <c r="W163" s="141"/>
      <c r="X163" s="11"/>
      <c r="Y163" s="11"/>
    </row>
    <row r="164" spans="1:25" ht="15.75" customHeight="1" x14ac:dyDescent="0.3">
      <c r="A164" s="140"/>
      <c r="B164" s="140"/>
      <c r="K164" s="141"/>
      <c r="L164" s="141"/>
      <c r="M164" s="143"/>
      <c r="N164" s="11"/>
      <c r="O164" s="142"/>
      <c r="P164" s="142"/>
      <c r="Q164" s="142"/>
      <c r="R164" s="142"/>
      <c r="S164" s="141"/>
      <c r="T164" s="141"/>
      <c r="U164" s="143"/>
      <c r="V164" s="141"/>
      <c r="W164" s="141"/>
      <c r="X164" s="11"/>
      <c r="Y164" s="11"/>
    </row>
    <row r="165" spans="1:25" ht="15.75" customHeight="1" x14ac:dyDescent="0.3">
      <c r="A165" s="140"/>
      <c r="B165" s="140"/>
      <c r="K165" s="141"/>
      <c r="L165" s="141"/>
      <c r="M165" s="143"/>
      <c r="N165" s="11"/>
      <c r="O165" s="142"/>
      <c r="P165" s="142"/>
      <c r="Q165" s="142"/>
      <c r="R165" s="142"/>
      <c r="S165" s="141"/>
      <c r="T165" s="141"/>
      <c r="U165" s="143"/>
      <c r="V165" s="141"/>
      <c r="W165" s="141"/>
      <c r="X165" s="11"/>
      <c r="Y165" s="11"/>
    </row>
    <row r="166" spans="1:25" ht="15.75" customHeight="1" x14ac:dyDescent="0.3">
      <c r="A166" s="140"/>
      <c r="B166" s="140"/>
      <c r="K166" s="141"/>
      <c r="L166" s="141"/>
      <c r="M166" s="143"/>
      <c r="N166" s="11"/>
      <c r="O166" s="142"/>
      <c r="P166" s="142"/>
      <c r="Q166" s="142"/>
      <c r="R166" s="142"/>
      <c r="S166" s="141"/>
      <c r="T166" s="141"/>
      <c r="U166" s="143"/>
      <c r="V166" s="141"/>
      <c r="W166" s="141"/>
      <c r="X166" s="11"/>
      <c r="Y166" s="11"/>
    </row>
    <row r="167" spans="1:25" ht="15.75" customHeight="1" x14ac:dyDescent="0.3">
      <c r="A167" s="140"/>
      <c r="B167" s="140"/>
      <c r="K167" s="141"/>
      <c r="L167" s="141"/>
      <c r="M167" s="143"/>
      <c r="N167" s="11"/>
      <c r="O167" s="142"/>
      <c r="P167" s="142"/>
      <c r="Q167" s="142"/>
      <c r="R167" s="142"/>
      <c r="S167" s="141"/>
      <c r="T167" s="141"/>
      <c r="U167" s="143"/>
      <c r="V167" s="141"/>
      <c r="W167" s="141"/>
      <c r="X167" s="11"/>
      <c r="Y167" s="11"/>
    </row>
    <row r="168" spans="1:25" ht="15.75" customHeight="1" x14ac:dyDescent="0.3">
      <c r="A168" s="140"/>
      <c r="B168" s="140"/>
      <c r="K168" s="141"/>
      <c r="L168" s="141"/>
      <c r="M168" s="143"/>
      <c r="N168" s="11"/>
      <c r="O168" s="142"/>
      <c r="P168" s="142"/>
      <c r="Q168" s="142"/>
      <c r="R168" s="142"/>
      <c r="S168" s="141"/>
      <c r="T168" s="141"/>
      <c r="U168" s="143"/>
      <c r="V168" s="141"/>
      <c r="W168" s="141"/>
      <c r="X168" s="11"/>
      <c r="Y168" s="11"/>
    </row>
    <row r="169" spans="1:25" ht="15.75" customHeight="1" x14ac:dyDescent="0.3">
      <c r="A169" s="140"/>
      <c r="B169" s="140"/>
      <c r="K169" s="141"/>
      <c r="L169" s="141"/>
      <c r="M169" s="143"/>
      <c r="N169" s="11"/>
      <c r="O169" s="142"/>
      <c r="P169" s="142"/>
      <c r="Q169" s="142"/>
      <c r="R169" s="142"/>
      <c r="S169" s="141"/>
      <c r="T169" s="141"/>
      <c r="U169" s="143"/>
      <c r="V169" s="141"/>
      <c r="W169" s="141"/>
      <c r="X169" s="11"/>
      <c r="Y169" s="11"/>
    </row>
    <row r="170" spans="1:25" ht="15.75" customHeight="1" x14ac:dyDescent="0.3">
      <c r="A170" s="140"/>
      <c r="B170" s="140"/>
      <c r="K170" s="141"/>
      <c r="L170" s="141"/>
      <c r="M170" s="143"/>
      <c r="N170" s="11"/>
      <c r="O170" s="142"/>
      <c r="P170" s="142"/>
      <c r="Q170" s="142"/>
      <c r="R170" s="142"/>
      <c r="S170" s="141"/>
      <c r="T170" s="141"/>
      <c r="U170" s="143"/>
      <c r="V170" s="141"/>
      <c r="W170" s="141"/>
      <c r="X170" s="11"/>
      <c r="Y170" s="11"/>
    </row>
    <row r="171" spans="1:25" ht="15.75" customHeight="1" x14ac:dyDescent="0.3">
      <c r="A171" s="140"/>
      <c r="B171" s="140"/>
      <c r="K171" s="141"/>
      <c r="L171" s="141"/>
      <c r="M171" s="143"/>
      <c r="N171" s="11"/>
      <c r="O171" s="142"/>
      <c r="P171" s="142"/>
      <c r="Q171" s="142"/>
      <c r="R171" s="142"/>
      <c r="S171" s="141"/>
      <c r="T171" s="141"/>
      <c r="U171" s="143"/>
      <c r="V171" s="141"/>
      <c r="W171" s="141"/>
      <c r="X171" s="11"/>
      <c r="Y171" s="11"/>
    </row>
    <row r="172" spans="1:25" ht="15.75" customHeight="1" x14ac:dyDescent="0.3">
      <c r="A172" s="140"/>
      <c r="B172" s="140"/>
      <c r="K172" s="141"/>
      <c r="L172" s="141"/>
      <c r="M172" s="143"/>
      <c r="N172" s="11"/>
      <c r="O172" s="142"/>
      <c r="P172" s="142"/>
      <c r="Q172" s="142"/>
      <c r="R172" s="142"/>
      <c r="S172" s="141"/>
      <c r="T172" s="141"/>
      <c r="U172" s="143"/>
      <c r="V172" s="141"/>
      <c r="W172" s="141"/>
      <c r="X172" s="11"/>
      <c r="Y172" s="11"/>
    </row>
    <row r="173" spans="1:25" ht="15.75" customHeight="1" x14ac:dyDescent="0.3">
      <c r="A173" s="140"/>
      <c r="B173" s="140"/>
      <c r="K173" s="141"/>
      <c r="L173" s="141"/>
      <c r="M173" s="143"/>
      <c r="N173" s="11"/>
      <c r="O173" s="142"/>
      <c r="P173" s="142"/>
      <c r="Q173" s="142"/>
      <c r="R173" s="142"/>
      <c r="S173" s="141"/>
      <c r="T173" s="141"/>
      <c r="U173" s="143"/>
      <c r="V173" s="141"/>
      <c r="W173" s="141"/>
      <c r="X173" s="11"/>
      <c r="Y173" s="11"/>
    </row>
    <row r="174" spans="1:25" ht="15.75" customHeight="1" x14ac:dyDescent="0.3">
      <c r="A174" s="140"/>
      <c r="B174" s="140"/>
      <c r="K174" s="141"/>
      <c r="L174" s="141"/>
      <c r="M174" s="143"/>
      <c r="N174" s="11"/>
      <c r="O174" s="142"/>
      <c r="P174" s="142"/>
      <c r="Q174" s="142"/>
      <c r="R174" s="142"/>
      <c r="S174" s="141"/>
      <c r="T174" s="141"/>
      <c r="U174" s="143"/>
      <c r="V174" s="141"/>
      <c r="W174" s="141"/>
      <c r="X174" s="11"/>
      <c r="Y174" s="11"/>
    </row>
    <row r="175" spans="1:25" ht="15.75" customHeight="1" x14ac:dyDescent="0.3">
      <c r="A175" s="140"/>
      <c r="B175" s="140"/>
      <c r="K175" s="141"/>
      <c r="L175" s="141"/>
      <c r="M175" s="143"/>
      <c r="N175" s="11"/>
      <c r="O175" s="142"/>
      <c r="P175" s="142"/>
      <c r="Q175" s="142"/>
      <c r="R175" s="142"/>
      <c r="S175" s="141"/>
      <c r="T175" s="141"/>
      <c r="U175" s="143"/>
      <c r="V175" s="141"/>
      <c r="W175" s="141"/>
      <c r="X175" s="11"/>
      <c r="Y175" s="11"/>
    </row>
    <row r="176" spans="1:25" ht="15.75" customHeight="1" x14ac:dyDescent="0.3">
      <c r="A176" s="140"/>
      <c r="B176" s="140"/>
      <c r="K176" s="141"/>
      <c r="L176" s="141"/>
      <c r="M176" s="143"/>
      <c r="N176" s="11"/>
      <c r="O176" s="142"/>
      <c r="P176" s="142"/>
      <c r="Q176" s="142"/>
      <c r="R176" s="142"/>
      <c r="S176" s="141"/>
      <c r="T176" s="141"/>
      <c r="U176" s="143"/>
      <c r="V176" s="141"/>
      <c r="W176" s="141"/>
      <c r="X176" s="11"/>
      <c r="Y176" s="11"/>
    </row>
    <row r="177" spans="1:25" ht="15.75" customHeight="1" x14ac:dyDescent="0.3">
      <c r="A177" s="140"/>
      <c r="B177" s="140"/>
      <c r="K177" s="141"/>
      <c r="L177" s="141"/>
      <c r="M177" s="143"/>
      <c r="N177" s="11"/>
      <c r="O177" s="142"/>
      <c r="P177" s="142"/>
      <c r="Q177" s="142"/>
      <c r="R177" s="142"/>
      <c r="S177" s="141"/>
      <c r="T177" s="141"/>
      <c r="U177" s="143"/>
      <c r="V177" s="141"/>
      <c r="W177" s="141"/>
      <c r="X177" s="11"/>
      <c r="Y177" s="11"/>
    </row>
    <row r="178" spans="1:25" ht="15.75" customHeight="1" x14ac:dyDescent="0.3">
      <c r="A178" s="140"/>
      <c r="B178" s="140"/>
      <c r="K178" s="141"/>
      <c r="L178" s="141"/>
      <c r="M178" s="143"/>
      <c r="N178" s="11"/>
      <c r="O178" s="142"/>
      <c r="P178" s="142"/>
      <c r="Q178" s="142"/>
      <c r="R178" s="142"/>
      <c r="S178" s="141"/>
      <c r="T178" s="141"/>
      <c r="U178" s="143"/>
      <c r="V178" s="141"/>
      <c r="W178" s="141"/>
      <c r="X178" s="11"/>
      <c r="Y178" s="11"/>
    </row>
    <row r="179" spans="1:25" ht="15.75" customHeight="1" x14ac:dyDescent="0.3">
      <c r="A179" s="140"/>
      <c r="B179" s="140"/>
      <c r="K179" s="141"/>
      <c r="L179" s="141"/>
      <c r="M179" s="143"/>
      <c r="N179" s="11"/>
      <c r="O179" s="142"/>
      <c r="P179" s="142"/>
      <c r="Q179" s="142"/>
      <c r="R179" s="142"/>
      <c r="S179" s="141"/>
      <c r="T179" s="141"/>
      <c r="U179" s="143"/>
      <c r="V179" s="141"/>
      <c r="W179" s="141"/>
      <c r="X179" s="11"/>
      <c r="Y179" s="11"/>
    </row>
    <row r="180" spans="1:25" ht="15.75" customHeight="1" x14ac:dyDescent="0.3">
      <c r="A180" s="140"/>
      <c r="B180" s="140"/>
      <c r="K180" s="141"/>
      <c r="L180" s="141"/>
      <c r="M180" s="143"/>
      <c r="N180" s="11"/>
      <c r="O180" s="142"/>
      <c r="P180" s="142"/>
      <c r="Q180" s="142"/>
      <c r="R180" s="142"/>
      <c r="S180" s="141"/>
      <c r="T180" s="141"/>
      <c r="U180" s="143"/>
      <c r="V180" s="141"/>
      <c r="W180" s="141"/>
      <c r="X180" s="11"/>
      <c r="Y180" s="11"/>
    </row>
    <row r="181" spans="1:25" ht="15.75" customHeight="1" x14ac:dyDescent="0.3">
      <c r="A181" s="140"/>
      <c r="B181" s="140"/>
      <c r="K181" s="141"/>
      <c r="L181" s="141"/>
      <c r="M181" s="143"/>
      <c r="N181" s="11"/>
      <c r="O181" s="142"/>
      <c r="P181" s="142"/>
      <c r="Q181" s="142"/>
      <c r="R181" s="142"/>
      <c r="S181" s="141"/>
      <c r="T181" s="141"/>
      <c r="U181" s="143"/>
      <c r="V181" s="141"/>
      <c r="W181" s="141"/>
      <c r="X181" s="11"/>
      <c r="Y181" s="11"/>
    </row>
    <row r="182" spans="1:25" ht="15.75" customHeight="1" x14ac:dyDescent="0.3">
      <c r="A182" s="140"/>
      <c r="B182" s="140"/>
      <c r="K182" s="141"/>
      <c r="L182" s="141"/>
      <c r="M182" s="143"/>
      <c r="N182" s="11"/>
      <c r="O182" s="142"/>
      <c r="P182" s="142"/>
      <c r="Q182" s="142"/>
      <c r="R182" s="142"/>
      <c r="S182" s="141"/>
      <c r="T182" s="141"/>
      <c r="U182" s="143"/>
      <c r="V182" s="141"/>
      <c r="W182" s="141"/>
      <c r="X182" s="11"/>
      <c r="Y182" s="11"/>
    </row>
    <row r="183" spans="1:25" ht="15.75" customHeight="1" x14ac:dyDescent="0.3">
      <c r="A183" s="140"/>
      <c r="B183" s="140"/>
      <c r="K183" s="141"/>
      <c r="L183" s="141"/>
      <c r="M183" s="143"/>
      <c r="N183" s="11"/>
      <c r="O183" s="142"/>
      <c r="P183" s="142"/>
      <c r="Q183" s="142"/>
      <c r="R183" s="142"/>
      <c r="S183" s="141"/>
      <c r="T183" s="141"/>
      <c r="U183" s="143"/>
      <c r="V183" s="141"/>
      <c r="W183" s="141"/>
      <c r="X183" s="11"/>
      <c r="Y183" s="11"/>
    </row>
    <row r="184" spans="1:25" ht="15.75" customHeight="1" x14ac:dyDescent="0.3">
      <c r="A184" s="140"/>
      <c r="B184" s="140"/>
      <c r="K184" s="141"/>
      <c r="L184" s="141"/>
      <c r="M184" s="143"/>
      <c r="N184" s="11"/>
      <c r="O184" s="142"/>
      <c r="P184" s="142"/>
      <c r="Q184" s="142"/>
      <c r="R184" s="142"/>
      <c r="S184" s="141"/>
      <c r="T184" s="141"/>
      <c r="U184" s="143"/>
      <c r="V184" s="141"/>
      <c r="W184" s="141"/>
      <c r="X184" s="11"/>
      <c r="Y184" s="11"/>
    </row>
    <row r="185" spans="1:25" ht="15.75" customHeight="1" x14ac:dyDescent="0.3">
      <c r="A185" s="140"/>
      <c r="B185" s="140"/>
      <c r="K185" s="141"/>
      <c r="L185" s="141"/>
      <c r="M185" s="143"/>
      <c r="N185" s="11"/>
      <c r="O185" s="142"/>
      <c r="P185" s="142"/>
      <c r="Q185" s="142"/>
      <c r="R185" s="142"/>
      <c r="S185" s="141"/>
      <c r="T185" s="141"/>
      <c r="U185" s="143"/>
      <c r="V185" s="141"/>
      <c r="W185" s="141"/>
      <c r="X185" s="11"/>
      <c r="Y185" s="11"/>
    </row>
    <row r="186" spans="1:25" ht="15.75" customHeight="1" x14ac:dyDescent="0.3">
      <c r="A186" s="140"/>
      <c r="B186" s="140"/>
      <c r="K186" s="141"/>
      <c r="L186" s="141"/>
      <c r="M186" s="143"/>
      <c r="N186" s="11"/>
      <c r="O186" s="142"/>
      <c r="P186" s="142"/>
      <c r="Q186" s="142"/>
      <c r="R186" s="142"/>
      <c r="S186" s="141"/>
      <c r="T186" s="141"/>
      <c r="U186" s="143"/>
      <c r="V186" s="141"/>
      <c r="W186" s="141"/>
      <c r="X186" s="11"/>
      <c r="Y186" s="11"/>
    </row>
    <row r="187" spans="1:25" ht="15.75" customHeight="1" x14ac:dyDescent="0.3">
      <c r="A187" s="140"/>
      <c r="B187" s="140"/>
      <c r="K187" s="141"/>
      <c r="L187" s="141"/>
      <c r="M187" s="143"/>
      <c r="N187" s="11"/>
      <c r="O187" s="142"/>
      <c r="P187" s="142"/>
      <c r="Q187" s="142"/>
      <c r="R187" s="142"/>
      <c r="S187" s="141"/>
      <c r="T187" s="141"/>
      <c r="U187" s="143"/>
      <c r="V187" s="141"/>
      <c r="W187" s="141"/>
      <c r="X187" s="11"/>
      <c r="Y187" s="11"/>
    </row>
    <row r="188" spans="1:25" ht="15.75" customHeight="1" x14ac:dyDescent="0.3">
      <c r="A188" s="140"/>
      <c r="B188" s="140"/>
      <c r="K188" s="141"/>
      <c r="L188" s="141"/>
      <c r="M188" s="143"/>
      <c r="N188" s="11"/>
      <c r="O188" s="142"/>
      <c r="P188" s="142"/>
      <c r="Q188" s="142"/>
      <c r="R188" s="142"/>
      <c r="S188" s="141"/>
      <c r="T188" s="141"/>
      <c r="U188" s="143"/>
      <c r="V188" s="141"/>
      <c r="W188" s="141"/>
      <c r="X188" s="11"/>
      <c r="Y188" s="11"/>
    </row>
    <row r="189" spans="1:25" ht="15.75" customHeight="1" x14ac:dyDescent="0.3">
      <c r="A189" s="140"/>
      <c r="B189" s="140"/>
      <c r="K189" s="141"/>
      <c r="L189" s="141"/>
      <c r="M189" s="143"/>
      <c r="N189" s="11"/>
      <c r="O189" s="142"/>
      <c r="P189" s="142"/>
      <c r="Q189" s="142"/>
      <c r="R189" s="142"/>
      <c r="S189" s="141"/>
      <c r="T189" s="141"/>
      <c r="U189" s="143"/>
      <c r="V189" s="141"/>
      <c r="W189" s="141"/>
      <c r="X189" s="11"/>
      <c r="Y189" s="11"/>
    </row>
    <row r="190" spans="1:25" ht="15.75" customHeight="1" x14ac:dyDescent="0.3">
      <c r="A190" s="140"/>
      <c r="B190" s="140"/>
      <c r="K190" s="141"/>
      <c r="L190" s="141"/>
      <c r="M190" s="143"/>
      <c r="N190" s="11"/>
      <c r="O190" s="142"/>
      <c r="P190" s="142"/>
      <c r="Q190" s="142"/>
      <c r="R190" s="142"/>
      <c r="S190" s="141"/>
      <c r="T190" s="141"/>
      <c r="U190" s="143"/>
      <c r="V190" s="141"/>
      <c r="W190" s="141"/>
      <c r="X190" s="11"/>
      <c r="Y190" s="11"/>
    </row>
    <row r="191" spans="1:25" ht="15.75" customHeight="1" x14ac:dyDescent="0.3">
      <c r="A191" s="140"/>
      <c r="B191" s="140"/>
      <c r="K191" s="141"/>
      <c r="L191" s="141"/>
      <c r="M191" s="143"/>
      <c r="N191" s="11"/>
      <c r="O191" s="142"/>
      <c r="P191" s="142"/>
      <c r="Q191" s="142"/>
      <c r="R191" s="142"/>
      <c r="S191" s="141"/>
      <c r="T191" s="141"/>
      <c r="U191" s="143"/>
      <c r="V191" s="141"/>
      <c r="W191" s="141"/>
      <c r="X191" s="11"/>
      <c r="Y191" s="11"/>
    </row>
    <row r="192" spans="1:25" ht="15.75" customHeight="1" x14ac:dyDescent="0.3">
      <c r="A192" s="140"/>
      <c r="B192" s="140"/>
      <c r="K192" s="141"/>
      <c r="L192" s="141"/>
      <c r="M192" s="143"/>
      <c r="N192" s="11"/>
      <c r="O192" s="142"/>
      <c r="P192" s="142"/>
      <c r="Q192" s="142"/>
      <c r="R192" s="142"/>
      <c r="S192" s="141"/>
      <c r="T192" s="141"/>
      <c r="U192" s="143"/>
      <c r="V192" s="141"/>
      <c r="W192" s="141"/>
      <c r="X192" s="11"/>
      <c r="Y192" s="11"/>
    </row>
    <row r="193" spans="1:25" ht="15.75" customHeight="1" x14ac:dyDescent="0.3">
      <c r="A193" s="140"/>
      <c r="B193" s="140"/>
      <c r="K193" s="141"/>
      <c r="L193" s="141"/>
      <c r="M193" s="143"/>
      <c r="N193" s="11"/>
      <c r="O193" s="142"/>
      <c r="P193" s="142"/>
      <c r="Q193" s="142"/>
      <c r="R193" s="142"/>
      <c r="S193" s="141"/>
      <c r="T193" s="141"/>
      <c r="U193" s="143"/>
      <c r="V193" s="141"/>
      <c r="W193" s="141"/>
      <c r="X193" s="11"/>
      <c r="Y193" s="11"/>
    </row>
    <row r="194" spans="1:25" ht="15.75" customHeight="1" x14ac:dyDescent="0.3">
      <c r="A194" s="140"/>
      <c r="B194" s="140"/>
      <c r="K194" s="141"/>
      <c r="L194" s="141"/>
      <c r="M194" s="143"/>
      <c r="N194" s="11"/>
      <c r="O194" s="142"/>
      <c r="P194" s="142"/>
      <c r="Q194" s="142"/>
      <c r="R194" s="142"/>
      <c r="S194" s="141"/>
      <c r="T194" s="141"/>
      <c r="U194" s="143"/>
      <c r="V194" s="141"/>
      <c r="W194" s="141"/>
      <c r="X194" s="11"/>
      <c r="Y194" s="11"/>
    </row>
    <row r="195" spans="1:25" ht="15.75" customHeight="1" x14ac:dyDescent="0.3">
      <c r="A195" s="140"/>
      <c r="B195" s="140"/>
      <c r="K195" s="141"/>
      <c r="L195" s="141"/>
      <c r="M195" s="143"/>
      <c r="N195" s="11"/>
      <c r="O195" s="142"/>
      <c r="P195" s="142"/>
      <c r="Q195" s="142"/>
      <c r="R195" s="142"/>
      <c r="S195" s="141"/>
      <c r="T195" s="141"/>
      <c r="U195" s="143"/>
      <c r="V195" s="141"/>
      <c r="W195" s="141"/>
      <c r="X195" s="11"/>
      <c r="Y195" s="11"/>
    </row>
    <row r="196" spans="1:25" ht="15.75" customHeight="1" x14ac:dyDescent="0.3">
      <c r="A196" s="140"/>
      <c r="B196" s="140"/>
      <c r="K196" s="141"/>
      <c r="L196" s="141"/>
      <c r="M196" s="143"/>
      <c r="N196" s="11"/>
      <c r="O196" s="142"/>
      <c r="P196" s="142"/>
      <c r="Q196" s="142"/>
      <c r="R196" s="142"/>
      <c r="S196" s="141"/>
      <c r="T196" s="141"/>
      <c r="U196" s="143"/>
      <c r="V196" s="141"/>
      <c r="W196" s="141"/>
      <c r="X196" s="11"/>
      <c r="Y196" s="11"/>
    </row>
    <row r="197" spans="1:25" ht="15.75" customHeight="1" x14ac:dyDescent="0.3">
      <c r="A197" s="140"/>
      <c r="B197" s="140"/>
      <c r="K197" s="141"/>
      <c r="L197" s="141"/>
      <c r="M197" s="143"/>
      <c r="N197" s="11"/>
      <c r="O197" s="142"/>
      <c r="P197" s="142"/>
      <c r="Q197" s="142"/>
      <c r="R197" s="142"/>
      <c r="S197" s="141"/>
      <c r="T197" s="141"/>
      <c r="U197" s="143"/>
      <c r="V197" s="141"/>
      <c r="W197" s="141"/>
      <c r="X197" s="11"/>
      <c r="Y197" s="11"/>
    </row>
    <row r="198" spans="1:25" ht="15.75" customHeight="1" x14ac:dyDescent="0.3">
      <c r="A198" s="140"/>
      <c r="B198" s="140"/>
      <c r="K198" s="141"/>
      <c r="L198" s="141"/>
      <c r="M198" s="143"/>
      <c r="N198" s="11"/>
      <c r="O198" s="142"/>
      <c r="P198" s="142"/>
      <c r="Q198" s="142"/>
      <c r="R198" s="142"/>
      <c r="S198" s="141"/>
      <c r="T198" s="141"/>
      <c r="U198" s="143"/>
      <c r="V198" s="141"/>
      <c r="W198" s="141"/>
      <c r="X198" s="11"/>
      <c r="Y198" s="11"/>
    </row>
    <row r="199" spans="1:25" ht="15.75" customHeight="1" x14ac:dyDescent="0.3">
      <c r="A199" s="140"/>
      <c r="B199" s="140"/>
      <c r="K199" s="141"/>
      <c r="L199" s="141"/>
      <c r="M199" s="143"/>
      <c r="N199" s="11"/>
      <c r="O199" s="142"/>
      <c r="P199" s="142"/>
      <c r="Q199" s="142"/>
      <c r="R199" s="142"/>
      <c r="S199" s="141"/>
      <c r="T199" s="141"/>
      <c r="U199" s="143"/>
      <c r="V199" s="141"/>
      <c r="W199" s="141"/>
      <c r="X199" s="11"/>
      <c r="Y199" s="11"/>
    </row>
    <row r="200" spans="1:25" ht="15.75" customHeight="1" x14ac:dyDescent="0.3">
      <c r="A200" s="140"/>
      <c r="B200" s="140"/>
      <c r="K200" s="141"/>
      <c r="L200" s="141"/>
      <c r="M200" s="143"/>
      <c r="N200" s="11"/>
      <c r="O200" s="142"/>
      <c r="P200" s="142"/>
      <c r="Q200" s="142"/>
      <c r="R200" s="142"/>
      <c r="S200" s="141"/>
      <c r="T200" s="141"/>
      <c r="U200" s="143"/>
      <c r="V200" s="141"/>
      <c r="W200" s="141"/>
      <c r="X200" s="11"/>
      <c r="Y200" s="11"/>
    </row>
    <row r="201" spans="1:25" ht="15.75" customHeight="1" x14ac:dyDescent="0.3">
      <c r="A201" s="140"/>
      <c r="B201" s="140"/>
      <c r="K201" s="141"/>
      <c r="L201" s="141"/>
      <c r="M201" s="143"/>
      <c r="N201" s="11"/>
      <c r="O201" s="142"/>
      <c r="P201" s="142"/>
      <c r="Q201" s="142"/>
      <c r="R201" s="142"/>
      <c r="S201" s="141"/>
      <c r="T201" s="141"/>
      <c r="U201" s="143"/>
      <c r="V201" s="141"/>
      <c r="W201" s="141"/>
      <c r="X201" s="11"/>
      <c r="Y201" s="11"/>
    </row>
    <row r="202" spans="1:25" ht="15.75" customHeight="1" x14ac:dyDescent="0.3">
      <c r="A202" s="140"/>
      <c r="B202" s="140"/>
      <c r="K202" s="141"/>
      <c r="L202" s="141"/>
      <c r="M202" s="143"/>
      <c r="N202" s="11"/>
      <c r="O202" s="142"/>
      <c r="P202" s="142"/>
      <c r="Q202" s="142"/>
      <c r="R202" s="142"/>
      <c r="S202" s="141"/>
      <c r="T202" s="141"/>
      <c r="U202" s="143"/>
      <c r="V202" s="141"/>
      <c r="W202" s="141"/>
      <c r="X202" s="11"/>
      <c r="Y202" s="11"/>
    </row>
    <row r="203" spans="1:25" ht="15.75" customHeight="1" x14ac:dyDescent="0.3">
      <c r="A203" s="140"/>
      <c r="B203" s="140"/>
      <c r="K203" s="141"/>
      <c r="L203" s="141"/>
      <c r="M203" s="143"/>
      <c r="N203" s="11"/>
      <c r="O203" s="142"/>
      <c r="P203" s="142"/>
      <c r="Q203" s="142"/>
      <c r="R203" s="142"/>
      <c r="S203" s="141"/>
      <c r="T203" s="141"/>
      <c r="U203" s="143"/>
      <c r="V203" s="141"/>
      <c r="W203" s="141"/>
      <c r="X203" s="11"/>
      <c r="Y203" s="11"/>
    </row>
    <row r="204" spans="1:25" ht="15.75" customHeight="1" x14ac:dyDescent="0.3">
      <c r="A204" s="140"/>
      <c r="B204" s="140"/>
      <c r="K204" s="141"/>
      <c r="L204" s="141"/>
      <c r="M204" s="143"/>
      <c r="N204" s="11"/>
      <c r="O204" s="142"/>
      <c r="P204" s="142"/>
      <c r="Q204" s="142"/>
      <c r="R204" s="142"/>
      <c r="S204" s="141"/>
      <c r="T204" s="141"/>
      <c r="U204" s="143"/>
      <c r="V204" s="141"/>
      <c r="W204" s="141"/>
      <c r="X204" s="11"/>
      <c r="Y204" s="11"/>
    </row>
    <row r="205" spans="1:25" ht="15.75" customHeight="1" x14ac:dyDescent="0.3">
      <c r="A205" s="140"/>
      <c r="B205" s="140"/>
      <c r="K205" s="141"/>
      <c r="L205" s="141"/>
      <c r="M205" s="143"/>
      <c r="N205" s="11"/>
      <c r="O205" s="142"/>
      <c r="P205" s="142"/>
      <c r="Q205" s="142"/>
      <c r="R205" s="142"/>
      <c r="S205" s="141"/>
      <c r="T205" s="141"/>
      <c r="U205" s="143"/>
      <c r="V205" s="141"/>
      <c r="W205" s="141"/>
      <c r="X205" s="11"/>
      <c r="Y205" s="11"/>
    </row>
    <row r="206" spans="1:25" ht="15.75" customHeight="1" x14ac:dyDescent="0.3">
      <c r="A206" s="140"/>
      <c r="B206" s="140"/>
      <c r="K206" s="141"/>
      <c r="L206" s="141"/>
      <c r="M206" s="143"/>
      <c r="N206" s="11"/>
      <c r="O206" s="142"/>
      <c r="P206" s="142"/>
      <c r="Q206" s="142"/>
      <c r="R206" s="142"/>
      <c r="S206" s="141"/>
      <c r="T206" s="141"/>
      <c r="U206" s="143"/>
      <c r="V206" s="141"/>
      <c r="W206" s="141"/>
      <c r="X206" s="11"/>
      <c r="Y206" s="11"/>
    </row>
    <row r="207" spans="1:25" ht="15.75" customHeight="1" x14ac:dyDescent="0.3">
      <c r="A207" s="140"/>
      <c r="B207" s="140"/>
      <c r="K207" s="141"/>
      <c r="L207" s="141"/>
      <c r="M207" s="143"/>
      <c r="N207" s="11"/>
      <c r="O207" s="142"/>
      <c r="P207" s="142"/>
      <c r="Q207" s="142"/>
      <c r="R207" s="142"/>
      <c r="S207" s="141"/>
      <c r="T207" s="141"/>
      <c r="U207" s="143"/>
      <c r="V207" s="141"/>
      <c r="W207" s="141"/>
      <c r="X207" s="11"/>
      <c r="Y207" s="11"/>
    </row>
    <row r="208" spans="1:25" ht="15.75" customHeight="1" x14ac:dyDescent="0.3">
      <c r="A208" s="140"/>
      <c r="B208" s="140"/>
      <c r="K208" s="141"/>
      <c r="L208" s="141"/>
      <c r="M208" s="143"/>
      <c r="N208" s="11"/>
      <c r="O208" s="142"/>
      <c r="P208" s="142"/>
      <c r="Q208" s="142"/>
      <c r="R208" s="142"/>
      <c r="S208" s="141"/>
      <c r="T208" s="141"/>
      <c r="U208" s="143"/>
      <c r="V208" s="141"/>
      <c r="W208" s="141"/>
      <c r="X208" s="11"/>
      <c r="Y208" s="11"/>
    </row>
    <row r="209" spans="1:25" ht="15.75" customHeight="1" x14ac:dyDescent="0.3">
      <c r="A209" s="140"/>
      <c r="B209" s="140"/>
      <c r="K209" s="141"/>
      <c r="L209" s="141"/>
      <c r="M209" s="143"/>
      <c r="N209" s="11"/>
      <c r="O209" s="142"/>
      <c r="P209" s="142"/>
      <c r="Q209" s="142"/>
      <c r="R209" s="142"/>
      <c r="S209" s="141"/>
      <c r="T209" s="141"/>
      <c r="U209" s="143"/>
      <c r="V209" s="141"/>
      <c r="W209" s="141"/>
      <c r="X209" s="11"/>
      <c r="Y209" s="11"/>
    </row>
    <row r="210" spans="1:25" ht="15.75" customHeight="1" x14ac:dyDescent="0.3">
      <c r="A210" s="140"/>
      <c r="B210" s="140"/>
      <c r="K210" s="141"/>
      <c r="L210" s="141"/>
      <c r="M210" s="143"/>
      <c r="N210" s="11"/>
      <c r="O210" s="142"/>
      <c r="P210" s="142"/>
      <c r="Q210" s="142"/>
      <c r="R210" s="142"/>
      <c r="S210" s="141"/>
      <c r="T210" s="141"/>
      <c r="U210" s="143"/>
      <c r="V210" s="141"/>
      <c r="W210" s="141"/>
      <c r="X210" s="11"/>
      <c r="Y210" s="11"/>
    </row>
    <row r="211" spans="1:25" ht="15.75" customHeight="1" x14ac:dyDescent="0.3">
      <c r="A211" s="140"/>
      <c r="B211" s="140"/>
      <c r="K211" s="141"/>
      <c r="L211" s="141"/>
      <c r="M211" s="143"/>
      <c r="N211" s="11"/>
      <c r="O211" s="142"/>
      <c r="P211" s="142"/>
      <c r="Q211" s="142"/>
      <c r="R211" s="142"/>
      <c r="S211" s="141"/>
      <c r="T211" s="141"/>
      <c r="U211" s="143"/>
      <c r="V211" s="141"/>
      <c r="W211" s="141"/>
      <c r="X211" s="11"/>
      <c r="Y211" s="11"/>
    </row>
    <row r="212" spans="1:25" ht="15.75" customHeight="1" x14ac:dyDescent="0.3">
      <c r="A212" s="140"/>
      <c r="B212" s="140"/>
      <c r="K212" s="141"/>
      <c r="L212" s="141"/>
      <c r="M212" s="143"/>
      <c r="N212" s="11"/>
      <c r="O212" s="142"/>
      <c r="P212" s="142"/>
      <c r="Q212" s="142"/>
      <c r="R212" s="142"/>
      <c r="S212" s="141"/>
      <c r="T212" s="141"/>
      <c r="U212" s="143"/>
      <c r="V212" s="141"/>
      <c r="W212" s="141"/>
      <c r="X212" s="11"/>
      <c r="Y212" s="11"/>
    </row>
    <row r="213" spans="1:25" ht="15.75" customHeight="1" x14ac:dyDescent="0.3">
      <c r="A213" s="140"/>
      <c r="B213" s="140"/>
      <c r="K213" s="141"/>
      <c r="L213" s="141"/>
      <c r="M213" s="143"/>
      <c r="N213" s="11"/>
      <c r="O213" s="142"/>
      <c r="P213" s="142"/>
      <c r="Q213" s="142"/>
      <c r="R213" s="142"/>
      <c r="S213" s="141"/>
      <c r="T213" s="141"/>
      <c r="U213" s="143"/>
      <c r="V213" s="141"/>
      <c r="W213" s="141"/>
      <c r="X213" s="11"/>
      <c r="Y213" s="11"/>
    </row>
    <row r="214" spans="1:25" ht="15.75" customHeight="1" x14ac:dyDescent="0.3">
      <c r="A214" s="140"/>
      <c r="B214" s="140"/>
      <c r="K214" s="141"/>
      <c r="L214" s="141"/>
      <c r="M214" s="143"/>
      <c r="N214" s="11"/>
      <c r="O214" s="142"/>
      <c r="P214" s="142"/>
      <c r="Q214" s="142"/>
      <c r="R214" s="142"/>
      <c r="S214" s="141"/>
      <c r="T214" s="141"/>
      <c r="U214" s="143"/>
      <c r="V214" s="141"/>
      <c r="W214" s="141"/>
      <c r="X214" s="11"/>
      <c r="Y214" s="11"/>
    </row>
    <row r="215" spans="1:25" ht="15.75" customHeight="1" x14ac:dyDescent="0.3">
      <c r="A215" s="140"/>
      <c r="B215" s="140"/>
      <c r="K215" s="141"/>
      <c r="L215" s="141"/>
      <c r="M215" s="143"/>
      <c r="N215" s="11"/>
      <c r="O215" s="142"/>
      <c r="P215" s="142"/>
      <c r="Q215" s="142"/>
      <c r="R215" s="142"/>
      <c r="S215" s="141"/>
      <c r="T215" s="141"/>
      <c r="U215" s="143"/>
      <c r="V215" s="141"/>
      <c r="W215" s="141"/>
      <c r="X215" s="11"/>
      <c r="Y215" s="11"/>
    </row>
    <row r="216" spans="1:25" ht="15.75" customHeight="1" x14ac:dyDescent="0.3">
      <c r="A216" s="140"/>
      <c r="B216" s="140"/>
      <c r="K216" s="141"/>
      <c r="L216" s="141"/>
      <c r="M216" s="143"/>
      <c r="N216" s="11"/>
      <c r="O216" s="142"/>
      <c r="P216" s="142"/>
      <c r="Q216" s="142"/>
      <c r="R216" s="142"/>
      <c r="S216" s="141"/>
      <c r="T216" s="141"/>
      <c r="U216" s="143"/>
      <c r="V216" s="141"/>
      <c r="W216" s="141"/>
      <c r="X216" s="11"/>
      <c r="Y216" s="11"/>
    </row>
    <row r="217" spans="1:25" ht="15.75" customHeight="1" x14ac:dyDescent="0.3">
      <c r="A217" s="140"/>
      <c r="B217" s="140"/>
      <c r="K217" s="141"/>
      <c r="L217" s="141"/>
      <c r="M217" s="143"/>
      <c r="N217" s="11"/>
      <c r="O217" s="142"/>
      <c r="P217" s="142"/>
      <c r="Q217" s="142"/>
      <c r="R217" s="142"/>
      <c r="S217" s="141"/>
      <c r="T217" s="141"/>
      <c r="U217" s="143"/>
      <c r="V217" s="141"/>
      <c r="W217" s="141"/>
      <c r="X217" s="11"/>
      <c r="Y217" s="11"/>
    </row>
    <row r="218" spans="1:25" ht="15.75" customHeight="1" x14ac:dyDescent="0.3">
      <c r="A218" s="140"/>
      <c r="B218" s="140"/>
      <c r="K218" s="141"/>
      <c r="L218" s="141"/>
      <c r="M218" s="143"/>
      <c r="N218" s="11"/>
      <c r="O218" s="142"/>
      <c r="P218" s="142"/>
      <c r="Q218" s="142"/>
      <c r="R218" s="142"/>
      <c r="S218" s="141"/>
      <c r="T218" s="141"/>
      <c r="U218" s="143"/>
      <c r="V218" s="141"/>
      <c r="W218" s="141"/>
      <c r="X218" s="11"/>
      <c r="Y218" s="11"/>
    </row>
    <row r="219" spans="1:25" ht="15.75" customHeight="1" x14ac:dyDescent="0.3">
      <c r="A219" s="140"/>
      <c r="B219" s="140"/>
      <c r="K219" s="141"/>
      <c r="L219" s="141"/>
      <c r="M219" s="143"/>
      <c r="N219" s="11"/>
      <c r="O219" s="142"/>
      <c r="P219" s="142"/>
      <c r="Q219" s="142"/>
      <c r="R219" s="142"/>
      <c r="S219" s="141"/>
      <c r="T219" s="141"/>
      <c r="U219" s="143"/>
      <c r="V219" s="141"/>
      <c r="W219" s="141"/>
      <c r="X219" s="11"/>
      <c r="Y219" s="11"/>
    </row>
    <row r="220" spans="1:25" ht="15.75" customHeight="1" x14ac:dyDescent="0.3">
      <c r="A220" s="140"/>
      <c r="B220" s="140"/>
      <c r="K220" s="141"/>
      <c r="L220" s="141"/>
      <c r="M220" s="143"/>
      <c r="N220" s="11"/>
      <c r="O220" s="142"/>
      <c r="P220" s="142"/>
      <c r="Q220" s="142"/>
      <c r="R220" s="142"/>
      <c r="S220" s="141"/>
      <c r="T220" s="141"/>
      <c r="U220" s="143"/>
      <c r="V220" s="141"/>
      <c r="W220" s="141"/>
      <c r="X220" s="11"/>
      <c r="Y220" s="11"/>
    </row>
    <row r="221" spans="1:25" ht="15.75" customHeight="1" x14ac:dyDescent="0.3">
      <c r="A221" s="140"/>
      <c r="B221" s="140"/>
      <c r="K221" s="141"/>
      <c r="L221" s="141"/>
      <c r="M221" s="143"/>
      <c r="N221" s="11"/>
      <c r="O221" s="142"/>
      <c r="P221" s="142"/>
      <c r="Q221" s="142"/>
      <c r="R221" s="142"/>
      <c r="S221" s="141"/>
      <c r="T221" s="141"/>
      <c r="U221" s="143"/>
      <c r="V221" s="141"/>
      <c r="W221" s="141"/>
      <c r="X221" s="11"/>
      <c r="Y221" s="11"/>
    </row>
    <row r="222" spans="1:25" ht="15.75" customHeight="1" x14ac:dyDescent="0.3">
      <c r="A222" s="140"/>
      <c r="B222" s="140"/>
      <c r="K222" s="141"/>
      <c r="L222" s="141"/>
      <c r="M222" s="143"/>
      <c r="N222" s="11"/>
      <c r="O222" s="142"/>
      <c r="P222" s="142"/>
      <c r="Q222" s="142"/>
      <c r="R222" s="142"/>
      <c r="S222" s="141"/>
      <c r="T222" s="141"/>
      <c r="U222" s="143"/>
      <c r="V222" s="141"/>
      <c r="W222" s="141"/>
      <c r="X222" s="11"/>
      <c r="Y222" s="11"/>
    </row>
    <row r="223" spans="1:25" ht="15.75" customHeight="1" x14ac:dyDescent="0.3">
      <c r="A223" s="140"/>
      <c r="B223" s="140"/>
      <c r="K223" s="141"/>
      <c r="L223" s="141"/>
      <c r="M223" s="143"/>
      <c r="N223" s="11"/>
      <c r="O223" s="142"/>
      <c r="P223" s="142"/>
      <c r="Q223" s="142"/>
      <c r="R223" s="142"/>
      <c r="S223" s="141"/>
      <c r="T223" s="141"/>
      <c r="U223" s="143"/>
      <c r="V223" s="141"/>
      <c r="W223" s="141"/>
      <c r="X223" s="11"/>
      <c r="Y223" s="11"/>
    </row>
    <row r="224" spans="1:25" ht="15.75" customHeight="1" x14ac:dyDescent="0.3">
      <c r="A224" s="140"/>
      <c r="B224" s="140"/>
      <c r="K224" s="141"/>
      <c r="L224" s="141"/>
      <c r="M224" s="143"/>
      <c r="N224" s="11"/>
      <c r="O224" s="142"/>
      <c r="P224" s="142"/>
      <c r="Q224" s="142"/>
      <c r="R224" s="142"/>
      <c r="S224" s="141"/>
      <c r="T224" s="141"/>
      <c r="U224" s="143"/>
      <c r="V224" s="141"/>
      <c r="W224" s="141"/>
      <c r="X224" s="11"/>
      <c r="Y224" s="11"/>
    </row>
    <row r="225" spans="1:25" ht="15.75" customHeight="1" x14ac:dyDescent="0.3">
      <c r="A225" s="140"/>
      <c r="B225" s="140"/>
      <c r="K225" s="141"/>
      <c r="L225" s="141"/>
      <c r="M225" s="143"/>
      <c r="N225" s="11"/>
      <c r="O225" s="142"/>
      <c r="P225" s="142"/>
      <c r="Q225" s="142"/>
      <c r="R225" s="142"/>
      <c r="S225" s="141"/>
      <c r="T225" s="141"/>
      <c r="U225" s="143"/>
      <c r="V225" s="141"/>
      <c r="W225" s="141"/>
      <c r="X225" s="11"/>
      <c r="Y225" s="11"/>
    </row>
    <row r="226" spans="1:25" ht="15.75" customHeight="1" x14ac:dyDescent="0.3">
      <c r="A226" s="140"/>
      <c r="B226" s="140"/>
      <c r="K226" s="141"/>
      <c r="L226" s="141"/>
      <c r="M226" s="143"/>
      <c r="N226" s="11"/>
      <c r="O226" s="142"/>
      <c r="P226" s="142"/>
      <c r="Q226" s="142"/>
      <c r="R226" s="142"/>
      <c r="S226" s="141"/>
      <c r="T226" s="141"/>
      <c r="U226" s="143"/>
      <c r="V226" s="141"/>
      <c r="W226" s="141"/>
      <c r="X226" s="11"/>
      <c r="Y226" s="11"/>
    </row>
    <row r="227" spans="1:25" ht="15.75" customHeight="1" x14ac:dyDescent="0.3">
      <c r="A227" s="140"/>
      <c r="B227" s="140"/>
      <c r="K227" s="141"/>
      <c r="L227" s="141"/>
      <c r="M227" s="143"/>
      <c r="N227" s="11"/>
      <c r="O227" s="142"/>
      <c r="P227" s="142"/>
      <c r="Q227" s="142"/>
      <c r="R227" s="142"/>
      <c r="S227" s="141"/>
      <c r="T227" s="141"/>
      <c r="U227" s="143"/>
      <c r="V227" s="141"/>
      <c r="W227" s="141"/>
      <c r="X227" s="11"/>
      <c r="Y227" s="11"/>
    </row>
    <row r="228" spans="1:25" ht="15.75" customHeight="1" x14ac:dyDescent="0.3">
      <c r="A228" s="140"/>
      <c r="B228" s="140"/>
      <c r="K228" s="141"/>
      <c r="L228" s="141"/>
      <c r="M228" s="143"/>
      <c r="N228" s="11"/>
      <c r="O228" s="142"/>
      <c r="P228" s="142"/>
      <c r="Q228" s="142"/>
      <c r="R228" s="142"/>
      <c r="S228" s="141"/>
      <c r="T228" s="141"/>
      <c r="U228" s="143"/>
      <c r="V228" s="141"/>
      <c r="W228" s="141"/>
      <c r="X228" s="11"/>
      <c r="Y228" s="11"/>
    </row>
    <row r="229" spans="1:25" ht="15.75" customHeight="1" x14ac:dyDescent="0.3">
      <c r="A229" s="140"/>
      <c r="B229" s="140"/>
      <c r="K229" s="141"/>
      <c r="L229" s="141"/>
      <c r="M229" s="143"/>
      <c r="N229" s="11"/>
      <c r="O229" s="142"/>
      <c r="P229" s="142"/>
      <c r="Q229" s="142"/>
      <c r="R229" s="142"/>
      <c r="S229" s="141"/>
      <c r="T229" s="141"/>
      <c r="U229" s="143"/>
      <c r="V229" s="141"/>
      <c r="W229" s="141"/>
      <c r="X229" s="11"/>
      <c r="Y229" s="11"/>
    </row>
    <row r="230" spans="1:25" ht="15.75" customHeight="1" x14ac:dyDescent="0.3">
      <c r="A230" s="140"/>
      <c r="B230" s="140"/>
      <c r="K230" s="141"/>
      <c r="L230" s="141"/>
      <c r="M230" s="143"/>
      <c r="N230" s="11"/>
      <c r="O230" s="142"/>
      <c r="P230" s="142"/>
      <c r="Q230" s="142"/>
      <c r="R230" s="142"/>
      <c r="S230" s="141"/>
      <c r="T230" s="141"/>
      <c r="U230" s="143"/>
      <c r="V230" s="141"/>
      <c r="W230" s="141"/>
      <c r="X230" s="11"/>
      <c r="Y230" s="11"/>
    </row>
    <row r="231" spans="1:25" ht="15.75" customHeight="1" x14ac:dyDescent="0.3">
      <c r="A231" s="140"/>
      <c r="B231" s="140"/>
      <c r="K231" s="141"/>
      <c r="L231" s="141"/>
      <c r="M231" s="143"/>
      <c r="N231" s="11"/>
      <c r="O231" s="142"/>
      <c r="P231" s="142"/>
      <c r="Q231" s="142"/>
      <c r="R231" s="142"/>
      <c r="S231" s="141"/>
      <c r="T231" s="141"/>
      <c r="U231" s="143"/>
      <c r="V231" s="141"/>
      <c r="W231" s="141"/>
      <c r="X231" s="11"/>
      <c r="Y231" s="11"/>
    </row>
    <row r="232" spans="1:25" ht="15.75" customHeight="1" x14ac:dyDescent="0.3">
      <c r="A232" s="140"/>
      <c r="B232" s="140"/>
      <c r="K232" s="141"/>
      <c r="L232" s="141"/>
      <c r="M232" s="143"/>
      <c r="N232" s="11"/>
      <c r="O232" s="142"/>
      <c r="P232" s="142"/>
      <c r="Q232" s="142"/>
      <c r="R232" s="142"/>
      <c r="S232" s="141"/>
      <c r="T232" s="141"/>
      <c r="U232" s="143"/>
      <c r="V232" s="141"/>
      <c r="W232" s="141"/>
      <c r="X232" s="11"/>
      <c r="Y232" s="11"/>
    </row>
    <row r="233" spans="1:25" ht="15.75" customHeight="1" x14ac:dyDescent="0.3">
      <c r="A233" s="140"/>
      <c r="B233" s="140"/>
      <c r="K233" s="141"/>
      <c r="L233" s="141"/>
      <c r="M233" s="143"/>
      <c r="N233" s="11"/>
      <c r="O233" s="142"/>
      <c r="P233" s="142"/>
      <c r="Q233" s="142"/>
      <c r="R233" s="142"/>
      <c r="S233" s="141"/>
      <c r="T233" s="141"/>
      <c r="U233" s="143"/>
      <c r="V233" s="141"/>
      <c r="W233" s="141"/>
      <c r="X233" s="11"/>
      <c r="Y233" s="11"/>
    </row>
    <row r="234" spans="1:25" ht="15.75" customHeight="1" x14ac:dyDescent="0.3">
      <c r="A234" s="140"/>
      <c r="B234" s="140"/>
      <c r="K234" s="141"/>
      <c r="L234" s="141"/>
      <c r="M234" s="143"/>
      <c r="N234" s="11"/>
      <c r="O234" s="142"/>
      <c r="P234" s="142"/>
      <c r="Q234" s="142"/>
      <c r="R234" s="142"/>
      <c r="S234" s="141"/>
      <c r="T234" s="141"/>
      <c r="U234" s="143"/>
      <c r="V234" s="141"/>
      <c r="W234" s="141"/>
      <c r="X234" s="11"/>
      <c r="Y234" s="11"/>
    </row>
    <row r="235" spans="1:25" ht="15.75" customHeight="1" x14ac:dyDescent="0.3">
      <c r="A235" s="140"/>
      <c r="B235" s="140"/>
      <c r="K235" s="141"/>
      <c r="L235" s="141"/>
      <c r="M235" s="143"/>
      <c r="N235" s="11"/>
      <c r="O235" s="142"/>
      <c r="P235" s="142"/>
      <c r="Q235" s="142"/>
      <c r="R235" s="142"/>
      <c r="S235" s="141"/>
      <c r="T235" s="141"/>
      <c r="U235" s="143"/>
      <c r="V235" s="141"/>
      <c r="W235" s="141"/>
      <c r="X235" s="11"/>
      <c r="Y235" s="11"/>
    </row>
    <row r="236" spans="1:25" ht="15.75" customHeight="1" x14ac:dyDescent="0.3">
      <c r="A236" s="140"/>
      <c r="B236" s="140"/>
      <c r="K236" s="141"/>
      <c r="L236" s="141"/>
      <c r="M236" s="143"/>
      <c r="N236" s="11"/>
      <c r="O236" s="142"/>
      <c r="P236" s="142"/>
      <c r="Q236" s="142"/>
      <c r="R236" s="142"/>
      <c r="S236" s="141"/>
      <c r="T236" s="141"/>
      <c r="U236" s="143"/>
      <c r="V236" s="141"/>
      <c r="W236" s="141"/>
      <c r="X236" s="11"/>
      <c r="Y236" s="11"/>
    </row>
    <row r="237" spans="1:25" ht="15.75" customHeight="1" x14ac:dyDescent="0.3">
      <c r="A237" s="140"/>
      <c r="B237" s="140"/>
      <c r="K237" s="141"/>
      <c r="L237" s="141"/>
      <c r="M237" s="143"/>
      <c r="N237" s="11"/>
      <c r="O237" s="142"/>
      <c r="P237" s="142"/>
      <c r="Q237" s="142"/>
      <c r="R237" s="142"/>
      <c r="S237" s="141"/>
      <c r="T237" s="141"/>
      <c r="U237" s="143"/>
      <c r="V237" s="141"/>
      <c r="W237" s="141"/>
      <c r="X237" s="11"/>
      <c r="Y237" s="11"/>
    </row>
    <row r="238" spans="1:25" ht="15.75" customHeight="1" x14ac:dyDescent="0.3">
      <c r="A238" s="140"/>
      <c r="B238" s="140"/>
      <c r="K238" s="141"/>
      <c r="L238" s="141"/>
      <c r="M238" s="143"/>
      <c r="N238" s="11"/>
      <c r="O238" s="142"/>
      <c r="P238" s="142"/>
      <c r="Q238" s="142"/>
      <c r="R238" s="142"/>
      <c r="S238" s="141"/>
      <c r="T238" s="141"/>
      <c r="U238" s="143"/>
      <c r="V238" s="141"/>
      <c r="W238" s="141"/>
      <c r="X238" s="11"/>
      <c r="Y238" s="11"/>
    </row>
    <row r="239" spans="1:25" ht="15.75" customHeight="1" x14ac:dyDescent="0.3">
      <c r="A239" s="140"/>
      <c r="B239" s="140"/>
      <c r="K239" s="141"/>
      <c r="L239" s="141"/>
      <c r="M239" s="143"/>
      <c r="N239" s="11"/>
      <c r="O239" s="142"/>
      <c r="P239" s="142"/>
      <c r="Q239" s="142"/>
      <c r="R239" s="142"/>
      <c r="S239" s="141"/>
      <c r="T239" s="141"/>
      <c r="U239" s="143"/>
      <c r="V239" s="141"/>
      <c r="W239" s="141"/>
      <c r="X239" s="11"/>
      <c r="Y239" s="11"/>
    </row>
    <row r="240" spans="1:25" ht="15.75" customHeight="1" x14ac:dyDescent="0.3">
      <c r="A240" s="140"/>
      <c r="B240" s="140"/>
      <c r="K240" s="141"/>
      <c r="L240" s="141"/>
      <c r="M240" s="143"/>
      <c r="N240" s="11"/>
      <c r="O240" s="142"/>
      <c r="P240" s="142"/>
      <c r="Q240" s="142"/>
      <c r="R240" s="142"/>
      <c r="S240" s="141"/>
      <c r="T240" s="141"/>
      <c r="U240" s="143"/>
      <c r="V240" s="141"/>
      <c r="W240" s="141"/>
      <c r="X240" s="11"/>
      <c r="Y240" s="11"/>
    </row>
    <row r="241" spans="1:25" ht="15.75" customHeight="1" x14ac:dyDescent="0.3">
      <c r="A241" s="140"/>
      <c r="B241" s="140"/>
      <c r="K241" s="141"/>
      <c r="L241" s="141"/>
      <c r="M241" s="143"/>
      <c r="N241" s="11"/>
      <c r="O241" s="142"/>
      <c r="P241" s="142"/>
      <c r="Q241" s="142"/>
      <c r="R241" s="142"/>
      <c r="S241" s="141"/>
      <c r="T241" s="141"/>
      <c r="U241" s="143"/>
      <c r="V241" s="141"/>
      <c r="W241" s="141"/>
      <c r="X241" s="11"/>
      <c r="Y241" s="11"/>
    </row>
    <row r="242" spans="1:25" ht="15.75" customHeight="1" x14ac:dyDescent="0.3">
      <c r="A242" s="140"/>
      <c r="B242" s="140"/>
      <c r="K242" s="141"/>
      <c r="L242" s="141"/>
      <c r="M242" s="143"/>
      <c r="N242" s="11"/>
      <c r="O242" s="142"/>
      <c r="P242" s="142"/>
      <c r="Q242" s="142"/>
      <c r="R242" s="142"/>
      <c r="S242" s="141"/>
      <c r="T242" s="141"/>
      <c r="U242" s="143"/>
      <c r="V242" s="141"/>
      <c r="W242" s="141"/>
      <c r="X242" s="11"/>
      <c r="Y242" s="11"/>
    </row>
    <row r="243" spans="1:25" ht="15.75" customHeight="1" x14ac:dyDescent="0.3">
      <c r="A243" s="140"/>
      <c r="B243" s="140"/>
      <c r="K243" s="141"/>
      <c r="L243" s="141"/>
      <c r="M243" s="143"/>
      <c r="N243" s="11"/>
      <c r="O243" s="142"/>
      <c r="P243" s="142"/>
      <c r="Q243" s="142"/>
      <c r="R243" s="142"/>
      <c r="S243" s="141"/>
      <c r="T243" s="141"/>
      <c r="U243" s="143"/>
      <c r="V243" s="141"/>
      <c r="W243" s="141"/>
      <c r="X243" s="11"/>
      <c r="Y243" s="11"/>
    </row>
    <row r="244" spans="1:25" ht="15.75" customHeight="1" x14ac:dyDescent="0.3">
      <c r="A244" s="140"/>
      <c r="B244" s="140"/>
      <c r="K244" s="141"/>
      <c r="L244" s="141"/>
      <c r="M244" s="143"/>
      <c r="N244" s="11"/>
      <c r="O244" s="142"/>
      <c r="P244" s="142"/>
      <c r="Q244" s="142"/>
      <c r="R244" s="142"/>
      <c r="S244" s="141"/>
      <c r="T244" s="141"/>
      <c r="U244" s="143"/>
      <c r="V244" s="141"/>
      <c r="W244" s="141"/>
      <c r="X244" s="11"/>
      <c r="Y244" s="11"/>
    </row>
    <row r="245" spans="1:25" ht="15.75" customHeight="1" x14ac:dyDescent="0.3">
      <c r="A245" s="140"/>
      <c r="B245" s="140"/>
      <c r="K245" s="141"/>
      <c r="L245" s="141"/>
      <c r="M245" s="143"/>
      <c r="N245" s="11"/>
      <c r="O245" s="142"/>
      <c r="P245" s="142"/>
      <c r="Q245" s="142"/>
      <c r="R245" s="142"/>
      <c r="S245" s="141"/>
      <c r="T245" s="141"/>
      <c r="U245" s="143"/>
      <c r="V245" s="141"/>
      <c r="W245" s="141"/>
      <c r="X245" s="11"/>
      <c r="Y245" s="11"/>
    </row>
    <row r="246" spans="1:25" ht="15.75" customHeight="1" x14ac:dyDescent="0.3">
      <c r="A246" s="140"/>
      <c r="B246" s="140"/>
      <c r="K246" s="141"/>
      <c r="L246" s="141"/>
      <c r="M246" s="143"/>
      <c r="N246" s="11"/>
      <c r="O246" s="142"/>
      <c r="P246" s="142"/>
      <c r="Q246" s="142"/>
      <c r="R246" s="142"/>
      <c r="S246" s="141"/>
      <c r="T246" s="141"/>
      <c r="U246" s="143"/>
      <c r="V246" s="141"/>
      <c r="W246" s="141"/>
      <c r="X246" s="11"/>
      <c r="Y246" s="11"/>
    </row>
    <row r="247" spans="1:25" ht="15.75" customHeight="1" x14ac:dyDescent="0.3">
      <c r="A247" s="140"/>
      <c r="B247" s="140"/>
      <c r="K247" s="141"/>
      <c r="L247" s="141"/>
      <c r="M247" s="143"/>
      <c r="N247" s="11"/>
      <c r="O247" s="142"/>
      <c r="P247" s="142"/>
      <c r="Q247" s="142"/>
      <c r="R247" s="142"/>
      <c r="S247" s="141"/>
      <c r="T247" s="141"/>
      <c r="U247" s="143"/>
      <c r="V247" s="141"/>
      <c r="W247" s="141"/>
      <c r="X247" s="11"/>
      <c r="Y247" s="11"/>
    </row>
    <row r="248" spans="1:25" ht="15.75" customHeight="1" x14ac:dyDescent="0.3">
      <c r="A248" s="140"/>
      <c r="B248" s="140"/>
      <c r="K248" s="141"/>
      <c r="L248" s="141"/>
      <c r="M248" s="143"/>
      <c r="N248" s="11"/>
      <c r="O248" s="142"/>
      <c r="P248" s="142"/>
      <c r="Q248" s="142"/>
      <c r="R248" s="142"/>
      <c r="S248" s="141"/>
      <c r="T248" s="141"/>
      <c r="U248" s="143"/>
      <c r="V248" s="141"/>
      <c r="W248" s="141"/>
      <c r="X248" s="11"/>
      <c r="Y248" s="11"/>
    </row>
    <row r="249" spans="1:25" ht="15.75" customHeight="1" x14ac:dyDescent="0.3">
      <c r="A249" s="140"/>
      <c r="B249" s="140"/>
      <c r="K249" s="141"/>
      <c r="L249" s="141"/>
      <c r="M249" s="143"/>
      <c r="N249" s="11"/>
      <c r="O249" s="142"/>
      <c r="P249" s="142"/>
      <c r="Q249" s="142"/>
      <c r="R249" s="142"/>
      <c r="S249" s="141"/>
      <c r="T249" s="141"/>
      <c r="U249" s="143"/>
      <c r="V249" s="141"/>
      <c r="W249" s="141"/>
      <c r="X249" s="11"/>
      <c r="Y249" s="11"/>
    </row>
    <row r="250" spans="1:25" ht="15.75" customHeight="1" x14ac:dyDescent="0.3">
      <c r="A250" s="140"/>
      <c r="B250" s="140"/>
      <c r="K250" s="141"/>
      <c r="L250" s="141"/>
      <c r="M250" s="143"/>
      <c r="N250" s="11"/>
      <c r="O250" s="142"/>
      <c r="P250" s="142"/>
      <c r="Q250" s="142"/>
      <c r="R250" s="142"/>
      <c r="S250" s="141"/>
      <c r="T250" s="141"/>
      <c r="U250" s="143"/>
      <c r="V250" s="141"/>
      <c r="W250" s="141"/>
      <c r="X250" s="11"/>
      <c r="Y250" s="11"/>
    </row>
    <row r="251" spans="1:25" ht="15.75" customHeight="1" x14ac:dyDescent="0.3">
      <c r="A251" s="140"/>
      <c r="B251" s="140"/>
      <c r="K251" s="141"/>
      <c r="L251" s="141"/>
      <c r="M251" s="143"/>
      <c r="N251" s="11"/>
      <c r="O251" s="142"/>
      <c r="P251" s="142"/>
      <c r="Q251" s="142"/>
      <c r="R251" s="142"/>
      <c r="S251" s="141"/>
      <c r="T251" s="141"/>
      <c r="U251" s="143"/>
      <c r="V251" s="141"/>
      <c r="W251" s="141"/>
      <c r="X251" s="11"/>
      <c r="Y251" s="11"/>
    </row>
    <row r="252" spans="1:25" ht="15.75" customHeight="1" x14ac:dyDescent="0.3">
      <c r="A252" s="140"/>
      <c r="B252" s="140"/>
      <c r="K252" s="141"/>
      <c r="L252" s="141"/>
      <c r="M252" s="143"/>
      <c r="N252" s="11"/>
      <c r="O252" s="142"/>
      <c r="P252" s="142"/>
      <c r="Q252" s="142"/>
      <c r="R252" s="142"/>
      <c r="S252" s="141"/>
      <c r="T252" s="141"/>
      <c r="U252" s="143"/>
      <c r="V252" s="141"/>
      <c r="W252" s="141"/>
      <c r="X252" s="11"/>
      <c r="Y252" s="11"/>
    </row>
    <row r="253" spans="1:25" ht="15.75" customHeight="1" x14ac:dyDescent="0.3">
      <c r="A253" s="140"/>
      <c r="B253" s="140"/>
      <c r="K253" s="141"/>
      <c r="L253" s="141"/>
      <c r="M253" s="143"/>
      <c r="N253" s="11"/>
      <c r="O253" s="142"/>
      <c r="P253" s="142"/>
      <c r="Q253" s="142"/>
      <c r="R253" s="142"/>
      <c r="S253" s="141"/>
      <c r="T253" s="141"/>
      <c r="U253" s="143"/>
      <c r="V253" s="141"/>
      <c r="W253" s="141"/>
      <c r="X253" s="11"/>
      <c r="Y253" s="11"/>
    </row>
    <row r="254" spans="1:25" ht="15.75" customHeight="1" x14ac:dyDescent="0.3">
      <c r="A254" s="140"/>
      <c r="B254" s="140"/>
      <c r="K254" s="141"/>
      <c r="L254" s="141"/>
      <c r="M254" s="143"/>
      <c r="N254" s="11"/>
      <c r="O254" s="142"/>
      <c r="P254" s="142"/>
      <c r="Q254" s="142"/>
      <c r="R254" s="142"/>
      <c r="S254" s="141"/>
      <c r="T254" s="141"/>
      <c r="U254" s="143"/>
      <c r="V254" s="141"/>
      <c r="W254" s="141"/>
      <c r="X254" s="11"/>
      <c r="Y254" s="11"/>
    </row>
    <row r="255" spans="1:25" ht="15.75" customHeight="1" x14ac:dyDescent="0.3">
      <c r="A255" s="140"/>
      <c r="B255" s="140"/>
      <c r="K255" s="141"/>
      <c r="L255" s="141"/>
      <c r="M255" s="143"/>
      <c r="N255" s="11"/>
      <c r="O255" s="142"/>
      <c r="P255" s="142"/>
      <c r="Q255" s="142"/>
      <c r="R255" s="142"/>
      <c r="S255" s="141"/>
      <c r="T255" s="141"/>
      <c r="U255" s="143"/>
      <c r="V255" s="141"/>
      <c r="W255" s="141"/>
      <c r="X255" s="11"/>
      <c r="Y255" s="11"/>
    </row>
    <row r="256" spans="1:25" ht="15.75" customHeight="1" x14ac:dyDescent="0.3">
      <c r="A256" s="140"/>
      <c r="B256" s="140"/>
      <c r="K256" s="141"/>
      <c r="L256" s="141"/>
      <c r="M256" s="143"/>
      <c r="N256" s="11"/>
      <c r="O256" s="142"/>
      <c r="P256" s="142"/>
      <c r="Q256" s="142"/>
      <c r="R256" s="142"/>
      <c r="S256" s="141"/>
      <c r="T256" s="141"/>
      <c r="U256" s="143"/>
      <c r="V256" s="141"/>
      <c r="W256" s="141"/>
      <c r="X256" s="11"/>
      <c r="Y256" s="11"/>
    </row>
    <row r="257" spans="1:25" ht="15.75" customHeight="1" x14ac:dyDescent="0.3">
      <c r="A257" s="140"/>
      <c r="B257" s="140"/>
      <c r="K257" s="141"/>
      <c r="L257" s="141"/>
      <c r="M257" s="143"/>
      <c r="N257" s="11"/>
      <c r="O257" s="142"/>
      <c r="P257" s="142"/>
      <c r="Q257" s="142"/>
      <c r="R257" s="142"/>
      <c r="S257" s="141"/>
      <c r="T257" s="141"/>
      <c r="U257" s="143"/>
      <c r="V257" s="141"/>
      <c r="W257" s="141"/>
      <c r="X257" s="11"/>
      <c r="Y257" s="11"/>
    </row>
    <row r="258" spans="1:25" ht="15.75" customHeight="1" x14ac:dyDescent="0.3">
      <c r="A258" s="140"/>
      <c r="B258" s="140"/>
      <c r="K258" s="141"/>
      <c r="L258" s="141"/>
      <c r="M258" s="143"/>
      <c r="N258" s="11"/>
      <c r="O258" s="142"/>
      <c r="P258" s="142"/>
      <c r="Q258" s="142"/>
      <c r="R258" s="142"/>
      <c r="S258" s="141"/>
      <c r="T258" s="141"/>
      <c r="U258" s="143"/>
      <c r="V258" s="141"/>
      <c r="W258" s="141"/>
      <c r="X258" s="11"/>
      <c r="Y258" s="11"/>
    </row>
    <row r="259" spans="1:25" ht="15.75" customHeight="1" x14ac:dyDescent="0.3">
      <c r="A259" s="140"/>
      <c r="B259" s="140"/>
      <c r="K259" s="141"/>
      <c r="L259" s="141"/>
      <c r="M259" s="143"/>
      <c r="N259" s="11"/>
      <c r="O259" s="142"/>
      <c r="P259" s="142"/>
      <c r="Q259" s="142"/>
      <c r="R259" s="142"/>
      <c r="S259" s="141"/>
      <c r="T259" s="141"/>
      <c r="U259" s="143"/>
      <c r="V259" s="141"/>
      <c r="W259" s="141"/>
      <c r="X259" s="11"/>
      <c r="Y259" s="11"/>
    </row>
    <row r="260" spans="1:25" ht="15.75" customHeight="1" x14ac:dyDescent="0.3">
      <c r="A260" s="140"/>
      <c r="B260" s="140"/>
      <c r="K260" s="141"/>
      <c r="L260" s="141"/>
      <c r="M260" s="143"/>
      <c r="N260" s="11"/>
      <c r="O260" s="142"/>
      <c r="P260" s="142"/>
      <c r="Q260" s="142"/>
      <c r="R260" s="142"/>
      <c r="S260" s="141"/>
      <c r="T260" s="141"/>
      <c r="U260" s="143"/>
      <c r="V260" s="141"/>
      <c r="W260" s="141"/>
      <c r="X260" s="11"/>
      <c r="Y260" s="11"/>
    </row>
    <row r="261" spans="1:25" ht="15.75" customHeight="1" x14ac:dyDescent="0.3">
      <c r="A261" s="140"/>
      <c r="B261" s="140"/>
      <c r="K261" s="141"/>
      <c r="L261" s="141"/>
      <c r="M261" s="143"/>
      <c r="N261" s="11"/>
      <c r="O261" s="142"/>
      <c r="P261" s="142"/>
      <c r="Q261" s="142"/>
      <c r="R261" s="142"/>
      <c r="S261" s="141"/>
      <c r="T261" s="141"/>
      <c r="U261" s="143"/>
      <c r="V261" s="141"/>
      <c r="W261" s="141"/>
      <c r="X261" s="11"/>
      <c r="Y261" s="11"/>
    </row>
    <row r="262" spans="1:25" ht="15.75" customHeight="1" x14ac:dyDescent="0.3">
      <c r="A262" s="140"/>
      <c r="B262" s="140"/>
      <c r="K262" s="141"/>
      <c r="L262" s="141"/>
      <c r="M262" s="143"/>
      <c r="N262" s="11"/>
      <c r="O262" s="142"/>
      <c r="P262" s="142"/>
      <c r="Q262" s="142"/>
      <c r="R262" s="142"/>
      <c r="S262" s="141"/>
      <c r="T262" s="141"/>
      <c r="U262" s="143"/>
      <c r="V262" s="141"/>
      <c r="W262" s="141"/>
      <c r="X262" s="11"/>
      <c r="Y262" s="11"/>
    </row>
    <row r="263" spans="1:25" ht="15.75" customHeight="1" x14ac:dyDescent="0.3">
      <c r="A263" s="140"/>
      <c r="B263" s="140"/>
      <c r="K263" s="141"/>
      <c r="L263" s="141"/>
      <c r="M263" s="143"/>
      <c r="N263" s="11"/>
      <c r="O263" s="142"/>
      <c r="P263" s="142"/>
      <c r="Q263" s="142"/>
      <c r="R263" s="142"/>
      <c r="S263" s="141"/>
      <c r="T263" s="141"/>
      <c r="U263" s="143"/>
      <c r="V263" s="141"/>
      <c r="W263" s="141"/>
      <c r="X263" s="11"/>
      <c r="Y263" s="11"/>
    </row>
    <row r="264" spans="1:25" ht="15.75" customHeight="1" x14ac:dyDescent="0.3">
      <c r="A264" s="140"/>
      <c r="B264" s="140"/>
      <c r="K264" s="141"/>
      <c r="L264" s="141"/>
      <c r="M264" s="143"/>
      <c r="N264" s="11"/>
      <c r="O264" s="142"/>
      <c r="P264" s="142"/>
      <c r="Q264" s="142"/>
      <c r="R264" s="142"/>
      <c r="S264" s="141"/>
      <c r="T264" s="141"/>
      <c r="U264" s="143"/>
      <c r="V264" s="141"/>
      <c r="W264" s="141"/>
      <c r="X264" s="11"/>
      <c r="Y264" s="11"/>
    </row>
    <row r="265" spans="1:25" ht="15.75" customHeight="1" x14ac:dyDescent="0.3">
      <c r="A265" s="140"/>
      <c r="B265" s="140"/>
      <c r="K265" s="141"/>
      <c r="L265" s="141"/>
      <c r="M265" s="143"/>
      <c r="N265" s="11"/>
      <c r="O265" s="142"/>
      <c r="P265" s="142"/>
      <c r="Q265" s="142"/>
      <c r="R265" s="142"/>
      <c r="S265" s="141"/>
      <c r="T265" s="141"/>
      <c r="U265" s="143"/>
      <c r="V265" s="141"/>
      <c r="W265" s="141"/>
      <c r="X265" s="11"/>
      <c r="Y265" s="11"/>
    </row>
    <row r="266" spans="1:25" ht="15.75" customHeight="1" x14ac:dyDescent="0.3">
      <c r="A266" s="140"/>
      <c r="B266" s="140"/>
      <c r="K266" s="141"/>
      <c r="L266" s="141"/>
      <c r="M266" s="143"/>
      <c r="N266" s="11"/>
      <c r="O266" s="142"/>
      <c r="P266" s="142"/>
      <c r="Q266" s="142"/>
      <c r="R266" s="142"/>
      <c r="S266" s="141"/>
      <c r="T266" s="141"/>
      <c r="U266" s="143"/>
      <c r="V266" s="141"/>
      <c r="W266" s="141"/>
      <c r="X266" s="11"/>
      <c r="Y266" s="11"/>
    </row>
    <row r="267" spans="1:25" ht="15.75" customHeight="1" x14ac:dyDescent="0.3">
      <c r="A267" s="140"/>
      <c r="B267" s="140"/>
      <c r="K267" s="141"/>
      <c r="L267" s="141"/>
      <c r="M267" s="143"/>
      <c r="N267" s="11"/>
      <c r="O267" s="142"/>
      <c r="P267" s="142"/>
      <c r="Q267" s="142"/>
      <c r="R267" s="142"/>
      <c r="S267" s="141"/>
      <c r="T267" s="141"/>
      <c r="U267" s="143"/>
      <c r="V267" s="141"/>
      <c r="W267" s="141"/>
      <c r="X267" s="11"/>
      <c r="Y267" s="11"/>
    </row>
    <row r="268" spans="1:25" ht="15.75" customHeight="1" x14ac:dyDescent="0.3">
      <c r="A268" s="140"/>
      <c r="B268" s="140"/>
      <c r="K268" s="141"/>
      <c r="L268" s="141"/>
      <c r="M268" s="143"/>
      <c r="N268" s="11"/>
      <c r="O268" s="142"/>
      <c r="P268" s="142"/>
      <c r="Q268" s="142"/>
      <c r="R268" s="142"/>
      <c r="S268" s="141"/>
      <c r="T268" s="141"/>
      <c r="U268" s="143"/>
      <c r="V268" s="141"/>
      <c r="W268" s="141"/>
      <c r="X268" s="11"/>
      <c r="Y268" s="11"/>
    </row>
    <row r="269" spans="1:25" ht="15.75" customHeight="1" x14ac:dyDescent="0.3">
      <c r="A269" s="140"/>
      <c r="B269" s="140"/>
      <c r="K269" s="141"/>
      <c r="L269" s="141"/>
      <c r="M269" s="143"/>
      <c r="N269" s="11"/>
      <c r="O269" s="142"/>
      <c r="P269" s="142"/>
      <c r="Q269" s="142"/>
      <c r="R269" s="142"/>
      <c r="S269" s="141"/>
      <c r="T269" s="141"/>
      <c r="U269" s="143"/>
      <c r="V269" s="141"/>
      <c r="W269" s="141"/>
      <c r="X269" s="11"/>
      <c r="Y269" s="11"/>
    </row>
    <row r="270" spans="1:25" ht="15.75" customHeight="1" x14ac:dyDescent="0.3">
      <c r="A270" s="140"/>
      <c r="B270" s="140"/>
      <c r="K270" s="141"/>
      <c r="L270" s="141"/>
      <c r="M270" s="143"/>
      <c r="N270" s="11"/>
      <c r="O270" s="142"/>
      <c r="P270" s="142"/>
      <c r="Q270" s="142"/>
      <c r="R270" s="142"/>
      <c r="S270" s="141"/>
      <c r="T270" s="141"/>
      <c r="U270" s="143"/>
      <c r="V270" s="141"/>
      <c r="W270" s="141"/>
      <c r="X270" s="11"/>
      <c r="Y270" s="11"/>
    </row>
    <row r="271" spans="1:25" ht="15.75" customHeight="1" x14ac:dyDescent="0.3">
      <c r="A271" s="140"/>
      <c r="B271" s="140"/>
      <c r="K271" s="141"/>
      <c r="L271" s="141"/>
      <c r="M271" s="143"/>
      <c r="N271" s="11"/>
      <c r="O271" s="142"/>
      <c r="P271" s="142"/>
      <c r="Q271" s="142"/>
      <c r="R271" s="142"/>
      <c r="S271" s="141"/>
      <c r="T271" s="141"/>
      <c r="U271" s="143"/>
      <c r="V271" s="141"/>
      <c r="W271" s="141"/>
      <c r="X271" s="11"/>
      <c r="Y271" s="11"/>
    </row>
    <row r="272" spans="1:25" ht="15.75" customHeight="1" x14ac:dyDescent="0.3">
      <c r="A272" s="140"/>
      <c r="B272" s="140"/>
      <c r="K272" s="141"/>
      <c r="L272" s="141"/>
      <c r="M272" s="143"/>
      <c r="N272" s="11"/>
      <c r="O272" s="142"/>
      <c r="P272" s="142"/>
      <c r="Q272" s="142"/>
      <c r="R272" s="142"/>
      <c r="S272" s="141"/>
      <c r="T272" s="141"/>
      <c r="U272" s="143"/>
      <c r="V272" s="141"/>
      <c r="W272" s="141"/>
      <c r="X272" s="11"/>
      <c r="Y272" s="11"/>
    </row>
    <row r="273" spans="15:16" ht="15.75" customHeight="1" x14ac:dyDescent="0.25">
      <c r="O273" s="144"/>
      <c r="P273" s="144"/>
    </row>
    <row r="274" spans="15:16" ht="15.75" customHeight="1" x14ac:dyDescent="0.25">
      <c r="O274" s="144"/>
      <c r="P274" s="144"/>
    </row>
    <row r="275" spans="15:16" ht="15.75" customHeight="1" x14ac:dyDescent="0.25">
      <c r="O275" s="144"/>
      <c r="P275" s="144"/>
    </row>
    <row r="276" spans="15:16" ht="15.75" customHeight="1" x14ac:dyDescent="0.25">
      <c r="O276" s="144"/>
      <c r="P276" s="144"/>
    </row>
    <row r="277" spans="15:16" ht="15.75" customHeight="1" x14ac:dyDescent="0.25">
      <c r="O277" s="144"/>
      <c r="P277" s="144"/>
    </row>
    <row r="278" spans="15:16" ht="15.75" customHeight="1" x14ac:dyDescent="0.25">
      <c r="O278" s="144"/>
      <c r="P278" s="144"/>
    </row>
    <row r="279" spans="15:16" ht="15.75" customHeight="1" x14ac:dyDescent="0.25">
      <c r="O279" s="144"/>
      <c r="P279" s="144"/>
    </row>
    <row r="280" spans="15:16" ht="15.75" customHeight="1" x14ac:dyDescent="0.25">
      <c r="O280" s="144"/>
      <c r="P280" s="144"/>
    </row>
    <row r="281" spans="15:16" ht="15.75" customHeight="1" x14ac:dyDescent="0.25">
      <c r="O281" s="144"/>
      <c r="P281" s="144"/>
    </row>
    <row r="282" spans="15:16" ht="15.75" customHeight="1" x14ac:dyDescent="0.25">
      <c r="O282" s="144"/>
      <c r="P282" s="144"/>
    </row>
    <row r="283" spans="15:16" ht="15.75" customHeight="1" x14ac:dyDescent="0.25">
      <c r="O283" s="144"/>
      <c r="P283" s="144"/>
    </row>
    <row r="284" spans="15:16" ht="15.75" customHeight="1" x14ac:dyDescent="0.25">
      <c r="O284" s="144"/>
      <c r="P284" s="144"/>
    </row>
    <row r="285" spans="15:16" ht="15.75" customHeight="1" x14ac:dyDescent="0.25">
      <c r="O285" s="144"/>
      <c r="P285" s="144"/>
    </row>
    <row r="286" spans="15:16" ht="15.75" customHeight="1" x14ac:dyDescent="0.25">
      <c r="O286" s="144"/>
      <c r="P286" s="144"/>
    </row>
    <row r="287" spans="15:16" ht="15.75" customHeight="1" x14ac:dyDescent="0.25">
      <c r="O287" s="144"/>
      <c r="P287" s="144"/>
    </row>
    <row r="288" spans="15:16" ht="15.75" customHeight="1" x14ac:dyDescent="0.25">
      <c r="O288" s="144"/>
      <c r="P288" s="144"/>
    </row>
    <row r="289" spans="15:16" ht="15.75" customHeight="1" x14ac:dyDescent="0.25">
      <c r="O289" s="144"/>
      <c r="P289" s="144"/>
    </row>
    <row r="290" spans="15:16" ht="15.75" customHeight="1" x14ac:dyDescent="0.25">
      <c r="O290" s="144"/>
      <c r="P290" s="144"/>
    </row>
    <row r="291" spans="15:16" ht="15.75" customHeight="1" x14ac:dyDescent="0.25">
      <c r="O291" s="144"/>
      <c r="P291" s="144"/>
    </row>
    <row r="292" spans="15:16" ht="15.75" customHeight="1" x14ac:dyDescent="0.25">
      <c r="O292" s="144"/>
      <c r="P292" s="144"/>
    </row>
    <row r="293" spans="15:16" ht="15.75" customHeight="1" x14ac:dyDescent="0.25">
      <c r="O293" s="144"/>
      <c r="P293" s="144"/>
    </row>
    <row r="294" spans="15:16" ht="15.75" customHeight="1" x14ac:dyDescent="0.25">
      <c r="O294" s="144"/>
      <c r="P294" s="144"/>
    </row>
    <row r="295" spans="15:16" ht="15.75" customHeight="1" x14ac:dyDescent="0.25">
      <c r="O295" s="144"/>
      <c r="P295" s="144"/>
    </row>
    <row r="296" spans="15:16" ht="15.75" customHeight="1" x14ac:dyDescent="0.25">
      <c r="O296" s="144"/>
      <c r="P296" s="144"/>
    </row>
    <row r="297" spans="15:16" ht="15.75" customHeight="1" x14ac:dyDescent="0.25">
      <c r="O297" s="144"/>
      <c r="P297" s="144"/>
    </row>
    <row r="298" spans="15:16" ht="15.75" customHeight="1" x14ac:dyDescent="0.25">
      <c r="O298" s="144"/>
      <c r="P298" s="144"/>
    </row>
    <row r="299" spans="15:16" ht="15.75" customHeight="1" x14ac:dyDescent="0.25">
      <c r="O299" s="144"/>
      <c r="P299" s="144"/>
    </row>
    <row r="300" spans="15:16" ht="15.75" customHeight="1" x14ac:dyDescent="0.25">
      <c r="O300" s="144"/>
      <c r="P300" s="144"/>
    </row>
    <row r="301" spans="15:16" ht="15.75" customHeight="1" x14ac:dyDescent="0.25">
      <c r="O301" s="144"/>
      <c r="P301" s="144"/>
    </row>
    <row r="302" spans="15:16" ht="15.75" customHeight="1" x14ac:dyDescent="0.25">
      <c r="O302" s="144"/>
      <c r="P302" s="144"/>
    </row>
    <row r="303" spans="15:16" ht="15.75" customHeight="1" x14ac:dyDescent="0.25">
      <c r="O303" s="144"/>
      <c r="P303" s="144"/>
    </row>
    <row r="304" spans="15:16" ht="15.75" customHeight="1" x14ac:dyDescent="0.25">
      <c r="O304" s="144"/>
      <c r="P304" s="144"/>
    </row>
    <row r="305" spans="15:16" ht="15.75" customHeight="1" x14ac:dyDescent="0.25">
      <c r="O305" s="144"/>
      <c r="P305" s="144"/>
    </row>
    <row r="306" spans="15:16" ht="15.75" customHeight="1" x14ac:dyDescent="0.25">
      <c r="O306" s="144"/>
      <c r="P306" s="144"/>
    </row>
    <row r="307" spans="15:16" ht="15.75" customHeight="1" x14ac:dyDescent="0.25">
      <c r="O307" s="144"/>
      <c r="P307" s="144"/>
    </row>
    <row r="308" spans="15:16" ht="15.75" customHeight="1" x14ac:dyDescent="0.25">
      <c r="O308" s="144"/>
      <c r="P308" s="144"/>
    </row>
    <row r="309" spans="15:16" ht="15.75" customHeight="1" x14ac:dyDescent="0.25">
      <c r="O309" s="144"/>
      <c r="P309" s="144"/>
    </row>
    <row r="310" spans="15:16" ht="15.75" customHeight="1" x14ac:dyDescent="0.25">
      <c r="O310" s="144"/>
      <c r="P310" s="144"/>
    </row>
    <row r="311" spans="15:16" ht="15.75" customHeight="1" x14ac:dyDescent="0.25">
      <c r="O311" s="144"/>
      <c r="P311" s="144"/>
    </row>
    <row r="312" spans="15:16" ht="15.75" customHeight="1" x14ac:dyDescent="0.25">
      <c r="O312" s="144"/>
      <c r="P312" s="144"/>
    </row>
    <row r="313" spans="15:16" ht="15.75" customHeight="1" x14ac:dyDescent="0.25">
      <c r="O313" s="144"/>
      <c r="P313" s="144"/>
    </row>
    <row r="314" spans="15:16" ht="15.75" customHeight="1" x14ac:dyDescent="0.25">
      <c r="O314" s="144"/>
      <c r="P314" s="144"/>
    </row>
    <row r="315" spans="15:16" ht="15.75" customHeight="1" x14ac:dyDescent="0.25">
      <c r="O315" s="144"/>
      <c r="P315" s="144"/>
    </row>
    <row r="316" spans="15:16" ht="15.75" customHeight="1" x14ac:dyDescent="0.25">
      <c r="O316" s="144"/>
      <c r="P316" s="144"/>
    </row>
    <row r="317" spans="15:16" ht="15.75" customHeight="1" x14ac:dyDescent="0.25">
      <c r="O317" s="144"/>
      <c r="P317" s="144"/>
    </row>
    <row r="318" spans="15:16" ht="15.75" customHeight="1" x14ac:dyDescent="0.25">
      <c r="O318" s="144"/>
      <c r="P318" s="144"/>
    </row>
    <row r="319" spans="15:16" ht="15.75" customHeight="1" x14ac:dyDescent="0.25">
      <c r="O319" s="144"/>
      <c r="P319" s="144"/>
    </row>
    <row r="320" spans="15:16" ht="15.75" customHeight="1" x14ac:dyDescent="0.25">
      <c r="O320" s="144"/>
      <c r="P320" s="144"/>
    </row>
    <row r="321" spans="15:16" ht="15.75" customHeight="1" x14ac:dyDescent="0.25">
      <c r="O321" s="144"/>
      <c r="P321" s="144"/>
    </row>
    <row r="322" spans="15:16" ht="15.75" customHeight="1" x14ac:dyDescent="0.25">
      <c r="O322" s="144"/>
      <c r="P322" s="144"/>
    </row>
    <row r="323" spans="15:16" ht="15.75" customHeight="1" x14ac:dyDescent="0.25">
      <c r="O323" s="144"/>
      <c r="P323" s="144"/>
    </row>
    <row r="324" spans="15:16" ht="15.75" customHeight="1" x14ac:dyDescent="0.25">
      <c r="O324" s="144"/>
      <c r="P324" s="144"/>
    </row>
    <row r="325" spans="15:16" ht="15.75" customHeight="1" x14ac:dyDescent="0.25">
      <c r="O325" s="144"/>
      <c r="P325" s="144"/>
    </row>
    <row r="326" spans="15:16" ht="15.75" customHeight="1" x14ac:dyDescent="0.25">
      <c r="O326" s="144"/>
      <c r="P326" s="144"/>
    </row>
    <row r="327" spans="15:16" ht="15.75" customHeight="1" x14ac:dyDescent="0.25">
      <c r="O327" s="144"/>
      <c r="P327" s="144"/>
    </row>
    <row r="328" spans="15:16" ht="15.75" customHeight="1" x14ac:dyDescent="0.25">
      <c r="O328" s="144"/>
      <c r="P328" s="144"/>
    </row>
    <row r="329" spans="15:16" ht="15.75" customHeight="1" x14ac:dyDescent="0.25">
      <c r="O329" s="144"/>
      <c r="P329" s="144"/>
    </row>
    <row r="330" spans="15:16" ht="15.75" customHeight="1" x14ac:dyDescent="0.25">
      <c r="O330" s="144"/>
      <c r="P330" s="144"/>
    </row>
    <row r="331" spans="15:16" ht="15.75" customHeight="1" x14ac:dyDescent="0.25">
      <c r="O331" s="144"/>
      <c r="P331" s="144"/>
    </row>
    <row r="332" spans="15:16" ht="15.75" customHeight="1" x14ac:dyDescent="0.25">
      <c r="O332" s="144"/>
      <c r="P332" s="144"/>
    </row>
    <row r="333" spans="15:16" ht="15.75" customHeight="1" x14ac:dyDescent="0.25">
      <c r="O333" s="144"/>
      <c r="P333" s="144"/>
    </row>
    <row r="334" spans="15:16" ht="15.75" customHeight="1" x14ac:dyDescent="0.25">
      <c r="O334" s="144"/>
      <c r="P334" s="144"/>
    </row>
    <row r="335" spans="15:16" ht="15.75" customHeight="1" x14ac:dyDescent="0.25">
      <c r="O335" s="144"/>
      <c r="P335" s="144"/>
    </row>
    <row r="336" spans="15:16" ht="15.75" customHeight="1" x14ac:dyDescent="0.25">
      <c r="O336" s="144"/>
      <c r="P336" s="144"/>
    </row>
    <row r="337" spans="15:16" ht="15.75" customHeight="1" x14ac:dyDescent="0.25">
      <c r="O337" s="144"/>
      <c r="P337" s="144"/>
    </row>
    <row r="338" spans="15:16" ht="15.75" customHeight="1" x14ac:dyDescent="0.25">
      <c r="O338" s="144"/>
      <c r="P338" s="144"/>
    </row>
    <row r="339" spans="15:16" ht="15.75" customHeight="1" x14ac:dyDescent="0.25">
      <c r="O339" s="144"/>
      <c r="P339" s="144"/>
    </row>
    <row r="340" spans="15:16" ht="15.75" customHeight="1" x14ac:dyDescent="0.25">
      <c r="O340" s="144"/>
      <c r="P340" s="144"/>
    </row>
    <row r="341" spans="15:16" ht="15.75" customHeight="1" x14ac:dyDescent="0.25">
      <c r="O341" s="144"/>
      <c r="P341" s="144"/>
    </row>
    <row r="342" spans="15:16" ht="15.75" customHeight="1" x14ac:dyDescent="0.25">
      <c r="O342" s="144"/>
      <c r="P342" s="144"/>
    </row>
    <row r="343" spans="15:16" ht="15.75" customHeight="1" x14ac:dyDescent="0.25">
      <c r="O343" s="144"/>
      <c r="P343" s="144"/>
    </row>
    <row r="344" spans="15:16" ht="15.75" customHeight="1" x14ac:dyDescent="0.25">
      <c r="O344" s="144"/>
      <c r="P344" s="144"/>
    </row>
    <row r="345" spans="15:16" ht="15.75" customHeight="1" x14ac:dyDescent="0.25">
      <c r="O345" s="144"/>
      <c r="P345" s="144"/>
    </row>
    <row r="346" spans="15:16" ht="15.75" customHeight="1" x14ac:dyDescent="0.25">
      <c r="O346" s="144"/>
      <c r="P346" s="144"/>
    </row>
    <row r="347" spans="15:16" ht="15.75" customHeight="1" x14ac:dyDescent="0.25">
      <c r="O347" s="144"/>
      <c r="P347" s="144"/>
    </row>
    <row r="348" spans="15:16" ht="15.75" customHeight="1" x14ac:dyDescent="0.25">
      <c r="O348" s="144"/>
      <c r="P348" s="144"/>
    </row>
    <row r="349" spans="15:16" ht="15.75" customHeight="1" x14ac:dyDescent="0.25">
      <c r="O349" s="144"/>
      <c r="P349" s="144"/>
    </row>
    <row r="350" spans="15:16" ht="15.75" customHeight="1" x14ac:dyDescent="0.25">
      <c r="O350" s="144"/>
      <c r="P350" s="144"/>
    </row>
    <row r="351" spans="15:16" ht="15.75" customHeight="1" x14ac:dyDescent="0.25">
      <c r="O351" s="144"/>
      <c r="P351" s="144"/>
    </row>
    <row r="352" spans="15:16" ht="15.75" customHeight="1" x14ac:dyDescent="0.25">
      <c r="O352" s="144"/>
      <c r="P352" s="144"/>
    </row>
    <row r="353" spans="15:16" ht="15.75" customHeight="1" x14ac:dyDescent="0.25">
      <c r="O353" s="144"/>
      <c r="P353" s="144"/>
    </row>
    <row r="354" spans="15:16" ht="15.75" customHeight="1" x14ac:dyDescent="0.25">
      <c r="O354" s="144"/>
      <c r="P354" s="144"/>
    </row>
    <row r="355" spans="15:16" ht="15.75" customHeight="1" x14ac:dyDescent="0.25">
      <c r="O355" s="144"/>
      <c r="P355" s="144"/>
    </row>
    <row r="356" spans="15:16" ht="15.75" customHeight="1" x14ac:dyDescent="0.25">
      <c r="O356" s="144"/>
      <c r="P356" s="144"/>
    </row>
    <row r="357" spans="15:16" ht="15.75" customHeight="1" x14ac:dyDescent="0.25">
      <c r="O357" s="144"/>
      <c r="P357" s="144"/>
    </row>
    <row r="358" spans="15:16" ht="15.75" customHeight="1" x14ac:dyDescent="0.25">
      <c r="O358" s="144"/>
      <c r="P358" s="144"/>
    </row>
    <row r="359" spans="15:16" ht="15.75" customHeight="1" x14ac:dyDescent="0.25">
      <c r="O359" s="144"/>
      <c r="P359" s="144"/>
    </row>
    <row r="360" spans="15:16" ht="15.75" customHeight="1" x14ac:dyDescent="0.25">
      <c r="O360" s="144"/>
      <c r="P360" s="144"/>
    </row>
    <row r="361" spans="15:16" ht="15.75" customHeight="1" x14ac:dyDescent="0.25">
      <c r="O361" s="144"/>
      <c r="P361" s="144"/>
    </row>
    <row r="362" spans="15:16" ht="15.75" customHeight="1" x14ac:dyDescent="0.25">
      <c r="O362" s="144"/>
      <c r="P362" s="144"/>
    </row>
    <row r="363" spans="15:16" ht="15.75" customHeight="1" x14ac:dyDescent="0.25">
      <c r="O363" s="144"/>
      <c r="P363" s="144"/>
    </row>
    <row r="364" spans="15:16" ht="15.75" customHeight="1" x14ac:dyDescent="0.25">
      <c r="O364" s="144"/>
      <c r="P364" s="144"/>
    </row>
    <row r="365" spans="15:16" ht="15.75" customHeight="1" x14ac:dyDescent="0.25">
      <c r="O365" s="144"/>
      <c r="P365" s="144"/>
    </row>
    <row r="366" spans="15:16" ht="15.75" customHeight="1" x14ac:dyDescent="0.25">
      <c r="O366" s="144"/>
      <c r="P366" s="144"/>
    </row>
    <row r="367" spans="15:16" ht="15.75" customHeight="1" x14ac:dyDescent="0.25">
      <c r="O367" s="144"/>
      <c r="P367" s="144"/>
    </row>
    <row r="368" spans="15:16" ht="15.75" customHeight="1" x14ac:dyDescent="0.25">
      <c r="O368" s="144"/>
      <c r="P368" s="144"/>
    </row>
    <row r="369" spans="15:16" ht="15.75" customHeight="1" x14ac:dyDescent="0.25">
      <c r="O369" s="144"/>
      <c r="P369" s="144"/>
    </row>
    <row r="370" spans="15:16" ht="15.75" customHeight="1" x14ac:dyDescent="0.25">
      <c r="O370" s="144"/>
      <c r="P370" s="144"/>
    </row>
    <row r="371" spans="15:16" ht="15.75" customHeight="1" x14ac:dyDescent="0.25">
      <c r="O371" s="144"/>
      <c r="P371" s="144"/>
    </row>
    <row r="372" spans="15:16" ht="15.75" customHeight="1" x14ac:dyDescent="0.25">
      <c r="O372" s="144"/>
      <c r="P372" s="144"/>
    </row>
    <row r="373" spans="15:16" ht="15.75" customHeight="1" x14ac:dyDescent="0.25">
      <c r="O373" s="144"/>
      <c r="P373" s="144"/>
    </row>
    <row r="374" spans="15:16" ht="15.75" customHeight="1" x14ac:dyDescent="0.25">
      <c r="O374" s="144"/>
      <c r="P374" s="144"/>
    </row>
    <row r="375" spans="15:16" ht="15.75" customHeight="1" x14ac:dyDescent="0.25">
      <c r="O375" s="144"/>
      <c r="P375" s="144"/>
    </row>
    <row r="376" spans="15:16" ht="15.75" customHeight="1" x14ac:dyDescent="0.25">
      <c r="O376" s="144"/>
      <c r="P376" s="144"/>
    </row>
    <row r="377" spans="15:16" ht="15.75" customHeight="1" x14ac:dyDescent="0.25">
      <c r="O377" s="144"/>
      <c r="P377" s="144"/>
    </row>
    <row r="378" spans="15:16" ht="15.75" customHeight="1" x14ac:dyDescent="0.25">
      <c r="O378" s="144"/>
      <c r="P378" s="144"/>
    </row>
    <row r="379" spans="15:16" ht="15.75" customHeight="1" x14ac:dyDescent="0.25">
      <c r="O379" s="144"/>
      <c r="P379" s="144"/>
    </row>
    <row r="380" spans="15:16" ht="15.75" customHeight="1" x14ac:dyDescent="0.25">
      <c r="O380" s="144"/>
      <c r="P380" s="144"/>
    </row>
    <row r="381" spans="15:16" ht="15.75" customHeight="1" x14ac:dyDescent="0.25">
      <c r="O381" s="144"/>
      <c r="P381" s="144"/>
    </row>
    <row r="382" spans="15:16" ht="15.75" customHeight="1" x14ac:dyDescent="0.25">
      <c r="O382" s="144"/>
      <c r="P382" s="144"/>
    </row>
    <row r="383" spans="15:16" ht="15.75" customHeight="1" x14ac:dyDescent="0.25">
      <c r="O383" s="144"/>
      <c r="P383" s="144"/>
    </row>
    <row r="384" spans="15:16" ht="15.75" customHeight="1" x14ac:dyDescent="0.25">
      <c r="O384" s="144"/>
      <c r="P384" s="144"/>
    </row>
    <row r="385" spans="15:16" ht="15.75" customHeight="1" x14ac:dyDescent="0.25">
      <c r="O385" s="144"/>
      <c r="P385" s="144"/>
    </row>
    <row r="386" spans="15:16" ht="15.75" customHeight="1" x14ac:dyDescent="0.25">
      <c r="O386" s="144"/>
      <c r="P386" s="144"/>
    </row>
    <row r="387" spans="15:16" ht="15.75" customHeight="1" x14ac:dyDescent="0.25">
      <c r="O387" s="144"/>
      <c r="P387" s="144"/>
    </row>
    <row r="388" spans="15:16" ht="15.75" customHeight="1" x14ac:dyDescent="0.25">
      <c r="O388" s="144"/>
      <c r="P388" s="144"/>
    </row>
    <row r="389" spans="15:16" ht="15.75" customHeight="1" x14ac:dyDescent="0.25">
      <c r="O389" s="144"/>
      <c r="P389" s="144"/>
    </row>
    <row r="390" spans="15:16" ht="15.75" customHeight="1" x14ac:dyDescent="0.25">
      <c r="O390" s="144"/>
      <c r="P390" s="144"/>
    </row>
    <row r="391" spans="15:16" ht="15.75" customHeight="1" x14ac:dyDescent="0.25">
      <c r="O391" s="144"/>
      <c r="P391" s="144"/>
    </row>
    <row r="392" spans="15:16" ht="15.75" customHeight="1" x14ac:dyDescent="0.25">
      <c r="O392" s="144"/>
      <c r="P392" s="144"/>
    </row>
    <row r="393" spans="15:16" ht="15.75" customHeight="1" x14ac:dyDescent="0.25">
      <c r="O393" s="144"/>
      <c r="P393" s="144"/>
    </row>
    <row r="394" spans="15:16" ht="15.75" customHeight="1" x14ac:dyDescent="0.25">
      <c r="O394" s="144"/>
      <c r="P394" s="144"/>
    </row>
    <row r="395" spans="15:16" ht="15.75" customHeight="1" x14ac:dyDescent="0.25">
      <c r="O395" s="144"/>
      <c r="P395" s="144"/>
    </row>
    <row r="396" spans="15:16" ht="15.75" customHeight="1" x14ac:dyDescent="0.25">
      <c r="O396" s="144"/>
      <c r="P396" s="144"/>
    </row>
    <row r="397" spans="15:16" ht="15.75" customHeight="1" x14ac:dyDescent="0.25">
      <c r="O397" s="144"/>
      <c r="P397" s="144"/>
    </row>
    <row r="398" spans="15:16" ht="15.75" customHeight="1" x14ac:dyDescent="0.25">
      <c r="O398" s="144"/>
      <c r="P398" s="144"/>
    </row>
    <row r="399" spans="15:16" ht="15.75" customHeight="1" x14ac:dyDescent="0.25">
      <c r="O399" s="144"/>
      <c r="P399" s="144"/>
    </row>
    <row r="400" spans="15:16" ht="15.75" customHeight="1" x14ac:dyDescent="0.25">
      <c r="O400" s="144"/>
      <c r="P400" s="144"/>
    </row>
    <row r="401" spans="15:16" ht="15.75" customHeight="1" x14ac:dyDescent="0.25">
      <c r="O401" s="144"/>
      <c r="P401" s="144"/>
    </row>
    <row r="402" spans="15:16" ht="15.75" customHeight="1" x14ac:dyDescent="0.25">
      <c r="O402" s="144"/>
      <c r="P402" s="144"/>
    </row>
    <row r="403" spans="15:16" ht="15.75" customHeight="1" x14ac:dyDescent="0.25">
      <c r="O403" s="144"/>
      <c r="P403" s="144"/>
    </row>
    <row r="404" spans="15:16" ht="15.75" customHeight="1" x14ac:dyDescent="0.25">
      <c r="O404" s="144"/>
      <c r="P404" s="144"/>
    </row>
    <row r="405" spans="15:16" ht="15.75" customHeight="1" x14ac:dyDescent="0.25">
      <c r="O405" s="144"/>
      <c r="P405" s="144"/>
    </row>
    <row r="406" spans="15:16" ht="15.75" customHeight="1" x14ac:dyDescent="0.25">
      <c r="O406" s="144"/>
      <c r="P406" s="144"/>
    </row>
    <row r="407" spans="15:16" ht="15.75" customHeight="1" x14ac:dyDescent="0.25">
      <c r="O407" s="144"/>
      <c r="P407" s="144"/>
    </row>
    <row r="408" spans="15:16" ht="15.75" customHeight="1" x14ac:dyDescent="0.25">
      <c r="O408" s="144"/>
      <c r="P408" s="144"/>
    </row>
    <row r="409" spans="15:16" ht="15.75" customHeight="1" x14ac:dyDescent="0.25">
      <c r="O409" s="144"/>
      <c r="P409" s="144"/>
    </row>
    <row r="410" spans="15:16" ht="15.75" customHeight="1" x14ac:dyDescent="0.25">
      <c r="O410" s="144"/>
      <c r="P410" s="144"/>
    </row>
    <row r="411" spans="15:16" ht="15.75" customHeight="1" x14ac:dyDescent="0.25">
      <c r="O411" s="144"/>
      <c r="P411" s="144"/>
    </row>
    <row r="412" spans="15:16" ht="15.75" customHeight="1" x14ac:dyDescent="0.25">
      <c r="O412" s="144"/>
      <c r="P412" s="144"/>
    </row>
    <row r="413" spans="15:16" ht="15.75" customHeight="1" x14ac:dyDescent="0.25">
      <c r="O413" s="144"/>
      <c r="P413" s="144"/>
    </row>
    <row r="414" spans="15:16" ht="15.75" customHeight="1" x14ac:dyDescent="0.25">
      <c r="O414" s="144"/>
      <c r="P414" s="144"/>
    </row>
    <row r="415" spans="15:16" ht="15.75" customHeight="1" x14ac:dyDescent="0.25">
      <c r="O415" s="144"/>
      <c r="P415" s="144"/>
    </row>
    <row r="416" spans="15:16" ht="15.75" customHeight="1" x14ac:dyDescent="0.25">
      <c r="O416" s="144"/>
      <c r="P416" s="144"/>
    </row>
    <row r="417" spans="15:16" ht="15.75" customHeight="1" x14ac:dyDescent="0.25">
      <c r="O417" s="144"/>
      <c r="P417" s="144"/>
    </row>
    <row r="418" spans="15:16" ht="15.75" customHeight="1" x14ac:dyDescent="0.25">
      <c r="O418" s="144"/>
      <c r="P418" s="144"/>
    </row>
    <row r="419" spans="15:16" ht="15.75" customHeight="1" x14ac:dyDescent="0.25">
      <c r="O419" s="144"/>
      <c r="P419" s="144"/>
    </row>
    <row r="420" spans="15:16" ht="15.75" customHeight="1" x14ac:dyDescent="0.25">
      <c r="O420" s="144"/>
      <c r="P420" s="144"/>
    </row>
    <row r="421" spans="15:16" ht="15.75" customHeight="1" x14ac:dyDescent="0.25">
      <c r="O421" s="144"/>
      <c r="P421" s="144"/>
    </row>
    <row r="422" spans="15:16" ht="15.75" customHeight="1" x14ac:dyDescent="0.25">
      <c r="O422" s="144"/>
      <c r="P422" s="144"/>
    </row>
    <row r="423" spans="15:16" ht="15.75" customHeight="1" x14ac:dyDescent="0.25">
      <c r="O423" s="144"/>
      <c r="P423" s="144"/>
    </row>
    <row r="424" spans="15:16" ht="15.75" customHeight="1" x14ac:dyDescent="0.25">
      <c r="O424" s="144"/>
      <c r="P424" s="144"/>
    </row>
    <row r="425" spans="15:16" ht="15.75" customHeight="1" x14ac:dyDescent="0.25">
      <c r="O425" s="144"/>
      <c r="P425" s="144"/>
    </row>
    <row r="426" spans="15:16" ht="15.75" customHeight="1" x14ac:dyDescent="0.25">
      <c r="O426" s="144"/>
      <c r="P426" s="144"/>
    </row>
    <row r="427" spans="15:16" ht="15.75" customHeight="1" x14ac:dyDescent="0.25">
      <c r="O427" s="144"/>
      <c r="P427" s="144"/>
    </row>
    <row r="428" spans="15:16" ht="15.75" customHeight="1" x14ac:dyDescent="0.25">
      <c r="O428" s="144"/>
      <c r="P428" s="144"/>
    </row>
    <row r="429" spans="15:16" ht="15.75" customHeight="1" x14ac:dyDescent="0.25">
      <c r="O429" s="144"/>
      <c r="P429" s="144"/>
    </row>
    <row r="430" spans="15:16" ht="15.75" customHeight="1" x14ac:dyDescent="0.25">
      <c r="O430" s="144"/>
      <c r="P430" s="144"/>
    </row>
    <row r="431" spans="15:16" ht="15.75" customHeight="1" x14ac:dyDescent="0.25">
      <c r="O431" s="144"/>
      <c r="P431" s="144"/>
    </row>
    <row r="432" spans="15:16" ht="15.75" customHeight="1" x14ac:dyDescent="0.25">
      <c r="O432" s="144"/>
      <c r="P432" s="144"/>
    </row>
    <row r="433" spans="15:16" ht="15.75" customHeight="1" x14ac:dyDescent="0.25">
      <c r="O433" s="144"/>
      <c r="P433" s="144"/>
    </row>
    <row r="434" spans="15:16" ht="15.75" customHeight="1" x14ac:dyDescent="0.25">
      <c r="O434" s="144"/>
      <c r="P434" s="144"/>
    </row>
    <row r="435" spans="15:16" ht="15.75" customHeight="1" x14ac:dyDescent="0.25">
      <c r="O435" s="144"/>
      <c r="P435" s="144"/>
    </row>
    <row r="436" spans="15:16" ht="15.75" customHeight="1" x14ac:dyDescent="0.25">
      <c r="O436" s="144"/>
      <c r="P436" s="144"/>
    </row>
    <row r="437" spans="15:16" ht="15.75" customHeight="1" x14ac:dyDescent="0.25">
      <c r="O437" s="144"/>
      <c r="P437" s="144"/>
    </row>
    <row r="438" spans="15:16" ht="15.75" customHeight="1" x14ac:dyDescent="0.25">
      <c r="O438" s="144"/>
      <c r="P438" s="144"/>
    </row>
    <row r="439" spans="15:16" ht="15.75" customHeight="1" x14ac:dyDescent="0.25">
      <c r="O439" s="144"/>
      <c r="P439" s="144"/>
    </row>
    <row r="440" spans="15:16" ht="15.75" customHeight="1" x14ac:dyDescent="0.25">
      <c r="O440" s="144"/>
      <c r="P440" s="144"/>
    </row>
    <row r="441" spans="15:16" ht="15.75" customHeight="1" x14ac:dyDescent="0.25">
      <c r="O441" s="144"/>
      <c r="P441" s="144"/>
    </row>
    <row r="442" spans="15:16" ht="15.75" customHeight="1" x14ac:dyDescent="0.25">
      <c r="O442" s="144"/>
      <c r="P442" s="144"/>
    </row>
    <row r="443" spans="15:16" ht="15.75" customHeight="1" x14ac:dyDescent="0.25">
      <c r="O443" s="144"/>
      <c r="P443" s="144"/>
    </row>
    <row r="444" spans="15:16" ht="15.75" customHeight="1" x14ac:dyDescent="0.25">
      <c r="O444" s="144"/>
      <c r="P444" s="144"/>
    </row>
    <row r="445" spans="15:16" ht="15.75" customHeight="1" x14ac:dyDescent="0.25">
      <c r="O445" s="144"/>
      <c r="P445" s="144"/>
    </row>
    <row r="446" spans="15:16" ht="15.75" customHeight="1" x14ac:dyDescent="0.25">
      <c r="O446" s="144"/>
      <c r="P446" s="144"/>
    </row>
    <row r="447" spans="15:16" ht="15.75" customHeight="1" x14ac:dyDescent="0.25">
      <c r="O447" s="144"/>
      <c r="P447" s="144"/>
    </row>
    <row r="448" spans="15:16" ht="15.75" customHeight="1" x14ac:dyDescent="0.25">
      <c r="O448" s="144"/>
      <c r="P448" s="144"/>
    </row>
    <row r="449" spans="15:16" ht="15.75" customHeight="1" x14ac:dyDescent="0.25">
      <c r="O449" s="144"/>
      <c r="P449" s="144"/>
    </row>
    <row r="450" spans="15:16" ht="15.75" customHeight="1" x14ac:dyDescent="0.25">
      <c r="O450" s="144"/>
      <c r="P450" s="144"/>
    </row>
    <row r="451" spans="15:16" ht="15.75" customHeight="1" x14ac:dyDescent="0.25">
      <c r="O451" s="144"/>
      <c r="P451" s="144"/>
    </row>
    <row r="452" spans="15:16" ht="15.75" customHeight="1" x14ac:dyDescent="0.25">
      <c r="O452" s="144"/>
      <c r="P452" s="144"/>
    </row>
    <row r="453" spans="15:16" ht="15.75" customHeight="1" x14ac:dyDescent="0.25">
      <c r="O453" s="144"/>
      <c r="P453" s="144"/>
    </row>
    <row r="454" spans="15:16" ht="15.75" customHeight="1" x14ac:dyDescent="0.25">
      <c r="O454" s="144"/>
      <c r="P454" s="144"/>
    </row>
    <row r="455" spans="15:16" ht="15.75" customHeight="1" x14ac:dyDescent="0.25">
      <c r="O455" s="144"/>
      <c r="P455" s="144"/>
    </row>
    <row r="456" spans="15:16" ht="15.75" customHeight="1" x14ac:dyDescent="0.25">
      <c r="O456" s="144"/>
      <c r="P456" s="144"/>
    </row>
    <row r="457" spans="15:16" ht="15.75" customHeight="1" x14ac:dyDescent="0.25">
      <c r="O457" s="144"/>
      <c r="P457" s="144"/>
    </row>
    <row r="458" spans="15:16" ht="15.75" customHeight="1" x14ac:dyDescent="0.25">
      <c r="O458" s="144"/>
      <c r="P458" s="144"/>
    </row>
    <row r="459" spans="15:16" ht="15.75" customHeight="1" x14ac:dyDescent="0.25">
      <c r="O459" s="144"/>
      <c r="P459" s="144"/>
    </row>
    <row r="460" spans="15:16" ht="15.75" customHeight="1" x14ac:dyDescent="0.25">
      <c r="O460" s="144"/>
      <c r="P460" s="144"/>
    </row>
    <row r="461" spans="15:16" ht="15.75" customHeight="1" x14ac:dyDescent="0.25">
      <c r="O461" s="144"/>
      <c r="P461" s="144"/>
    </row>
    <row r="462" spans="15:16" ht="15.75" customHeight="1" x14ac:dyDescent="0.25">
      <c r="O462" s="144"/>
      <c r="P462" s="144"/>
    </row>
    <row r="463" spans="15:16" ht="15.75" customHeight="1" x14ac:dyDescent="0.25">
      <c r="O463" s="144"/>
      <c r="P463" s="144"/>
    </row>
    <row r="464" spans="15:16" ht="15.75" customHeight="1" x14ac:dyDescent="0.25">
      <c r="O464" s="144"/>
      <c r="P464" s="144"/>
    </row>
    <row r="465" spans="15:16" ht="15.75" customHeight="1" x14ac:dyDescent="0.25">
      <c r="O465" s="144"/>
      <c r="P465" s="144"/>
    </row>
    <row r="466" spans="15:16" ht="15.75" customHeight="1" x14ac:dyDescent="0.25">
      <c r="O466" s="144"/>
      <c r="P466" s="144"/>
    </row>
    <row r="467" spans="15:16" ht="15.75" customHeight="1" x14ac:dyDescent="0.25">
      <c r="O467" s="144"/>
      <c r="P467" s="144"/>
    </row>
    <row r="468" spans="15:16" ht="15.75" customHeight="1" x14ac:dyDescent="0.25">
      <c r="O468" s="144"/>
      <c r="P468" s="144"/>
    </row>
    <row r="469" spans="15:16" ht="15.75" customHeight="1" x14ac:dyDescent="0.25">
      <c r="O469" s="144"/>
      <c r="P469" s="144"/>
    </row>
    <row r="470" spans="15:16" ht="15.75" customHeight="1" x14ac:dyDescent="0.25">
      <c r="O470" s="144"/>
      <c r="P470" s="144"/>
    </row>
    <row r="471" spans="15:16" ht="15.75" customHeight="1" x14ac:dyDescent="0.25">
      <c r="O471" s="144"/>
      <c r="P471" s="144"/>
    </row>
    <row r="472" spans="15:16" ht="15.75" customHeight="1" x14ac:dyDescent="0.25">
      <c r="O472" s="144"/>
      <c r="P472" s="144"/>
    </row>
    <row r="473" spans="15:16" ht="15.75" customHeight="1" x14ac:dyDescent="0.25">
      <c r="O473" s="144"/>
      <c r="P473" s="144"/>
    </row>
    <row r="474" spans="15:16" ht="15.75" customHeight="1" x14ac:dyDescent="0.25">
      <c r="O474" s="144"/>
      <c r="P474" s="144"/>
    </row>
    <row r="475" spans="15:16" ht="15.75" customHeight="1" x14ac:dyDescent="0.25">
      <c r="O475" s="144"/>
      <c r="P475" s="144"/>
    </row>
    <row r="476" spans="15:16" ht="15.75" customHeight="1" x14ac:dyDescent="0.25">
      <c r="O476" s="144"/>
      <c r="P476" s="144"/>
    </row>
    <row r="477" spans="15:16" ht="15.75" customHeight="1" x14ac:dyDescent="0.25">
      <c r="O477" s="144"/>
      <c r="P477" s="144"/>
    </row>
    <row r="478" spans="15:16" ht="15.75" customHeight="1" x14ac:dyDescent="0.25">
      <c r="O478" s="144"/>
      <c r="P478" s="144"/>
    </row>
    <row r="479" spans="15:16" ht="15.75" customHeight="1" x14ac:dyDescent="0.25">
      <c r="O479" s="144"/>
      <c r="P479" s="144"/>
    </row>
    <row r="480" spans="15:16" ht="15.75" customHeight="1" x14ac:dyDescent="0.25">
      <c r="O480" s="144"/>
      <c r="P480" s="144"/>
    </row>
    <row r="481" spans="15:16" ht="15.75" customHeight="1" x14ac:dyDescent="0.25">
      <c r="O481" s="144"/>
      <c r="P481" s="144"/>
    </row>
    <row r="482" spans="15:16" ht="15.75" customHeight="1" x14ac:dyDescent="0.25">
      <c r="O482" s="144"/>
      <c r="P482" s="144"/>
    </row>
    <row r="483" spans="15:16" ht="15.75" customHeight="1" x14ac:dyDescent="0.25">
      <c r="O483" s="144"/>
      <c r="P483" s="144"/>
    </row>
    <row r="484" spans="15:16" ht="15.75" customHeight="1" x14ac:dyDescent="0.25">
      <c r="O484" s="144"/>
      <c r="P484" s="144"/>
    </row>
    <row r="485" spans="15:16" ht="15.75" customHeight="1" x14ac:dyDescent="0.25">
      <c r="O485" s="144"/>
      <c r="P485" s="144"/>
    </row>
    <row r="486" spans="15:16" ht="15.75" customHeight="1" x14ac:dyDescent="0.25">
      <c r="O486" s="144"/>
      <c r="P486" s="144"/>
    </row>
    <row r="487" spans="15:16" ht="15.75" customHeight="1" x14ac:dyDescent="0.25">
      <c r="O487" s="144"/>
      <c r="P487" s="144"/>
    </row>
    <row r="488" spans="15:16" ht="15.75" customHeight="1" x14ac:dyDescent="0.25">
      <c r="O488" s="144"/>
      <c r="P488" s="144"/>
    </row>
    <row r="489" spans="15:16" ht="15.75" customHeight="1" x14ac:dyDescent="0.25">
      <c r="O489" s="144"/>
      <c r="P489" s="144"/>
    </row>
    <row r="490" spans="15:16" ht="15.75" customHeight="1" x14ac:dyDescent="0.25">
      <c r="O490" s="144"/>
      <c r="P490" s="144"/>
    </row>
    <row r="491" spans="15:16" ht="15.75" customHeight="1" x14ac:dyDescent="0.25">
      <c r="O491" s="144"/>
      <c r="P491" s="144"/>
    </row>
    <row r="492" spans="15:16" ht="15.75" customHeight="1" x14ac:dyDescent="0.25">
      <c r="O492" s="144"/>
      <c r="P492" s="144"/>
    </row>
    <row r="493" spans="15:16" ht="15.75" customHeight="1" x14ac:dyDescent="0.25">
      <c r="O493" s="144"/>
      <c r="P493" s="144"/>
    </row>
    <row r="494" spans="15:16" ht="15.75" customHeight="1" x14ac:dyDescent="0.25">
      <c r="O494" s="144"/>
      <c r="P494" s="144"/>
    </row>
    <row r="495" spans="15:16" ht="15.75" customHeight="1" x14ac:dyDescent="0.25">
      <c r="O495" s="144"/>
      <c r="P495" s="144"/>
    </row>
    <row r="496" spans="15:16" ht="15.75" customHeight="1" x14ac:dyDescent="0.25">
      <c r="O496" s="144"/>
      <c r="P496" s="144"/>
    </row>
    <row r="497" spans="15:16" ht="15.75" customHeight="1" x14ac:dyDescent="0.25">
      <c r="O497" s="144"/>
      <c r="P497" s="144"/>
    </row>
    <row r="498" spans="15:16" ht="15.75" customHeight="1" x14ac:dyDescent="0.25">
      <c r="O498" s="144"/>
      <c r="P498" s="144"/>
    </row>
    <row r="499" spans="15:16" ht="15.75" customHeight="1" x14ac:dyDescent="0.25">
      <c r="O499" s="144"/>
      <c r="P499" s="144"/>
    </row>
    <row r="500" spans="15:16" ht="15.75" customHeight="1" x14ac:dyDescent="0.25">
      <c r="O500" s="144"/>
      <c r="P500" s="144"/>
    </row>
    <row r="501" spans="15:16" ht="15.75" customHeight="1" x14ac:dyDescent="0.25">
      <c r="O501" s="144"/>
      <c r="P501" s="144"/>
    </row>
    <row r="502" spans="15:16" ht="15.75" customHeight="1" x14ac:dyDescent="0.25">
      <c r="O502" s="144"/>
      <c r="P502" s="144"/>
    </row>
    <row r="503" spans="15:16" ht="15.75" customHeight="1" x14ac:dyDescent="0.25">
      <c r="O503" s="144"/>
      <c r="P503" s="144"/>
    </row>
    <row r="504" spans="15:16" ht="15.75" customHeight="1" x14ac:dyDescent="0.25">
      <c r="O504" s="144"/>
      <c r="P504" s="144"/>
    </row>
    <row r="505" spans="15:16" ht="15.75" customHeight="1" x14ac:dyDescent="0.25">
      <c r="O505" s="144"/>
      <c r="P505" s="144"/>
    </row>
    <row r="506" spans="15:16" ht="15.75" customHeight="1" x14ac:dyDescent="0.25">
      <c r="O506" s="144"/>
      <c r="P506" s="144"/>
    </row>
    <row r="507" spans="15:16" ht="15.75" customHeight="1" x14ac:dyDescent="0.25">
      <c r="O507" s="144"/>
      <c r="P507" s="144"/>
    </row>
    <row r="508" spans="15:16" ht="15.75" customHeight="1" x14ac:dyDescent="0.25">
      <c r="O508" s="144"/>
      <c r="P508" s="144"/>
    </row>
    <row r="509" spans="15:16" ht="15.75" customHeight="1" x14ac:dyDescent="0.25">
      <c r="O509" s="144"/>
      <c r="P509" s="144"/>
    </row>
    <row r="510" spans="15:16" ht="15.75" customHeight="1" x14ac:dyDescent="0.25">
      <c r="O510" s="144"/>
      <c r="P510" s="144"/>
    </row>
    <row r="511" spans="15:16" ht="15.75" customHeight="1" x14ac:dyDescent="0.25">
      <c r="O511" s="144"/>
      <c r="P511" s="144"/>
    </row>
    <row r="512" spans="15:16" ht="15.75" customHeight="1" x14ac:dyDescent="0.25">
      <c r="O512" s="144"/>
      <c r="P512" s="144"/>
    </row>
    <row r="513" spans="15:16" ht="15.75" customHeight="1" x14ac:dyDescent="0.25">
      <c r="O513" s="144"/>
      <c r="P513" s="144"/>
    </row>
    <row r="514" spans="15:16" ht="15.75" customHeight="1" x14ac:dyDescent="0.25">
      <c r="O514" s="144"/>
      <c r="P514" s="144"/>
    </row>
    <row r="515" spans="15:16" ht="15.75" customHeight="1" x14ac:dyDescent="0.25">
      <c r="O515" s="144"/>
      <c r="P515" s="144"/>
    </row>
    <row r="516" spans="15:16" ht="15.75" customHeight="1" x14ac:dyDescent="0.25">
      <c r="O516" s="144"/>
      <c r="P516" s="144"/>
    </row>
    <row r="517" spans="15:16" ht="15.75" customHeight="1" x14ac:dyDescent="0.25">
      <c r="O517" s="144"/>
      <c r="P517" s="144"/>
    </row>
    <row r="518" spans="15:16" ht="15.75" customHeight="1" x14ac:dyDescent="0.25">
      <c r="O518" s="144"/>
      <c r="P518" s="144"/>
    </row>
    <row r="519" spans="15:16" ht="15.75" customHeight="1" x14ac:dyDescent="0.25">
      <c r="O519" s="144"/>
      <c r="P519" s="144"/>
    </row>
    <row r="520" spans="15:16" ht="15.75" customHeight="1" x14ac:dyDescent="0.25">
      <c r="O520" s="144"/>
      <c r="P520" s="144"/>
    </row>
    <row r="521" spans="15:16" ht="15.75" customHeight="1" x14ac:dyDescent="0.25">
      <c r="O521" s="144"/>
      <c r="P521" s="144"/>
    </row>
    <row r="522" spans="15:16" ht="15.75" customHeight="1" x14ac:dyDescent="0.25">
      <c r="O522" s="144"/>
      <c r="P522" s="144"/>
    </row>
    <row r="523" spans="15:16" ht="15.75" customHeight="1" x14ac:dyDescent="0.25">
      <c r="O523" s="144"/>
      <c r="P523" s="144"/>
    </row>
    <row r="524" spans="15:16" ht="15.75" customHeight="1" x14ac:dyDescent="0.25">
      <c r="O524" s="144"/>
      <c r="P524" s="144"/>
    </row>
    <row r="525" spans="15:16" ht="15.75" customHeight="1" x14ac:dyDescent="0.25">
      <c r="O525" s="144"/>
      <c r="P525" s="144"/>
    </row>
    <row r="526" spans="15:16" ht="15.75" customHeight="1" x14ac:dyDescent="0.25">
      <c r="O526" s="144"/>
      <c r="P526" s="144"/>
    </row>
    <row r="527" spans="15:16" ht="15.75" customHeight="1" x14ac:dyDescent="0.25">
      <c r="O527" s="144"/>
      <c r="P527" s="144"/>
    </row>
    <row r="528" spans="15:16" ht="15.75" customHeight="1" x14ac:dyDescent="0.25">
      <c r="O528" s="144"/>
      <c r="P528" s="144"/>
    </row>
    <row r="529" spans="15:16" ht="15.75" customHeight="1" x14ac:dyDescent="0.25">
      <c r="O529" s="144"/>
      <c r="P529" s="144"/>
    </row>
    <row r="530" spans="15:16" ht="15.75" customHeight="1" x14ac:dyDescent="0.25">
      <c r="O530" s="144"/>
      <c r="P530" s="144"/>
    </row>
    <row r="531" spans="15:16" ht="15.75" customHeight="1" x14ac:dyDescent="0.25">
      <c r="O531" s="144"/>
      <c r="P531" s="144"/>
    </row>
    <row r="532" spans="15:16" ht="15.75" customHeight="1" x14ac:dyDescent="0.25">
      <c r="O532" s="144"/>
      <c r="P532" s="144"/>
    </row>
    <row r="533" spans="15:16" ht="15.75" customHeight="1" x14ac:dyDescent="0.25">
      <c r="O533" s="144"/>
      <c r="P533" s="144"/>
    </row>
    <row r="534" spans="15:16" ht="15.75" customHeight="1" x14ac:dyDescent="0.25">
      <c r="O534" s="144"/>
      <c r="P534" s="144"/>
    </row>
    <row r="535" spans="15:16" ht="15.75" customHeight="1" x14ac:dyDescent="0.25">
      <c r="O535" s="144"/>
      <c r="P535" s="144"/>
    </row>
    <row r="536" spans="15:16" ht="15.75" customHeight="1" x14ac:dyDescent="0.25">
      <c r="O536" s="144"/>
      <c r="P536" s="144"/>
    </row>
    <row r="537" spans="15:16" ht="15.75" customHeight="1" x14ac:dyDescent="0.25">
      <c r="O537" s="144"/>
      <c r="P537" s="144"/>
    </row>
    <row r="538" spans="15:16" ht="15.75" customHeight="1" x14ac:dyDescent="0.25">
      <c r="O538" s="144"/>
      <c r="P538" s="144"/>
    </row>
    <row r="539" spans="15:16" ht="15.75" customHeight="1" x14ac:dyDescent="0.25">
      <c r="O539" s="144"/>
      <c r="P539" s="144"/>
    </row>
    <row r="540" spans="15:16" ht="15.75" customHeight="1" x14ac:dyDescent="0.25">
      <c r="O540" s="144"/>
      <c r="P540" s="144"/>
    </row>
    <row r="541" spans="15:16" ht="15.75" customHeight="1" x14ac:dyDescent="0.25">
      <c r="O541" s="144"/>
      <c r="P541" s="144"/>
    </row>
    <row r="542" spans="15:16" ht="15.75" customHeight="1" x14ac:dyDescent="0.25">
      <c r="O542" s="144"/>
      <c r="P542" s="144"/>
    </row>
    <row r="543" spans="15:16" ht="15.75" customHeight="1" x14ac:dyDescent="0.25">
      <c r="O543" s="144"/>
      <c r="P543" s="144"/>
    </row>
    <row r="544" spans="15:16" ht="15.75" customHeight="1" x14ac:dyDescent="0.25">
      <c r="O544" s="144"/>
      <c r="P544" s="144"/>
    </row>
    <row r="545" spans="15:16" ht="15.75" customHeight="1" x14ac:dyDescent="0.25">
      <c r="O545" s="144"/>
      <c r="P545" s="144"/>
    </row>
    <row r="546" spans="15:16" ht="15.75" customHeight="1" x14ac:dyDescent="0.25">
      <c r="O546" s="144"/>
      <c r="P546" s="144"/>
    </row>
    <row r="547" spans="15:16" ht="15.75" customHeight="1" x14ac:dyDescent="0.25">
      <c r="O547" s="144"/>
      <c r="P547" s="144"/>
    </row>
    <row r="548" spans="15:16" ht="15.75" customHeight="1" x14ac:dyDescent="0.25">
      <c r="O548" s="144"/>
      <c r="P548" s="144"/>
    </row>
    <row r="549" spans="15:16" ht="15.75" customHeight="1" x14ac:dyDescent="0.25">
      <c r="O549" s="144"/>
      <c r="P549" s="144"/>
    </row>
    <row r="550" spans="15:16" ht="15.75" customHeight="1" x14ac:dyDescent="0.25">
      <c r="O550" s="144"/>
      <c r="P550" s="144"/>
    </row>
    <row r="551" spans="15:16" ht="15.75" customHeight="1" x14ac:dyDescent="0.25">
      <c r="O551" s="144"/>
      <c r="P551" s="144"/>
    </row>
    <row r="552" spans="15:16" ht="15.75" customHeight="1" x14ac:dyDescent="0.25">
      <c r="O552" s="144"/>
      <c r="P552" s="144"/>
    </row>
    <row r="553" spans="15:16" ht="15.75" customHeight="1" x14ac:dyDescent="0.25">
      <c r="O553" s="144"/>
      <c r="P553" s="144"/>
    </row>
    <row r="554" spans="15:16" ht="15.75" customHeight="1" x14ac:dyDescent="0.25">
      <c r="O554" s="144"/>
      <c r="P554" s="144"/>
    </row>
    <row r="555" spans="15:16" ht="15.75" customHeight="1" x14ac:dyDescent="0.25">
      <c r="O555" s="144"/>
      <c r="P555" s="144"/>
    </row>
    <row r="556" spans="15:16" ht="15.75" customHeight="1" x14ac:dyDescent="0.25">
      <c r="O556" s="144"/>
      <c r="P556" s="144"/>
    </row>
    <row r="557" spans="15:16" ht="15.75" customHeight="1" x14ac:dyDescent="0.25">
      <c r="O557" s="144"/>
      <c r="P557" s="144"/>
    </row>
    <row r="558" spans="15:16" ht="15.75" customHeight="1" x14ac:dyDescent="0.25">
      <c r="O558" s="144"/>
      <c r="P558" s="144"/>
    </row>
    <row r="559" spans="15:16" ht="15.75" customHeight="1" x14ac:dyDescent="0.25">
      <c r="O559" s="144"/>
      <c r="P559" s="144"/>
    </row>
    <row r="560" spans="15:16" ht="15.75" customHeight="1" x14ac:dyDescent="0.25">
      <c r="O560" s="144"/>
      <c r="P560" s="144"/>
    </row>
    <row r="561" spans="15:16" ht="15.75" customHeight="1" x14ac:dyDescent="0.25">
      <c r="O561" s="144"/>
      <c r="P561" s="144"/>
    </row>
    <row r="562" spans="15:16" ht="15.75" customHeight="1" x14ac:dyDescent="0.25">
      <c r="O562" s="144"/>
      <c r="P562" s="144"/>
    </row>
    <row r="563" spans="15:16" ht="15.75" customHeight="1" x14ac:dyDescent="0.25">
      <c r="O563" s="144"/>
      <c r="P563" s="144"/>
    </row>
    <row r="564" spans="15:16" ht="15.75" customHeight="1" x14ac:dyDescent="0.25">
      <c r="O564" s="144"/>
      <c r="P564" s="144"/>
    </row>
    <row r="565" spans="15:16" ht="15.75" customHeight="1" x14ac:dyDescent="0.25">
      <c r="O565" s="144"/>
      <c r="P565" s="144"/>
    </row>
    <row r="566" spans="15:16" ht="15.75" customHeight="1" x14ac:dyDescent="0.25">
      <c r="O566" s="144"/>
      <c r="P566" s="144"/>
    </row>
    <row r="567" spans="15:16" ht="15.75" customHeight="1" x14ac:dyDescent="0.25">
      <c r="O567" s="144"/>
      <c r="P567" s="144"/>
    </row>
    <row r="568" spans="15:16" ht="15.75" customHeight="1" x14ac:dyDescent="0.25">
      <c r="O568" s="144"/>
      <c r="P568" s="144"/>
    </row>
    <row r="569" spans="15:16" ht="15.75" customHeight="1" x14ac:dyDescent="0.25">
      <c r="O569" s="144"/>
      <c r="P569" s="144"/>
    </row>
    <row r="570" spans="15:16" ht="15.75" customHeight="1" x14ac:dyDescent="0.25">
      <c r="O570" s="144"/>
      <c r="P570" s="144"/>
    </row>
    <row r="571" spans="15:16" ht="15.75" customHeight="1" x14ac:dyDescent="0.25">
      <c r="O571" s="144"/>
      <c r="P571" s="144"/>
    </row>
    <row r="572" spans="15:16" ht="15.75" customHeight="1" x14ac:dyDescent="0.25">
      <c r="O572" s="144"/>
      <c r="P572" s="144"/>
    </row>
    <row r="573" spans="15:16" ht="15.75" customHeight="1" x14ac:dyDescent="0.25">
      <c r="O573" s="144"/>
      <c r="P573" s="144"/>
    </row>
    <row r="574" spans="15:16" ht="15.75" customHeight="1" x14ac:dyDescent="0.25">
      <c r="O574" s="144"/>
      <c r="P574" s="144"/>
    </row>
    <row r="575" spans="15:16" ht="15.75" customHeight="1" x14ac:dyDescent="0.25">
      <c r="O575" s="144"/>
      <c r="P575" s="144"/>
    </row>
    <row r="576" spans="15:16" ht="15.75" customHeight="1" x14ac:dyDescent="0.25">
      <c r="O576" s="144"/>
      <c r="P576" s="144"/>
    </row>
    <row r="577" spans="15:16" ht="15.75" customHeight="1" x14ac:dyDescent="0.25">
      <c r="O577" s="144"/>
      <c r="P577" s="144"/>
    </row>
    <row r="578" spans="15:16" ht="15.75" customHeight="1" x14ac:dyDescent="0.25">
      <c r="O578" s="144"/>
      <c r="P578" s="144"/>
    </row>
    <row r="579" spans="15:16" ht="15.75" customHeight="1" x14ac:dyDescent="0.25">
      <c r="O579" s="144"/>
      <c r="P579" s="144"/>
    </row>
    <row r="580" spans="15:16" ht="15.75" customHeight="1" x14ac:dyDescent="0.25">
      <c r="O580" s="144"/>
      <c r="P580" s="144"/>
    </row>
    <row r="581" spans="15:16" ht="15.75" customHeight="1" x14ac:dyDescent="0.25">
      <c r="O581" s="144"/>
      <c r="P581" s="144"/>
    </row>
    <row r="582" spans="15:16" ht="15.75" customHeight="1" x14ac:dyDescent="0.25">
      <c r="O582" s="144"/>
      <c r="P582" s="144"/>
    </row>
    <row r="583" spans="15:16" ht="15.75" customHeight="1" x14ac:dyDescent="0.25">
      <c r="O583" s="144"/>
      <c r="P583" s="144"/>
    </row>
    <row r="584" spans="15:16" ht="15.75" customHeight="1" x14ac:dyDescent="0.25">
      <c r="O584" s="144"/>
      <c r="P584" s="144"/>
    </row>
    <row r="585" spans="15:16" ht="15.75" customHeight="1" x14ac:dyDescent="0.25">
      <c r="O585" s="144"/>
      <c r="P585" s="144"/>
    </row>
    <row r="586" spans="15:16" ht="15.75" customHeight="1" x14ac:dyDescent="0.25">
      <c r="O586" s="144"/>
      <c r="P586" s="144"/>
    </row>
    <row r="587" spans="15:16" ht="15.75" customHeight="1" x14ac:dyDescent="0.25">
      <c r="O587" s="144"/>
      <c r="P587" s="144"/>
    </row>
    <row r="588" spans="15:16" ht="15.75" customHeight="1" x14ac:dyDescent="0.25">
      <c r="O588" s="144"/>
      <c r="P588" s="144"/>
    </row>
    <row r="589" spans="15:16" ht="15.75" customHeight="1" x14ac:dyDescent="0.25">
      <c r="O589" s="144"/>
      <c r="P589" s="144"/>
    </row>
    <row r="590" spans="15:16" ht="15.75" customHeight="1" x14ac:dyDescent="0.25">
      <c r="O590" s="144"/>
      <c r="P590" s="144"/>
    </row>
    <row r="591" spans="15:16" ht="15.75" customHeight="1" x14ac:dyDescent="0.25">
      <c r="O591" s="144"/>
      <c r="P591" s="144"/>
    </row>
    <row r="592" spans="15:16" ht="15.75" customHeight="1" x14ac:dyDescent="0.25">
      <c r="O592" s="144"/>
      <c r="P592" s="144"/>
    </row>
    <row r="593" spans="15:16" ht="15.75" customHeight="1" x14ac:dyDescent="0.25">
      <c r="O593" s="144"/>
      <c r="P593" s="144"/>
    </row>
    <row r="594" spans="15:16" ht="15.75" customHeight="1" x14ac:dyDescent="0.25">
      <c r="O594" s="144"/>
      <c r="P594" s="144"/>
    </row>
    <row r="595" spans="15:16" ht="15.75" customHeight="1" x14ac:dyDescent="0.25">
      <c r="O595" s="144"/>
      <c r="P595" s="144"/>
    </row>
    <row r="596" spans="15:16" ht="15.75" customHeight="1" x14ac:dyDescent="0.25">
      <c r="O596" s="144"/>
      <c r="P596" s="144"/>
    </row>
    <row r="597" spans="15:16" ht="15.75" customHeight="1" x14ac:dyDescent="0.25">
      <c r="O597" s="144"/>
      <c r="P597" s="144"/>
    </row>
    <row r="598" spans="15:16" ht="15.75" customHeight="1" x14ac:dyDescent="0.25">
      <c r="O598" s="144"/>
      <c r="P598" s="144"/>
    </row>
    <row r="599" spans="15:16" ht="15.75" customHeight="1" x14ac:dyDescent="0.25">
      <c r="O599" s="144"/>
      <c r="P599" s="144"/>
    </row>
    <row r="600" spans="15:16" ht="15.75" customHeight="1" x14ac:dyDescent="0.25">
      <c r="O600" s="144"/>
      <c r="P600" s="144"/>
    </row>
    <row r="601" spans="15:16" ht="15.75" customHeight="1" x14ac:dyDescent="0.25">
      <c r="O601" s="144"/>
      <c r="P601" s="144"/>
    </row>
    <row r="602" spans="15:16" ht="15.75" customHeight="1" x14ac:dyDescent="0.25">
      <c r="O602" s="144"/>
      <c r="P602" s="144"/>
    </row>
    <row r="603" spans="15:16" ht="15.75" customHeight="1" x14ac:dyDescent="0.25">
      <c r="O603" s="144"/>
      <c r="P603" s="144"/>
    </row>
    <row r="604" spans="15:16" ht="15.75" customHeight="1" x14ac:dyDescent="0.25">
      <c r="O604" s="144"/>
      <c r="P604" s="144"/>
    </row>
    <row r="605" spans="15:16" ht="15.75" customHeight="1" x14ac:dyDescent="0.25">
      <c r="O605" s="144"/>
      <c r="P605" s="144"/>
    </row>
    <row r="606" spans="15:16" ht="15.75" customHeight="1" x14ac:dyDescent="0.25">
      <c r="O606" s="144"/>
      <c r="P606" s="144"/>
    </row>
    <row r="607" spans="15:16" ht="15.75" customHeight="1" x14ac:dyDescent="0.25">
      <c r="O607" s="144"/>
      <c r="P607" s="144"/>
    </row>
    <row r="608" spans="15:16" ht="15.75" customHeight="1" x14ac:dyDescent="0.25">
      <c r="O608" s="144"/>
      <c r="P608" s="144"/>
    </row>
    <row r="609" spans="15:16" ht="15.75" customHeight="1" x14ac:dyDescent="0.25">
      <c r="O609" s="144"/>
      <c r="P609" s="144"/>
    </row>
    <row r="610" spans="15:16" ht="15.75" customHeight="1" x14ac:dyDescent="0.25">
      <c r="O610" s="144"/>
      <c r="P610" s="144"/>
    </row>
    <row r="611" spans="15:16" ht="15.75" customHeight="1" x14ac:dyDescent="0.25">
      <c r="O611" s="144"/>
      <c r="P611" s="144"/>
    </row>
    <row r="612" spans="15:16" ht="15.75" customHeight="1" x14ac:dyDescent="0.25">
      <c r="O612" s="144"/>
      <c r="P612" s="144"/>
    </row>
    <row r="613" spans="15:16" ht="15.75" customHeight="1" x14ac:dyDescent="0.25">
      <c r="O613" s="144"/>
      <c r="P613" s="144"/>
    </row>
    <row r="614" spans="15:16" ht="15.75" customHeight="1" x14ac:dyDescent="0.25">
      <c r="O614" s="144"/>
      <c r="P614" s="144"/>
    </row>
    <row r="615" spans="15:16" ht="15.75" customHeight="1" x14ac:dyDescent="0.25">
      <c r="O615" s="144"/>
      <c r="P615" s="144"/>
    </row>
    <row r="616" spans="15:16" ht="15.75" customHeight="1" x14ac:dyDescent="0.25">
      <c r="O616" s="144"/>
      <c r="P616" s="144"/>
    </row>
    <row r="617" spans="15:16" ht="15.75" customHeight="1" x14ac:dyDescent="0.25">
      <c r="O617" s="144"/>
      <c r="P617" s="144"/>
    </row>
    <row r="618" spans="15:16" ht="15.75" customHeight="1" x14ac:dyDescent="0.25">
      <c r="O618" s="144"/>
      <c r="P618" s="144"/>
    </row>
    <row r="619" spans="15:16" ht="15.75" customHeight="1" x14ac:dyDescent="0.25">
      <c r="O619" s="144"/>
      <c r="P619" s="144"/>
    </row>
    <row r="620" spans="15:16" ht="15.75" customHeight="1" x14ac:dyDescent="0.25">
      <c r="O620" s="144"/>
      <c r="P620" s="144"/>
    </row>
    <row r="621" spans="15:16" ht="15.75" customHeight="1" x14ac:dyDescent="0.25">
      <c r="O621" s="144"/>
      <c r="P621" s="144"/>
    </row>
    <row r="622" spans="15:16" ht="15.75" customHeight="1" x14ac:dyDescent="0.25">
      <c r="O622" s="144"/>
      <c r="P622" s="144"/>
    </row>
    <row r="623" spans="15:16" ht="15.75" customHeight="1" x14ac:dyDescent="0.25">
      <c r="O623" s="144"/>
      <c r="P623" s="144"/>
    </row>
    <row r="624" spans="15:16" ht="15.75" customHeight="1" x14ac:dyDescent="0.25">
      <c r="O624" s="144"/>
      <c r="P624" s="144"/>
    </row>
    <row r="625" spans="15:16" ht="15.75" customHeight="1" x14ac:dyDescent="0.25">
      <c r="O625" s="144"/>
      <c r="P625" s="144"/>
    </row>
    <row r="626" spans="15:16" ht="15.75" customHeight="1" x14ac:dyDescent="0.25">
      <c r="O626" s="144"/>
      <c r="P626" s="144"/>
    </row>
    <row r="627" spans="15:16" ht="15.75" customHeight="1" x14ac:dyDescent="0.25">
      <c r="O627" s="144"/>
      <c r="P627" s="144"/>
    </row>
    <row r="628" spans="15:16" ht="15.75" customHeight="1" x14ac:dyDescent="0.25">
      <c r="O628" s="144"/>
      <c r="P628" s="144"/>
    </row>
    <row r="629" spans="15:16" ht="15.75" customHeight="1" x14ac:dyDescent="0.25">
      <c r="O629" s="144"/>
      <c r="P629" s="144"/>
    </row>
    <row r="630" spans="15:16" ht="15.75" customHeight="1" x14ac:dyDescent="0.25">
      <c r="O630" s="144"/>
      <c r="P630" s="144"/>
    </row>
    <row r="631" spans="15:16" ht="15.75" customHeight="1" x14ac:dyDescent="0.25">
      <c r="O631" s="144"/>
      <c r="P631" s="144"/>
    </row>
    <row r="632" spans="15:16" ht="15.75" customHeight="1" x14ac:dyDescent="0.25">
      <c r="O632" s="144"/>
      <c r="P632" s="144"/>
    </row>
    <row r="633" spans="15:16" ht="15.75" customHeight="1" x14ac:dyDescent="0.25">
      <c r="O633" s="144"/>
      <c r="P633" s="144"/>
    </row>
    <row r="634" spans="15:16" ht="15.75" customHeight="1" x14ac:dyDescent="0.25">
      <c r="O634" s="144"/>
      <c r="P634" s="144"/>
    </row>
    <row r="635" spans="15:16" ht="15.75" customHeight="1" x14ac:dyDescent="0.25">
      <c r="O635" s="144"/>
      <c r="P635" s="144"/>
    </row>
    <row r="636" spans="15:16" ht="15.75" customHeight="1" x14ac:dyDescent="0.25">
      <c r="O636" s="144"/>
      <c r="P636" s="144"/>
    </row>
    <row r="637" spans="15:16" ht="15.75" customHeight="1" x14ac:dyDescent="0.25">
      <c r="O637" s="144"/>
      <c r="P637" s="144"/>
    </row>
    <row r="638" spans="15:16" ht="15.75" customHeight="1" x14ac:dyDescent="0.25">
      <c r="O638" s="144"/>
      <c r="P638" s="144"/>
    </row>
    <row r="639" spans="15:16" ht="15.75" customHeight="1" x14ac:dyDescent="0.25">
      <c r="O639" s="144"/>
      <c r="P639" s="144"/>
    </row>
    <row r="640" spans="15:16" ht="15.75" customHeight="1" x14ac:dyDescent="0.25">
      <c r="O640" s="144"/>
      <c r="P640" s="144"/>
    </row>
    <row r="641" spans="15:16" ht="15.75" customHeight="1" x14ac:dyDescent="0.25">
      <c r="O641" s="144"/>
      <c r="P641" s="144"/>
    </row>
    <row r="642" spans="15:16" ht="15.75" customHeight="1" x14ac:dyDescent="0.25">
      <c r="O642" s="144"/>
      <c r="P642" s="144"/>
    </row>
    <row r="643" spans="15:16" ht="15.75" customHeight="1" x14ac:dyDescent="0.25">
      <c r="O643" s="144"/>
      <c r="P643" s="144"/>
    </row>
    <row r="644" spans="15:16" ht="15.75" customHeight="1" x14ac:dyDescent="0.25">
      <c r="O644" s="144"/>
      <c r="P644" s="144"/>
    </row>
    <row r="645" spans="15:16" ht="15.75" customHeight="1" x14ac:dyDescent="0.25">
      <c r="O645" s="144"/>
      <c r="P645" s="144"/>
    </row>
    <row r="646" spans="15:16" ht="15.75" customHeight="1" x14ac:dyDescent="0.25">
      <c r="O646" s="144"/>
      <c r="P646" s="144"/>
    </row>
    <row r="647" spans="15:16" ht="15.75" customHeight="1" x14ac:dyDescent="0.25">
      <c r="O647" s="144"/>
      <c r="P647" s="144"/>
    </row>
    <row r="648" spans="15:16" ht="15.75" customHeight="1" x14ac:dyDescent="0.25">
      <c r="O648" s="144"/>
      <c r="P648" s="144"/>
    </row>
    <row r="649" spans="15:16" ht="15.75" customHeight="1" x14ac:dyDescent="0.25">
      <c r="O649" s="144"/>
      <c r="P649" s="144"/>
    </row>
    <row r="650" spans="15:16" ht="15.75" customHeight="1" x14ac:dyDescent="0.25">
      <c r="O650" s="144"/>
      <c r="P650" s="144"/>
    </row>
    <row r="651" spans="15:16" ht="15.75" customHeight="1" x14ac:dyDescent="0.25">
      <c r="O651" s="144"/>
      <c r="P651" s="144"/>
    </row>
    <row r="652" spans="15:16" ht="15.75" customHeight="1" x14ac:dyDescent="0.25">
      <c r="O652" s="144"/>
      <c r="P652" s="144"/>
    </row>
    <row r="653" spans="15:16" ht="15.75" customHeight="1" x14ac:dyDescent="0.25">
      <c r="O653" s="144"/>
      <c r="P653" s="144"/>
    </row>
    <row r="654" spans="15:16" ht="15.75" customHeight="1" x14ac:dyDescent="0.25">
      <c r="O654" s="144"/>
      <c r="P654" s="144"/>
    </row>
    <row r="655" spans="15:16" ht="15.75" customHeight="1" x14ac:dyDescent="0.25">
      <c r="O655" s="144"/>
      <c r="P655" s="144"/>
    </row>
    <row r="656" spans="15:16" ht="15.75" customHeight="1" x14ac:dyDescent="0.25">
      <c r="O656" s="144"/>
      <c r="P656" s="144"/>
    </row>
    <row r="657" spans="15:16" ht="15.75" customHeight="1" x14ac:dyDescent="0.25">
      <c r="O657" s="144"/>
      <c r="P657" s="144"/>
    </row>
    <row r="658" spans="15:16" ht="15.75" customHeight="1" x14ac:dyDescent="0.25">
      <c r="O658" s="144"/>
      <c r="P658" s="144"/>
    </row>
    <row r="659" spans="15:16" ht="15.75" customHeight="1" x14ac:dyDescent="0.25">
      <c r="O659" s="144"/>
      <c r="P659" s="144"/>
    </row>
    <row r="660" spans="15:16" ht="15.75" customHeight="1" x14ac:dyDescent="0.25">
      <c r="O660" s="144"/>
      <c r="P660" s="144"/>
    </row>
    <row r="661" spans="15:16" ht="15.75" customHeight="1" x14ac:dyDescent="0.25">
      <c r="O661" s="144"/>
      <c r="P661" s="144"/>
    </row>
    <row r="662" spans="15:16" ht="15.75" customHeight="1" x14ac:dyDescent="0.25">
      <c r="O662" s="144"/>
      <c r="P662" s="144"/>
    </row>
    <row r="663" spans="15:16" ht="15.75" customHeight="1" x14ac:dyDescent="0.25">
      <c r="O663" s="144"/>
      <c r="P663" s="144"/>
    </row>
    <row r="664" spans="15:16" ht="15.75" customHeight="1" x14ac:dyDescent="0.25">
      <c r="O664" s="144"/>
      <c r="P664" s="144"/>
    </row>
    <row r="665" spans="15:16" ht="15.75" customHeight="1" x14ac:dyDescent="0.25">
      <c r="O665" s="144"/>
      <c r="P665" s="144"/>
    </row>
    <row r="666" spans="15:16" ht="15.75" customHeight="1" x14ac:dyDescent="0.25">
      <c r="O666" s="144"/>
      <c r="P666" s="144"/>
    </row>
    <row r="667" spans="15:16" ht="15.75" customHeight="1" x14ac:dyDescent="0.25">
      <c r="O667" s="144"/>
      <c r="P667" s="144"/>
    </row>
    <row r="668" spans="15:16" ht="15.75" customHeight="1" x14ac:dyDescent="0.25">
      <c r="O668" s="144"/>
      <c r="P668" s="144"/>
    </row>
    <row r="669" spans="15:16" ht="15.75" customHeight="1" x14ac:dyDescent="0.25">
      <c r="O669" s="144"/>
      <c r="P669" s="144"/>
    </row>
    <row r="670" spans="15:16" ht="15.75" customHeight="1" x14ac:dyDescent="0.25">
      <c r="O670" s="144"/>
      <c r="P670" s="144"/>
    </row>
    <row r="671" spans="15:16" ht="15.75" customHeight="1" x14ac:dyDescent="0.25">
      <c r="O671" s="144"/>
      <c r="P671" s="144"/>
    </row>
    <row r="672" spans="15:16" ht="15.75" customHeight="1" x14ac:dyDescent="0.25">
      <c r="O672" s="144"/>
      <c r="P672" s="144"/>
    </row>
    <row r="673" spans="15:16" ht="15.75" customHeight="1" x14ac:dyDescent="0.25">
      <c r="O673" s="144"/>
      <c r="P673" s="144"/>
    </row>
    <row r="674" spans="15:16" ht="15.75" customHeight="1" x14ac:dyDescent="0.25">
      <c r="O674" s="144"/>
      <c r="P674" s="144"/>
    </row>
    <row r="675" spans="15:16" ht="15.75" customHeight="1" x14ac:dyDescent="0.25">
      <c r="O675" s="144"/>
      <c r="P675" s="144"/>
    </row>
    <row r="676" spans="15:16" ht="15.75" customHeight="1" x14ac:dyDescent="0.25">
      <c r="O676" s="144"/>
      <c r="P676" s="144"/>
    </row>
    <row r="677" spans="15:16" ht="15.75" customHeight="1" x14ac:dyDescent="0.25">
      <c r="O677" s="144"/>
      <c r="P677" s="144"/>
    </row>
    <row r="678" spans="15:16" ht="15.75" customHeight="1" x14ac:dyDescent="0.25">
      <c r="O678" s="144"/>
      <c r="P678" s="144"/>
    </row>
    <row r="679" spans="15:16" ht="15.75" customHeight="1" x14ac:dyDescent="0.25">
      <c r="O679" s="144"/>
      <c r="P679" s="144"/>
    </row>
    <row r="680" spans="15:16" ht="15.75" customHeight="1" x14ac:dyDescent="0.25">
      <c r="O680" s="144"/>
      <c r="P680" s="144"/>
    </row>
    <row r="681" spans="15:16" ht="15.75" customHeight="1" x14ac:dyDescent="0.25">
      <c r="O681" s="144"/>
      <c r="P681" s="144"/>
    </row>
    <row r="682" spans="15:16" ht="15.75" customHeight="1" x14ac:dyDescent="0.25">
      <c r="O682" s="144"/>
      <c r="P682" s="144"/>
    </row>
    <row r="683" spans="15:16" ht="15.75" customHeight="1" x14ac:dyDescent="0.25">
      <c r="O683" s="144"/>
      <c r="P683" s="144"/>
    </row>
    <row r="684" spans="15:16" ht="15.75" customHeight="1" x14ac:dyDescent="0.25">
      <c r="O684" s="144"/>
      <c r="P684" s="144"/>
    </row>
    <row r="685" spans="15:16" ht="15.75" customHeight="1" x14ac:dyDescent="0.25">
      <c r="O685" s="144"/>
      <c r="P685" s="144"/>
    </row>
    <row r="686" spans="15:16" ht="15.75" customHeight="1" x14ac:dyDescent="0.25">
      <c r="O686" s="144"/>
      <c r="P686" s="144"/>
    </row>
    <row r="687" spans="15:16" ht="15.75" customHeight="1" x14ac:dyDescent="0.25">
      <c r="O687" s="144"/>
      <c r="P687" s="144"/>
    </row>
    <row r="688" spans="15:16" ht="15.75" customHeight="1" x14ac:dyDescent="0.25">
      <c r="O688" s="144"/>
      <c r="P688" s="144"/>
    </row>
    <row r="689" spans="15:16" ht="15.75" customHeight="1" x14ac:dyDescent="0.25">
      <c r="O689" s="144"/>
      <c r="P689" s="144"/>
    </row>
    <row r="690" spans="15:16" ht="15.75" customHeight="1" x14ac:dyDescent="0.25">
      <c r="O690" s="144"/>
      <c r="P690" s="144"/>
    </row>
    <row r="691" spans="15:16" ht="15.75" customHeight="1" x14ac:dyDescent="0.25">
      <c r="O691" s="144"/>
      <c r="P691" s="144"/>
    </row>
    <row r="692" spans="15:16" ht="15.75" customHeight="1" x14ac:dyDescent="0.25">
      <c r="O692" s="144"/>
      <c r="P692" s="144"/>
    </row>
    <row r="693" spans="15:16" ht="15.75" customHeight="1" x14ac:dyDescent="0.25">
      <c r="O693" s="144"/>
      <c r="P693" s="144"/>
    </row>
    <row r="694" spans="15:16" ht="15.75" customHeight="1" x14ac:dyDescent="0.25">
      <c r="O694" s="144"/>
      <c r="P694" s="144"/>
    </row>
    <row r="695" spans="15:16" ht="15.75" customHeight="1" x14ac:dyDescent="0.25">
      <c r="O695" s="144"/>
      <c r="P695" s="144"/>
    </row>
    <row r="696" spans="15:16" ht="15.75" customHeight="1" x14ac:dyDescent="0.25">
      <c r="O696" s="144"/>
      <c r="P696" s="144"/>
    </row>
    <row r="697" spans="15:16" ht="15.75" customHeight="1" x14ac:dyDescent="0.25">
      <c r="O697" s="144"/>
      <c r="P697" s="144"/>
    </row>
    <row r="698" spans="15:16" ht="15.75" customHeight="1" x14ac:dyDescent="0.25">
      <c r="O698" s="144"/>
      <c r="P698" s="144"/>
    </row>
    <row r="699" spans="15:16" ht="15.75" customHeight="1" x14ac:dyDescent="0.25">
      <c r="O699" s="144"/>
      <c r="P699" s="144"/>
    </row>
    <row r="700" spans="15:16" ht="15.75" customHeight="1" x14ac:dyDescent="0.25">
      <c r="O700" s="144"/>
      <c r="P700" s="144"/>
    </row>
    <row r="701" spans="15:16" ht="15.75" customHeight="1" x14ac:dyDescent="0.25">
      <c r="O701" s="144"/>
      <c r="P701" s="144"/>
    </row>
    <row r="702" spans="15:16" ht="15.75" customHeight="1" x14ac:dyDescent="0.25">
      <c r="O702" s="144"/>
      <c r="P702" s="144"/>
    </row>
    <row r="703" spans="15:16" ht="15.75" customHeight="1" x14ac:dyDescent="0.25">
      <c r="O703" s="144"/>
      <c r="P703" s="144"/>
    </row>
    <row r="704" spans="15:16" ht="15.75" customHeight="1" x14ac:dyDescent="0.25">
      <c r="O704" s="144"/>
      <c r="P704" s="144"/>
    </row>
    <row r="705" spans="15:16" ht="15.75" customHeight="1" x14ac:dyDescent="0.25">
      <c r="O705" s="144"/>
      <c r="P705" s="144"/>
    </row>
    <row r="706" spans="15:16" ht="15.75" customHeight="1" x14ac:dyDescent="0.25">
      <c r="O706" s="144"/>
      <c r="P706" s="144"/>
    </row>
    <row r="707" spans="15:16" ht="15.75" customHeight="1" x14ac:dyDescent="0.25">
      <c r="O707" s="144"/>
      <c r="P707" s="144"/>
    </row>
    <row r="708" spans="15:16" ht="15.75" customHeight="1" x14ac:dyDescent="0.25">
      <c r="O708" s="144"/>
      <c r="P708" s="144"/>
    </row>
    <row r="709" spans="15:16" ht="15.75" customHeight="1" x14ac:dyDescent="0.25">
      <c r="O709" s="144"/>
      <c r="P709" s="144"/>
    </row>
    <row r="710" spans="15:16" ht="15.75" customHeight="1" x14ac:dyDescent="0.25">
      <c r="O710" s="144"/>
      <c r="P710" s="144"/>
    </row>
    <row r="711" spans="15:16" ht="15.75" customHeight="1" x14ac:dyDescent="0.25">
      <c r="O711" s="144"/>
      <c r="P711" s="144"/>
    </row>
    <row r="712" spans="15:16" ht="15.75" customHeight="1" x14ac:dyDescent="0.25">
      <c r="O712" s="144"/>
      <c r="P712" s="144"/>
    </row>
    <row r="713" spans="15:16" ht="15.75" customHeight="1" x14ac:dyDescent="0.25">
      <c r="O713" s="144"/>
      <c r="P713" s="144"/>
    </row>
    <row r="714" spans="15:16" ht="15.75" customHeight="1" x14ac:dyDescent="0.25">
      <c r="O714" s="144"/>
      <c r="P714" s="144"/>
    </row>
    <row r="715" spans="15:16" ht="15.75" customHeight="1" x14ac:dyDescent="0.25">
      <c r="O715" s="144"/>
      <c r="P715" s="144"/>
    </row>
    <row r="716" spans="15:16" ht="15.75" customHeight="1" x14ac:dyDescent="0.25">
      <c r="O716" s="144"/>
      <c r="P716" s="144"/>
    </row>
    <row r="717" spans="15:16" ht="15.75" customHeight="1" x14ac:dyDescent="0.25">
      <c r="O717" s="144"/>
      <c r="P717" s="144"/>
    </row>
    <row r="718" spans="15:16" ht="15.75" customHeight="1" x14ac:dyDescent="0.25">
      <c r="O718" s="144"/>
      <c r="P718" s="144"/>
    </row>
    <row r="719" spans="15:16" ht="15.75" customHeight="1" x14ac:dyDescent="0.25">
      <c r="O719" s="144"/>
      <c r="P719" s="144"/>
    </row>
    <row r="720" spans="15:16" ht="15.75" customHeight="1" x14ac:dyDescent="0.25">
      <c r="O720" s="144"/>
      <c r="P720" s="144"/>
    </row>
    <row r="721" spans="15:16" ht="15.75" customHeight="1" x14ac:dyDescent="0.25">
      <c r="O721" s="144"/>
      <c r="P721" s="144"/>
    </row>
    <row r="722" spans="15:16" ht="15.75" customHeight="1" x14ac:dyDescent="0.25">
      <c r="O722" s="144"/>
      <c r="P722" s="144"/>
    </row>
    <row r="723" spans="15:16" ht="15.75" customHeight="1" x14ac:dyDescent="0.25">
      <c r="O723" s="144"/>
      <c r="P723" s="144"/>
    </row>
    <row r="724" spans="15:16" ht="15.75" customHeight="1" x14ac:dyDescent="0.25">
      <c r="O724" s="144"/>
      <c r="P724" s="144"/>
    </row>
    <row r="725" spans="15:16" ht="15.75" customHeight="1" x14ac:dyDescent="0.25">
      <c r="O725" s="144"/>
      <c r="P725" s="144"/>
    </row>
    <row r="726" spans="15:16" ht="15.75" customHeight="1" x14ac:dyDescent="0.25">
      <c r="O726" s="144"/>
      <c r="P726" s="144"/>
    </row>
    <row r="727" spans="15:16" ht="15.75" customHeight="1" x14ac:dyDescent="0.25">
      <c r="O727" s="144"/>
      <c r="P727" s="144"/>
    </row>
    <row r="728" spans="15:16" ht="15.75" customHeight="1" x14ac:dyDescent="0.25">
      <c r="O728" s="144"/>
      <c r="P728" s="144"/>
    </row>
    <row r="729" spans="15:16" ht="15.75" customHeight="1" x14ac:dyDescent="0.25">
      <c r="O729" s="144"/>
      <c r="P729" s="144"/>
    </row>
    <row r="730" spans="15:16" ht="15.75" customHeight="1" x14ac:dyDescent="0.25">
      <c r="O730" s="144"/>
      <c r="P730" s="144"/>
    </row>
    <row r="731" spans="15:16" ht="15.75" customHeight="1" x14ac:dyDescent="0.25">
      <c r="O731" s="144"/>
      <c r="P731" s="144"/>
    </row>
    <row r="732" spans="15:16" ht="15.75" customHeight="1" x14ac:dyDescent="0.25">
      <c r="O732" s="144"/>
      <c r="P732" s="144"/>
    </row>
    <row r="733" spans="15:16" ht="15.75" customHeight="1" x14ac:dyDescent="0.25">
      <c r="O733" s="144"/>
      <c r="P733" s="144"/>
    </row>
    <row r="734" spans="15:16" ht="15.75" customHeight="1" x14ac:dyDescent="0.25">
      <c r="O734" s="144"/>
      <c r="P734" s="144"/>
    </row>
    <row r="735" spans="15:16" ht="15.75" customHeight="1" x14ac:dyDescent="0.25">
      <c r="O735" s="144"/>
      <c r="P735" s="144"/>
    </row>
    <row r="736" spans="15:16" ht="15.75" customHeight="1" x14ac:dyDescent="0.25">
      <c r="O736" s="144"/>
      <c r="P736" s="144"/>
    </row>
    <row r="737" spans="15:16" ht="15.75" customHeight="1" x14ac:dyDescent="0.25">
      <c r="O737" s="144"/>
      <c r="P737" s="144"/>
    </row>
    <row r="738" spans="15:16" ht="15.75" customHeight="1" x14ac:dyDescent="0.25">
      <c r="O738" s="144"/>
      <c r="P738" s="144"/>
    </row>
    <row r="739" spans="15:16" ht="15.75" customHeight="1" x14ac:dyDescent="0.25">
      <c r="O739" s="144"/>
      <c r="P739" s="144"/>
    </row>
    <row r="740" spans="15:16" ht="15.75" customHeight="1" x14ac:dyDescent="0.25">
      <c r="O740" s="144"/>
      <c r="P740" s="144"/>
    </row>
    <row r="741" spans="15:16" ht="15.75" customHeight="1" x14ac:dyDescent="0.25">
      <c r="O741" s="144"/>
      <c r="P741" s="144"/>
    </row>
    <row r="742" spans="15:16" ht="15.75" customHeight="1" x14ac:dyDescent="0.25">
      <c r="O742" s="144"/>
      <c r="P742" s="144"/>
    </row>
    <row r="743" spans="15:16" ht="15.75" customHeight="1" x14ac:dyDescent="0.25">
      <c r="O743" s="144"/>
      <c r="P743" s="144"/>
    </row>
    <row r="744" spans="15:16" ht="15.75" customHeight="1" x14ac:dyDescent="0.25">
      <c r="O744" s="144"/>
      <c r="P744" s="144"/>
    </row>
    <row r="745" spans="15:16" ht="15.75" customHeight="1" x14ac:dyDescent="0.25">
      <c r="O745" s="144"/>
      <c r="P745" s="144"/>
    </row>
    <row r="746" spans="15:16" ht="15.75" customHeight="1" x14ac:dyDescent="0.25">
      <c r="O746" s="144"/>
      <c r="P746" s="144"/>
    </row>
    <row r="747" spans="15:16" ht="15.75" customHeight="1" x14ac:dyDescent="0.25">
      <c r="O747" s="144"/>
      <c r="P747" s="144"/>
    </row>
    <row r="748" spans="15:16" ht="15.75" customHeight="1" x14ac:dyDescent="0.25">
      <c r="O748" s="144"/>
      <c r="P748" s="144"/>
    </row>
    <row r="749" spans="15:16" ht="15.75" customHeight="1" x14ac:dyDescent="0.25">
      <c r="O749" s="144"/>
      <c r="P749" s="144"/>
    </row>
    <row r="750" spans="15:16" ht="15.75" customHeight="1" x14ac:dyDescent="0.25">
      <c r="O750" s="144"/>
      <c r="P750" s="144"/>
    </row>
    <row r="751" spans="15:16" ht="15.75" customHeight="1" x14ac:dyDescent="0.25">
      <c r="O751" s="144"/>
      <c r="P751" s="144"/>
    </row>
    <row r="752" spans="15:16" ht="15.75" customHeight="1" x14ac:dyDescent="0.25">
      <c r="O752" s="144"/>
      <c r="P752" s="144"/>
    </row>
    <row r="753" spans="15:16" ht="15.75" customHeight="1" x14ac:dyDescent="0.25">
      <c r="O753" s="144"/>
      <c r="P753" s="144"/>
    </row>
    <row r="754" spans="15:16" ht="15.75" customHeight="1" x14ac:dyDescent="0.25">
      <c r="O754" s="144"/>
      <c r="P754" s="144"/>
    </row>
    <row r="755" spans="15:16" ht="15.75" customHeight="1" x14ac:dyDescent="0.25">
      <c r="O755" s="144"/>
      <c r="P755" s="144"/>
    </row>
    <row r="756" spans="15:16" ht="15.75" customHeight="1" x14ac:dyDescent="0.25">
      <c r="O756" s="144"/>
      <c r="P756" s="144"/>
    </row>
    <row r="757" spans="15:16" ht="15.75" customHeight="1" x14ac:dyDescent="0.25">
      <c r="O757" s="144"/>
      <c r="P757" s="144"/>
    </row>
    <row r="758" spans="15:16" ht="15.75" customHeight="1" x14ac:dyDescent="0.25">
      <c r="O758" s="144"/>
      <c r="P758" s="144"/>
    </row>
    <row r="759" spans="15:16" ht="15.75" customHeight="1" x14ac:dyDescent="0.25">
      <c r="O759" s="144"/>
      <c r="P759" s="144"/>
    </row>
    <row r="760" spans="15:16" ht="15.75" customHeight="1" x14ac:dyDescent="0.25">
      <c r="O760" s="144"/>
      <c r="P760" s="144"/>
    </row>
    <row r="761" spans="15:16" ht="15.75" customHeight="1" x14ac:dyDescent="0.25">
      <c r="O761" s="144"/>
      <c r="P761" s="144"/>
    </row>
    <row r="762" spans="15:16" ht="15.75" customHeight="1" x14ac:dyDescent="0.25">
      <c r="O762" s="144"/>
      <c r="P762" s="144"/>
    </row>
    <row r="763" spans="15:16" ht="15.75" customHeight="1" x14ac:dyDescent="0.25">
      <c r="O763" s="144"/>
      <c r="P763" s="144"/>
    </row>
    <row r="764" spans="15:16" ht="15.75" customHeight="1" x14ac:dyDescent="0.25">
      <c r="O764" s="144"/>
      <c r="P764" s="144"/>
    </row>
    <row r="765" spans="15:16" ht="15.75" customHeight="1" x14ac:dyDescent="0.25">
      <c r="O765" s="144"/>
      <c r="P765" s="144"/>
    </row>
    <row r="766" spans="15:16" ht="15.75" customHeight="1" x14ac:dyDescent="0.25">
      <c r="O766" s="144"/>
      <c r="P766" s="144"/>
    </row>
    <row r="767" spans="15:16" ht="15.75" customHeight="1" x14ac:dyDescent="0.25">
      <c r="O767" s="144"/>
      <c r="P767" s="144"/>
    </row>
    <row r="768" spans="15:16" ht="15.75" customHeight="1" x14ac:dyDescent="0.25">
      <c r="O768" s="144"/>
      <c r="P768" s="144"/>
    </row>
    <row r="769" spans="15:16" ht="15.75" customHeight="1" x14ac:dyDescent="0.25">
      <c r="O769" s="144"/>
      <c r="P769" s="144"/>
    </row>
    <row r="770" spans="15:16" ht="15.75" customHeight="1" x14ac:dyDescent="0.25">
      <c r="O770" s="144"/>
      <c r="P770" s="144"/>
    </row>
    <row r="771" spans="15:16" ht="15.75" customHeight="1" x14ac:dyDescent="0.25">
      <c r="O771" s="144"/>
      <c r="P771" s="144"/>
    </row>
    <row r="772" spans="15:16" ht="15.75" customHeight="1" x14ac:dyDescent="0.25">
      <c r="O772" s="144"/>
      <c r="P772" s="144"/>
    </row>
    <row r="773" spans="15:16" ht="15.75" customHeight="1" x14ac:dyDescent="0.25">
      <c r="O773" s="144"/>
      <c r="P773" s="144"/>
    </row>
    <row r="774" spans="15:16" ht="15.75" customHeight="1" x14ac:dyDescent="0.25">
      <c r="O774" s="144"/>
      <c r="P774" s="144"/>
    </row>
    <row r="775" spans="15:16" ht="15.75" customHeight="1" x14ac:dyDescent="0.25">
      <c r="O775" s="144"/>
      <c r="P775" s="144"/>
    </row>
    <row r="776" spans="15:16" ht="15.75" customHeight="1" x14ac:dyDescent="0.25">
      <c r="O776" s="144"/>
      <c r="P776" s="144"/>
    </row>
    <row r="777" spans="15:16" ht="15.75" customHeight="1" x14ac:dyDescent="0.25">
      <c r="O777" s="144"/>
      <c r="P777" s="144"/>
    </row>
    <row r="778" spans="15:16" ht="15.75" customHeight="1" x14ac:dyDescent="0.25">
      <c r="O778" s="144"/>
      <c r="P778" s="144"/>
    </row>
    <row r="779" spans="15:16" ht="15.75" customHeight="1" x14ac:dyDescent="0.25">
      <c r="O779" s="144"/>
      <c r="P779" s="144"/>
    </row>
    <row r="780" spans="15:16" ht="15.75" customHeight="1" x14ac:dyDescent="0.25">
      <c r="O780" s="144"/>
      <c r="P780" s="144"/>
    </row>
    <row r="781" spans="15:16" ht="15.75" customHeight="1" x14ac:dyDescent="0.25">
      <c r="O781" s="144"/>
      <c r="P781" s="144"/>
    </row>
    <row r="782" spans="15:16" ht="15.75" customHeight="1" x14ac:dyDescent="0.25">
      <c r="O782" s="144"/>
      <c r="P782" s="144"/>
    </row>
    <row r="783" spans="15:16" ht="15.75" customHeight="1" x14ac:dyDescent="0.25">
      <c r="O783" s="144"/>
      <c r="P783" s="144"/>
    </row>
    <row r="784" spans="15:16" ht="15.75" customHeight="1" x14ac:dyDescent="0.25">
      <c r="O784" s="144"/>
      <c r="P784" s="144"/>
    </row>
    <row r="785" spans="15:16" ht="15.75" customHeight="1" x14ac:dyDescent="0.25">
      <c r="O785" s="144"/>
      <c r="P785" s="144"/>
    </row>
    <row r="786" spans="15:16" ht="15.75" customHeight="1" x14ac:dyDescent="0.25">
      <c r="O786" s="144"/>
      <c r="P786" s="144"/>
    </row>
    <row r="787" spans="15:16" ht="15.75" customHeight="1" x14ac:dyDescent="0.25">
      <c r="O787" s="144"/>
      <c r="P787" s="144"/>
    </row>
    <row r="788" spans="15:16" ht="15.75" customHeight="1" x14ac:dyDescent="0.25">
      <c r="O788" s="144"/>
      <c r="P788" s="144"/>
    </row>
    <row r="789" spans="15:16" ht="15.75" customHeight="1" x14ac:dyDescent="0.25">
      <c r="O789" s="144"/>
      <c r="P789" s="144"/>
    </row>
    <row r="790" spans="15:16" ht="15.75" customHeight="1" x14ac:dyDescent="0.25">
      <c r="O790" s="144"/>
      <c r="P790" s="144"/>
    </row>
    <row r="791" spans="15:16" ht="15.75" customHeight="1" x14ac:dyDescent="0.25">
      <c r="O791" s="144"/>
      <c r="P791" s="144"/>
    </row>
    <row r="792" spans="15:16" ht="15.75" customHeight="1" x14ac:dyDescent="0.25">
      <c r="O792" s="144"/>
      <c r="P792" s="144"/>
    </row>
    <row r="793" spans="15:16" ht="15.75" customHeight="1" x14ac:dyDescent="0.25">
      <c r="O793" s="144"/>
      <c r="P793" s="144"/>
    </row>
    <row r="794" spans="15:16" ht="15.75" customHeight="1" x14ac:dyDescent="0.25">
      <c r="O794" s="144"/>
      <c r="P794" s="144"/>
    </row>
    <row r="795" spans="15:16" ht="15.75" customHeight="1" x14ac:dyDescent="0.25">
      <c r="O795" s="144"/>
      <c r="P795" s="144"/>
    </row>
    <row r="796" spans="15:16" ht="15.75" customHeight="1" x14ac:dyDescent="0.25">
      <c r="O796" s="144"/>
      <c r="P796" s="144"/>
    </row>
    <row r="797" spans="15:16" ht="15.75" customHeight="1" x14ac:dyDescent="0.25">
      <c r="O797" s="144"/>
      <c r="P797" s="144"/>
    </row>
    <row r="798" spans="15:16" ht="15.75" customHeight="1" x14ac:dyDescent="0.25">
      <c r="O798" s="144"/>
      <c r="P798" s="144"/>
    </row>
    <row r="799" spans="15:16" ht="15.75" customHeight="1" x14ac:dyDescent="0.25">
      <c r="O799" s="144"/>
      <c r="P799" s="144"/>
    </row>
    <row r="800" spans="15:16" ht="15.75" customHeight="1" x14ac:dyDescent="0.25">
      <c r="O800" s="144"/>
      <c r="P800" s="144"/>
    </row>
    <row r="801" spans="15:16" ht="15.75" customHeight="1" x14ac:dyDescent="0.25">
      <c r="O801" s="144"/>
      <c r="P801" s="144"/>
    </row>
    <row r="802" spans="15:16" ht="15.75" customHeight="1" x14ac:dyDescent="0.25">
      <c r="O802" s="144"/>
      <c r="P802" s="144"/>
    </row>
    <row r="803" spans="15:16" ht="15.75" customHeight="1" x14ac:dyDescent="0.25">
      <c r="O803" s="144"/>
      <c r="P803" s="144"/>
    </row>
    <row r="804" spans="15:16" ht="15.75" customHeight="1" x14ac:dyDescent="0.25">
      <c r="O804" s="144"/>
      <c r="P804" s="144"/>
    </row>
    <row r="805" spans="15:16" ht="15.75" customHeight="1" x14ac:dyDescent="0.25">
      <c r="O805" s="144"/>
      <c r="P805" s="144"/>
    </row>
    <row r="806" spans="15:16" ht="15.75" customHeight="1" x14ac:dyDescent="0.25">
      <c r="O806" s="144"/>
      <c r="P806" s="144"/>
    </row>
    <row r="807" spans="15:16" ht="15.75" customHeight="1" x14ac:dyDescent="0.25">
      <c r="O807" s="144"/>
      <c r="P807" s="144"/>
    </row>
    <row r="808" spans="15:16" ht="15.75" customHeight="1" x14ac:dyDescent="0.25">
      <c r="O808" s="144"/>
      <c r="P808" s="144"/>
    </row>
    <row r="809" spans="15:16" ht="15.75" customHeight="1" x14ac:dyDescent="0.25">
      <c r="O809" s="144"/>
      <c r="P809" s="144"/>
    </row>
    <row r="810" spans="15:16" ht="15.75" customHeight="1" x14ac:dyDescent="0.25">
      <c r="O810" s="144"/>
      <c r="P810" s="144"/>
    </row>
    <row r="811" spans="15:16" ht="15.75" customHeight="1" x14ac:dyDescent="0.25">
      <c r="O811" s="144"/>
      <c r="P811" s="144"/>
    </row>
    <row r="812" spans="15:16" ht="15.75" customHeight="1" x14ac:dyDescent="0.25">
      <c r="O812" s="144"/>
      <c r="P812" s="144"/>
    </row>
    <row r="813" spans="15:16" ht="15.75" customHeight="1" x14ac:dyDescent="0.25">
      <c r="O813" s="144"/>
      <c r="P813" s="144"/>
    </row>
    <row r="814" spans="15:16" ht="15.75" customHeight="1" x14ac:dyDescent="0.25">
      <c r="O814" s="144"/>
      <c r="P814" s="144"/>
    </row>
    <row r="815" spans="15:16" ht="15.75" customHeight="1" x14ac:dyDescent="0.25">
      <c r="O815" s="144"/>
      <c r="P815" s="144"/>
    </row>
    <row r="816" spans="15:16" ht="15.75" customHeight="1" x14ac:dyDescent="0.25">
      <c r="O816" s="144"/>
      <c r="P816" s="144"/>
    </row>
    <row r="817" spans="15:16" ht="15.75" customHeight="1" x14ac:dyDescent="0.25">
      <c r="O817" s="144"/>
      <c r="P817" s="144"/>
    </row>
    <row r="818" spans="15:16" ht="15.75" customHeight="1" x14ac:dyDescent="0.25">
      <c r="O818" s="144"/>
      <c r="P818" s="144"/>
    </row>
    <row r="819" spans="15:16" ht="15.75" customHeight="1" x14ac:dyDescent="0.25">
      <c r="O819" s="144"/>
      <c r="P819" s="144"/>
    </row>
    <row r="820" spans="15:16" ht="15.75" customHeight="1" x14ac:dyDescent="0.25">
      <c r="O820" s="144"/>
      <c r="P820" s="144"/>
    </row>
    <row r="821" spans="15:16" ht="15.75" customHeight="1" x14ac:dyDescent="0.25">
      <c r="O821" s="144"/>
      <c r="P821" s="144"/>
    </row>
    <row r="822" spans="15:16" ht="15.75" customHeight="1" x14ac:dyDescent="0.25">
      <c r="O822" s="144"/>
      <c r="P822" s="144"/>
    </row>
    <row r="823" spans="15:16" ht="15.75" customHeight="1" x14ac:dyDescent="0.25">
      <c r="O823" s="144"/>
      <c r="P823" s="144"/>
    </row>
    <row r="824" spans="15:16" ht="15.75" customHeight="1" x14ac:dyDescent="0.25">
      <c r="O824" s="144"/>
      <c r="P824" s="144"/>
    </row>
    <row r="825" spans="15:16" ht="15.75" customHeight="1" x14ac:dyDescent="0.25">
      <c r="O825" s="144"/>
      <c r="P825" s="144"/>
    </row>
    <row r="826" spans="15:16" ht="15.75" customHeight="1" x14ac:dyDescent="0.25">
      <c r="O826" s="144"/>
      <c r="P826" s="144"/>
    </row>
    <row r="827" spans="15:16" ht="15.75" customHeight="1" x14ac:dyDescent="0.25">
      <c r="O827" s="144"/>
      <c r="P827" s="144"/>
    </row>
    <row r="828" spans="15:16" ht="15.75" customHeight="1" x14ac:dyDescent="0.25">
      <c r="O828" s="144"/>
      <c r="P828" s="144"/>
    </row>
    <row r="829" spans="15:16" ht="15.75" customHeight="1" x14ac:dyDescent="0.25">
      <c r="O829" s="144"/>
      <c r="P829" s="144"/>
    </row>
    <row r="830" spans="15:16" ht="15.75" customHeight="1" x14ac:dyDescent="0.25">
      <c r="O830" s="144"/>
      <c r="P830" s="144"/>
    </row>
    <row r="831" spans="15:16" ht="15.75" customHeight="1" x14ac:dyDescent="0.25">
      <c r="O831" s="144"/>
      <c r="P831" s="144"/>
    </row>
    <row r="832" spans="15:16" ht="15.75" customHeight="1" x14ac:dyDescent="0.25">
      <c r="O832" s="144"/>
      <c r="P832" s="144"/>
    </row>
    <row r="833" spans="15:16" ht="15.75" customHeight="1" x14ac:dyDescent="0.25">
      <c r="O833" s="144"/>
      <c r="P833" s="144"/>
    </row>
    <row r="834" spans="15:16" ht="15.75" customHeight="1" x14ac:dyDescent="0.25">
      <c r="O834" s="144"/>
      <c r="P834" s="144"/>
    </row>
    <row r="835" spans="15:16" ht="15.75" customHeight="1" x14ac:dyDescent="0.25">
      <c r="O835" s="144"/>
      <c r="P835" s="144"/>
    </row>
    <row r="836" spans="15:16" ht="15.75" customHeight="1" x14ac:dyDescent="0.25">
      <c r="O836" s="144"/>
      <c r="P836" s="144"/>
    </row>
    <row r="837" spans="15:16" ht="15.75" customHeight="1" x14ac:dyDescent="0.25">
      <c r="O837" s="144"/>
      <c r="P837" s="144"/>
    </row>
    <row r="838" spans="15:16" ht="15.75" customHeight="1" x14ac:dyDescent="0.25">
      <c r="O838" s="144"/>
      <c r="P838" s="144"/>
    </row>
    <row r="839" spans="15:16" ht="15.75" customHeight="1" x14ac:dyDescent="0.25">
      <c r="O839" s="144"/>
      <c r="P839" s="144"/>
    </row>
    <row r="840" spans="15:16" ht="15.75" customHeight="1" x14ac:dyDescent="0.25">
      <c r="O840" s="144"/>
      <c r="P840" s="144"/>
    </row>
    <row r="841" spans="15:16" ht="15.75" customHeight="1" x14ac:dyDescent="0.25">
      <c r="O841" s="144"/>
      <c r="P841" s="144"/>
    </row>
    <row r="842" spans="15:16" ht="15.75" customHeight="1" x14ac:dyDescent="0.25">
      <c r="O842" s="144"/>
      <c r="P842" s="144"/>
    </row>
    <row r="843" spans="15:16" ht="15.75" customHeight="1" x14ac:dyDescent="0.25">
      <c r="O843" s="144"/>
      <c r="P843" s="144"/>
    </row>
    <row r="844" spans="15:16" ht="15.75" customHeight="1" x14ac:dyDescent="0.25">
      <c r="O844" s="144"/>
      <c r="P844" s="144"/>
    </row>
    <row r="845" spans="15:16" ht="15.75" customHeight="1" x14ac:dyDescent="0.25">
      <c r="O845" s="144"/>
      <c r="P845" s="144"/>
    </row>
    <row r="846" spans="15:16" ht="15.75" customHeight="1" x14ac:dyDescent="0.25">
      <c r="O846" s="144"/>
      <c r="P846" s="144"/>
    </row>
    <row r="847" spans="15:16" ht="15.75" customHeight="1" x14ac:dyDescent="0.25">
      <c r="O847" s="144"/>
      <c r="P847" s="144"/>
    </row>
    <row r="848" spans="15:16" ht="15.75" customHeight="1" x14ac:dyDescent="0.25">
      <c r="O848" s="144"/>
      <c r="P848" s="144"/>
    </row>
    <row r="849" spans="15:16" ht="15.75" customHeight="1" x14ac:dyDescent="0.25">
      <c r="O849" s="144"/>
      <c r="P849" s="144"/>
    </row>
    <row r="850" spans="15:16" ht="15.75" customHeight="1" x14ac:dyDescent="0.25">
      <c r="O850" s="144"/>
      <c r="P850" s="144"/>
    </row>
    <row r="851" spans="15:16" ht="15.75" customHeight="1" x14ac:dyDescent="0.25">
      <c r="O851" s="144"/>
      <c r="P851" s="144"/>
    </row>
    <row r="852" spans="15:16" ht="15.75" customHeight="1" x14ac:dyDescent="0.25">
      <c r="O852" s="144"/>
      <c r="P852" s="144"/>
    </row>
    <row r="853" spans="15:16" ht="15.75" customHeight="1" x14ac:dyDescent="0.25">
      <c r="O853" s="144"/>
      <c r="P853" s="144"/>
    </row>
    <row r="854" spans="15:16" ht="15.75" customHeight="1" x14ac:dyDescent="0.25">
      <c r="O854" s="144"/>
      <c r="P854" s="144"/>
    </row>
    <row r="855" spans="15:16" ht="15.75" customHeight="1" x14ac:dyDescent="0.25">
      <c r="O855" s="144"/>
      <c r="P855" s="144"/>
    </row>
    <row r="856" spans="15:16" ht="15.75" customHeight="1" x14ac:dyDescent="0.25">
      <c r="O856" s="144"/>
      <c r="P856" s="144"/>
    </row>
    <row r="857" spans="15:16" ht="15.75" customHeight="1" x14ac:dyDescent="0.25">
      <c r="O857" s="144"/>
      <c r="P857" s="144"/>
    </row>
    <row r="858" spans="15:16" ht="15.75" customHeight="1" x14ac:dyDescent="0.25">
      <c r="O858" s="144"/>
      <c r="P858" s="144"/>
    </row>
    <row r="859" spans="15:16" ht="15.75" customHeight="1" x14ac:dyDescent="0.25">
      <c r="O859" s="144"/>
      <c r="P859" s="144"/>
    </row>
    <row r="860" spans="15:16" ht="15.75" customHeight="1" x14ac:dyDescent="0.25">
      <c r="O860" s="144"/>
      <c r="P860" s="144"/>
    </row>
    <row r="861" spans="15:16" ht="15.75" customHeight="1" x14ac:dyDescent="0.25">
      <c r="O861" s="144"/>
      <c r="P861" s="144"/>
    </row>
    <row r="862" spans="15:16" ht="15.75" customHeight="1" x14ac:dyDescent="0.25">
      <c r="O862" s="144"/>
      <c r="P862" s="144"/>
    </row>
    <row r="863" spans="15:16" ht="15.75" customHeight="1" x14ac:dyDescent="0.25">
      <c r="O863" s="144"/>
      <c r="P863" s="144"/>
    </row>
    <row r="864" spans="15:16" ht="15.75" customHeight="1" x14ac:dyDescent="0.25">
      <c r="O864" s="144"/>
      <c r="P864" s="144"/>
    </row>
    <row r="865" spans="15:16" ht="15.75" customHeight="1" x14ac:dyDescent="0.25">
      <c r="O865" s="144"/>
      <c r="P865" s="144"/>
    </row>
    <row r="866" spans="15:16" ht="15.75" customHeight="1" x14ac:dyDescent="0.25">
      <c r="O866" s="144"/>
      <c r="P866" s="144"/>
    </row>
    <row r="867" spans="15:16" ht="15.75" customHeight="1" x14ac:dyDescent="0.25">
      <c r="O867" s="144"/>
      <c r="P867" s="144"/>
    </row>
    <row r="868" spans="15:16" ht="15.75" customHeight="1" x14ac:dyDescent="0.25">
      <c r="O868" s="144"/>
      <c r="P868" s="144"/>
    </row>
    <row r="869" spans="15:16" ht="15.75" customHeight="1" x14ac:dyDescent="0.25">
      <c r="O869" s="144"/>
      <c r="P869" s="144"/>
    </row>
    <row r="870" spans="15:16" ht="15.75" customHeight="1" x14ac:dyDescent="0.25">
      <c r="O870" s="144"/>
      <c r="P870" s="144"/>
    </row>
    <row r="871" spans="15:16" ht="15.75" customHeight="1" x14ac:dyDescent="0.25">
      <c r="O871" s="144"/>
      <c r="P871" s="144"/>
    </row>
    <row r="872" spans="15:16" ht="15.75" customHeight="1" x14ac:dyDescent="0.25">
      <c r="O872" s="144"/>
      <c r="P872" s="144"/>
    </row>
    <row r="873" spans="15:16" ht="15.75" customHeight="1" x14ac:dyDescent="0.25">
      <c r="O873" s="144"/>
      <c r="P873" s="144"/>
    </row>
    <row r="874" spans="15:16" ht="15.75" customHeight="1" x14ac:dyDescent="0.25">
      <c r="O874" s="144"/>
      <c r="P874" s="144"/>
    </row>
    <row r="875" spans="15:16" ht="15.75" customHeight="1" x14ac:dyDescent="0.25">
      <c r="O875" s="144"/>
      <c r="P875" s="144"/>
    </row>
    <row r="876" spans="15:16" ht="15.75" customHeight="1" x14ac:dyDescent="0.25">
      <c r="O876" s="144"/>
      <c r="P876" s="144"/>
    </row>
    <row r="877" spans="15:16" ht="15.75" customHeight="1" x14ac:dyDescent="0.25">
      <c r="O877" s="144"/>
      <c r="P877" s="144"/>
    </row>
    <row r="878" spans="15:16" ht="15.75" customHeight="1" x14ac:dyDescent="0.25">
      <c r="O878" s="144"/>
      <c r="P878" s="144"/>
    </row>
    <row r="879" spans="15:16" ht="15.75" customHeight="1" x14ac:dyDescent="0.25">
      <c r="O879" s="144"/>
      <c r="P879" s="144"/>
    </row>
    <row r="880" spans="15:16" ht="15.75" customHeight="1" x14ac:dyDescent="0.25">
      <c r="O880" s="144"/>
      <c r="P880" s="144"/>
    </row>
    <row r="881" spans="15:16" ht="15.75" customHeight="1" x14ac:dyDescent="0.25">
      <c r="O881" s="144"/>
      <c r="P881" s="144"/>
    </row>
    <row r="882" spans="15:16" ht="15.75" customHeight="1" x14ac:dyDescent="0.25">
      <c r="O882" s="144"/>
      <c r="P882" s="144"/>
    </row>
    <row r="883" spans="15:16" ht="15.75" customHeight="1" x14ac:dyDescent="0.25">
      <c r="O883" s="144"/>
      <c r="P883" s="144"/>
    </row>
    <row r="884" spans="15:16" ht="15.75" customHeight="1" x14ac:dyDescent="0.25">
      <c r="O884" s="144"/>
      <c r="P884" s="144"/>
    </row>
    <row r="885" spans="15:16" ht="15.75" customHeight="1" x14ac:dyDescent="0.25">
      <c r="O885" s="144"/>
      <c r="P885" s="144"/>
    </row>
    <row r="886" spans="15:16" ht="15.75" customHeight="1" x14ac:dyDescent="0.25">
      <c r="O886" s="144"/>
      <c r="P886" s="144"/>
    </row>
    <row r="887" spans="15:16" ht="15.75" customHeight="1" x14ac:dyDescent="0.25">
      <c r="O887" s="144"/>
      <c r="P887" s="144"/>
    </row>
    <row r="888" spans="15:16" ht="15.75" customHeight="1" x14ac:dyDescent="0.25">
      <c r="O888" s="144"/>
      <c r="P888" s="144"/>
    </row>
    <row r="889" spans="15:16" ht="15.75" customHeight="1" x14ac:dyDescent="0.25">
      <c r="O889" s="144"/>
      <c r="P889" s="144"/>
    </row>
    <row r="890" spans="15:16" ht="15.75" customHeight="1" x14ac:dyDescent="0.25">
      <c r="O890" s="144"/>
      <c r="P890" s="144"/>
    </row>
    <row r="891" spans="15:16" ht="15.75" customHeight="1" x14ac:dyDescent="0.25">
      <c r="O891" s="144"/>
      <c r="P891" s="144"/>
    </row>
    <row r="892" spans="15:16" ht="15.75" customHeight="1" x14ac:dyDescent="0.25">
      <c r="O892" s="144"/>
      <c r="P892" s="144"/>
    </row>
    <row r="893" spans="15:16" ht="15.75" customHeight="1" x14ac:dyDescent="0.25">
      <c r="O893" s="144"/>
      <c r="P893" s="144"/>
    </row>
    <row r="894" spans="15:16" ht="15.75" customHeight="1" x14ac:dyDescent="0.25">
      <c r="O894" s="144"/>
      <c r="P894" s="144"/>
    </row>
    <row r="895" spans="15:16" ht="15.75" customHeight="1" x14ac:dyDescent="0.25">
      <c r="O895" s="144"/>
      <c r="P895" s="144"/>
    </row>
    <row r="896" spans="15:16" ht="15.75" customHeight="1" x14ac:dyDescent="0.25">
      <c r="O896" s="144"/>
      <c r="P896" s="144"/>
    </row>
    <row r="897" spans="15:16" ht="15.75" customHeight="1" x14ac:dyDescent="0.25">
      <c r="O897" s="144"/>
      <c r="P897" s="144"/>
    </row>
    <row r="898" spans="15:16" ht="15.75" customHeight="1" x14ac:dyDescent="0.25">
      <c r="O898" s="144"/>
      <c r="P898" s="144"/>
    </row>
    <row r="899" spans="15:16" ht="15.75" customHeight="1" x14ac:dyDescent="0.25">
      <c r="O899" s="144"/>
      <c r="P899" s="144"/>
    </row>
    <row r="900" spans="15:16" ht="15.75" customHeight="1" x14ac:dyDescent="0.25">
      <c r="O900" s="144"/>
      <c r="P900" s="144"/>
    </row>
    <row r="901" spans="15:16" ht="15.75" customHeight="1" x14ac:dyDescent="0.25">
      <c r="O901" s="144"/>
      <c r="P901" s="144"/>
    </row>
    <row r="902" spans="15:16" ht="15.75" customHeight="1" x14ac:dyDescent="0.25">
      <c r="O902" s="144"/>
      <c r="P902" s="144"/>
    </row>
    <row r="903" spans="15:16" ht="15.75" customHeight="1" x14ac:dyDescent="0.25">
      <c r="O903" s="144"/>
      <c r="P903" s="144"/>
    </row>
    <row r="904" spans="15:16" ht="15.75" customHeight="1" x14ac:dyDescent="0.25">
      <c r="O904" s="144"/>
      <c r="P904" s="144"/>
    </row>
    <row r="905" spans="15:16" ht="15.75" customHeight="1" x14ac:dyDescent="0.25">
      <c r="O905" s="144"/>
      <c r="P905" s="144"/>
    </row>
    <row r="906" spans="15:16" ht="15.75" customHeight="1" x14ac:dyDescent="0.25">
      <c r="O906" s="144"/>
      <c r="P906" s="144"/>
    </row>
    <row r="907" spans="15:16" ht="15.75" customHeight="1" x14ac:dyDescent="0.25">
      <c r="O907" s="144"/>
      <c r="P907" s="144"/>
    </row>
    <row r="908" spans="15:16" ht="15.75" customHeight="1" x14ac:dyDescent="0.25">
      <c r="O908" s="144"/>
      <c r="P908" s="144"/>
    </row>
    <row r="909" spans="15:16" ht="15.75" customHeight="1" x14ac:dyDescent="0.25">
      <c r="O909" s="144"/>
      <c r="P909" s="144"/>
    </row>
    <row r="910" spans="15:16" ht="15.75" customHeight="1" x14ac:dyDescent="0.25">
      <c r="O910" s="144"/>
      <c r="P910" s="144"/>
    </row>
    <row r="911" spans="15:16" ht="15.75" customHeight="1" x14ac:dyDescent="0.25">
      <c r="O911" s="144"/>
      <c r="P911" s="144"/>
    </row>
    <row r="912" spans="15:16" ht="15.75" customHeight="1" x14ac:dyDescent="0.25">
      <c r="O912" s="144"/>
      <c r="P912" s="144"/>
    </row>
    <row r="913" spans="15:16" ht="15.75" customHeight="1" x14ac:dyDescent="0.25">
      <c r="O913" s="144"/>
      <c r="P913" s="144"/>
    </row>
    <row r="914" spans="15:16" ht="15.75" customHeight="1" x14ac:dyDescent="0.25">
      <c r="O914" s="144"/>
      <c r="P914" s="144"/>
    </row>
    <row r="915" spans="15:16" ht="15.75" customHeight="1" x14ac:dyDescent="0.25">
      <c r="O915" s="144"/>
      <c r="P915" s="144"/>
    </row>
    <row r="916" spans="15:16" ht="15.75" customHeight="1" x14ac:dyDescent="0.25">
      <c r="O916" s="144"/>
      <c r="P916" s="144"/>
    </row>
    <row r="917" spans="15:16" ht="15.75" customHeight="1" x14ac:dyDescent="0.25">
      <c r="O917" s="144"/>
      <c r="P917" s="144"/>
    </row>
    <row r="918" spans="15:16" ht="15.75" customHeight="1" x14ac:dyDescent="0.25">
      <c r="O918" s="144"/>
      <c r="P918" s="144"/>
    </row>
    <row r="919" spans="15:16" ht="15.75" customHeight="1" x14ac:dyDescent="0.25">
      <c r="O919" s="144"/>
      <c r="P919" s="144"/>
    </row>
    <row r="920" spans="15:16" ht="15.75" customHeight="1" x14ac:dyDescent="0.25">
      <c r="O920" s="144"/>
      <c r="P920" s="144"/>
    </row>
    <row r="921" spans="15:16" ht="15.75" customHeight="1" x14ac:dyDescent="0.25">
      <c r="O921" s="144"/>
      <c r="P921" s="144"/>
    </row>
    <row r="922" spans="15:16" ht="15.75" customHeight="1" x14ac:dyDescent="0.25">
      <c r="O922" s="144"/>
      <c r="P922" s="144"/>
    </row>
    <row r="923" spans="15:16" ht="15.75" customHeight="1" x14ac:dyDescent="0.25">
      <c r="O923" s="144"/>
      <c r="P923" s="144"/>
    </row>
    <row r="924" spans="15:16" ht="15.75" customHeight="1" x14ac:dyDescent="0.25">
      <c r="O924" s="144"/>
      <c r="P924" s="144"/>
    </row>
    <row r="925" spans="15:16" ht="15.75" customHeight="1" x14ac:dyDescent="0.25">
      <c r="O925" s="144"/>
      <c r="P925" s="144"/>
    </row>
    <row r="926" spans="15:16" ht="15.75" customHeight="1" x14ac:dyDescent="0.25">
      <c r="O926" s="144"/>
      <c r="P926" s="144"/>
    </row>
    <row r="927" spans="15:16" ht="15.75" customHeight="1" x14ac:dyDescent="0.25">
      <c r="O927" s="144"/>
      <c r="P927" s="144"/>
    </row>
    <row r="928" spans="15:16" ht="15.75" customHeight="1" x14ac:dyDescent="0.25">
      <c r="O928" s="144"/>
      <c r="P928" s="144"/>
    </row>
    <row r="929" spans="15:16" ht="15.75" customHeight="1" x14ac:dyDescent="0.25">
      <c r="O929" s="144"/>
      <c r="P929" s="144"/>
    </row>
    <row r="930" spans="15:16" ht="15.75" customHeight="1" x14ac:dyDescent="0.25">
      <c r="O930" s="144"/>
      <c r="P930" s="144"/>
    </row>
    <row r="931" spans="15:16" ht="15.75" customHeight="1" x14ac:dyDescent="0.25">
      <c r="O931" s="144"/>
      <c r="P931" s="144"/>
    </row>
    <row r="932" spans="15:16" ht="15.75" customHeight="1" x14ac:dyDescent="0.25">
      <c r="O932" s="144"/>
      <c r="P932" s="144"/>
    </row>
    <row r="933" spans="15:16" ht="15.75" customHeight="1" x14ac:dyDescent="0.25">
      <c r="O933" s="144"/>
      <c r="P933" s="144"/>
    </row>
    <row r="934" spans="15:16" ht="15.75" customHeight="1" x14ac:dyDescent="0.25">
      <c r="O934" s="144"/>
      <c r="P934" s="144"/>
    </row>
    <row r="935" spans="15:16" ht="15.75" customHeight="1" x14ac:dyDescent="0.25">
      <c r="O935" s="144"/>
      <c r="P935" s="144"/>
    </row>
    <row r="936" spans="15:16" ht="15.75" customHeight="1" x14ac:dyDescent="0.25">
      <c r="O936" s="144"/>
      <c r="P936" s="144"/>
    </row>
    <row r="937" spans="15:16" ht="15.75" customHeight="1" x14ac:dyDescent="0.25">
      <c r="O937" s="144"/>
      <c r="P937" s="144"/>
    </row>
    <row r="938" spans="15:16" ht="15.75" customHeight="1" x14ac:dyDescent="0.25">
      <c r="O938" s="144"/>
      <c r="P938" s="144"/>
    </row>
    <row r="939" spans="15:16" ht="15.75" customHeight="1" x14ac:dyDescent="0.25">
      <c r="O939" s="144"/>
      <c r="P939" s="144"/>
    </row>
    <row r="940" spans="15:16" ht="15.75" customHeight="1" x14ac:dyDescent="0.25">
      <c r="O940" s="144"/>
      <c r="P940" s="144"/>
    </row>
    <row r="941" spans="15:16" ht="15.75" customHeight="1" x14ac:dyDescent="0.25">
      <c r="O941" s="144"/>
      <c r="P941" s="144"/>
    </row>
    <row r="942" spans="15:16" ht="15.75" customHeight="1" x14ac:dyDescent="0.25">
      <c r="O942" s="144"/>
      <c r="P942" s="144"/>
    </row>
    <row r="943" spans="15:16" ht="15.75" customHeight="1" x14ac:dyDescent="0.25">
      <c r="O943" s="144"/>
      <c r="P943" s="144"/>
    </row>
    <row r="944" spans="15:16" ht="15.75" customHeight="1" x14ac:dyDescent="0.25">
      <c r="O944" s="144"/>
      <c r="P944" s="144"/>
    </row>
    <row r="945" spans="15:16" ht="15.75" customHeight="1" x14ac:dyDescent="0.25">
      <c r="O945" s="144"/>
      <c r="P945" s="144"/>
    </row>
    <row r="946" spans="15:16" ht="15.75" customHeight="1" x14ac:dyDescent="0.25">
      <c r="O946" s="144"/>
      <c r="P946" s="144"/>
    </row>
    <row r="947" spans="15:16" ht="15.75" customHeight="1" x14ac:dyDescent="0.25">
      <c r="O947" s="144"/>
      <c r="P947" s="144"/>
    </row>
    <row r="948" spans="15:16" ht="15.75" customHeight="1" x14ac:dyDescent="0.25">
      <c r="O948" s="144"/>
      <c r="P948" s="144"/>
    </row>
    <row r="949" spans="15:16" ht="15.75" customHeight="1" x14ac:dyDescent="0.25">
      <c r="O949" s="144"/>
      <c r="P949" s="144"/>
    </row>
    <row r="950" spans="15:16" ht="15.75" customHeight="1" x14ac:dyDescent="0.25">
      <c r="O950" s="144"/>
      <c r="P950" s="144"/>
    </row>
    <row r="951" spans="15:16" ht="15.75" customHeight="1" x14ac:dyDescent="0.25">
      <c r="O951" s="144"/>
      <c r="P951" s="144"/>
    </row>
    <row r="952" spans="15:16" ht="15.75" customHeight="1" x14ac:dyDescent="0.25">
      <c r="O952" s="144"/>
      <c r="P952" s="144"/>
    </row>
    <row r="953" spans="15:16" ht="15.75" customHeight="1" x14ac:dyDescent="0.25">
      <c r="O953" s="144"/>
      <c r="P953" s="144"/>
    </row>
    <row r="954" spans="15:16" ht="15.75" customHeight="1" x14ac:dyDescent="0.25">
      <c r="O954" s="144"/>
      <c r="P954" s="144"/>
    </row>
    <row r="955" spans="15:16" ht="15.75" customHeight="1" x14ac:dyDescent="0.25">
      <c r="O955" s="144"/>
      <c r="P955" s="144"/>
    </row>
    <row r="956" spans="15:16" ht="15.75" customHeight="1" x14ac:dyDescent="0.25">
      <c r="O956" s="144"/>
      <c r="P956" s="144"/>
    </row>
    <row r="957" spans="15:16" ht="15.75" customHeight="1" x14ac:dyDescent="0.25">
      <c r="O957" s="144"/>
      <c r="P957" s="144"/>
    </row>
    <row r="958" spans="15:16" ht="15.75" customHeight="1" x14ac:dyDescent="0.25">
      <c r="O958" s="144"/>
      <c r="P958" s="144"/>
    </row>
    <row r="959" spans="15:16" ht="15.75" customHeight="1" x14ac:dyDescent="0.25">
      <c r="O959" s="144"/>
      <c r="P959" s="144"/>
    </row>
    <row r="960" spans="15:16" ht="15.75" customHeight="1" x14ac:dyDescent="0.25">
      <c r="O960" s="144"/>
      <c r="P960" s="144"/>
    </row>
    <row r="961" spans="15:16" ht="15.75" customHeight="1" x14ac:dyDescent="0.25">
      <c r="O961" s="144"/>
      <c r="P961" s="144"/>
    </row>
    <row r="962" spans="15:16" ht="15.75" customHeight="1" x14ac:dyDescent="0.25">
      <c r="O962" s="144"/>
      <c r="P962" s="144"/>
    </row>
    <row r="963" spans="15:16" ht="15.75" customHeight="1" x14ac:dyDescent="0.25">
      <c r="O963" s="144"/>
      <c r="P963" s="144"/>
    </row>
    <row r="964" spans="15:16" ht="15.75" customHeight="1" x14ac:dyDescent="0.25">
      <c r="O964" s="144"/>
      <c r="P964" s="144"/>
    </row>
    <row r="965" spans="15:16" ht="15.75" customHeight="1" x14ac:dyDescent="0.25">
      <c r="O965" s="144"/>
      <c r="P965" s="144"/>
    </row>
    <row r="966" spans="15:16" ht="15.75" customHeight="1" x14ac:dyDescent="0.25">
      <c r="O966" s="144"/>
      <c r="P966" s="144"/>
    </row>
    <row r="967" spans="15:16" ht="15.75" customHeight="1" x14ac:dyDescent="0.25">
      <c r="O967" s="144"/>
      <c r="P967" s="144"/>
    </row>
    <row r="968" spans="15:16" ht="15.75" customHeight="1" x14ac:dyDescent="0.25">
      <c r="O968" s="144"/>
      <c r="P968" s="144"/>
    </row>
    <row r="969" spans="15:16" ht="15.75" customHeight="1" x14ac:dyDescent="0.25">
      <c r="O969" s="144"/>
      <c r="P969" s="144"/>
    </row>
    <row r="970" spans="15:16" ht="15.75" customHeight="1" x14ac:dyDescent="0.25">
      <c r="O970" s="144"/>
      <c r="P970" s="144"/>
    </row>
    <row r="971" spans="15:16" ht="15.75" customHeight="1" x14ac:dyDescent="0.25">
      <c r="O971" s="144"/>
      <c r="P971" s="144"/>
    </row>
    <row r="972" spans="15:16" ht="15.75" customHeight="1" x14ac:dyDescent="0.25">
      <c r="O972" s="144"/>
      <c r="P972" s="144"/>
    </row>
    <row r="973" spans="15:16" ht="15.75" customHeight="1" x14ac:dyDescent="0.25">
      <c r="O973" s="144"/>
      <c r="P973" s="144"/>
    </row>
    <row r="974" spans="15:16" ht="15.75" customHeight="1" x14ac:dyDescent="0.25">
      <c r="O974" s="144"/>
      <c r="P974" s="144"/>
    </row>
    <row r="975" spans="15:16" ht="15.75" customHeight="1" x14ac:dyDescent="0.25">
      <c r="O975" s="144"/>
      <c r="P975" s="144"/>
    </row>
    <row r="976" spans="15:16" ht="15.75" customHeight="1" x14ac:dyDescent="0.25">
      <c r="O976" s="144"/>
      <c r="P976" s="144"/>
    </row>
    <row r="977" spans="15:16" ht="15.75" customHeight="1" x14ac:dyDescent="0.25">
      <c r="O977" s="144"/>
      <c r="P977" s="144"/>
    </row>
    <row r="978" spans="15:16" ht="15.75" customHeight="1" x14ac:dyDescent="0.25">
      <c r="O978" s="144"/>
      <c r="P978" s="144"/>
    </row>
    <row r="979" spans="15:16" ht="15.75" customHeight="1" x14ac:dyDescent="0.25">
      <c r="O979" s="144"/>
      <c r="P979" s="144"/>
    </row>
    <row r="980" spans="15:16" ht="15.75" customHeight="1" x14ac:dyDescent="0.25">
      <c r="O980" s="144"/>
      <c r="P980" s="144"/>
    </row>
    <row r="981" spans="15:16" ht="15.75" customHeight="1" x14ac:dyDescent="0.25">
      <c r="O981" s="144"/>
      <c r="P981" s="144"/>
    </row>
    <row r="982" spans="15:16" ht="15.75" customHeight="1" x14ac:dyDescent="0.25">
      <c r="O982" s="144"/>
      <c r="P982" s="144"/>
    </row>
    <row r="983" spans="15:16" ht="15.75" customHeight="1" x14ac:dyDescent="0.25">
      <c r="O983" s="144"/>
      <c r="P983" s="144"/>
    </row>
    <row r="984" spans="15:16" ht="15.75" customHeight="1" x14ac:dyDescent="0.25">
      <c r="O984" s="144"/>
      <c r="P984" s="144"/>
    </row>
    <row r="985" spans="15:16" ht="15.75" customHeight="1" x14ac:dyDescent="0.25">
      <c r="O985" s="144"/>
      <c r="P985" s="144"/>
    </row>
    <row r="986" spans="15:16" ht="15.75" customHeight="1" x14ac:dyDescent="0.25">
      <c r="O986" s="144"/>
      <c r="P986" s="144"/>
    </row>
    <row r="987" spans="15:16" ht="15.75" customHeight="1" x14ac:dyDescent="0.25">
      <c r="O987" s="144"/>
      <c r="P987" s="144"/>
    </row>
    <row r="988" spans="15:16" ht="15.75" customHeight="1" x14ac:dyDescent="0.25">
      <c r="O988" s="144"/>
      <c r="P988" s="144"/>
    </row>
    <row r="989" spans="15:16" ht="15.75" customHeight="1" x14ac:dyDescent="0.25">
      <c r="O989" s="144"/>
      <c r="P989" s="144"/>
    </row>
    <row r="990" spans="15:16" ht="15.75" customHeight="1" x14ac:dyDescent="0.25">
      <c r="O990" s="144"/>
      <c r="P990" s="144"/>
    </row>
    <row r="991" spans="15:16" ht="15.75" customHeight="1" x14ac:dyDescent="0.25">
      <c r="O991" s="144"/>
      <c r="P991" s="144"/>
    </row>
    <row r="992" spans="15:16" ht="15.75" customHeight="1" x14ac:dyDescent="0.25">
      <c r="O992" s="144"/>
      <c r="P992" s="144"/>
    </row>
    <row r="993" spans="15:16" ht="15.75" customHeight="1" x14ac:dyDescent="0.25">
      <c r="O993" s="144"/>
      <c r="P993" s="144"/>
    </row>
    <row r="994" spans="15:16" ht="15.75" customHeight="1" x14ac:dyDescent="0.25">
      <c r="O994" s="144"/>
      <c r="P994" s="144"/>
    </row>
    <row r="995" spans="15:16" ht="15.75" customHeight="1" x14ac:dyDescent="0.25">
      <c r="O995" s="144"/>
      <c r="P995" s="144"/>
    </row>
    <row r="996" spans="15:16" ht="15.75" customHeight="1" x14ac:dyDescent="0.25">
      <c r="O996" s="144"/>
      <c r="P996" s="144"/>
    </row>
    <row r="997" spans="15:16" ht="15.75" customHeight="1" x14ac:dyDescent="0.25">
      <c r="O997" s="144"/>
      <c r="P997" s="144"/>
    </row>
    <row r="998" spans="15:16" ht="15.75" customHeight="1" x14ac:dyDescent="0.25">
      <c r="O998" s="144"/>
      <c r="P998" s="144"/>
    </row>
    <row r="999" spans="15:16" ht="15.75" customHeight="1" x14ac:dyDescent="0.25">
      <c r="O999" s="144"/>
      <c r="P999" s="144"/>
    </row>
    <row r="1000" spans="15:16" ht="15.75" customHeight="1" x14ac:dyDescent="0.25">
      <c r="O1000" s="144"/>
      <c r="P1000" s="144"/>
    </row>
  </sheetData>
  <autoFilter ref="A1:Y1000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2" width="11.69921875" customWidth="1"/>
    <col min="3" max="3" width="16.8984375" customWidth="1"/>
    <col min="4" max="4" width="10.19921875" customWidth="1"/>
    <col min="5" max="5" width="45.09765625" customWidth="1"/>
    <col min="6" max="6" width="25.5" customWidth="1"/>
    <col min="7" max="7" width="11.69921875" customWidth="1"/>
    <col min="8" max="8" width="29" customWidth="1"/>
    <col min="9" max="9" width="10.19921875" customWidth="1"/>
    <col min="10" max="10" width="37.19921875" customWidth="1"/>
    <col min="11" max="11" width="12.59765625" customWidth="1"/>
    <col min="12" max="12" width="7.69921875" customWidth="1"/>
    <col min="13" max="13" width="19.3984375" customWidth="1"/>
    <col min="14" max="14" width="18.09765625" customWidth="1"/>
    <col min="15" max="15" width="8.19921875" customWidth="1"/>
    <col min="16" max="16" width="16.09765625" customWidth="1"/>
    <col min="17" max="17" width="32.19921875" customWidth="1"/>
    <col min="18" max="18" width="34.69921875" customWidth="1"/>
    <col min="19" max="19" width="19.09765625" customWidth="1"/>
    <col min="20" max="20" width="17.8984375" customWidth="1"/>
    <col min="21" max="21" width="19.3984375" customWidth="1"/>
    <col min="22" max="22" width="26.19921875" customWidth="1"/>
    <col min="23" max="23" width="22.09765625" customWidth="1"/>
    <col min="24" max="24" width="23.69921875" customWidth="1"/>
    <col min="25" max="25" width="19.69921875" customWidth="1"/>
  </cols>
  <sheetData>
    <row r="1" spans="1:25" ht="14.4" x14ac:dyDescent="0.3">
      <c r="A1" s="136" t="s">
        <v>0</v>
      </c>
      <c r="B1" s="137" t="s">
        <v>1</v>
      </c>
      <c r="C1" s="137" t="s">
        <v>2</v>
      </c>
      <c r="D1" s="137" t="s">
        <v>3</v>
      </c>
      <c r="E1" s="137" t="s">
        <v>4</v>
      </c>
      <c r="F1" s="137" t="s">
        <v>5</v>
      </c>
      <c r="G1" s="137" t="s">
        <v>6</v>
      </c>
      <c r="H1" s="137" t="s">
        <v>7</v>
      </c>
      <c r="I1" s="137" t="s">
        <v>8</v>
      </c>
      <c r="J1" s="137" t="s">
        <v>9</v>
      </c>
      <c r="K1" s="137" t="s">
        <v>10</v>
      </c>
      <c r="L1" s="137" t="s">
        <v>11</v>
      </c>
      <c r="M1" s="137" t="s">
        <v>12</v>
      </c>
      <c r="N1" s="137" t="s">
        <v>13</v>
      </c>
      <c r="O1" s="138" t="s">
        <v>14</v>
      </c>
      <c r="P1" s="138" t="s">
        <v>15</v>
      </c>
      <c r="Q1" s="138" t="s">
        <v>16</v>
      </c>
      <c r="R1" s="137" t="s">
        <v>17</v>
      </c>
      <c r="S1" s="137" t="s">
        <v>18</v>
      </c>
      <c r="T1" s="137" t="s">
        <v>19</v>
      </c>
      <c r="U1" s="137" t="s">
        <v>20</v>
      </c>
      <c r="V1" s="137" t="s">
        <v>21</v>
      </c>
      <c r="W1" s="137" t="s">
        <v>22</v>
      </c>
      <c r="X1" s="137" t="s">
        <v>23</v>
      </c>
      <c r="Y1" s="139" t="s">
        <v>24</v>
      </c>
    </row>
    <row r="2" spans="1:25" ht="14.4" x14ac:dyDescent="0.3">
      <c r="A2" s="4">
        <v>45962</v>
      </c>
      <c r="B2" s="4">
        <v>45962</v>
      </c>
      <c r="C2" s="17" t="s">
        <v>27</v>
      </c>
      <c r="D2" s="17" t="s">
        <v>28</v>
      </c>
      <c r="E2" s="17" t="s">
        <v>71</v>
      </c>
      <c r="F2" s="17" t="s">
        <v>72</v>
      </c>
      <c r="G2" s="17" t="s">
        <v>31</v>
      </c>
      <c r="H2" s="17" t="s">
        <v>73</v>
      </c>
      <c r="I2" s="17" t="s">
        <v>52</v>
      </c>
      <c r="J2" s="17" t="s">
        <v>189</v>
      </c>
      <c r="K2" s="7">
        <v>4</v>
      </c>
      <c r="L2" s="7">
        <v>1</v>
      </c>
      <c r="M2" s="16">
        <v>0.25</v>
      </c>
      <c r="N2" s="10" t="s">
        <v>190</v>
      </c>
      <c r="O2" s="9">
        <v>4.7</v>
      </c>
      <c r="P2" s="9">
        <v>24.94</v>
      </c>
      <c r="Q2" s="6">
        <v>18.850000000000001</v>
      </c>
      <c r="R2" s="9">
        <v>5.31</v>
      </c>
      <c r="S2" s="7">
        <v>1</v>
      </c>
      <c r="T2" s="7">
        <v>1</v>
      </c>
      <c r="U2" s="16">
        <v>1</v>
      </c>
      <c r="V2" s="7">
        <v>1</v>
      </c>
      <c r="W2" s="7">
        <v>0</v>
      </c>
      <c r="X2" s="10" t="s">
        <v>35</v>
      </c>
      <c r="Y2" s="10" t="s">
        <v>36</v>
      </c>
    </row>
    <row r="3" spans="1:25" ht="14.4" x14ac:dyDescent="0.3">
      <c r="A3" s="4">
        <v>45961</v>
      </c>
      <c r="B3" s="4">
        <v>45961</v>
      </c>
      <c r="C3" s="17" t="s">
        <v>27</v>
      </c>
      <c r="D3" s="17" t="s">
        <v>28</v>
      </c>
      <c r="E3" s="17" t="s">
        <v>56</v>
      </c>
      <c r="F3" s="17" t="s">
        <v>57</v>
      </c>
      <c r="G3" s="17" t="s">
        <v>31</v>
      </c>
      <c r="H3" s="18" t="e">
        <f>+maca +root</f>
        <v>#NAME?</v>
      </c>
      <c r="I3" s="17" t="s">
        <v>32</v>
      </c>
      <c r="J3" s="17" t="s">
        <v>191</v>
      </c>
      <c r="K3" s="7">
        <v>2</v>
      </c>
      <c r="L3" s="7">
        <v>1</v>
      </c>
      <c r="M3" s="16">
        <v>0.5</v>
      </c>
      <c r="N3" s="10" t="s">
        <v>192</v>
      </c>
      <c r="O3" s="9">
        <v>3.29</v>
      </c>
      <c r="P3" s="9">
        <v>24.94</v>
      </c>
      <c r="Q3" s="6">
        <v>13.19</v>
      </c>
      <c r="R3" s="9">
        <v>7.58</v>
      </c>
      <c r="S3" s="7">
        <v>1</v>
      </c>
      <c r="T3" s="7">
        <v>1</v>
      </c>
      <c r="U3" s="16">
        <v>1</v>
      </c>
      <c r="V3" s="7">
        <v>1</v>
      </c>
      <c r="W3" s="7">
        <v>0</v>
      </c>
      <c r="X3" s="10" t="s">
        <v>35</v>
      </c>
      <c r="Y3" s="10" t="s">
        <v>36</v>
      </c>
    </row>
    <row r="4" spans="1:25" ht="14.4" x14ac:dyDescent="0.3">
      <c r="A4" s="4">
        <v>45961</v>
      </c>
      <c r="B4" s="4">
        <v>45961</v>
      </c>
      <c r="C4" s="17" t="s">
        <v>27</v>
      </c>
      <c r="D4" s="17" t="s">
        <v>28</v>
      </c>
      <c r="E4" s="17" t="s">
        <v>71</v>
      </c>
      <c r="F4" s="17" t="s">
        <v>72</v>
      </c>
      <c r="G4" s="17" t="s">
        <v>31</v>
      </c>
      <c r="H4" s="17" t="s">
        <v>73</v>
      </c>
      <c r="I4" s="17" t="s">
        <v>52</v>
      </c>
      <c r="J4" s="17" t="s">
        <v>193</v>
      </c>
      <c r="K4" s="7">
        <v>1</v>
      </c>
      <c r="L4" s="7">
        <v>1</v>
      </c>
      <c r="M4" s="16">
        <v>1</v>
      </c>
      <c r="N4" s="10" t="s">
        <v>194</v>
      </c>
      <c r="O4" s="9">
        <v>2.74</v>
      </c>
      <c r="P4" s="9">
        <v>24.94</v>
      </c>
      <c r="Q4" s="6">
        <v>10.99</v>
      </c>
      <c r="R4" s="9">
        <v>9.1</v>
      </c>
      <c r="S4" s="7">
        <v>1</v>
      </c>
      <c r="T4" s="7">
        <v>1</v>
      </c>
      <c r="U4" s="16">
        <v>1</v>
      </c>
      <c r="V4" s="7">
        <v>1</v>
      </c>
      <c r="W4" s="7">
        <v>0</v>
      </c>
      <c r="X4" s="10" t="s">
        <v>35</v>
      </c>
      <c r="Y4" s="10" t="s">
        <v>36</v>
      </c>
    </row>
    <row r="5" spans="1:25" ht="14.4" x14ac:dyDescent="0.3">
      <c r="A5" s="4">
        <v>45961</v>
      </c>
      <c r="B5" s="4">
        <v>45961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  <c r="H5" s="17" t="s">
        <v>30</v>
      </c>
      <c r="I5" s="17" t="s">
        <v>32</v>
      </c>
      <c r="J5" s="17" t="s">
        <v>195</v>
      </c>
      <c r="K5" s="7">
        <v>2</v>
      </c>
      <c r="L5" s="7">
        <v>1</v>
      </c>
      <c r="M5" s="16">
        <v>0.5</v>
      </c>
      <c r="N5" s="10" t="s">
        <v>34</v>
      </c>
      <c r="O5" s="9">
        <v>2.83</v>
      </c>
      <c r="P5" s="9">
        <v>24.94</v>
      </c>
      <c r="Q5" s="6">
        <v>11.35</v>
      </c>
      <c r="R5" s="9">
        <v>8.81</v>
      </c>
      <c r="S5" s="7">
        <v>1</v>
      </c>
      <c r="T5" s="7">
        <v>1</v>
      </c>
      <c r="U5" s="16">
        <v>1</v>
      </c>
      <c r="V5" s="7">
        <v>1</v>
      </c>
      <c r="W5" s="7">
        <v>0</v>
      </c>
      <c r="X5" s="10" t="s">
        <v>35</v>
      </c>
      <c r="Y5" s="10" t="s">
        <v>36</v>
      </c>
    </row>
    <row r="6" spans="1:25" ht="14.4" x14ac:dyDescent="0.3">
      <c r="A6" s="4">
        <v>45960</v>
      </c>
      <c r="B6" s="4">
        <v>45960</v>
      </c>
      <c r="C6" s="17" t="s">
        <v>143</v>
      </c>
      <c r="D6" s="17" t="s">
        <v>28</v>
      </c>
      <c r="E6" s="17" t="s">
        <v>144</v>
      </c>
      <c r="F6" s="17" t="s">
        <v>32</v>
      </c>
      <c r="G6" s="17" t="s">
        <v>31</v>
      </c>
      <c r="H6" s="17" t="s">
        <v>30</v>
      </c>
      <c r="I6" s="17" t="s">
        <v>44</v>
      </c>
      <c r="J6" s="17" t="s">
        <v>161</v>
      </c>
      <c r="K6" s="7">
        <v>1</v>
      </c>
      <c r="L6" s="7">
        <v>1</v>
      </c>
      <c r="M6" s="16">
        <v>1</v>
      </c>
      <c r="N6" s="10" t="s">
        <v>196</v>
      </c>
      <c r="O6" s="9">
        <v>1.36</v>
      </c>
      <c r="P6" s="9">
        <v>24.94</v>
      </c>
      <c r="Q6" s="6">
        <v>5.45</v>
      </c>
      <c r="R6" s="9">
        <v>18.34</v>
      </c>
      <c r="S6" s="7">
        <v>1</v>
      </c>
      <c r="T6" s="7">
        <v>1</v>
      </c>
      <c r="U6" s="16">
        <v>1</v>
      </c>
      <c r="V6" s="7">
        <v>1</v>
      </c>
      <c r="W6" s="7">
        <v>0</v>
      </c>
      <c r="X6" s="10" t="s">
        <v>35</v>
      </c>
      <c r="Y6" s="10" t="s">
        <v>36</v>
      </c>
    </row>
    <row r="7" spans="1:25" ht="14.4" x14ac:dyDescent="0.3">
      <c r="A7" s="4">
        <v>45960</v>
      </c>
      <c r="B7" s="4">
        <v>45960</v>
      </c>
      <c r="C7" s="17" t="s">
        <v>27</v>
      </c>
      <c r="D7" s="17" t="s">
        <v>28</v>
      </c>
      <c r="E7" s="17" t="s">
        <v>56</v>
      </c>
      <c r="F7" s="17" t="s">
        <v>57</v>
      </c>
      <c r="G7" s="17" t="s">
        <v>31</v>
      </c>
      <c r="H7" s="18" t="e">
        <f>+maca +root</f>
        <v>#NAME?</v>
      </c>
      <c r="I7" s="17" t="s">
        <v>32</v>
      </c>
      <c r="J7" s="17" t="s">
        <v>197</v>
      </c>
      <c r="K7" s="7">
        <v>4</v>
      </c>
      <c r="L7" s="7">
        <v>2</v>
      </c>
      <c r="M7" s="16">
        <v>0.5</v>
      </c>
      <c r="N7" s="10" t="s">
        <v>75</v>
      </c>
      <c r="O7" s="9">
        <v>7.2</v>
      </c>
      <c r="P7" s="9">
        <v>24.94</v>
      </c>
      <c r="Q7" s="6">
        <v>28.87</v>
      </c>
      <c r="R7" s="9">
        <v>3.46</v>
      </c>
      <c r="S7" s="7">
        <v>1</v>
      </c>
      <c r="T7" s="7">
        <v>1</v>
      </c>
      <c r="U7" s="16">
        <v>0.5</v>
      </c>
      <c r="V7" s="7">
        <v>1</v>
      </c>
      <c r="W7" s="7">
        <v>0</v>
      </c>
      <c r="X7" s="10" t="s">
        <v>35</v>
      </c>
      <c r="Y7" s="10" t="s">
        <v>36</v>
      </c>
    </row>
    <row r="8" spans="1:25" ht="14.4" x14ac:dyDescent="0.3">
      <c r="A8" s="4">
        <v>45959</v>
      </c>
      <c r="B8" s="4">
        <v>45961</v>
      </c>
      <c r="C8" s="17" t="s">
        <v>27</v>
      </c>
      <c r="D8" s="17" t="s">
        <v>28</v>
      </c>
      <c r="E8" s="17" t="s">
        <v>71</v>
      </c>
      <c r="F8" s="17" t="s">
        <v>72</v>
      </c>
      <c r="G8" s="17" t="s">
        <v>31</v>
      </c>
      <c r="H8" s="17" t="s">
        <v>73</v>
      </c>
      <c r="I8" s="17" t="s">
        <v>52</v>
      </c>
      <c r="J8" s="17" t="s">
        <v>74</v>
      </c>
      <c r="K8" s="7">
        <v>10</v>
      </c>
      <c r="L8" s="7">
        <v>2</v>
      </c>
      <c r="M8" s="16">
        <v>0.2</v>
      </c>
      <c r="N8" s="10" t="s">
        <v>198</v>
      </c>
      <c r="O8" s="9">
        <v>7.31</v>
      </c>
      <c r="P8" s="9">
        <v>24.94</v>
      </c>
      <c r="Q8" s="6">
        <v>29.31</v>
      </c>
      <c r="R8" s="9">
        <v>3.41</v>
      </c>
      <c r="S8" s="7">
        <v>1</v>
      </c>
      <c r="T8" s="7">
        <v>1</v>
      </c>
      <c r="U8" s="16">
        <v>0.5</v>
      </c>
      <c r="V8" s="7">
        <v>1</v>
      </c>
      <c r="W8" s="7">
        <v>0</v>
      </c>
      <c r="X8" s="10" t="s">
        <v>35</v>
      </c>
      <c r="Y8" s="10" t="s">
        <v>36</v>
      </c>
    </row>
    <row r="9" spans="1:25" ht="14.4" x14ac:dyDescent="0.3">
      <c r="A9" s="4">
        <v>45959</v>
      </c>
      <c r="B9" s="4">
        <v>45959</v>
      </c>
      <c r="C9" s="17" t="s">
        <v>27</v>
      </c>
      <c r="D9" s="17" t="s">
        <v>28</v>
      </c>
      <c r="E9" s="17" t="s">
        <v>29</v>
      </c>
      <c r="F9" s="17" t="s">
        <v>30</v>
      </c>
      <c r="G9" s="17" t="s">
        <v>31</v>
      </c>
      <c r="H9" s="17" t="s">
        <v>30</v>
      </c>
      <c r="I9" s="17" t="s">
        <v>32</v>
      </c>
      <c r="J9" s="17" t="s">
        <v>199</v>
      </c>
      <c r="K9" s="7">
        <v>5</v>
      </c>
      <c r="L9" s="7">
        <v>1</v>
      </c>
      <c r="M9" s="16">
        <v>0.2</v>
      </c>
      <c r="N9" s="10" t="s">
        <v>179</v>
      </c>
      <c r="O9" s="9">
        <v>4.34</v>
      </c>
      <c r="P9" s="9">
        <v>24.94</v>
      </c>
      <c r="Q9" s="6">
        <v>17.399999999999999</v>
      </c>
      <c r="R9" s="9">
        <v>5.75</v>
      </c>
      <c r="S9" s="7">
        <v>1</v>
      </c>
      <c r="T9" s="7">
        <v>1</v>
      </c>
      <c r="U9" s="16">
        <v>1</v>
      </c>
      <c r="V9" s="7">
        <v>1</v>
      </c>
      <c r="W9" s="7">
        <v>0</v>
      </c>
      <c r="X9" s="10" t="s">
        <v>35</v>
      </c>
      <c r="Y9" s="10" t="s">
        <v>36</v>
      </c>
    </row>
    <row r="10" spans="1:25" ht="14.4" x14ac:dyDescent="0.3">
      <c r="A10" s="4">
        <v>45959</v>
      </c>
      <c r="B10" s="4">
        <v>45959</v>
      </c>
      <c r="C10" s="17" t="s">
        <v>27</v>
      </c>
      <c r="D10" s="17" t="s">
        <v>28</v>
      </c>
      <c r="E10" s="17" t="s">
        <v>71</v>
      </c>
      <c r="F10" s="17" t="s">
        <v>72</v>
      </c>
      <c r="G10" s="17" t="s">
        <v>31</v>
      </c>
      <c r="H10" s="17" t="s">
        <v>51</v>
      </c>
      <c r="I10" s="17" t="s">
        <v>52</v>
      </c>
      <c r="J10" s="17" t="s">
        <v>200</v>
      </c>
      <c r="K10" s="7">
        <v>1</v>
      </c>
      <c r="L10" s="7">
        <v>1</v>
      </c>
      <c r="M10" s="16">
        <v>1</v>
      </c>
      <c r="N10" s="10" t="s">
        <v>201</v>
      </c>
      <c r="O10" s="9">
        <v>3.67</v>
      </c>
      <c r="P10" s="9">
        <v>24.94</v>
      </c>
      <c r="Q10" s="6">
        <v>14.72</v>
      </c>
      <c r="R10" s="9">
        <v>6.8</v>
      </c>
      <c r="S10" s="7">
        <v>1</v>
      </c>
      <c r="T10" s="7">
        <v>1</v>
      </c>
      <c r="U10" s="16">
        <v>1</v>
      </c>
      <c r="V10" s="7">
        <v>1</v>
      </c>
      <c r="W10" s="7">
        <v>0</v>
      </c>
      <c r="X10" s="10" t="s">
        <v>35</v>
      </c>
      <c r="Y10" s="10" t="s">
        <v>36</v>
      </c>
    </row>
    <row r="11" spans="1:25" ht="14.4" x14ac:dyDescent="0.3">
      <c r="A11" s="4">
        <v>45959</v>
      </c>
      <c r="B11" s="4">
        <v>45959</v>
      </c>
      <c r="C11" s="17" t="s">
        <v>27</v>
      </c>
      <c r="D11" s="17" t="s">
        <v>28</v>
      </c>
      <c r="E11" s="17" t="s">
        <v>71</v>
      </c>
      <c r="F11" s="17" t="s">
        <v>72</v>
      </c>
      <c r="G11" s="17" t="s">
        <v>31</v>
      </c>
      <c r="H11" s="17" t="s">
        <v>51</v>
      </c>
      <c r="I11" s="17" t="s">
        <v>52</v>
      </c>
      <c r="J11" s="17" t="s">
        <v>202</v>
      </c>
      <c r="K11" s="7">
        <v>1</v>
      </c>
      <c r="L11" s="7">
        <v>1</v>
      </c>
      <c r="M11" s="16">
        <v>1</v>
      </c>
      <c r="N11" s="10" t="s">
        <v>201</v>
      </c>
      <c r="O11" s="9">
        <v>3.67</v>
      </c>
      <c r="P11" s="9">
        <v>24.94</v>
      </c>
      <c r="Q11" s="6">
        <v>14.72</v>
      </c>
      <c r="R11" s="9">
        <v>6.8</v>
      </c>
      <c r="S11" s="7">
        <v>1</v>
      </c>
      <c r="T11" s="7">
        <v>1</v>
      </c>
      <c r="U11" s="16">
        <v>1</v>
      </c>
      <c r="V11" s="7">
        <v>1</v>
      </c>
      <c r="W11" s="7">
        <v>0</v>
      </c>
      <c r="X11" s="10" t="s">
        <v>35</v>
      </c>
      <c r="Y11" s="10" t="s">
        <v>36</v>
      </c>
    </row>
    <row r="12" spans="1:25" ht="14.4" x14ac:dyDescent="0.3">
      <c r="A12" s="4">
        <v>45959</v>
      </c>
      <c r="B12" s="4">
        <v>45959</v>
      </c>
      <c r="C12" s="17" t="s">
        <v>27</v>
      </c>
      <c r="D12" s="17" t="s">
        <v>28</v>
      </c>
      <c r="E12" s="17" t="s">
        <v>71</v>
      </c>
      <c r="F12" s="17" t="s">
        <v>72</v>
      </c>
      <c r="G12" s="17" t="s">
        <v>31</v>
      </c>
      <c r="H12" s="17" t="s">
        <v>51</v>
      </c>
      <c r="I12" s="17" t="s">
        <v>52</v>
      </c>
      <c r="J12" s="17" t="s">
        <v>203</v>
      </c>
      <c r="K12" s="7">
        <v>25</v>
      </c>
      <c r="L12" s="7">
        <v>2</v>
      </c>
      <c r="M12" s="16">
        <v>0.08</v>
      </c>
      <c r="N12" s="10" t="s">
        <v>204</v>
      </c>
      <c r="O12" s="9">
        <v>6.28</v>
      </c>
      <c r="P12" s="9">
        <v>24.94</v>
      </c>
      <c r="Q12" s="6">
        <v>25.18</v>
      </c>
      <c r="R12" s="9">
        <v>3.97</v>
      </c>
      <c r="S12" s="7">
        <v>1</v>
      </c>
      <c r="T12" s="7">
        <v>1</v>
      </c>
      <c r="U12" s="16">
        <v>0.5</v>
      </c>
      <c r="V12" s="7">
        <v>1</v>
      </c>
      <c r="W12" s="7">
        <v>0</v>
      </c>
      <c r="X12" s="10" t="s">
        <v>35</v>
      </c>
      <c r="Y12" s="10" t="s">
        <v>36</v>
      </c>
    </row>
    <row r="13" spans="1:25" ht="14.4" x14ac:dyDescent="0.3">
      <c r="A13" s="4">
        <v>45959</v>
      </c>
      <c r="B13" s="4">
        <v>45959</v>
      </c>
      <c r="C13" s="17" t="s">
        <v>27</v>
      </c>
      <c r="D13" s="17" t="s">
        <v>28</v>
      </c>
      <c r="E13" s="17" t="s">
        <v>71</v>
      </c>
      <c r="F13" s="17" t="s">
        <v>72</v>
      </c>
      <c r="G13" s="17" t="s">
        <v>31</v>
      </c>
      <c r="H13" s="17" t="s">
        <v>51</v>
      </c>
      <c r="I13" s="17" t="s">
        <v>52</v>
      </c>
      <c r="J13" s="17" t="s">
        <v>205</v>
      </c>
      <c r="K13" s="7">
        <v>1</v>
      </c>
      <c r="L13" s="7">
        <v>1</v>
      </c>
      <c r="M13" s="16">
        <v>1</v>
      </c>
      <c r="N13" s="10" t="s">
        <v>206</v>
      </c>
      <c r="O13" s="9">
        <v>2.72</v>
      </c>
      <c r="P13" s="9">
        <v>24.94</v>
      </c>
      <c r="Q13" s="6">
        <v>10.91</v>
      </c>
      <c r="R13" s="9">
        <v>9.17</v>
      </c>
      <c r="S13" s="7">
        <v>1</v>
      </c>
      <c r="T13" s="7">
        <v>1</v>
      </c>
      <c r="U13" s="16">
        <v>1</v>
      </c>
      <c r="V13" s="7">
        <v>1</v>
      </c>
      <c r="W13" s="7">
        <v>0</v>
      </c>
      <c r="X13" s="10" t="s">
        <v>35</v>
      </c>
      <c r="Y13" s="10" t="s">
        <v>36</v>
      </c>
    </row>
    <row r="14" spans="1:25" ht="14.4" x14ac:dyDescent="0.3">
      <c r="A14" s="4">
        <v>45959</v>
      </c>
      <c r="B14" s="4">
        <v>45962</v>
      </c>
      <c r="C14" s="17" t="s">
        <v>27</v>
      </c>
      <c r="D14" s="17" t="s">
        <v>28</v>
      </c>
      <c r="E14" s="17" t="s">
        <v>71</v>
      </c>
      <c r="F14" s="17" t="s">
        <v>72</v>
      </c>
      <c r="G14" s="17" t="s">
        <v>31</v>
      </c>
      <c r="H14" s="17" t="s">
        <v>73</v>
      </c>
      <c r="I14" s="17" t="s">
        <v>52</v>
      </c>
      <c r="J14" s="17" t="s">
        <v>43</v>
      </c>
      <c r="K14" s="7">
        <v>86</v>
      </c>
      <c r="L14" s="7">
        <v>6</v>
      </c>
      <c r="M14" s="16">
        <v>6.9766999999999996E-2</v>
      </c>
      <c r="N14" s="10" t="s">
        <v>198</v>
      </c>
      <c r="O14" s="9">
        <v>21.94</v>
      </c>
      <c r="P14" s="9">
        <v>74.819999999999993</v>
      </c>
      <c r="Q14" s="6">
        <v>29.32</v>
      </c>
      <c r="R14" s="9">
        <v>3.41</v>
      </c>
      <c r="S14" s="7">
        <v>3</v>
      </c>
      <c r="T14" s="7">
        <v>3</v>
      </c>
      <c r="U14" s="16">
        <v>0.5</v>
      </c>
      <c r="V14" s="7">
        <v>3</v>
      </c>
      <c r="W14" s="7">
        <v>0</v>
      </c>
      <c r="X14" s="10" t="s">
        <v>93</v>
      </c>
      <c r="Y14" s="10" t="s">
        <v>36</v>
      </c>
    </row>
    <row r="15" spans="1:25" ht="14.4" x14ac:dyDescent="0.3">
      <c r="A15" s="4">
        <v>45959</v>
      </c>
      <c r="B15" s="4">
        <v>45960</v>
      </c>
      <c r="C15" s="17" t="s">
        <v>85</v>
      </c>
      <c r="D15" s="17" t="s">
        <v>28</v>
      </c>
      <c r="E15" s="17" t="s">
        <v>86</v>
      </c>
      <c r="F15" s="17" t="s">
        <v>87</v>
      </c>
      <c r="G15" s="17" t="s">
        <v>31</v>
      </c>
      <c r="H15" s="17" t="s">
        <v>88</v>
      </c>
      <c r="I15" s="17" t="s">
        <v>44</v>
      </c>
      <c r="J15" s="17" t="s">
        <v>89</v>
      </c>
      <c r="K15" s="7">
        <v>14</v>
      </c>
      <c r="L15" s="7">
        <v>2</v>
      </c>
      <c r="M15" s="16">
        <v>0.14285700000000001</v>
      </c>
      <c r="N15" s="10" t="s">
        <v>59</v>
      </c>
      <c r="O15" s="9">
        <v>8.69</v>
      </c>
      <c r="P15" s="9">
        <v>43.8</v>
      </c>
      <c r="Q15" s="6">
        <v>19.84</v>
      </c>
      <c r="R15" s="9">
        <v>5.04</v>
      </c>
      <c r="S15" s="7">
        <v>2</v>
      </c>
      <c r="T15" s="7">
        <v>2</v>
      </c>
      <c r="U15" s="16">
        <v>1</v>
      </c>
      <c r="V15" s="7">
        <v>2</v>
      </c>
      <c r="W15" s="7">
        <v>0</v>
      </c>
      <c r="X15" s="10" t="s">
        <v>67</v>
      </c>
      <c r="Y15" s="10" t="s">
        <v>36</v>
      </c>
    </row>
    <row r="16" spans="1:25" ht="14.4" x14ac:dyDescent="0.3">
      <c r="A16" s="4">
        <v>45959</v>
      </c>
      <c r="B16" s="4">
        <v>45959</v>
      </c>
      <c r="C16" s="17" t="s">
        <v>85</v>
      </c>
      <c r="D16" s="17" t="s">
        <v>28</v>
      </c>
      <c r="E16" s="17" t="s">
        <v>86</v>
      </c>
      <c r="F16" s="17" t="s">
        <v>87</v>
      </c>
      <c r="G16" s="17" t="s">
        <v>31</v>
      </c>
      <c r="H16" s="17" t="s">
        <v>87</v>
      </c>
      <c r="I16" s="17" t="s">
        <v>44</v>
      </c>
      <c r="J16" s="17" t="s">
        <v>207</v>
      </c>
      <c r="K16" s="7">
        <v>1</v>
      </c>
      <c r="L16" s="7">
        <v>1</v>
      </c>
      <c r="M16" s="16">
        <v>1</v>
      </c>
      <c r="N16" s="10" t="s">
        <v>208</v>
      </c>
      <c r="O16" s="9">
        <v>4.53</v>
      </c>
      <c r="P16" s="9">
        <v>21.9</v>
      </c>
      <c r="Q16" s="6">
        <v>20.68</v>
      </c>
      <c r="R16" s="9">
        <v>4.83</v>
      </c>
      <c r="S16" s="7">
        <v>1</v>
      </c>
      <c r="T16" s="7">
        <v>1</v>
      </c>
      <c r="U16" s="16">
        <v>1</v>
      </c>
      <c r="V16" s="7">
        <v>1</v>
      </c>
      <c r="W16" s="7">
        <v>0</v>
      </c>
      <c r="X16" s="10" t="s">
        <v>55</v>
      </c>
      <c r="Y16" s="10" t="s">
        <v>36</v>
      </c>
    </row>
    <row r="17" spans="1:25" ht="14.4" x14ac:dyDescent="0.3">
      <c r="A17" s="4">
        <v>45959</v>
      </c>
      <c r="B17" s="4">
        <v>45959</v>
      </c>
      <c r="C17" s="17" t="s">
        <v>27</v>
      </c>
      <c r="D17" s="17" t="s">
        <v>28</v>
      </c>
      <c r="E17" s="17" t="s">
        <v>71</v>
      </c>
      <c r="F17" s="17" t="s">
        <v>72</v>
      </c>
      <c r="G17" s="17" t="s">
        <v>31</v>
      </c>
      <c r="H17" s="17" t="s">
        <v>51</v>
      </c>
      <c r="I17" s="17" t="s">
        <v>52</v>
      </c>
      <c r="J17" s="17" t="s">
        <v>209</v>
      </c>
      <c r="K17" s="7">
        <v>2</v>
      </c>
      <c r="L17" s="7">
        <v>2</v>
      </c>
      <c r="M17" s="16">
        <v>1</v>
      </c>
      <c r="N17" s="10" t="s">
        <v>210</v>
      </c>
      <c r="O17" s="9">
        <v>6.3</v>
      </c>
      <c r="P17" s="9">
        <v>49.88</v>
      </c>
      <c r="Q17" s="6">
        <v>12.63</v>
      </c>
      <c r="R17" s="9">
        <v>7.92</v>
      </c>
      <c r="S17" s="7">
        <v>2</v>
      </c>
      <c r="T17" s="7">
        <v>2</v>
      </c>
      <c r="U17" s="16">
        <v>1</v>
      </c>
      <c r="V17" s="7">
        <v>2</v>
      </c>
      <c r="W17" s="7">
        <v>0</v>
      </c>
      <c r="X17" s="10" t="s">
        <v>78</v>
      </c>
      <c r="Y17" s="10" t="s">
        <v>36</v>
      </c>
    </row>
    <row r="18" spans="1:25" ht="14.4" x14ac:dyDescent="0.3">
      <c r="A18" s="4">
        <v>45958</v>
      </c>
      <c r="B18" s="4">
        <v>45958</v>
      </c>
      <c r="C18" s="17" t="s">
        <v>27</v>
      </c>
      <c r="D18" s="17" t="s">
        <v>28</v>
      </c>
      <c r="E18" s="17" t="s">
        <v>29</v>
      </c>
      <c r="F18" s="17" t="s">
        <v>30</v>
      </c>
      <c r="G18" s="17" t="s">
        <v>31</v>
      </c>
      <c r="H18" s="17" t="s">
        <v>30</v>
      </c>
      <c r="I18" s="17" t="s">
        <v>32</v>
      </c>
      <c r="J18" s="17" t="s">
        <v>211</v>
      </c>
      <c r="K18" s="7">
        <v>1</v>
      </c>
      <c r="L18" s="7">
        <v>1</v>
      </c>
      <c r="M18" s="16">
        <v>1</v>
      </c>
      <c r="N18" s="10" t="s">
        <v>212</v>
      </c>
      <c r="O18" s="9">
        <v>2.0299999999999998</v>
      </c>
      <c r="P18" s="9">
        <v>49.88</v>
      </c>
      <c r="Q18" s="6">
        <v>4.07</v>
      </c>
      <c r="R18" s="9">
        <v>24.57</v>
      </c>
      <c r="S18" s="7">
        <v>2</v>
      </c>
      <c r="T18" s="7">
        <v>2</v>
      </c>
      <c r="U18" s="16">
        <v>2</v>
      </c>
      <c r="V18" s="7">
        <v>2</v>
      </c>
      <c r="W18" s="7">
        <v>0</v>
      </c>
      <c r="X18" s="10" t="s">
        <v>78</v>
      </c>
      <c r="Y18" s="10" t="s">
        <v>36</v>
      </c>
    </row>
    <row r="19" spans="1:25" ht="14.4" x14ac:dyDescent="0.3">
      <c r="A19" s="4">
        <v>45958</v>
      </c>
      <c r="B19" s="4">
        <v>45958</v>
      </c>
      <c r="C19" s="17" t="s">
        <v>27</v>
      </c>
      <c r="D19" s="17" t="s">
        <v>28</v>
      </c>
      <c r="E19" s="17" t="s">
        <v>29</v>
      </c>
      <c r="F19" s="17" t="s">
        <v>30</v>
      </c>
      <c r="G19" s="17" t="s">
        <v>31</v>
      </c>
      <c r="H19" s="17" t="s">
        <v>30</v>
      </c>
      <c r="I19" s="17" t="s">
        <v>32</v>
      </c>
      <c r="J19" s="17" t="s">
        <v>213</v>
      </c>
      <c r="K19" s="7">
        <v>1</v>
      </c>
      <c r="L19" s="7">
        <v>1</v>
      </c>
      <c r="M19" s="16">
        <v>1</v>
      </c>
      <c r="N19" s="10" t="s">
        <v>179</v>
      </c>
      <c r="O19" s="9">
        <v>4.34</v>
      </c>
      <c r="P19" s="9">
        <v>24.94</v>
      </c>
      <c r="Q19" s="6">
        <v>17.399999999999999</v>
      </c>
      <c r="R19" s="9">
        <v>5.75</v>
      </c>
      <c r="S19" s="7">
        <v>1</v>
      </c>
      <c r="T19" s="7">
        <v>1</v>
      </c>
      <c r="U19" s="16">
        <v>1</v>
      </c>
      <c r="V19" s="7">
        <v>1</v>
      </c>
      <c r="W19" s="7">
        <v>0</v>
      </c>
      <c r="X19" s="10" t="s">
        <v>35</v>
      </c>
      <c r="Y19" s="10" t="s">
        <v>36</v>
      </c>
    </row>
    <row r="20" spans="1:25" ht="14.4" x14ac:dyDescent="0.3">
      <c r="A20" s="4">
        <v>45958</v>
      </c>
      <c r="B20" s="4">
        <v>45958</v>
      </c>
      <c r="C20" s="17" t="s">
        <v>27</v>
      </c>
      <c r="D20" s="17" t="s">
        <v>28</v>
      </c>
      <c r="E20" s="17" t="s">
        <v>56</v>
      </c>
      <c r="F20" s="17" t="s">
        <v>57</v>
      </c>
      <c r="G20" s="17" t="s">
        <v>31</v>
      </c>
      <c r="H20" s="18" t="e">
        <f>+maca +root</f>
        <v>#NAME?</v>
      </c>
      <c r="I20" s="17" t="s">
        <v>32</v>
      </c>
      <c r="J20" s="17" t="s">
        <v>214</v>
      </c>
      <c r="K20" s="7">
        <v>1</v>
      </c>
      <c r="L20" s="7">
        <v>1</v>
      </c>
      <c r="M20" s="16">
        <v>1</v>
      </c>
      <c r="N20" s="10" t="s">
        <v>215</v>
      </c>
      <c r="O20" s="9">
        <v>4.18</v>
      </c>
      <c r="P20" s="9">
        <v>24.94</v>
      </c>
      <c r="Q20" s="6">
        <v>16.760000000000002</v>
      </c>
      <c r="R20" s="9">
        <v>5.97</v>
      </c>
      <c r="S20" s="7">
        <v>1</v>
      </c>
      <c r="T20" s="7">
        <v>1</v>
      </c>
      <c r="U20" s="16">
        <v>1</v>
      </c>
      <c r="V20" s="7">
        <v>1</v>
      </c>
      <c r="W20" s="7">
        <v>0</v>
      </c>
      <c r="X20" s="10" t="s">
        <v>35</v>
      </c>
      <c r="Y20" s="10" t="s">
        <v>36</v>
      </c>
    </row>
    <row r="21" spans="1:25" ht="15.75" customHeight="1" x14ac:dyDescent="0.3">
      <c r="A21" s="4">
        <v>45958</v>
      </c>
      <c r="B21" s="4">
        <v>45958</v>
      </c>
      <c r="C21" s="17" t="s">
        <v>143</v>
      </c>
      <c r="D21" s="17" t="s">
        <v>28</v>
      </c>
      <c r="E21" s="17" t="s">
        <v>144</v>
      </c>
      <c r="F21" s="17" t="s">
        <v>32</v>
      </c>
      <c r="G21" s="17" t="s">
        <v>31</v>
      </c>
      <c r="H21" s="17" t="s">
        <v>30</v>
      </c>
      <c r="I21" s="17" t="s">
        <v>44</v>
      </c>
      <c r="J21" s="17" t="s">
        <v>216</v>
      </c>
      <c r="K21" s="7">
        <v>10</v>
      </c>
      <c r="L21" s="7">
        <v>1</v>
      </c>
      <c r="M21" s="16">
        <v>0.1</v>
      </c>
      <c r="N21" s="10" t="s">
        <v>217</v>
      </c>
      <c r="O21" s="9">
        <v>1.82</v>
      </c>
      <c r="P21" s="9">
        <v>24.94</v>
      </c>
      <c r="Q21" s="6">
        <v>7.3</v>
      </c>
      <c r="R21" s="9">
        <v>13.7</v>
      </c>
      <c r="S21" s="7">
        <v>1</v>
      </c>
      <c r="T21" s="7">
        <v>1</v>
      </c>
      <c r="U21" s="16">
        <v>1</v>
      </c>
      <c r="V21" s="7">
        <v>1</v>
      </c>
      <c r="W21" s="7">
        <v>0</v>
      </c>
      <c r="X21" s="10" t="s">
        <v>35</v>
      </c>
      <c r="Y21" s="10" t="s">
        <v>36</v>
      </c>
    </row>
    <row r="22" spans="1:25" ht="15.75" customHeight="1" x14ac:dyDescent="0.3">
      <c r="A22" s="4">
        <v>45958</v>
      </c>
      <c r="B22" s="4">
        <v>45958</v>
      </c>
      <c r="C22" s="17" t="s">
        <v>40</v>
      </c>
      <c r="D22" s="17" t="s">
        <v>28</v>
      </c>
      <c r="E22" s="17" t="s">
        <v>41</v>
      </c>
      <c r="F22" s="17" t="s">
        <v>42</v>
      </c>
      <c r="G22" s="17" t="s">
        <v>31</v>
      </c>
      <c r="H22" s="17" t="s">
        <v>43</v>
      </c>
      <c r="I22" s="17" t="s">
        <v>44</v>
      </c>
      <c r="J22" s="17" t="s">
        <v>218</v>
      </c>
      <c r="K22" s="7">
        <v>5</v>
      </c>
      <c r="L22" s="7">
        <v>1</v>
      </c>
      <c r="M22" s="16">
        <v>0.2</v>
      </c>
      <c r="N22" s="10" t="s">
        <v>219</v>
      </c>
      <c r="O22" s="9">
        <v>2.92</v>
      </c>
      <c r="P22" s="9">
        <v>24.94</v>
      </c>
      <c r="Q22" s="6">
        <v>11.71</v>
      </c>
      <c r="R22" s="9">
        <v>8.5399999999999991</v>
      </c>
      <c r="S22" s="7">
        <v>1</v>
      </c>
      <c r="T22" s="7">
        <v>1</v>
      </c>
      <c r="U22" s="16">
        <v>1</v>
      </c>
      <c r="V22" s="7">
        <v>1</v>
      </c>
      <c r="W22" s="7">
        <v>0</v>
      </c>
      <c r="X22" s="10" t="s">
        <v>35</v>
      </c>
      <c r="Y22" s="10" t="s">
        <v>36</v>
      </c>
    </row>
    <row r="23" spans="1:25" ht="15.75" customHeight="1" x14ac:dyDescent="0.3">
      <c r="A23" s="4">
        <v>45958</v>
      </c>
      <c r="B23" s="4">
        <v>45962</v>
      </c>
      <c r="C23" s="17" t="s">
        <v>27</v>
      </c>
      <c r="D23" s="17" t="s">
        <v>28</v>
      </c>
      <c r="E23" s="17" t="s">
        <v>71</v>
      </c>
      <c r="F23" s="17" t="s">
        <v>72</v>
      </c>
      <c r="G23" s="17" t="s">
        <v>31</v>
      </c>
      <c r="H23" s="17" t="s">
        <v>73</v>
      </c>
      <c r="I23" s="17" t="s">
        <v>52</v>
      </c>
      <c r="J23" s="17" t="s">
        <v>76</v>
      </c>
      <c r="K23" s="7">
        <v>506</v>
      </c>
      <c r="L23" s="7">
        <v>7</v>
      </c>
      <c r="M23" s="16">
        <v>1.3834000000000001E-2</v>
      </c>
      <c r="N23" s="10" t="s">
        <v>220</v>
      </c>
      <c r="O23" s="9">
        <v>29.4</v>
      </c>
      <c r="P23" s="9">
        <v>99.76</v>
      </c>
      <c r="Q23" s="6">
        <v>29.47</v>
      </c>
      <c r="R23" s="9">
        <v>3.39</v>
      </c>
      <c r="S23" s="7">
        <v>3</v>
      </c>
      <c r="T23" s="7">
        <v>4</v>
      </c>
      <c r="U23" s="16">
        <v>0.42857099999999998</v>
      </c>
      <c r="V23" s="7">
        <v>4</v>
      </c>
      <c r="W23" s="7">
        <v>0</v>
      </c>
      <c r="X23" s="10" t="s">
        <v>47</v>
      </c>
      <c r="Y23" s="10" t="s">
        <v>36</v>
      </c>
    </row>
    <row r="24" spans="1:25" ht="15.75" customHeight="1" x14ac:dyDescent="0.3">
      <c r="A24" s="4">
        <v>45958</v>
      </c>
      <c r="B24" s="4">
        <v>45958</v>
      </c>
      <c r="C24" s="17" t="s">
        <v>48</v>
      </c>
      <c r="D24" s="17" t="s">
        <v>28</v>
      </c>
      <c r="E24" s="17" t="s">
        <v>49</v>
      </c>
      <c r="F24" s="17" t="s">
        <v>50</v>
      </c>
      <c r="G24" s="17" t="s">
        <v>31</v>
      </c>
      <c r="H24" s="17" t="s">
        <v>51</v>
      </c>
      <c r="I24" s="17" t="s">
        <v>52</v>
      </c>
      <c r="J24" s="17" t="s">
        <v>221</v>
      </c>
      <c r="K24" s="7">
        <v>1</v>
      </c>
      <c r="L24" s="7">
        <v>1</v>
      </c>
      <c r="M24" s="16">
        <v>1</v>
      </c>
      <c r="N24" s="10" t="s">
        <v>222</v>
      </c>
      <c r="O24" s="9">
        <v>2.54</v>
      </c>
      <c r="P24" s="9">
        <v>43.8</v>
      </c>
      <c r="Q24" s="6">
        <v>5.8</v>
      </c>
      <c r="R24" s="9">
        <v>17.239999999999998</v>
      </c>
      <c r="S24" s="7">
        <v>1</v>
      </c>
      <c r="T24" s="7">
        <v>2</v>
      </c>
      <c r="U24" s="16">
        <v>1</v>
      </c>
      <c r="V24" s="7">
        <v>2</v>
      </c>
      <c r="W24" s="7">
        <v>0</v>
      </c>
      <c r="X24" s="10" t="s">
        <v>67</v>
      </c>
      <c r="Y24" s="10" t="s">
        <v>36</v>
      </c>
    </row>
    <row r="25" spans="1:25" ht="15.75" customHeight="1" x14ac:dyDescent="0.3">
      <c r="A25" s="4">
        <v>45958</v>
      </c>
      <c r="B25" s="4">
        <v>45958</v>
      </c>
      <c r="C25" s="17" t="s">
        <v>48</v>
      </c>
      <c r="D25" s="17" t="s">
        <v>28</v>
      </c>
      <c r="E25" s="17" t="s">
        <v>49</v>
      </c>
      <c r="F25" s="17" t="s">
        <v>50</v>
      </c>
      <c r="G25" s="17" t="s">
        <v>31</v>
      </c>
      <c r="H25" s="17" t="s">
        <v>51</v>
      </c>
      <c r="I25" s="17" t="s">
        <v>52</v>
      </c>
      <c r="J25" s="17" t="s">
        <v>223</v>
      </c>
      <c r="K25" s="7">
        <v>7</v>
      </c>
      <c r="L25" s="7">
        <v>1</v>
      </c>
      <c r="M25" s="16">
        <v>0.14285700000000001</v>
      </c>
      <c r="N25" s="10" t="s">
        <v>224</v>
      </c>
      <c r="O25" s="9">
        <v>2.87</v>
      </c>
      <c r="P25" s="9">
        <v>21.9</v>
      </c>
      <c r="Q25" s="6">
        <v>13.11</v>
      </c>
      <c r="R25" s="9">
        <v>7.63</v>
      </c>
      <c r="S25" s="7">
        <v>1</v>
      </c>
      <c r="T25" s="7">
        <v>1</v>
      </c>
      <c r="U25" s="16">
        <v>1</v>
      </c>
      <c r="V25" s="7">
        <v>1</v>
      </c>
      <c r="W25" s="7">
        <v>0</v>
      </c>
      <c r="X25" s="10" t="s">
        <v>55</v>
      </c>
      <c r="Y25" s="10" t="s">
        <v>36</v>
      </c>
    </row>
    <row r="26" spans="1:25" ht="15.75" customHeight="1" x14ac:dyDescent="0.3">
      <c r="A26" s="4">
        <v>45957</v>
      </c>
      <c r="B26" s="4">
        <v>45957</v>
      </c>
      <c r="C26" s="17" t="s">
        <v>48</v>
      </c>
      <c r="D26" s="17" t="s">
        <v>28</v>
      </c>
      <c r="E26" s="17" t="s">
        <v>225</v>
      </c>
      <c r="F26" s="17" t="s">
        <v>226</v>
      </c>
      <c r="G26" s="17" t="s">
        <v>31</v>
      </c>
      <c r="H26" s="17" t="s">
        <v>88</v>
      </c>
      <c r="I26" s="17" t="s">
        <v>32</v>
      </c>
      <c r="J26" s="17" t="s">
        <v>227</v>
      </c>
      <c r="K26" s="7">
        <v>2</v>
      </c>
      <c r="L26" s="7">
        <v>1</v>
      </c>
      <c r="M26" s="16">
        <v>0.5</v>
      </c>
      <c r="N26" s="10" t="s">
        <v>228</v>
      </c>
      <c r="O26" s="9">
        <v>1.45</v>
      </c>
      <c r="P26" s="9">
        <v>21.9</v>
      </c>
      <c r="Q26" s="6">
        <v>6.62</v>
      </c>
      <c r="R26" s="9">
        <v>15.1</v>
      </c>
      <c r="S26" s="7">
        <v>1</v>
      </c>
      <c r="T26" s="7">
        <v>1</v>
      </c>
      <c r="U26" s="16">
        <v>1</v>
      </c>
      <c r="V26" s="7">
        <v>1</v>
      </c>
      <c r="W26" s="7">
        <v>0</v>
      </c>
      <c r="X26" s="10" t="s">
        <v>55</v>
      </c>
      <c r="Y26" s="10" t="s">
        <v>36</v>
      </c>
    </row>
    <row r="27" spans="1:25" ht="15.75" customHeight="1" x14ac:dyDescent="0.3">
      <c r="A27" s="4">
        <v>45957</v>
      </c>
      <c r="B27" s="4">
        <v>45957</v>
      </c>
      <c r="C27" s="17" t="s">
        <v>48</v>
      </c>
      <c r="D27" s="17" t="s">
        <v>28</v>
      </c>
      <c r="E27" s="17" t="s">
        <v>49</v>
      </c>
      <c r="F27" s="17" t="s">
        <v>50</v>
      </c>
      <c r="G27" s="17" t="s">
        <v>31</v>
      </c>
      <c r="H27" s="17" t="s">
        <v>51</v>
      </c>
      <c r="I27" s="17" t="s">
        <v>52</v>
      </c>
      <c r="J27" s="17" t="s">
        <v>229</v>
      </c>
      <c r="K27" s="7">
        <v>12</v>
      </c>
      <c r="L27" s="7">
        <v>1</v>
      </c>
      <c r="M27" s="16">
        <v>8.3333000000000004E-2</v>
      </c>
      <c r="N27" s="10" t="s">
        <v>131</v>
      </c>
      <c r="O27" s="9">
        <v>3</v>
      </c>
      <c r="P27" s="9">
        <v>21.9</v>
      </c>
      <c r="Q27" s="6">
        <v>13.7</v>
      </c>
      <c r="R27" s="9">
        <v>7.3</v>
      </c>
      <c r="S27" s="7">
        <v>1</v>
      </c>
      <c r="T27" s="7">
        <v>1</v>
      </c>
      <c r="U27" s="16">
        <v>1</v>
      </c>
      <c r="V27" s="7">
        <v>1</v>
      </c>
      <c r="W27" s="7">
        <v>0</v>
      </c>
      <c r="X27" s="10" t="s">
        <v>55</v>
      </c>
      <c r="Y27" s="10" t="s">
        <v>36</v>
      </c>
    </row>
    <row r="28" spans="1:25" ht="15.75" customHeight="1" x14ac:dyDescent="0.3">
      <c r="A28" s="4">
        <v>45957</v>
      </c>
      <c r="B28" s="4">
        <v>45962</v>
      </c>
      <c r="C28" s="17" t="s">
        <v>40</v>
      </c>
      <c r="D28" s="17" t="s">
        <v>28</v>
      </c>
      <c r="E28" s="17" t="s">
        <v>41</v>
      </c>
      <c r="F28" s="17" t="s">
        <v>42</v>
      </c>
      <c r="G28" s="17" t="s">
        <v>31</v>
      </c>
      <c r="H28" s="17" t="s">
        <v>43</v>
      </c>
      <c r="I28" s="17" t="s">
        <v>44</v>
      </c>
      <c r="J28" s="17" t="s">
        <v>43</v>
      </c>
      <c r="K28" s="7">
        <v>115</v>
      </c>
      <c r="L28" s="7">
        <v>15</v>
      </c>
      <c r="M28" s="16">
        <v>0.130435</v>
      </c>
      <c r="N28" s="10" t="s">
        <v>230</v>
      </c>
      <c r="O28" s="9">
        <v>50.5</v>
      </c>
      <c r="P28" s="9">
        <v>49.88</v>
      </c>
      <c r="Q28" s="6">
        <v>101.24</v>
      </c>
      <c r="R28" s="9">
        <v>0.99</v>
      </c>
      <c r="S28" s="7">
        <v>2</v>
      </c>
      <c r="T28" s="7">
        <v>2</v>
      </c>
      <c r="U28" s="16">
        <v>0.13333300000000001</v>
      </c>
      <c r="V28" s="7">
        <v>2</v>
      </c>
      <c r="W28" s="7">
        <v>0</v>
      </c>
      <c r="X28" s="10" t="s">
        <v>78</v>
      </c>
      <c r="Y28" s="10" t="s">
        <v>36</v>
      </c>
    </row>
    <row r="29" spans="1:25" ht="15.75" customHeight="1" x14ac:dyDescent="0.3">
      <c r="A29" s="4">
        <v>45957</v>
      </c>
      <c r="B29" s="4">
        <v>45957</v>
      </c>
      <c r="C29" s="17" t="s">
        <v>27</v>
      </c>
      <c r="D29" s="17" t="s">
        <v>28</v>
      </c>
      <c r="E29" s="17" t="s">
        <v>56</v>
      </c>
      <c r="F29" s="17" t="s">
        <v>57</v>
      </c>
      <c r="G29" s="17" t="s">
        <v>31</v>
      </c>
      <c r="H29" s="18" t="e">
        <f>+maca +root</f>
        <v>#NAME?</v>
      </c>
      <c r="I29" s="17" t="s">
        <v>32</v>
      </c>
      <c r="J29" s="17" t="s">
        <v>231</v>
      </c>
      <c r="K29" s="7">
        <v>3</v>
      </c>
      <c r="L29" s="7">
        <v>1</v>
      </c>
      <c r="M29" s="16">
        <v>0.33333299999999999</v>
      </c>
      <c r="N29" s="10" t="s">
        <v>232</v>
      </c>
      <c r="O29" s="9">
        <v>4</v>
      </c>
      <c r="P29" s="9">
        <v>24.94</v>
      </c>
      <c r="Q29" s="6">
        <v>16.04</v>
      </c>
      <c r="R29" s="9">
        <v>6.24</v>
      </c>
      <c r="S29" s="7">
        <v>1</v>
      </c>
      <c r="T29" s="7">
        <v>1</v>
      </c>
      <c r="U29" s="16">
        <v>1</v>
      </c>
      <c r="V29" s="7">
        <v>1</v>
      </c>
      <c r="W29" s="7">
        <v>0</v>
      </c>
      <c r="X29" s="10" t="s">
        <v>35</v>
      </c>
      <c r="Y29" s="10" t="s">
        <v>36</v>
      </c>
    </row>
    <row r="30" spans="1:25" ht="15.75" customHeight="1" x14ac:dyDescent="0.3">
      <c r="A30" s="4">
        <v>45957</v>
      </c>
      <c r="B30" s="4">
        <v>45957</v>
      </c>
      <c r="C30" s="17" t="s">
        <v>48</v>
      </c>
      <c r="D30" s="17" t="s">
        <v>28</v>
      </c>
      <c r="E30" s="17" t="s">
        <v>233</v>
      </c>
      <c r="F30" s="17" t="s">
        <v>234</v>
      </c>
      <c r="G30" s="17" t="s">
        <v>31</v>
      </c>
      <c r="H30" s="17" t="s">
        <v>153</v>
      </c>
      <c r="I30" s="17" t="s">
        <v>32</v>
      </c>
      <c r="J30" s="17" t="s">
        <v>235</v>
      </c>
      <c r="K30" s="7">
        <v>54</v>
      </c>
      <c r="L30" s="7">
        <v>1</v>
      </c>
      <c r="M30" s="16">
        <v>1.8519000000000001E-2</v>
      </c>
      <c r="N30" s="10" t="s">
        <v>236</v>
      </c>
      <c r="O30" s="9">
        <v>2</v>
      </c>
      <c r="P30" s="9">
        <v>21.9</v>
      </c>
      <c r="Q30" s="6">
        <v>9.1300000000000008</v>
      </c>
      <c r="R30" s="9">
        <v>10.95</v>
      </c>
      <c r="S30" s="7">
        <v>1</v>
      </c>
      <c r="T30" s="7">
        <v>1</v>
      </c>
      <c r="U30" s="16">
        <v>1</v>
      </c>
      <c r="V30" s="7">
        <v>1</v>
      </c>
      <c r="W30" s="7">
        <v>0</v>
      </c>
      <c r="X30" s="10" t="s">
        <v>55</v>
      </c>
      <c r="Y30" s="10" t="s">
        <v>36</v>
      </c>
    </row>
    <row r="31" spans="1:25" ht="15.75" customHeight="1" x14ac:dyDescent="0.3">
      <c r="A31" s="4">
        <v>45957</v>
      </c>
      <c r="B31" s="4">
        <v>45961</v>
      </c>
      <c r="C31" s="17" t="s">
        <v>85</v>
      </c>
      <c r="D31" s="17" t="s">
        <v>28</v>
      </c>
      <c r="E31" s="17" t="s">
        <v>86</v>
      </c>
      <c r="F31" s="17" t="s">
        <v>87</v>
      </c>
      <c r="G31" s="17" t="s">
        <v>31</v>
      </c>
      <c r="H31" s="17" t="s">
        <v>87</v>
      </c>
      <c r="I31" s="17" t="s">
        <v>44</v>
      </c>
      <c r="J31" s="17" t="s">
        <v>87</v>
      </c>
      <c r="K31" s="7">
        <v>62</v>
      </c>
      <c r="L31" s="7">
        <v>5</v>
      </c>
      <c r="M31" s="16">
        <v>8.0644999999999994E-2</v>
      </c>
      <c r="N31" s="10" t="s">
        <v>237</v>
      </c>
      <c r="O31" s="9">
        <v>22.12</v>
      </c>
      <c r="P31" s="9">
        <v>21.9</v>
      </c>
      <c r="Q31" s="6">
        <v>101</v>
      </c>
      <c r="R31" s="9">
        <v>0.99</v>
      </c>
      <c r="S31" s="7">
        <v>1</v>
      </c>
      <c r="T31" s="7">
        <v>1</v>
      </c>
      <c r="U31" s="16">
        <v>0.2</v>
      </c>
      <c r="V31" s="7">
        <v>1</v>
      </c>
      <c r="W31" s="7">
        <v>0</v>
      </c>
      <c r="X31" s="10" t="s">
        <v>55</v>
      </c>
      <c r="Y31" s="10" t="s">
        <v>36</v>
      </c>
    </row>
    <row r="32" spans="1:25" ht="15.75" customHeight="1" x14ac:dyDescent="0.3">
      <c r="A32" s="4">
        <v>45957</v>
      </c>
      <c r="B32" s="4">
        <v>45959</v>
      </c>
      <c r="C32" s="17" t="s">
        <v>48</v>
      </c>
      <c r="D32" s="17" t="s">
        <v>28</v>
      </c>
      <c r="E32" s="17" t="s">
        <v>62</v>
      </c>
      <c r="F32" s="17" t="s">
        <v>63</v>
      </c>
      <c r="G32" s="17" t="s">
        <v>31</v>
      </c>
      <c r="H32" s="17" t="s">
        <v>88</v>
      </c>
      <c r="I32" s="17" t="s">
        <v>65</v>
      </c>
      <c r="J32" s="17" t="s">
        <v>88</v>
      </c>
      <c r="K32" s="7">
        <v>48</v>
      </c>
      <c r="L32" s="7">
        <v>7</v>
      </c>
      <c r="M32" s="16">
        <v>0.14583299999999999</v>
      </c>
      <c r="N32" s="10" t="s">
        <v>238</v>
      </c>
      <c r="O32" s="9">
        <v>26.3</v>
      </c>
      <c r="P32" s="9">
        <v>21.9</v>
      </c>
      <c r="Q32" s="6">
        <v>120.09</v>
      </c>
      <c r="R32" s="9">
        <v>0.83</v>
      </c>
      <c r="S32" s="7">
        <v>1</v>
      </c>
      <c r="T32" s="7">
        <v>1</v>
      </c>
      <c r="U32" s="16">
        <v>0.14285700000000001</v>
      </c>
      <c r="V32" s="7">
        <v>1</v>
      </c>
      <c r="W32" s="7">
        <v>0</v>
      </c>
      <c r="X32" s="10" t="s">
        <v>55</v>
      </c>
      <c r="Y32" s="10" t="s">
        <v>36</v>
      </c>
    </row>
    <row r="33" spans="1:25" ht="15.75" customHeight="1" x14ac:dyDescent="0.3">
      <c r="A33" s="4">
        <v>45956</v>
      </c>
      <c r="B33" s="4">
        <v>45956</v>
      </c>
      <c r="C33" s="17" t="s">
        <v>48</v>
      </c>
      <c r="D33" s="17" t="s">
        <v>28</v>
      </c>
      <c r="E33" s="17" t="s">
        <v>49</v>
      </c>
      <c r="F33" s="17" t="s">
        <v>50</v>
      </c>
      <c r="G33" s="17" t="s">
        <v>31</v>
      </c>
      <c r="H33" s="17" t="s">
        <v>51</v>
      </c>
      <c r="I33" s="17" t="s">
        <v>52</v>
      </c>
      <c r="J33" s="17" t="s">
        <v>239</v>
      </c>
      <c r="K33" s="7">
        <v>1</v>
      </c>
      <c r="L33" s="7">
        <v>1</v>
      </c>
      <c r="M33" s="16">
        <v>1</v>
      </c>
      <c r="N33" s="10" t="s">
        <v>236</v>
      </c>
      <c r="O33" s="9">
        <v>2</v>
      </c>
      <c r="P33" s="9">
        <v>21.9</v>
      </c>
      <c r="Q33" s="6">
        <v>9.1300000000000008</v>
      </c>
      <c r="R33" s="9">
        <v>10.95</v>
      </c>
      <c r="S33" s="7">
        <v>1</v>
      </c>
      <c r="T33" s="7">
        <v>1</v>
      </c>
      <c r="U33" s="16">
        <v>1</v>
      </c>
      <c r="V33" s="7">
        <v>1</v>
      </c>
      <c r="W33" s="7">
        <v>0</v>
      </c>
      <c r="X33" s="10" t="s">
        <v>55</v>
      </c>
      <c r="Y33" s="10" t="s">
        <v>36</v>
      </c>
    </row>
    <row r="34" spans="1:25" ht="15.75" customHeight="1" x14ac:dyDescent="0.3">
      <c r="A34" s="4">
        <v>45956</v>
      </c>
      <c r="B34" s="4">
        <v>45962</v>
      </c>
      <c r="C34" s="17" t="s">
        <v>105</v>
      </c>
      <c r="D34" s="17" t="s">
        <v>28</v>
      </c>
      <c r="E34" s="17" t="s">
        <v>106</v>
      </c>
      <c r="F34" s="17" t="s">
        <v>30</v>
      </c>
      <c r="G34" s="17" t="s">
        <v>31</v>
      </c>
      <c r="H34" s="17" t="s">
        <v>30</v>
      </c>
      <c r="I34" s="17" t="s">
        <v>65</v>
      </c>
      <c r="J34" s="17" t="s">
        <v>30</v>
      </c>
      <c r="K34" s="7">
        <v>4109</v>
      </c>
      <c r="L34" s="7">
        <v>21</v>
      </c>
      <c r="M34" s="16">
        <v>5.1110000000000001E-3</v>
      </c>
      <c r="N34" s="10" t="s">
        <v>240</v>
      </c>
      <c r="O34" s="9">
        <v>56.92</v>
      </c>
      <c r="P34" s="9">
        <v>24.94</v>
      </c>
      <c r="Q34" s="6">
        <v>228.23</v>
      </c>
      <c r="R34" s="9">
        <v>0.44</v>
      </c>
      <c r="S34" s="7">
        <v>1</v>
      </c>
      <c r="T34" s="7">
        <v>1</v>
      </c>
      <c r="U34" s="16">
        <v>4.7619000000000002E-2</v>
      </c>
      <c r="V34" s="7">
        <v>1</v>
      </c>
      <c r="W34" s="7">
        <v>0</v>
      </c>
      <c r="X34" s="10" t="s">
        <v>35</v>
      </c>
      <c r="Y34" s="10" t="s">
        <v>36</v>
      </c>
    </row>
    <row r="35" spans="1:25" ht="15.75" customHeight="1" x14ac:dyDescent="0.3">
      <c r="A35" s="4">
        <v>45956</v>
      </c>
      <c r="B35" s="4">
        <v>45960</v>
      </c>
      <c r="C35" s="17" t="s">
        <v>143</v>
      </c>
      <c r="D35" s="17" t="s">
        <v>28</v>
      </c>
      <c r="E35" s="17" t="s">
        <v>144</v>
      </c>
      <c r="F35" s="17" t="s">
        <v>32</v>
      </c>
      <c r="G35" s="17" t="s">
        <v>31</v>
      </c>
      <c r="H35" s="17" t="s">
        <v>173</v>
      </c>
      <c r="I35" s="17" t="s">
        <v>65</v>
      </c>
      <c r="J35" s="17" t="s">
        <v>173</v>
      </c>
      <c r="K35" s="7">
        <v>232</v>
      </c>
      <c r="L35" s="7">
        <v>4</v>
      </c>
      <c r="M35" s="16">
        <v>1.7240999999999999E-2</v>
      </c>
      <c r="N35" s="10" t="s">
        <v>241</v>
      </c>
      <c r="O35" s="9">
        <v>3.08</v>
      </c>
      <c r="P35" s="9">
        <v>49.88</v>
      </c>
      <c r="Q35" s="6">
        <v>6.17</v>
      </c>
      <c r="R35" s="9">
        <v>16.190000000000001</v>
      </c>
      <c r="S35" s="7">
        <v>2</v>
      </c>
      <c r="T35" s="7">
        <v>2</v>
      </c>
      <c r="U35" s="16">
        <v>0.5</v>
      </c>
      <c r="V35" s="7">
        <v>2</v>
      </c>
      <c r="W35" s="7">
        <v>0</v>
      </c>
      <c r="X35" s="10" t="s">
        <v>78</v>
      </c>
      <c r="Y35" s="10" t="s">
        <v>36</v>
      </c>
    </row>
    <row r="36" spans="1:25" ht="15.75" customHeight="1" x14ac:dyDescent="0.3">
      <c r="A36" s="4">
        <v>45956</v>
      </c>
      <c r="B36" s="4">
        <v>45962</v>
      </c>
      <c r="C36" s="17" t="s">
        <v>27</v>
      </c>
      <c r="D36" s="17" t="s">
        <v>28</v>
      </c>
      <c r="E36" s="17" t="s">
        <v>71</v>
      </c>
      <c r="F36" s="17" t="s">
        <v>72</v>
      </c>
      <c r="G36" s="17" t="s">
        <v>31</v>
      </c>
      <c r="H36" s="17" t="s">
        <v>73</v>
      </c>
      <c r="I36" s="17" t="s">
        <v>52</v>
      </c>
      <c r="J36" s="17" t="s">
        <v>97</v>
      </c>
      <c r="K36" s="7">
        <v>55</v>
      </c>
      <c r="L36" s="7">
        <v>3</v>
      </c>
      <c r="M36" s="16">
        <v>5.4545000000000003E-2</v>
      </c>
      <c r="N36" s="10" t="s">
        <v>242</v>
      </c>
      <c r="O36" s="9">
        <v>11.19</v>
      </c>
      <c r="P36" s="9">
        <v>49.88</v>
      </c>
      <c r="Q36" s="6">
        <v>22.43</v>
      </c>
      <c r="R36" s="9">
        <v>4.46</v>
      </c>
      <c r="S36" s="7">
        <v>1</v>
      </c>
      <c r="T36" s="7">
        <v>2</v>
      </c>
      <c r="U36" s="16">
        <v>0.33333299999999999</v>
      </c>
      <c r="V36" s="7">
        <v>2</v>
      </c>
      <c r="W36" s="7">
        <v>0</v>
      </c>
      <c r="X36" s="10" t="s">
        <v>78</v>
      </c>
      <c r="Y36" s="10" t="s">
        <v>36</v>
      </c>
    </row>
    <row r="37" spans="1:25" ht="15.75" customHeight="1" x14ac:dyDescent="0.3">
      <c r="A37" s="4">
        <v>45956</v>
      </c>
      <c r="B37" s="4">
        <v>45962</v>
      </c>
      <c r="C37" s="17" t="s">
        <v>105</v>
      </c>
      <c r="D37" s="17" t="s">
        <v>28</v>
      </c>
      <c r="E37" s="17" t="s">
        <v>117</v>
      </c>
      <c r="F37" s="17" t="s">
        <v>118</v>
      </c>
      <c r="G37" s="17" t="s">
        <v>31</v>
      </c>
      <c r="H37" s="17" t="s">
        <v>119</v>
      </c>
      <c r="I37" s="17" t="s">
        <v>65</v>
      </c>
      <c r="J37" s="17" t="s">
        <v>119</v>
      </c>
      <c r="K37" s="7">
        <v>1760</v>
      </c>
      <c r="L37" s="7">
        <v>55</v>
      </c>
      <c r="M37" s="16">
        <v>3.125E-2</v>
      </c>
      <c r="N37" s="10" t="s">
        <v>149</v>
      </c>
      <c r="O37" s="9">
        <v>168.27</v>
      </c>
      <c r="P37" s="9">
        <v>249.4</v>
      </c>
      <c r="Q37" s="6">
        <v>67.47</v>
      </c>
      <c r="R37" s="9">
        <v>1.48</v>
      </c>
      <c r="S37" s="7">
        <v>10</v>
      </c>
      <c r="T37" s="7">
        <v>10</v>
      </c>
      <c r="U37" s="16">
        <v>0.18181800000000001</v>
      </c>
      <c r="V37" s="7">
        <v>10</v>
      </c>
      <c r="W37" s="7">
        <v>0</v>
      </c>
      <c r="X37" s="10" t="s">
        <v>185</v>
      </c>
      <c r="Y37" s="10" t="s">
        <v>36</v>
      </c>
    </row>
    <row r="38" spans="1:25" ht="15.75" customHeight="1" x14ac:dyDescent="0.3">
      <c r="A38" s="4">
        <v>45956</v>
      </c>
      <c r="B38" s="4">
        <v>45962</v>
      </c>
      <c r="C38" s="17" t="s">
        <v>27</v>
      </c>
      <c r="D38" s="17" t="s">
        <v>28</v>
      </c>
      <c r="E38" s="17" t="s">
        <v>56</v>
      </c>
      <c r="F38" s="17" t="s">
        <v>57</v>
      </c>
      <c r="G38" s="17" t="s">
        <v>31</v>
      </c>
      <c r="H38" s="18" t="e">
        <f>+maca +root</f>
        <v>#NAME?</v>
      </c>
      <c r="I38" s="17" t="s">
        <v>32</v>
      </c>
      <c r="J38" s="17" t="s">
        <v>119</v>
      </c>
      <c r="K38" s="7">
        <v>965</v>
      </c>
      <c r="L38" s="7">
        <v>12</v>
      </c>
      <c r="M38" s="16">
        <v>1.2435E-2</v>
      </c>
      <c r="N38" s="10" t="s">
        <v>230</v>
      </c>
      <c r="O38" s="9">
        <v>40.4</v>
      </c>
      <c r="P38" s="9">
        <v>249.4</v>
      </c>
      <c r="Q38" s="6">
        <v>16.2</v>
      </c>
      <c r="R38" s="9">
        <v>6.17</v>
      </c>
      <c r="S38" s="7">
        <v>9</v>
      </c>
      <c r="T38" s="7">
        <v>10</v>
      </c>
      <c r="U38" s="16">
        <v>0.75</v>
      </c>
      <c r="V38" s="7">
        <v>10</v>
      </c>
      <c r="W38" s="7">
        <v>0</v>
      </c>
      <c r="X38" s="10" t="s">
        <v>185</v>
      </c>
      <c r="Y38" s="10" t="s">
        <v>36</v>
      </c>
    </row>
    <row r="39" spans="1:25" ht="15.75" customHeight="1" x14ac:dyDescent="0.3">
      <c r="A39" s="4">
        <v>45956</v>
      </c>
      <c r="B39" s="4">
        <v>45962</v>
      </c>
      <c r="C39" s="17" t="s">
        <v>27</v>
      </c>
      <c r="D39" s="17" t="s">
        <v>28</v>
      </c>
      <c r="E39" s="17" t="s">
        <v>71</v>
      </c>
      <c r="F39" s="17" t="s">
        <v>72</v>
      </c>
      <c r="G39" s="17" t="s">
        <v>31</v>
      </c>
      <c r="H39" s="17" t="s">
        <v>73</v>
      </c>
      <c r="I39" s="17" t="s">
        <v>52</v>
      </c>
      <c r="J39" s="17" t="s">
        <v>60</v>
      </c>
      <c r="K39" s="7">
        <v>20</v>
      </c>
      <c r="L39" s="7">
        <v>3</v>
      </c>
      <c r="M39" s="16">
        <v>0.15</v>
      </c>
      <c r="N39" s="10" t="s">
        <v>243</v>
      </c>
      <c r="O39" s="9">
        <v>12.13</v>
      </c>
      <c r="P39" s="9">
        <v>49.88</v>
      </c>
      <c r="Q39" s="6">
        <v>24.32</v>
      </c>
      <c r="R39" s="9">
        <v>4.1100000000000003</v>
      </c>
      <c r="S39" s="7">
        <v>2</v>
      </c>
      <c r="T39" s="7">
        <v>2</v>
      </c>
      <c r="U39" s="16">
        <v>0.66666700000000001</v>
      </c>
      <c r="V39" s="7">
        <v>2</v>
      </c>
      <c r="W39" s="7">
        <v>0</v>
      </c>
      <c r="X39" s="10" t="s">
        <v>78</v>
      </c>
      <c r="Y39" s="10" t="s">
        <v>36</v>
      </c>
    </row>
    <row r="40" spans="1:25" ht="15.75" customHeight="1" x14ac:dyDescent="0.3">
      <c r="A40" s="4">
        <v>45956</v>
      </c>
      <c r="B40" s="4">
        <v>45961</v>
      </c>
      <c r="C40" s="17" t="s">
        <v>40</v>
      </c>
      <c r="D40" s="17" t="s">
        <v>28</v>
      </c>
      <c r="E40" s="17" t="s">
        <v>41</v>
      </c>
      <c r="F40" s="17" t="s">
        <v>42</v>
      </c>
      <c r="G40" s="17" t="s">
        <v>31</v>
      </c>
      <c r="H40" s="17" t="s">
        <v>43</v>
      </c>
      <c r="I40" s="17" t="s">
        <v>44</v>
      </c>
      <c r="J40" s="17" t="s">
        <v>60</v>
      </c>
      <c r="K40" s="7">
        <v>38</v>
      </c>
      <c r="L40" s="7">
        <v>3</v>
      </c>
      <c r="M40" s="16">
        <v>7.8947000000000003E-2</v>
      </c>
      <c r="N40" s="10" t="s">
        <v>244</v>
      </c>
      <c r="O40" s="9">
        <v>9.68</v>
      </c>
      <c r="P40" s="9">
        <v>24.94</v>
      </c>
      <c r="Q40" s="6">
        <v>38.81</v>
      </c>
      <c r="R40" s="9">
        <v>2.58</v>
      </c>
      <c r="S40" s="7">
        <v>1</v>
      </c>
      <c r="T40" s="7">
        <v>1</v>
      </c>
      <c r="U40" s="16">
        <v>0.33333299999999999</v>
      </c>
      <c r="V40" s="7">
        <v>1</v>
      </c>
      <c r="W40" s="7">
        <v>0</v>
      </c>
      <c r="X40" s="10" t="s">
        <v>35</v>
      </c>
      <c r="Y40" s="10" t="s">
        <v>36</v>
      </c>
    </row>
    <row r="41" spans="1:25" ht="15.75" customHeight="1" x14ac:dyDescent="0.3">
      <c r="A41" s="4">
        <v>45956</v>
      </c>
      <c r="B41" s="4">
        <v>45960</v>
      </c>
      <c r="C41" s="17" t="s">
        <v>27</v>
      </c>
      <c r="D41" s="17" t="s">
        <v>28</v>
      </c>
      <c r="E41" s="17" t="s">
        <v>71</v>
      </c>
      <c r="F41" s="17" t="s">
        <v>72</v>
      </c>
      <c r="G41" s="17" t="s">
        <v>31</v>
      </c>
      <c r="H41" s="17" t="s">
        <v>73</v>
      </c>
      <c r="I41" s="17" t="s">
        <v>52</v>
      </c>
      <c r="J41" s="17" t="s">
        <v>101</v>
      </c>
      <c r="K41" s="7">
        <v>1809</v>
      </c>
      <c r="L41" s="7">
        <v>6</v>
      </c>
      <c r="M41" s="16">
        <v>3.3170000000000001E-3</v>
      </c>
      <c r="N41" s="10" t="s">
        <v>245</v>
      </c>
      <c r="O41" s="9">
        <v>16.2</v>
      </c>
      <c r="P41" s="9">
        <v>24.94</v>
      </c>
      <c r="Q41" s="6">
        <v>64.959999999999994</v>
      </c>
      <c r="R41" s="9">
        <v>1.54</v>
      </c>
      <c r="S41" s="7">
        <v>1</v>
      </c>
      <c r="T41" s="7">
        <v>1</v>
      </c>
      <c r="U41" s="16">
        <v>0.16666700000000001</v>
      </c>
      <c r="V41" s="7">
        <v>1</v>
      </c>
      <c r="W41" s="7">
        <v>0</v>
      </c>
      <c r="X41" s="10" t="s">
        <v>35</v>
      </c>
      <c r="Y41" s="10" t="s">
        <v>36</v>
      </c>
    </row>
    <row r="42" spans="1:25" ht="15.75" customHeight="1" x14ac:dyDescent="0.3">
      <c r="A42" s="4">
        <v>45956</v>
      </c>
      <c r="B42" s="4">
        <v>45962</v>
      </c>
      <c r="C42" s="17" t="s">
        <v>48</v>
      </c>
      <c r="D42" s="17" t="s">
        <v>28</v>
      </c>
      <c r="E42" s="17" t="s">
        <v>62</v>
      </c>
      <c r="F42" s="17" t="s">
        <v>63</v>
      </c>
      <c r="G42" s="17" t="s">
        <v>31</v>
      </c>
      <c r="H42" s="17" t="s">
        <v>88</v>
      </c>
      <c r="I42" s="17" t="s">
        <v>65</v>
      </c>
      <c r="J42" s="17" t="s">
        <v>89</v>
      </c>
      <c r="K42" s="7">
        <v>78</v>
      </c>
      <c r="L42" s="7">
        <v>5</v>
      </c>
      <c r="M42" s="16">
        <v>6.4102999999999993E-2</v>
      </c>
      <c r="N42" s="10" t="s">
        <v>75</v>
      </c>
      <c r="O42" s="9">
        <v>17.98</v>
      </c>
      <c r="P42" s="9">
        <v>21.9</v>
      </c>
      <c r="Q42" s="6">
        <v>82.1</v>
      </c>
      <c r="R42" s="9">
        <v>1.22</v>
      </c>
      <c r="S42" s="7">
        <v>1</v>
      </c>
      <c r="T42" s="7">
        <v>1</v>
      </c>
      <c r="U42" s="16">
        <v>0.2</v>
      </c>
      <c r="V42" s="7">
        <v>1</v>
      </c>
      <c r="W42" s="7">
        <v>0</v>
      </c>
      <c r="X42" s="10" t="s">
        <v>55</v>
      </c>
      <c r="Y42" s="10" t="s">
        <v>36</v>
      </c>
    </row>
    <row r="43" spans="1:25" ht="15.75" customHeight="1" x14ac:dyDescent="0.3">
      <c r="A43" s="4">
        <v>45956</v>
      </c>
      <c r="B43" s="4">
        <v>45956</v>
      </c>
      <c r="C43" s="17" t="s">
        <v>48</v>
      </c>
      <c r="D43" s="17" t="s">
        <v>28</v>
      </c>
      <c r="E43" s="17" t="s">
        <v>49</v>
      </c>
      <c r="F43" s="17" t="s">
        <v>50</v>
      </c>
      <c r="G43" s="17" t="s">
        <v>31</v>
      </c>
      <c r="H43" s="17" t="s">
        <v>51</v>
      </c>
      <c r="I43" s="17" t="s">
        <v>52</v>
      </c>
      <c r="J43" s="17" t="s">
        <v>246</v>
      </c>
      <c r="K43" s="7">
        <v>1</v>
      </c>
      <c r="L43" s="7">
        <v>1</v>
      </c>
      <c r="M43" s="16">
        <v>1</v>
      </c>
      <c r="N43" s="10" t="s">
        <v>131</v>
      </c>
      <c r="O43" s="9">
        <v>3</v>
      </c>
      <c r="P43" s="9">
        <v>21.9</v>
      </c>
      <c r="Q43" s="6">
        <v>13.7</v>
      </c>
      <c r="R43" s="9">
        <v>7.3</v>
      </c>
      <c r="S43" s="7">
        <v>1</v>
      </c>
      <c r="T43" s="7">
        <v>1</v>
      </c>
      <c r="U43" s="16">
        <v>1</v>
      </c>
      <c r="V43" s="7">
        <v>1</v>
      </c>
      <c r="W43" s="7">
        <v>0</v>
      </c>
      <c r="X43" s="10" t="s">
        <v>55</v>
      </c>
      <c r="Y43" s="10" t="s">
        <v>36</v>
      </c>
    </row>
    <row r="44" spans="1:25" ht="15.75" customHeight="1" x14ac:dyDescent="0.3">
      <c r="A44" s="140"/>
      <c r="B44" s="140"/>
      <c r="K44" s="141"/>
      <c r="L44" s="141"/>
      <c r="M44" s="143"/>
      <c r="N44" s="11"/>
      <c r="O44" s="142"/>
      <c r="P44" s="142"/>
      <c r="Q44" s="143"/>
      <c r="R44" s="142"/>
      <c r="S44" s="141"/>
      <c r="T44" s="141"/>
      <c r="U44" s="143"/>
      <c r="V44" s="141"/>
      <c r="W44" s="141"/>
      <c r="X44" s="11"/>
      <c r="Y44" s="11"/>
    </row>
    <row r="45" spans="1:25" ht="15.75" customHeight="1" x14ac:dyDescent="0.3">
      <c r="A45" s="140"/>
      <c r="B45" s="140"/>
      <c r="K45" s="141"/>
      <c r="L45" s="141"/>
      <c r="M45" s="143"/>
      <c r="N45" s="11"/>
      <c r="O45" s="142"/>
      <c r="P45" s="142"/>
      <c r="Q45" s="143"/>
      <c r="R45" s="142"/>
      <c r="S45" s="141"/>
      <c r="T45" s="141"/>
      <c r="U45" s="143"/>
      <c r="V45" s="141"/>
      <c r="W45" s="141"/>
      <c r="X45" s="11"/>
      <c r="Y45" s="11"/>
    </row>
    <row r="46" spans="1:25" ht="15.75" customHeight="1" x14ac:dyDescent="0.3">
      <c r="A46" s="140"/>
      <c r="B46" s="140"/>
      <c r="K46" s="141"/>
      <c r="L46" s="141"/>
      <c r="M46" s="143"/>
      <c r="N46" s="11"/>
      <c r="O46" s="142"/>
      <c r="P46" s="142"/>
      <c r="Q46" s="143"/>
      <c r="R46" s="142"/>
      <c r="S46" s="141"/>
      <c r="T46" s="141"/>
      <c r="U46" s="143"/>
      <c r="V46" s="141"/>
      <c r="W46" s="141"/>
      <c r="X46" s="11"/>
      <c r="Y46" s="11"/>
    </row>
    <row r="47" spans="1:25" ht="15.75" customHeight="1" x14ac:dyDescent="0.3">
      <c r="A47" s="140"/>
      <c r="B47" s="140"/>
      <c r="K47" s="141"/>
      <c r="L47" s="141"/>
      <c r="M47" s="143"/>
      <c r="N47" s="11"/>
      <c r="O47" s="142"/>
      <c r="P47" s="142"/>
      <c r="Q47" s="143"/>
      <c r="R47" s="142"/>
      <c r="S47" s="141"/>
      <c r="T47" s="141"/>
      <c r="U47" s="143"/>
      <c r="V47" s="141"/>
      <c r="W47" s="141"/>
      <c r="X47" s="11"/>
      <c r="Y47" s="11"/>
    </row>
    <row r="48" spans="1:25" ht="15.75" customHeight="1" x14ac:dyDescent="0.3">
      <c r="A48" s="140"/>
      <c r="B48" s="140"/>
      <c r="K48" s="141"/>
      <c r="L48" s="141"/>
      <c r="M48" s="143"/>
      <c r="N48" s="11"/>
      <c r="O48" s="142"/>
      <c r="P48" s="142"/>
      <c r="Q48" s="143"/>
      <c r="R48" s="142"/>
      <c r="S48" s="141"/>
      <c r="T48" s="141"/>
      <c r="U48" s="143"/>
      <c r="V48" s="141"/>
      <c r="W48" s="141"/>
      <c r="X48" s="11"/>
      <c r="Y48" s="11"/>
    </row>
    <row r="49" spans="1:25" ht="15.75" customHeight="1" x14ac:dyDescent="0.3">
      <c r="A49" s="140"/>
      <c r="B49" s="140"/>
      <c r="K49" s="141"/>
      <c r="L49" s="141"/>
      <c r="M49" s="143"/>
      <c r="N49" s="11"/>
      <c r="O49" s="142"/>
      <c r="P49" s="142"/>
      <c r="Q49" s="143"/>
      <c r="R49" s="142"/>
      <c r="S49" s="141"/>
      <c r="T49" s="141"/>
      <c r="U49" s="143"/>
      <c r="V49" s="141"/>
      <c r="W49" s="141"/>
      <c r="X49" s="11"/>
      <c r="Y49" s="11"/>
    </row>
    <row r="50" spans="1:25" ht="15.75" customHeight="1" x14ac:dyDescent="0.3">
      <c r="A50" s="140"/>
      <c r="B50" s="140"/>
      <c r="K50" s="141"/>
      <c r="L50" s="141"/>
      <c r="M50" s="143"/>
      <c r="N50" s="11"/>
      <c r="O50" s="142"/>
      <c r="P50" s="142"/>
      <c r="Q50" s="143"/>
      <c r="R50" s="142"/>
      <c r="S50" s="141"/>
      <c r="T50" s="141"/>
      <c r="U50" s="143"/>
      <c r="V50" s="141"/>
      <c r="W50" s="141"/>
      <c r="X50" s="11"/>
      <c r="Y50" s="11"/>
    </row>
    <row r="51" spans="1:25" ht="15.75" customHeight="1" x14ac:dyDescent="0.3">
      <c r="A51" s="140"/>
      <c r="B51" s="140"/>
      <c r="K51" s="141"/>
      <c r="L51" s="141"/>
      <c r="M51" s="143"/>
      <c r="N51" s="11"/>
      <c r="O51" s="142"/>
      <c r="P51" s="142"/>
      <c r="Q51" s="143"/>
      <c r="R51" s="142"/>
      <c r="S51" s="141"/>
      <c r="T51" s="141"/>
      <c r="U51" s="143"/>
      <c r="V51" s="141"/>
      <c r="W51" s="141"/>
      <c r="X51" s="11"/>
      <c r="Y51" s="11"/>
    </row>
    <row r="52" spans="1:25" ht="15.75" customHeight="1" x14ac:dyDescent="0.3">
      <c r="A52" s="140"/>
      <c r="B52" s="140"/>
      <c r="K52" s="141"/>
      <c r="L52" s="141"/>
      <c r="M52" s="143"/>
      <c r="N52" s="11"/>
      <c r="O52" s="142"/>
      <c r="P52" s="142"/>
      <c r="Q52" s="143"/>
      <c r="R52" s="142"/>
      <c r="S52" s="141"/>
      <c r="T52" s="141"/>
      <c r="U52" s="143"/>
      <c r="V52" s="141"/>
      <c r="W52" s="141"/>
      <c r="X52" s="11"/>
      <c r="Y52" s="11"/>
    </row>
    <row r="53" spans="1:25" ht="15.75" customHeight="1" x14ac:dyDescent="0.3">
      <c r="A53" s="140"/>
      <c r="B53" s="140"/>
      <c r="K53" s="141"/>
      <c r="L53" s="141"/>
      <c r="M53" s="143"/>
      <c r="N53" s="11"/>
      <c r="O53" s="142"/>
      <c r="P53" s="142"/>
      <c r="Q53" s="143"/>
      <c r="R53" s="142"/>
      <c r="S53" s="141"/>
      <c r="T53" s="141"/>
      <c r="U53" s="143"/>
      <c r="V53" s="141"/>
      <c r="W53" s="141"/>
      <c r="X53" s="11"/>
      <c r="Y53" s="11"/>
    </row>
    <row r="54" spans="1:25" ht="15.75" customHeight="1" x14ac:dyDescent="0.3">
      <c r="A54" s="140"/>
      <c r="B54" s="140"/>
      <c r="K54" s="141"/>
      <c r="L54" s="141"/>
      <c r="M54" s="143"/>
      <c r="N54" s="11"/>
      <c r="O54" s="142"/>
      <c r="P54" s="142"/>
      <c r="Q54" s="143"/>
      <c r="R54" s="142"/>
      <c r="S54" s="141"/>
      <c r="T54" s="141"/>
      <c r="U54" s="143"/>
      <c r="V54" s="141"/>
      <c r="W54" s="141"/>
      <c r="X54" s="11"/>
      <c r="Y54" s="11"/>
    </row>
    <row r="55" spans="1:25" ht="15.75" customHeight="1" x14ac:dyDescent="0.3">
      <c r="A55" s="140"/>
      <c r="B55" s="140"/>
      <c r="K55" s="141"/>
      <c r="L55" s="141"/>
      <c r="M55" s="143"/>
      <c r="N55" s="11"/>
      <c r="O55" s="142"/>
      <c r="P55" s="142"/>
      <c r="Q55" s="143"/>
      <c r="R55" s="142"/>
      <c r="S55" s="141"/>
      <c r="T55" s="141"/>
      <c r="U55" s="143"/>
      <c r="V55" s="141"/>
      <c r="W55" s="141"/>
      <c r="X55" s="11"/>
      <c r="Y55" s="11"/>
    </row>
    <row r="56" spans="1:25" ht="15.75" customHeight="1" x14ac:dyDescent="0.3">
      <c r="A56" s="140"/>
      <c r="B56" s="140"/>
      <c r="K56" s="141"/>
      <c r="L56" s="141"/>
      <c r="M56" s="143"/>
      <c r="N56" s="11"/>
      <c r="O56" s="142"/>
      <c r="P56" s="142"/>
      <c r="Q56" s="143"/>
      <c r="R56" s="142"/>
      <c r="S56" s="141"/>
      <c r="T56" s="141"/>
      <c r="U56" s="143"/>
      <c r="V56" s="141"/>
      <c r="W56" s="141"/>
      <c r="X56" s="11"/>
      <c r="Y56" s="11"/>
    </row>
    <row r="57" spans="1:25" ht="15.75" customHeight="1" x14ac:dyDescent="0.3">
      <c r="A57" s="140"/>
      <c r="B57" s="140"/>
      <c r="K57" s="141"/>
      <c r="L57" s="141"/>
      <c r="M57" s="143"/>
      <c r="N57" s="11"/>
      <c r="O57" s="142"/>
      <c r="P57" s="142"/>
      <c r="Q57" s="143"/>
      <c r="R57" s="142"/>
      <c r="S57" s="141"/>
      <c r="T57" s="141"/>
      <c r="U57" s="143"/>
      <c r="V57" s="141"/>
      <c r="W57" s="141"/>
      <c r="X57" s="11"/>
      <c r="Y57" s="11"/>
    </row>
    <row r="58" spans="1:25" ht="15.75" customHeight="1" x14ac:dyDescent="0.3">
      <c r="A58" s="140"/>
      <c r="B58" s="140"/>
      <c r="K58" s="141"/>
      <c r="L58" s="141"/>
      <c r="M58" s="143"/>
      <c r="N58" s="11"/>
      <c r="O58" s="142"/>
      <c r="P58" s="142"/>
      <c r="Q58" s="143"/>
      <c r="R58" s="142"/>
      <c r="S58" s="141"/>
      <c r="T58" s="141"/>
      <c r="U58" s="143"/>
      <c r="V58" s="141"/>
      <c r="W58" s="141"/>
      <c r="X58" s="11"/>
      <c r="Y58" s="11"/>
    </row>
    <row r="59" spans="1:25" ht="15.75" customHeight="1" x14ac:dyDescent="0.3">
      <c r="A59" s="140"/>
      <c r="B59" s="140"/>
      <c r="K59" s="141"/>
      <c r="L59" s="141"/>
      <c r="M59" s="143"/>
      <c r="N59" s="11"/>
      <c r="O59" s="142"/>
      <c r="P59" s="142"/>
      <c r="Q59" s="143"/>
      <c r="R59" s="142"/>
      <c r="S59" s="141"/>
      <c r="T59" s="141"/>
      <c r="U59" s="143"/>
      <c r="V59" s="141"/>
      <c r="W59" s="141"/>
      <c r="X59" s="11"/>
      <c r="Y59" s="11"/>
    </row>
    <row r="60" spans="1:25" ht="15.75" customHeight="1" x14ac:dyDescent="0.3">
      <c r="A60" s="140"/>
      <c r="B60" s="140"/>
      <c r="K60" s="141"/>
      <c r="L60" s="141"/>
      <c r="M60" s="143"/>
      <c r="N60" s="11"/>
      <c r="O60" s="142"/>
      <c r="P60" s="142"/>
      <c r="Q60" s="143"/>
      <c r="R60" s="142"/>
      <c r="S60" s="141"/>
      <c r="T60" s="141"/>
      <c r="U60" s="143"/>
      <c r="V60" s="141"/>
      <c r="W60" s="141"/>
      <c r="X60" s="11"/>
      <c r="Y60" s="11"/>
    </row>
    <row r="61" spans="1:25" ht="15.75" customHeight="1" x14ac:dyDescent="0.3">
      <c r="A61" s="140"/>
      <c r="B61" s="140"/>
      <c r="K61" s="141"/>
      <c r="L61" s="141"/>
      <c r="M61" s="143"/>
      <c r="N61" s="11"/>
      <c r="O61" s="142"/>
      <c r="P61" s="142"/>
      <c r="Q61" s="143"/>
      <c r="R61" s="142"/>
      <c r="S61" s="141"/>
      <c r="T61" s="141"/>
      <c r="U61" s="143"/>
      <c r="V61" s="141"/>
      <c r="W61" s="141"/>
      <c r="X61" s="11"/>
      <c r="Y61" s="11"/>
    </row>
    <row r="62" spans="1:25" ht="15.75" customHeight="1" x14ac:dyDescent="0.3">
      <c r="A62" s="140"/>
      <c r="B62" s="140"/>
      <c r="K62" s="141"/>
      <c r="L62" s="141"/>
      <c r="M62" s="143"/>
      <c r="N62" s="11"/>
      <c r="O62" s="142"/>
      <c r="P62" s="142"/>
      <c r="Q62" s="143"/>
      <c r="R62" s="142"/>
      <c r="S62" s="141"/>
      <c r="T62" s="141"/>
      <c r="U62" s="143"/>
      <c r="V62" s="141"/>
      <c r="W62" s="141"/>
      <c r="X62" s="11"/>
      <c r="Y62" s="11"/>
    </row>
    <row r="63" spans="1:25" ht="15.75" customHeight="1" x14ac:dyDescent="0.3">
      <c r="A63" s="140"/>
      <c r="B63" s="140"/>
      <c r="K63" s="141"/>
      <c r="L63" s="141"/>
      <c r="M63" s="143"/>
      <c r="N63" s="11"/>
      <c r="O63" s="142"/>
      <c r="P63" s="142"/>
      <c r="Q63" s="143"/>
      <c r="R63" s="142"/>
      <c r="S63" s="141"/>
      <c r="T63" s="141"/>
      <c r="U63" s="143"/>
      <c r="V63" s="141"/>
      <c r="W63" s="141"/>
      <c r="X63" s="11"/>
      <c r="Y63" s="11"/>
    </row>
    <row r="64" spans="1:25" ht="15.75" customHeight="1" x14ac:dyDescent="0.3">
      <c r="A64" s="140"/>
      <c r="B64" s="140"/>
      <c r="K64" s="141"/>
      <c r="L64" s="141"/>
      <c r="M64" s="143"/>
      <c r="N64" s="11"/>
      <c r="O64" s="142"/>
      <c r="P64" s="142"/>
      <c r="Q64" s="143"/>
      <c r="R64" s="142"/>
      <c r="S64" s="141"/>
      <c r="T64" s="141"/>
      <c r="U64" s="143"/>
      <c r="V64" s="141"/>
      <c r="W64" s="141"/>
      <c r="X64" s="11"/>
      <c r="Y64" s="11"/>
    </row>
    <row r="65" spans="1:25" ht="15.75" customHeight="1" x14ac:dyDescent="0.3">
      <c r="A65" s="140"/>
      <c r="B65" s="140"/>
      <c r="K65" s="141"/>
      <c r="L65" s="141"/>
      <c r="M65" s="143"/>
      <c r="N65" s="11"/>
      <c r="O65" s="142"/>
      <c r="P65" s="142"/>
      <c r="Q65" s="143"/>
      <c r="R65" s="142"/>
      <c r="S65" s="141"/>
      <c r="T65" s="141"/>
      <c r="U65" s="143"/>
      <c r="V65" s="141"/>
      <c r="W65" s="141"/>
      <c r="X65" s="11"/>
      <c r="Y65" s="11"/>
    </row>
    <row r="66" spans="1:25" ht="15.75" customHeight="1" x14ac:dyDescent="0.3">
      <c r="A66" s="140"/>
      <c r="B66" s="140"/>
      <c r="K66" s="141"/>
      <c r="L66" s="141"/>
      <c r="M66" s="143"/>
      <c r="N66" s="11"/>
      <c r="O66" s="142"/>
      <c r="P66" s="142"/>
      <c r="Q66" s="143"/>
      <c r="R66" s="142"/>
      <c r="S66" s="141"/>
      <c r="T66" s="141"/>
      <c r="U66" s="143"/>
      <c r="V66" s="141"/>
      <c r="W66" s="141"/>
      <c r="X66" s="11"/>
      <c r="Y66" s="11"/>
    </row>
    <row r="67" spans="1:25" ht="15.75" customHeight="1" x14ac:dyDescent="0.3">
      <c r="A67" s="140"/>
      <c r="B67" s="140"/>
      <c r="K67" s="141"/>
      <c r="L67" s="141"/>
      <c r="M67" s="143"/>
      <c r="N67" s="11"/>
      <c r="O67" s="142"/>
      <c r="P67" s="142"/>
      <c r="Q67" s="143"/>
      <c r="R67" s="142"/>
      <c r="S67" s="141"/>
      <c r="T67" s="141"/>
      <c r="U67" s="143"/>
      <c r="V67" s="141"/>
      <c r="W67" s="141"/>
      <c r="X67" s="11"/>
      <c r="Y67" s="11"/>
    </row>
    <row r="68" spans="1:25" ht="15.75" customHeight="1" x14ac:dyDescent="0.3">
      <c r="A68" s="140"/>
      <c r="B68" s="140"/>
      <c r="K68" s="141"/>
      <c r="L68" s="141"/>
      <c r="M68" s="143"/>
      <c r="N68" s="11"/>
      <c r="O68" s="142"/>
      <c r="P68" s="142"/>
      <c r="Q68" s="143"/>
      <c r="R68" s="142"/>
      <c r="S68" s="141"/>
      <c r="T68" s="141"/>
      <c r="U68" s="143"/>
      <c r="V68" s="141"/>
      <c r="W68" s="141"/>
      <c r="X68" s="11"/>
      <c r="Y68" s="11"/>
    </row>
    <row r="69" spans="1:25" ht="15.75" customHeight="1" x14ac:dyDescent="0.3">
      <c r="A69" s="140"/>
      <c r="B69" s="140"/>
      <c r="K69" s="141"/>
      <c r="L69" s="141"/>
      <c r="M69" s="143"/>
      <c r="N69" s="11"/>
      <c r="O69" s="142"/>
      <c r="P69" s="142"/>
      <c r="Q69" s="143"/>
      <c r="R69" s="142"/>
      <c r="S69" s="141"/>
      <c r="T69" s="141"/>
      <c r="U69" s="143"/>
      <c r="V69" s="141"/>
      <c r="W69" s="141"/>
      <c r="X69" s="11"/>
      <c r="Y69" s="11"/>
    </row>
    <row r="70" spans="1:25" ht="15.75" customHeight="1" x14ac:dyDescent="0.3">
      <c r="A70" s="140"/>
      <c r="B70" s="140"/>
      <c r="K70" s="141"/>
      <c r="L70" s="141"/>
      <c r="M70" s="143"/>
      <c r="N70" s="11"/>
      <c r="O70" s="142"/>
      <c r="P70" s="142"/>
      <c r="Q70" s="143"/>
      <c r="R70" s="142"/>
      <c r="S70" s="141"/>
      <c r="T70" s="141"/>
      <c r="U70" s="143"/>
      <c r="V70" s="141"/>
      <c r="W70" s="141"/>
      <c r="X70" s="11"/>
      <c r="Y70" s="11"/>
    </row>
    <row r="71" spans="1:25" ht="15.75" customHeight="1" x14ac:dyDescent="0.3">
      <c r="A71" s="140"/>
      <c r="B71" s="140"/>
      <c r="K71" s="141"/>
      <c r="L71" s="141"/>
      <c r="M71" s="143"/>
      <c r="N71" s="11"/>
      <c r="O71" s="142"/>
      <c r="P71" s="142"/>
      <c r="Q71" s="143"/>
      <c r="R71" s="142"/>
      <c r="S71" s="141"/>
      <c r="T71" s="141"/>
      <c r="U71" s="143"/>
      <c r="V71" s="141"/>
      <c r="W71" s="141"/>
      <c r="X71" s="11"/>
      <c r="Y71" s="11"/>
    </row>
    <row r="72" spans="1:25" ht="15.75" customHeight="1" x14ac:dyDescent="0.3">
      <c r="A72" s="140"/>
      <c r="B72" s="140"/>
      <c r="K72" s="141"/>
      <c r="L72" s="141"/>
      <c r="M72" s="143"/>
      <c r="N72" s="11"/>
      <c r="O72" s="142"/>
      <c r="P72" s="142"/>
      <c r="Q72" s="143"/>
      <c r="R72" s="142"/>
      <c r="S72" s="141"/>
      <c r="T72" s="141"/>
      <c r="U72" s="143"/>
      <c r="V72" s="141"/>
      <c r="W72" s="141"/>
      <c r="X72" s="11"/>
      <c r="Y72" s="11"/>
    </row>
    <row r="73" spans="1:25" ht="15.75" customHeight="1" x14ac:dyDescent="0.3">
      <c r="A73" s="140"/>
      <c r="B73" s="140"/>
      <c r="K73" s="141"/>
      <c r="L73" s="141"/>
      <c r="M73" s="143"/>
      <c r="N73" s="11"/>
      <c r="O73" s="142"/>
      <c r="P73" s="142"/>
      <c r="Q73" s="143"/>
      <c r="R73" s="142"/>
      <c r="S73" s="141"/>
      <c r="T73" s="141"/>
      <c r="U73" s="143"/>
      <c r="V73" s="141"/>
      <c r="W73" s="141"/>
      <c r="X73" s="11"/>
      <c r="Y73" s="11"/>
    </row>
    <row r="74" spans="1:25" ht="15.75" customHeight="1" x14ac:dyDescent="0.3">
      <c r="A74" s="140"/>
      <c r="B74" s="140"/>
      <c r="K74" s="141"/>
      <c r="L74" s="141"/>
      <c r="M74" s="143"/>
      <c r="N74" s="11"/>
      <c r="O74" s="142"/>
      <c r="P74" s="142"/>
      <c r="Q74" s="143"/>
      <c r="R74" s="142"/>
      <c r="S74" s="141"/>
      <c r="T74" s="141"/>
      <c r="U74" s="143"/>
      <c r="V74" s="141"/>
      <c r="W74" s="141"/>
      <c r="X74" s="11"/>
      <c r="Y74" s="11"/>
    </row>
    <row r="75" spans="1:25" ht="15.75" customHeight="1" x14ac:dyDescent="0.3">
      <c r="A75" s="140"/>
      <c r="B75" s="140"/>
      <c r="K75" s="141"/>
      <c r="L75" s="141"/>
      <c r="M75" s="143"/>
      <c r="N75" s="11"/>
      <c r="O75" s="142"/>
      <c r="P75" s="142"/>
      <c r="Q75" s="143"/>
      <c r="R75" s="142"/>
      <c r="S75" s="141"/>
      <c r="T75" s="141"/>
      <c r="U75" s="143"/>
      <c r="V75" s="141"/>
      <c r="W75" s="141"/>
      <c r="X75" s="11"/>
      <c r="Y75" s="11"/>
    </row>
    <row r="76" spans="1:25" ht="15.75" customHeight="1" x14ac:dyDescent="0.3">
      <c r="A76" s="140"/>
      <c r="B76" s="140"/>
      <c r="K76" s="141"/>
      <c r="L76" s="141"/>
      <c r="M76" s="143"/>
      <c r="N76" s="11"/>
      <c r="O76" s="142"/>
      <c r="P76" s="142"/>
      <c r="Q76" s="143"/>
      <c r="R76" s="142"/>
      <c r="S76" s="141"/>
      <c r="T76" s="141"/>
      <c r="U76" s="143"/>
      <c r="V76" s="141"/>
      <c r="W76" s="141"/>
      <c r="X76" s="11"/>
      <c r="Y76" s="11"/>
    </row>
    <row r="77" spans="1:25" ht="15.75" customHeight="1" x14ac:dyDescent="0.3">
      <c r="A77" s="140"/>
      <c r="B77" s="140"/>
      <c r="K77" s="141"/>
      <c r="L77" s="141"/>
      <c r="M77" s="143"/>
      <c r="N77" s="11"/>
      <c r="O77" s="142"/>
      <c r="P77" s="142"/>
      <c r="Q77" s="143"/>
      <c r="R77" s="142"/>
      <c r="S77" s="141"/>
      <c r="T77" s="141"/>
      <c r="U77" s="143"/>
      <c r="V77" s="141"/>
      <c r="W77" s="141"/>
      <c r="X77" s="11"/>
      <c r="Y77" s="11"/>
    </row>
    <row r="78" spans="1:25" ht="15.75" customHeight="1" x14ac:dyDescent="0.3">
      <c r="A78" s="140"/>
      <c r="B78" s="140"/>
      <c r="K78" s="141"/>
      <c r="L78" s="141"/>
      <c r="M78" s="143"/>
      <c r="N78" s="11"/>
      <c r="O78" s="142"/>
      <c r="P78" s="142"/>
      <c r="Q78" s="143"/>
      <c r="R78" s="142"/>
      <c r="S78" s="141"/>
      <c r="T78" s="141"/>
      <c r="U78" s="143"/>
      <c r="V78" s="141"/>
      <c r="W78" s="141"/>
      <c r="X78" s="11"/>
      <c r="Y78" s="11"/>
    </row>
    <row r="79" spans="1:25" ht="15.75" customHeight="1" x14ac:dyDescent="0.3">
      <c r="A79" s="140"/>
      <c r="B79" s="140"/>
      <c r="K79" s="141"/>
      <c r="L79" s="141"/>
      <c r="M79" s="143"/>
      <c r="N79" s="11"/>
      <c r="O79" s="142"/>
      <c r="P79" s="142"/>
      <c r="Q79" s="143"/>
      <c r="R79" s="142"/>
      <c r="S79" s="141"/>
      <c r="T79" s="141"/>
      <c r="U79" s="143"/>
      <c r="V79" s="141"/>
      <c r="W79" s="141"/>
      <c r="X79" s="11"/>
      <c r="Y79" s="11"/>
    </row>
    <row r="80" spans="1:25" ht="15.75" customHeight="1" x14ac:dyDescent="0.3">
      <c r="A80" s="140"/>
      <c r="B80" s="140"/>
      <c r="K80" s="141"/>
      <c r="L80" s="141"/>
      <c r="M80" s="143"/>
      <c r="N80" s="11"/>
      <c r="O80" s="142"/>
      <c r="P80" s="142"/>
      <c r="Q80" s="143"/>
      <c r="R80" s="142"/>
      <c r="S80" s="141"/>
      <c r="T80" s="141"/>
      <c r="U80" s="143"/>
      <c r="V80" s="141"/>
      <c r="W80" s="141"/>
      <c r="X80" s="11"/>
      <c r="Y80" s="11"/>
    </row>
    <row r="81" spans="1:25" ht="15.75" customHeight="1" x14ac:dyDescent="0.3">
      <c r="A81" s="140"/>
      <c r="B81" s="140"/>
      <c r="K81" s="141"/>
      <c r="L81" s="141"/>
      <c r="M81" s="143"/>
      <c r="N81" s="11"/>
      <c r="O81" s="142"/>
      <c r="P81" s="142"/>
      <c r="Q81" s="143"/>
      <c r="R81" s="142"/>
      <c r="S81" s="141"/>
      <c r="T81" s="141"/>
      <c r="U81" s="143"/>
      <c r="V81" s="141"/>
      <c r="W81" s="141"/>
      <c r="X81" s="11"/>
      <c r="Y81" s="11"/>
    </row>
    <row r="82" spans="1:25" ht="15.75" customHeight="1" x14ac:dyDescent="0.3">
      <c r="A82" s="140"/>
      <c r="B82" s="140"/>
      <c r="K82" s="141"/>
      <c r="L82" s="141"/>
      <c r="M82" s="143"/>
      <c r="N82" s="11"/>
      <c r="O82" s="142"/>
      <c r="P82" s="142"/>
      <c r="Q82" s="143"/>
      <c r="R82" s="142"/>
      <c r="S82" s="141"/>
      <c r="T82" s="141"/>
      <c r="U82" s="143"/>
      <c r="V82" s="141"/>
      <c r="W82" s="141"/>
      <c r="X82" s="11"/>
      <c r="Y82" s="11"/>
    </row>
    <row r="83" spans="1:25" ht="15.75" customHeight="1" x14ac:dyDescent="0.3">
      <c r="A83" s="140"/>
      <c r="B83" s="140"/>
      <c r="K83" s="141"/>
      <c r="L83" s="141"/>
      <c r="M83" s="143"/>
      <c r="N83" s="11"/>
      <c r="O83" s="142"/>
      <c r="P83" s="142"/>
      <c r="Q83" s="143"/>
      <c r="R83" s="142"/>
      <c r="S83" s="141"/>
      <c r="T83" s="141"/>
      <c r="U83" s="143"/>
      <c r="V83" s="141"/>
      <c r="W83" s="141"/>
      <c r="X83" s="11"/>
      <c r="Y83" s="11"/>
    </row>
    <row r="84" spans="1:25" ht="15.75" customHeight="1" x14ac:dyDescent="0.3">
      <c r="A84" s="140"/>
      <c r="B84" s="140"/>
      <c r="K84" s="141"/>
      <c r="L84" s="141"/>
      <c r="M84" s="143"/>
      <c r="N84" s="11"/>
      <c r="O84" s="142"/>
      <c r="P84" s="142"/>
      <c r="Q84" s="143"/>
      <c r="R84" s="142"/>
      <c r="S84" s="141"/>
      <c r="T84" s="141"/>
      <c r="U84" s="143"/>
      <c r="V84" s="141"/>
      <c r="W84" s="141"/>
      <c r="X84" s="11"/>
      <c r="Y84" s="11"/>
    </row>
    <row r="85" spans="1:25" ht="15.75" customHeight="1" x14ac:dyDescent="0.3">
      <c r="A85" s="140"/>
      <c r="B85" s="140"/>
      <c r="K85" s="141"/>
      <c r="L85" s="141"/>
      <c r="M85" s="143"/>
      <c r="N85" s="11"/>
      <c r="O85" s="142"/>
      <c r="P85" s="142"/>
      <c r="Q85" s="143"/>
      <c r="R85" s="142"/>
      <c r="S85" s="141"/>
      <c r="T85" s="141"/>
      <c r="U85" s="143"/>
      <c r="V85" s="141"/>
      <c r="W85" s="141"/>
      <c r="X85" s="11"/>
      <c r="Y85" s="11"/>
    </row>
    <row r="86" spans="1:25" ht="15.75" customHeight="1" x14ac:dyDescent="0.3">
      <c r="A86" s="140"/>
      <c r="B86" s="140"/>
      <c r="K86" s="141"/>
      <c r="L86" s="141"/>
      <c r="M86" s="143"/>
      <c r="N86" s="11"/>
      <c r="O86" s="142"/>
      <c r="P86" s="142"/>
      <c r="Q86" s="143"/>
      <c r="R86" s="142"/>
      <c r="S86" s="141"/>
      <c r="T86" s="141"/>
      <c r="U86" s="143"/>
      <c r="V86" s="141"/>
      <c r="W86" s="141"/>
      <c r="X86" s="11"/>
      <c r="Y86" s="11"/>
    </row>
    <row r="87" spans="1:25" ht="15.75" customHeight="1" x14ac:dyDescent="0.3">
      <c r="A87" s="140"/>
      <c r="B87" s="140"/>
      <c r="K87" s="141"/>
      <c r="L87" s="141"/>
      <c r="M87" s="143"/>
      <c r="N87" s="11"/>
      <c r="O87" s="142"/>
      <c r="P87" s="142"/>
      <c r="Q87" s="143"/>
      <c r="R87" s="142"/>
      <c r="S87" s="141"/>
      <c r="T87" s="141"/>
      <c r="U87" s="143"/>
      <c r="V87" s="141"/>
      <c r="W87" s="141"/>
      <c r="X87" s="11"/>
      <c r="Y87" s="11"/>
    </row>
    <row r="88" spans="1:25" ht="15.75" customHeight="1" x14ac:dyDescent="0.3">
      <c r="A88" s="140"/>
      <c r="B88" s="140"/>
      <c r="K88" s="141"/>
      <c r="L88" s="141"/>
      <c r="M88" s="143"/>
      <c r="N88" s="11"/>
      <c r="O88" s="142"/>
      <c r="P88" s="142"/>
      <c r="Q88" s="143"/>
      <c r="R88" s="142"/>
      <c r="S88" s="141"/>
      <c r="T88" s="141"/>
      <c r="U88" s="143"/>
      <c r="V88" s="141"/>
      <c r="W88" s="141"/>
      <c r="X88" s="11"/>
      <c r="Y88" s="11"/>
    </row>
    <row r="89" spans="1:25" ht="15.75" customHeight="1" x14ac:dyDescent="0.3">
      <c r="A89" s="140"/>
      <c r="B89" s="140"/>
      <c r="K89" s="141"/>
      <c r="L89" s="141"/>
      <c r="M89" s="143"/>
      <c r="N89" s="11"/>
      <c r="O89" s="142"/>
      <c r="P89" s="142"/>
      <c r="Q89" s="143"/>
      <c r="R89" s="142"/>
      <c r="S89" s="141"/>
      <c r="T89" s="141"/>
      <c r="U89" s="143"/>
      <c r="V89" s="141"/>
      <c r="W89" s="141"/>
      <c r="X89" s="11"/>
      <c r="Y89" s="11"/>
    </row>
    <row r="90" spans="1:25" ht="15.75" customHeight="1" x14ac:dyDescent="0.3">
      <c r="A90" s="140"/>
      <c r="B90" s="140"/>
      <c r="K90" s="141"/>
      <c r="L90" s="141"/>
      <c r="M90" s="143"/>
      <c r="N90" s="11"/>
      <c r="O90" s="142"/>
      <c r="P90" s="142"/>
      <c r="Q90" s="143"/>
      <c r="R90" s="142"/>
      <c r="S90" s="141"/>
      <c r="T90" s="141"/>
      <c r="U90" s="143"/>
      <c r="V90" s="141"/>
      <c r="W90" s="141"/>
      <c r="X90" s="11"/>
      <c r="Y90" s="11"/>
    </row>
    <row r="91" spans="1:25" ht="15.75" customHeight="1" x14ac:dyDescent="0.3">
      <c r="A91" s="140"/>
      <c r="B91" s="140"/>
      <c r="K91" s="141"/>
      <c r="L91" s="141"/>
      <c r="M91" s="143"/>
      <c r="N91" s="11"/>
      <c r="O91" s="142"/>
      <c r="P91" s="142"/>
      <c r="Q91" s="143"/>
      <c r="R91" s="142"/>
      <c r="S91" s="141"/>
      <c r="T91" s="141"/>
      <c r="U91" s="143"/>
      <c r="V91" s="141"/>
      <c r="W91" s="141"/>
      <c r="X91" s="11"/>
      <c r="Y91" s="11"/>
    </row>
    <row r="92" spans="1:25" ht="15.75" customHeight="1" x14ac:dyDescent="0.3">
      <c r="A92" s="140"/>
      <c r="B92" s="140"/>
      <c r="K92" s="141"/>
      <c r="L92" s="141"/>
      <c r="M92" s="143"/>
      <c r="N92" s="11"/>
      <c r="O92" s="142"/>
      <c r="P92" s="142"/>
      <c r="Q92" s="143"/>
      <c r="R92" s="142"/>
      <c r="S92" s="141"/>
      <c r="T92" s="141"/>
      <c r="U92" s="143"/>
      <c r="V92" s="141"/>
      <c r="W92" s="141"/>
      <c r="X92" s="11"/>
      <c r="Y92" s="11"/>
    </row>
    <row r="93" spans="1:25" ht="15.75" customHeight="1" x14ac:dyDescent="0.3">
      <c r="A93" s="140"/>
      <c r="B93" s="140"/>
      <c r="K93" s="141"/>
      <c r="L93" s="141"/>
      <c r="M93" s="143"/>
      <c r="N93" s="11"/>
      <c r="O93" s="142"/>
      <c r="P93" s="142"/>
      <c r="Q93" s="143"/>
      <c r="R93" s="142"/>
      <c r="S93" s="141"/>
      <c r="T93" s="141"/>
      <c r="U93" s="143"/>
      <c r="V93" s="141"/>
      <c r="W93" s="141"/>
      <c r="X93" s="11"/>
      <c r="Y93" s="11"/>
    </row>
    <row r="94" spans="1:25" ht="15.75" customHeight="1" x14ac:dyDescent="0.3">
      <c r="A94" s="140"/>
      <c r="B94" s="140"/>
      <c r="K94" s="141"/>
      <c r="L94" s="141"/>
      <c r="M94" s="143"/>
      <c r="N94" s="11"/>
      <c r="O94" s="142"/>
      <c r="P94" s="142"/>
      <c r="Q94" s="143"/>
      <c r="R94" s="142"/>
      <c r="S94" s="141"/>
      <c r="T94" s="141"/>
      <c r="U94" s="143"/>
      <c r="V94" s="141"/>
      <c r="W94" s="141"/>
      <c r="X94" s="11"/>
      <c r="Y94" s="11"/>
    </row>
    <row r="95" spans="1:25" ht="15.75" customHeight="1" x14ac:dyDescent="0.3">
      <c r="A95" s="140"/>
      <c r="B95" s="140"/>
      <c r="K95" s="141"/>
      <c r="L95" s="141"/>
      <c r="M95" s="143"/>
      <c r="N95" s="11"/>
      <c r="O95" s="142"/>
      <c r="P95" s="142"/>
      <c r="Q95" s="143"/>
      <c r="R95" s="142"/>
      <c r="S95" s="141"/>
      <c r="T95" s="141"/>
      <c r="U95" s="143"/>
      <c r="V95" s="141"/>
      <c r="W95" s="141"/>
      <c r="X95" s="11"/>
      <c r="Y95" s="11"/>
    </row>
    <row r="96" spans="1:25" ht="15.75" customHeight="1" x14ac:dyDescent="0.3">
      <c r="A96" s="140"/>
      <c r="B96" s="140"/>
      <c r="K96" s="141"/>
      <c r="L96" s="141"/>
      <c r="M96" s="143"/>
      <c r="N96" s="11"/>
      <c r="O96" s="142"/>
      <c r="P96" s="142"/>
      <c r="Q96" s="143"/>
      <c r="R96" s="142"/>
      <c r="S96" s="141"/>
      <c r="T96" s="141"/>
      <c r="U96" s="143"/>
      <c r="V96" s="141"/>
      <c r="W96" s="141"/>
      <c r="X96" s="11"/>
      <c r="Y96" s="11"/>
    </row>
    <row r="97" spans="1:25" ht="15.75" customHeight="1" x14ac:dyDescent="0.3">
      <c r="A97" s="140"/>
      <c r="B97" s="140"/>
      <c r="K97" s="141"/>
      <c r="L97" s="141"/>
      <c r="M97" s="143"/>
      <c r="N97" s="11"/>
      <c r="O97" s="142"/>
      <c r="P97" s="142"/>
      <c r="Q97" s="143"/>
      <c r="R97" s="142"/>
      <c r="S97" s="141"/>
      <c r="T97" s="141"/>
      <c r="U97" s="143"/>
      <c r="V97" s="141"/>
      <c r="W97" s="141"/>
      <c r="X97" s="11"/>
      <c r="Y97" s="11"/>
    </row>
    <row r="98" spans="1:25" ht="15.75" customHeight="1" x14ac:dyDescent="0.3">
      <c r="A98" s="140"/>
      <c r="B98" s="140"/>
      <c r="K98" s="141"/>
      <c r="L98" s="141"/>
      <c r="M98" s="143"/>
      <c r="N98" s="11"/>
      <c r="O98" s="142"/>
      <c r="P98" s="142"/>
      <c r="Q98" s="143"/>
      <c r="R98" s="142"/>
      <c r="S98" s="141"/>
      <c r="T98" s="141"/>
      <c r="U98" s="143"/>
      <c r="V98" s="141"/>
      <c r="W98" s="141"/>
      <c r="X98" s="11"/>
      <c r="Y98" s="11"/>
    </row>
    <row r="99" spans="1:25" ht="15.75" customHeight="1" x14ac:dyDescent="0.3">
      <c r="A99" s="140"/>
      <c r="B99" s="140"/>
      <c r="K99" s="141"/>
      <c r="L99" s="141"/>
      <c r="M99" s="143"/>
      <c r="N99" s="11"/>
      <c r="O99" s="142"/>
      <c r="P99" s="142"/>
      <c r="Q99" s="143"/>
      <c r="R99" s="142"/>
      <c r="S99" s="141"/>
      <c r="T99" s="141"/>
      <c r="U99" s="143"/>
      <c r="V99" s="141"/>
      <c r="W99" s="141"/>
      <c r="X99" s="11"/>
      <c r="Y99" s="11"/>
    </row>
    <row r="100" spans="1:25" ht="15.75" customHeight="1" x14ac:dyDescent="0.3">
      <c r="A100" s="140"/>
      <c r="B100" s="140"/>
      <c r="K100" s="141"/>
      <c r="L100" s="141"/>
      <c r="M100" s="143"/>
      <c r="N100" s="11"/>
      <c r="O100" s="142"/>
      <c r="P100" s="142"/>
      <c r="Q100" s="143"/>
      <c r="R100" s="142"/>
      <c r="S100" s="141"/>
      <c r="T100" s="141"/>
      <c r="U100" s="143"/>
      <c r="V100" s="141"/>
      <c r="W100" s="141"/>
      <c r="X100" s="11"/>
      <c r="Y100" s="11"/>
    </row>
    <row r="101" spans="1:25" ht="15.75" customHeight="1" x14ac:dyDescent="0.3">
      <c r="A101" s="140"/>
      <c r="B101" s="140"/>
      <c r="K101" s="141"/>
      <c r="L101" s="141"/>
      <c r="M101" s="143"/>
      <c r="N101" s="11"/>
      <c r="O101" s="142"/>
      <c r="P101" s="142"/>
      <c r="Q101" s="143"/>
      <c r="R101" s="142"/>
      <c r="S101" s="141"/>
      <c r="T101" s="141"/>
      <c r="U101" s="143"/>
      <c r="V101" s="141"/>
      <c r="W101" s="141"/>
      <c r="X101" s="11"/>
      <c r="Y101" s="11"/>
    </row>
    <row r="102" spans="1:25" ht="15.75" customHeight="1" x14ac:dyDescent="0.3">
      <c r="A102" s="140"/>
      <c r="B102" s="140"/>
      <c r="K102" s="141"/>
      <c r="L102" s="141"/>
      <c r="M102" s="143"/>
      <c r="N102" s="11"/>
      <c r="O102" s="142"/>
      <c r="P102" s="142"/>
      <c r="Q102" s="143"/>
      <c r="R102" s="142"/>
      <c r="S102" s="141"/>
      <c r="T102" s="141"/>
      <c r="U102" s="143"/>
      <c r="V102" s="141"/>
      <c r="W102" s="141"/>
      <c r="X102" s="11"/>
      <c r="Y102" s="11"/>
    </row>
    <row r="103" spans="1:25" ht="15.75" customHeight="1" x14ac:dyDescent="0.3">
      <c r="A103" s="140"/>
      <c r="B103" s="140"/>
      <c r="K103" s="141"/>
      <c r="L103" s="141"/>
      <c r="M103" s="143"/>
      <c r="N103" s="11"/>
      <c r="O103" s="142"/>
      <c r="P103" s="142"/>
      <c r="Q103" s="143"/>
      <c r="R103" s="142"/>
      <c r="S103" s="141"/>
      <c r="T103" s="141"/>
      <c r="U103" s="143"/>
      <c r="V103" s="141"/>
      <c r="W103" s="141"/>
      <c r="X103" s="11"/>
      <c r="Y103" s="11"/>
    </row>
    <row r="104" spans="1:25" ht="15.75" customHeight="1" x14ac:dyDescent="0.3">
      <c r="A104" s="140"/>
      <c r="B104" s="140"/>
      <c r="K104" s="141"/>
      <c r="L104" s="141"/>
      <c r="M104" s="143"/>
      <c r="N104" s="11"/>
      <c r="O104" s="142"/>
      <c r="P104" s="142"/>
      <c r="Q104" s="143"/>
      <c r="R104" s="142"/>
      <c r="S104" s="141"/>
      <c r="T104" s="141"/>
      <c r="U104" s="143"/>
      <c r="V104" s="141"/>
      <c r="W104" s="141"/>
      <c r="X104" s="11"/>
      <c r="Y104" s="11"/>
    </row>
    <row r="105" spans="1:25" ht="15.75" customHeight="1" x14ac:dyDescent="0.3">
      <c r="A105" s="140"/>
      <c r="B105" s="140"/>
      <c r="K105" s="141"/>
      <c r="L105" s="141"/>
      <c r="M105" s="143"/>
      <c r="N105" s="11"/>
      <c r="O105" s="142"/>
      <c r="P105" s="142"/>
      <c r="Q105" s="143"/>
      <c r="R105" s="142"/>
      <c r="S105" s="141"/>
      <c r="T105" s="141"/>
      <c r="U105" s="143"/>
      <c r="V105" s="141"/>
      <c r="W105" s="141"/>
      <c r="X105" s="11"/>
      <c r="Y105" s="11"/>
    </row>
    <row r="106" spans="1:25" ht="15.75" customHeight="1" x14ac:dyDescent="0.3">
      <c r="A106" s="140"/>
      <c r="B106" s="140"/>
      <c r="K106" s="141"/>
      <c r="L106" s="141"/>
      <c r="M106" s="143"/>
      <c r="N106" s="11"/>
      <c r="O106" s="142"/>
      <c r="P106" s="142"/>
      <c r="Q106" s="143"/>
      <c r="R106" s="142"/>
      <c r="S106" s="141"/>
      <c r="T106" s="141"/>
      <c r="U106" s="143"/>
      <c r="V106" s="141"/>
      <c r="W106" s="141"/>
      <c r="X106" s="11"/>
      <c r="Y106" s="11"/>
    </row>
    <row r="107" spans="1:25" ht="15.75" customHeight="1" x14ac:dyDescent="0.3">
      <c r="A107" s="140"/>
      <c r="B107" s="140"/>
      <c r="K107" s="141"/>
      <c r="L107" s="141"/>
      <c r="M107" s="143"/>
      <c r="N107" s="11"/>
      <c r="O107" s="142"/>
      <c r="P107" s="142"/>
      <c r="Q107" s="143"/>
      <c r="R107" s="142"/>
      <c r="S107" s="141"/>
      <c r="T107" s="141"/>
      <c r="U107" s="143"/>
      <c r="V107" s="141"/>
      <c r="W107" s="141"/>
      <c r="X107" s="11"/>
      <c r="Y107" s="11"/>
    </row>
    <row r="108" spans="1:25" ht="15.75" customHeight="1" x14ac:dyDescent="0.3">
      <c r="A108" s="140"/>
      <c r="B108" s="140"/>
      <c r="K108" s="141"/>
      <c r="L108" s="141"/>
      <c r="M108" s="143"/>
      <c r="N108" s="11"/>
      <c r="O108" s="142"/>
      <c r="P108" s="142"/>
      <c r="Q108" s="143"/>
      <c r="R108" s="142"/>
      <c r="S108" s="141"/>
      <c r="T108" s="141"/>
      <c r="U108" s="143"/>
      <c r="V108" s="141"/>
      <c r="W108" s="141"/>
      <c r="X108" s="11"/>
      <c r="Y108" s="11"/>
    </row>
    <row r="109" spans="1:25" ht="15.75" customHeight="1" x14ac:dyDescent="0.3">
      <c r="A109" s="140"/>
      <c r="B109" s="140"/>
      <c r="K109" s="141"/>
      <c r="L109" s="141"/>
      <c r="M109" s="143"/>
      <c r="N109" s="11"/>
      <c r="O109" s="142"/>
      <c r="P109" s="142"/>
      <c r="Q109" s="143"/>
      <c r="R109" s="142"/>
      <c r="S109" s="141"/>
      <c r="T109" s="141"/>
      <c r="U109" s="143"/>
      <c r="V109" s="141"/>
      <c r="W109" s="141"/>
      <c r="X109" s="11"/>
      <c r="Y109" s="11"/>
    </row>
    <row r="110" spans="1:25" ht="15.75" customHeight="1" x14ac:dyDescent="0.3">
      <c r="A110" s="140"/>
      <c r="B110" s="140"/>
      <c r="K110" s="141"/>
      <c r="L110" s="141"/>
      <c r="M110" s="143"/>
      <c r="N110" s="11"/>
      <c r="O110" s="142"/>
      <c r="P110" s="142"/>
      <c r="Q110" s="143"/>
      <c r="R110" s="142"/>
      <c r="S110" s="141"/>
      <c r="T110" s="141"/>
      <c r="U110" s="143"/>
      <c r="V110" s="141"/>
      <c r="W110" s="141"/>
      <c r="X110" s="11"/>
      <c r="Y110" s="11"/>
    </row>
    <row r="111" spans="1:25" ht="15.75" customHeight="1" x14ac:dyDescent="0.3">
      <c r="A111" s="140"/>
      <c r="B111" s="140"/>
      <c r="K111" s="141"/>
      <c r="L111" s="141"/>
      <c r="M111" s="143"/>
      <c r="N111" s="11"/>
      <c r="O111" s="142"/>
      <c r="P111" s="142"/>
      <c r="Q111" s="143"/>
      <c r="R111" s="142"/>
      <c r="S111" s="141"/>
      <c r="T111" s="141"/>
      <c r="U111" s="143"/>
      <c r="V111" s="141"/>
      <c r="W111" s="141"/>
      <c r="X111" s="11"/>
      <c r="Y111" s="11"/>
    </row>
    <row r="112" spans="1:25" ht="15.75" customHeight="1" x14ac:dyDescent="0.3">
      <c r="A112" s="140"/>
      <c r="B112" s="140"/>
      <c r="K112" s="141"/>
      <c r="L112" s="141"/>
      <c r="M112" s="143"/>
      <c r="N112" s="11"/>
      <c r="O112" s="142"/>
      <c r="P112" s="142"/>
      <c r="Q112" s="143"/>
      <c r="R112" s="142"/>
      <c r="S112" s="141"/>
      <c r="T112" s="141"/>
      <c r="U112" s="143"/>
      <c r="V112" s="141"/>
      <c r="W112" s="141"/>
      <c r="X112" s="11"/>
      <c r="Y112" s="11"/>
    </row>
    <row r="113" spans="1:25" ht="15.75" customHeight="1" x14ac:dyDescent="0.3">
      <c r="A113" s="140"/>
      <c r="B113" s="140"/>
      <c r="K113" s="141"/>
      <c r="L113" s="141"/>
      <c r="M113" s="143"/>
      <c r="N113" s="11"/>
      <c r="O113" s="142"/>
      <c r="P113" s="142"/>
      <c r="Q113" s="143"/>
      <c r="R113" s="142"/>
      <c r="S113" s="141"/>
      <c r="T113" s="141"/>
      <c r="U113" s="143"/>
      <c r="V113" s="141"/>
      <c r="W113" s="141"/>
      <c r="X113" s="11"/>
      <c r="Y113" s="11"/>
    </row>
    <row r="114" spans="1:25" ht="15.75" customHeight="1" x14ac:dyDescent="0.3">
      <c r="A114" s="140"/>
      <c r="B114" s="140"/>
      <c r="K114" s="141"/>
      <c r="L114" s="141"/>
      <c r="M114" s="143"/>
      <c r="N114" s="11"/>
      <c r="O114" s="142"/>
      <c r="P114" s="142"/>
      <c r="Q114" s="143"/>
      <c r="R114" s="142"/>
      <c r="S114" s="141"/>
      <c r="T114" s="141"/>
      <c r="U114" s="143"/>
      <c r="V114" s="141"/>
      <c r="W114" s="141"/>
      <c r="X114" s="11"/>
      <c r="Y114" s="11"/>
    </row>
    <row r="115" spans="1:25" ht="15.75" customHeight="1" x14ac:dyDescent="0.3">
      <c r="A115" s="140"/>
      <c r="B115" s="140"/>
      <c r="K115" s="141"/>
      <c r="L115" s="141"/>
      <c r="M115" s="143"/>
      <c r="N115" s="11"/>
      <c r="O115" s="142"/>
      <c r="P115" s="142"/>
      <c r="Q115" s="143"/>
      <c r="R115" s="142"/>
      <c r="S115" s="141"/>
      <c r="T115" s="141"/>
      <c r="U115" s="143"/>
      <c r="V115" s="141"/>
      <c r="W115" s="141"/>
      <c r="X115" s="11"/>
      <c r="Y115" s="11"/>
    </row>
    <row r="116" spans="1:25" ht="15.75" customHeight="1" x14ac:dyDescent="0.3">
      <c r="A116" s="140"/>
      <c r="B116" s="140"/>
      <c r="K116" s="141"/>
      <c r="L116" s="141"/>
      <c r="M116" s="143"/>
      <c r="N116" s="11"/>
      <c r="O116" s="142"/>
      <c r="P116" s="142"/>
      <c r="Q116" s="143"/>
      <c r="R116" s="142"/>
      <c r="S116" s="141"/>
      <c r="T116" s="141"/>
      <c r="U116" s="143"/>
      <c r="V116" s="141"/>
      <c r="W116" s="141"/>
      <c r="X116" s="11"/>
      <c r="Y116" s="11"/>
    </row>
    <row r="117" spans="1:25" ht="15.75" customHeight="1" x14ac:dyDescent="0.3">
      <c r="A117" s="140"/>
      <c r="B117" s="140"/>
      <c r="K117" s="141"/>
      <c r="L117" s="141"/>
      <c r="M117" s="143"/>
      <c r="N117" s="11"/>
      <c r="O117" s="142"/>
      <c r="P117" s="142"/>
      <c r="Q117" s="143"/>
      <c r="R117" s="142"/>
      <c r="S117" s="141"/>
      <c r="T117" s="141"/>
      <c r="U117" s="143"/>
      <c r="V117" s="141"/>
      <c r="W117" s="141"/>
      <c r="X117" s="11"/>
      <c r="Y117" s="11"/>
    </row>
    <row r="118" spans="1:25" ht="15.75" customHeight="1" x14ac:dyDescent="0.3">
      <c r="A118" s="140"/>
      <c r="B118" s="140"/>
      <c r="K118" s="141"/>
      <c r="L118" s="141"/>
      <c r="M118" s="143"/>
      <c r="N118" s="11"/>
      <c r="O118" s="142"/>
      <c r="P118" s="142"/>
      <c r="Q118" s="143"/>
      <c r="R118" s="142"/>
      <c r="S118" s="141"/>
      <c r="T118" s="141"/>
      <c r="U118" s="143"/>
      <c r="V118" s="141"/>
      <c r="W118" s="141"/>
      <c r="X118" s="11"/>
      <c r="Y118" s="11"/>
    </row>
    <row r="119" spans="1:25" ht="15.75" customHeight="1" x14ac:dyDescent="0.3">
      <c r="A119" s="140"/>
      <c r="B119" s="140"/>
      <c r="K119" s="141"/>
      <c r="L119" s="141"/>
      <c r="M119" s="143"/>
      <c r="N119" s="11"/>
      <c r="O119" s="142"/>
      <c r="P119" s="142"/>
      <c r="Q119" s="143"/>
      <c r="R119" s="142"/>
      <c r="S119" s="141"/>
      <c r="T119" s="141"/>
      <c r="U119" s="143"/>
      <c r="V119" s="141"/>
      <c r="W119" s="141"/>
      <c r="X119" s="11"/>
      <c r="Y119" s="11"/>
    </row>
    <row r="120" spans="1:25" ht="15.75" customHeight="1" x14ac:dyDescent="0.3">
      <c r="A120" s="140"/>
      <c r="B120" s="140"/>
      <c r="K120" s="141"/>
      <c r="L120" s="141"/>
      <c r="M120" s="143"/>
      <c r="N120" s="11"/>
      <c r="O120" s="142"/>
      <c r="P120" s="142"/>
      <c r="Q120" s="143"/>
      <c r="R120" s="142"/>
      <c r="S120" s="141"/>
      <c r="T120" s="141"/>
      <c r="U120" s="143"/>
      <c r="V120" s="141"/>
      <c r="W120" s="141"/>
      <c r="X120" s="11"/>
      <c r="Y120" s="11"/>
    </row>
    <row r="121" spans="1:25" ht="15.75" customHeight="1" x14ac:dyDescent="0.3">
      <c r="A121" s="140"/>
      <c r="B121" s="140"/>
      <c r="K121" s="141"/>
      <c r="L121" s="141"/>
      <c r="M121" s="143"/>
      <c r="N121" s="11"/>
      <c r="O121" s="142"/>
      <c r="P121" s="142"/>
      <c r="Q121" s="143"/>
      <c r="R121" s="142"/>
      <c r="S121" s="141"/>
      <c r="T121" s="141"/>
      <c r="U121" s="143"/>
      <c r="V121" s="141"/>
      <c r="W121" s="141"/>
      <c r="X121" s="11"/>
      <c r="Y121" s="11"/>
    </row>
    <row r="122" spans="1:25" ht="15.75" customHeight="1" x14ac:dyDescent="0.3">
      <c r="A122" s="140"/>
      <c r="B122" s="140"/>
      <c r="K122" s="141"/>
      <c r="L122" s="141"/>
      <c r="M122" s="143"/>
      <c r="N122" s="11"/>
      <c r="O122" s="142"/>
      <c r="P122" s="142"/>
      <c r="Q122" s="143"/>
      <c r="R122" s="142"/>
      <c r="S122" s="141"/>
      <c r="T122" s="141"/>
      <c r="U122" s="143"/>
      <c r="V122" s="141"/>
      <c r="W122" s="141"/>
      <c r="X122" s="11"/>
      <c r="Y122" s="11"/>
    </row>
    <row r="123" spans="1:25" ht="15.75" customHeight="1" x14ac:dyDescent="0.3">
      <c r="A123" s="140"/>
      <c r="B123" s="140"/>
      <c r="K123" s="141"/>
      <c r="L123" s="141"/>
      <c r="M123" s="143"/>
      <c r="N123" s="11"/>
      <c r="O123" s="142"/>
      <c r="P123" s="142"/>
      <c r="Q123" s="143"/>
      <c r="R123" s="142"/>
      <c r="S123" s="141"/>
      <c r="T123" s="141"/>
      <c r="U123" s="143"/>
      <c r="V123" s="141"/>
      <c r="W123" s="141"/>
      <c r="X123" s="11"/>
      <c r="Y123" s="11"/>
    </row>
    <row r="124" spans="1:25" ht="15.75" customHeight="1" x14ac:dyDescent="0.3">
      <c r="A124" s="140"/>
      <c r="B124" s="140"/>
      <c r="K124" s="141"/>
      <c r="L124" s="141"/>
      <c r="M124" s="143"/>
      <c r="N124" s="11"/>
      <c r="O124" s="142"/>
      <c r="P124" s="142"/>
      <c r="Q124" s="143"/>
      <c r="R124" s="142"/>
      <c r="S124" s="141"/>
      <c r="T124" s="141"/>
      <c r="U124" s="143"/>
      <c r="V124" s="141"/>
      <c r="W124" s="141"/>
      <c r="X124" s="11"/>
      <c r="Y124" s="11"/>
    </row>
    <row r="125" spans="1:25" ht="15.75" customHeight="1" x14ac:dyDescent="0.3">
      <c r="A125" s="140"/>
      <c r="B125" s="140"/>
      <c r="K125" s="141"/>
      <c r="L125" s="141"/>
      <c r="M125" s="143"/>
      <c r="N125" s="11"/>
      <c r="O125" s="142"/>
      <c r="P125" s="142"/>
      <c r="Q125" s="143"/>
      <c r="R125" s="142"/>
      <c r="S125" s="141"/>
      <c r="T125" s="141"/>
      <c r="U125" s="143"/>
      <c r="V125" s="141"/>
      <c r="W125" s="141"/>
      <c r="X125" s="11"/>
      <c r="Y125" s="11"/>
    </row>
    <row r="126" spans="1:25" ht="15.75" customHeight="1" x14ac:dyDescent="0.3">
      <c r="A126" s="140"/>
      <c r="B126" s="140"/>
      <c r="K126" s="141"/>
      <c r="L126" s="141"/>
      <c r="M126" s="143"/>
      <c r="N126" s="11"/>
      <c r="O126" s="142"/>
      <c r="P126" s="142"/>
      <c r="Q126" s="143"/>
      <c r="R126" s="142"/>
      <c r="S126" s="141"/>
      <c r="T126" s="141"/>
      <c r="U126" s="143"/>
      <c r="V126" s="141"/>
      <c r="W126" s="141"/>
      <c r="X126" s="11"/>
      <c r="Y126" s="11"/>
    </row>
    <row r="127" spans="1:25" ht="15.75" customHeight="1" x14ac:dyDescent="0.3">
      <c r="A127" s="140"/>
      <c r="B127" s="140"/>
      <c r="K127" s="141"/>
      <c r="L127" s="141"/>
      <c r="M127" s="143"/>
      <c r="N127" s="11"/>
      <c r="O127" s="142"/>
      <c r="P127" s="142"/>
      <c r="Q127" s="143"/>
      <c r="R127" s="142"/>
      <c r="S127" s="141"/>
      <c r="T127" s="141"/>
      <c r="U127" s="143"/>
      <c r="V127" s="141"/>
      <c r="W127" s="141"/>
      <c r="X127" s="11"/>
      <c r="Y127" s="11"/>
    </row>
    <row r="128" spans="1:25" ht="15.75" customHeight="1" x14ac:dyDescent="0.3">
      <c r="A128" s="140"/>
      <c r="B128" s="140"/>
      <c r="K128" s="141"/>
      <c r="L128" s="141"/>
      <c r="M128" s="143"/>
      <c r="N128" s="11"/>
      <c r="O128" s="142"/>
      <c r="P128" s="142"/>
      <c r="Q128" s="143"/>
      <c r="R128" s="142"/>
      <c r="S128" s="141"/>
      <c r="T128" s="141"/>
      <c r="U128" s="143"/>
      <c r="V128" s="141"/>
      <c r="W128" s="141"/>
      <c r="X128" s="11"/>
      <c r="Y128" s="11"/>
    </row>
    <row r="129" spans="1:25" ht="15.75" customHeight="1" x14ac:dyDescent="0.3">
      <c r="A129" s="140"/>
      <c r="B129" s="140"/>
      <c r="K129" s="141"/>
      <c r="L129" s="141"/>
      <c r="M129" s="143"/>
      <c r="N129" s="11"/>
      <c r="O129" s="142"/>
      <c r="P129" s="142"/>
      <c r="Q129" s="143"/>
      <c r="R129" s="142"/>
      <c r="S129" s="141"/>
      <c r="T129" s="141"/>
      <c r="U129" s="143"/>
      <c r="V129" s="141"/>
      <c r="W129" s="141"/>
      <c r="X129" s="11"/>
      <c r="Y129" s="11"/>
    </row>
    <row r="130" spans="1:25" ht="15.75" customHeight="1" x14ac:dyDescent="0.3">
      <c r="A130" s="140"/>
      <c r="B130" s="140"/>
      <c r="K130" s="141"/>
      <c r="L130" s="141"/>
      <c r="M130" s="143"/>
      <c r="N130" s="11"/>
      <c r="O130" s="142"/>
      <c r="P130" s="142"/>
      <c r="Q130" s="143"/>
      <c r="R130" s="142"/>
      <c r="S130" s="141"/>
      <c r="T130" s="141"/>
      <c r="U130" s="143"/>
      <c r="V130" s="141"/>
      <c r="W130" s="141"/>
      <c r="X130" s="11"/>
      <c r="Y130" s="11"/>
    </row>
    <row r="131" spans="1:25" ht="15.75" customHeight="1" x14ac:dyDescent="0.3">
      <c r="A131" s="140"/>
      <c r="B131" s="140"/>
      <c r="K131" s="141"/>
      <c r="L131" s="141"/>
      <c r="M131" s="143"/>
      <c r="N131" s="11"/>
      <c r="O131" s="142"/>
      <c r="P131" s="142"/>
      <c r="Q131" s="143"/>
      <c r="R131" s="142"/>
      <c r="S131" s="141"/>
      <c r="T131" s="141"/>
      <c r="U131" s="143"/>
      <c r="V131" s="141"/>
      <c r="W131" s="141"/>
      <c r="X131" s="11"/>
      <c r="Y131" s="11"/>
    </row>
    <row r="132" spans="1:25" ht="15.75" customHeight="1" x14ac:dyDescent="0.3">
      <c r="A132" s="140"/>
      <c r="B132" s="140"/>
      <c r="K132" s="141"/>
      <c r="L132" s="141"/>
      <c r="M132" s="143"/>
      <c r="N132" s="11"/>
      <c r="O132" s="142"/>
      <c r="P132" s="142"/>
      <c r="Q132" s="143"/>
      <c r="R132" s="142"/>
      <c r="S132" s="141"/>
      <c r="T132" s="141"/>
      <c r="U132" s="143"/>
      <c r="V132" s="141"/>
      <c r="W132" s="141"/>
      <c r="X132" s="11"/>
      <c r="Y132" s="11"/>
    </row>
    <row r="133" spans="1:25" ht="15.75" customHeight="1" x14ac:dyDescent="0.3">
      <c r="A133" s="140"/>
      <c r="B133" s="140"/>
      <c r="K133" s="141"/>
      <c r="L133" s="141"/>
      <c r="M133" s="143"/>
      <c r="N133" s="11"/>
      <c r="O133" s="142"/>
      <c r="P133" s="142"/>
      <c r="Q133" s="143"/>
      <c r="R133" s="142"/>
      <c r="S133" s="141"/>
      <c r="T133" s="141"/>
      <c r="U133" s="143"/>
      <c r="V133" s="141"/>
      <c r="W133" s="141"/>
      <c r="X133" s="11"/>
      <c r="Y133" s="11"/>
    </row>
    <row r="134" spans="1:25" ht="15.75" customHeight="1" x14ac:dyDescent="0.3">
      <c r="A134" s="140"/>
      <c r="B134" s="140"/>
      <c r="K134" s="141"/>
      <c r="L134" s="141"/>
      <c r="M134" s="143"/>
      <c r="N134" s="11"/>
      <c r="O134" s="142"/>
      <c r="P134" s="142"/>
      <c r="Q134" s="143"/>
      <c r="R134" s="142"/>
      <c r="S134" s="141"/>
      <c r="T134" s="141"/>
      <c r="U134" s="143"/>
      <c r="V134" s="141"/>
      <c r="W134" s="141"/>
      <c r="X134" s="11"/>
      <c r="Y134" s="11"/>
    </row>
    <row r="135" spans="1:25" ht="15.75" customHeight="1" x14ac:dyDescent="0.3">
      <c r="A135" s="140"/>
      <c r="B135" s="140"/>
      <c r="K135" s="141"/>
      <c r="L135" s="141"/>
      <c r="M135" s="143"/>
      <c r="N135" s="11"/>
      <c r="O135" s="142"/>
      <c r="P135" s="142"/>
      <c r="Q135" s="143"/>
      <c r="R135" s="142"/>
      <c r="S135" s="141"/>
      <c r="T135" s="141"/>
      <c r="U135" s="143"/>
      <c r="V135" s="141"/>
      <c r="W135" s="141"/>
      <c r="X135" s="11"/>
      <c r="Y135" s="11"/>
    </row>
    <row r="136" spans="1:25" ht="15.75" customHeight="1" x14ac:dyDescent="0.3">
      <c r="A136" s="140"/>
      <c r="B136" s="140"/>
      <c r="K136" s="141"/>
      <c r="L136" s="141"/>
      <c r="M136" s="143"/>
      <c r="N136" s="11"/>
      <c r="O136" s="142"/>
      <c r="P136" s="142"/>
      <c r="Q136" s="143"/>
      <c r="R136" s="142"/>
      <c r="S136" s="141"/>
      <c r="T136" s="141"/>
      <c r="U136" s="143"/>
      <c r="V136" s="141"/>
      <c r="W136" s="141"/>
      <c r="X136" s="11"/>
      <c r="Y136" s="11"/>
    </row>
    <row r="137" spans="1:25" ht="15.75" customHeight="1" x14ac:dyDescent="0.3">
      <c r="A137" s="140"/>
      <c r="B137" s="140"/>
      <c r="K137" s="141"/>
      <c r="L137" s="141"/>
      <c r="M137" s="143"/>
      <c r="N137" s="11"/>
      <c r="O137" s="142"/>
      <c r="P137" s="142"/>
      <c r="Q137" s="143"/>
      <c r="R137" s="142"/>
      <c r="S137" s="141"/>
      <c r="T137" s="141"/>
      <c r="U137" s="143"/>
      <c r="V137" s="141"/>
      <c r="W137" s="141"/>
      <c r="X137" s="11"/>
      <c r="Y137" s="11"/>
    </row>
    <row r="138" spans="1:25" ht="15.75" customHeight="1" x14ac:dyDescent="0.3">
      <c r="A138" s="140"/>
      <c r="B138" s="140"/>
      <c r="K138" s="141"/>
      <c r="L138" s="141"/>
      <c r="M138" s="143"/>
      <c r="N138" s="11"/>
      <c r="O138" s="142"/>
      <c r="P138" s="142"/>
      <c r="Q138" s="143"/>
      <c r="R138" s="142"/>
      <c r="S138" s="141"/>
      <c r="T138" s="141"/>
      <c r="U138" s="143"/>
      <c r="V138" s="141"/>
      <c r="W138" s="141"/>
      <c r="X138" s="11"/>
      <c r="Y138" s="11"/>
    </row>
    <row r="139" spans="1:25" ht="15.75" customHeight="1" x14ac:dyDescent="0.3">
      <c r="A139" s="140"/>
      <c r="B139" s="140"/>
      <c r="K139" s="141"/>
      <c r="L139" s="141"/>
      <c r="M139" s="143"/>
      <c r="N139" s="11"/>
      <c r="O139" s="142"/>
      <c r="P139" s="142"/>
      <c r="Q139" s="143"/>
      <c r="R139" s="142"/>
      <c r="S139" s="141"/>
      <c r="T139" s="141"/>
      <c r="U139" s="143"/>
      <c r="V139" s="141"/>
      <c r="W139" s="141"/>
      <c r="X139" s="11"/>
      <c r="Y139" s="11"/>
    </row>
    <row r="140" spans="1:25" ht="15.75" customHeight="1" x14ac:dyDescent="0.3">
      <c r="A140" s="140"/>
      <c r="B140" s="140"/>
      <c r="K140" s="141"/>
      <c r="L140" s="141"/>
      <c r="M140" s="143"/>
      <c r="N140" s="11"/>
      <c r="O140" s="142"/>
      <c r="P140" s="142"/>
      <c r="Q140" s="143"/>
      <c r="R140" s="142"/>
      <c r="S140" s="141"/>
      <c r="T140" s="141"/>
      <c r="U140" s="143"/>
      <c r="V140" s="141"/>
      <c r="W140" s="141"/>
      <c r="X140" s="11"/>
      <c r="Y140" s="11"/>
    </row>
    <row r="141" spans="1:25" ht="15.75" customHeight="1" x14ac:dyDescent="0.3">
      <c r="A141" s="140"/>
      <c r="B141" s="140"/>
      <c r="K141" s="141"/>
      <c r="L141" s="141"/>
      <c r="M141" s="143"/>
      <c r="N141" s="11"/>
      <c r="O141" s="142"/>
      <c r="P141" s="142"/>
      <c r="Q141" s="143"/>
      <c r="R141" s="142"/>
      <c r="S141" s="141"/>
      <c r="T141" s="141"/>
      <c r="U141" s="143"/>
      <c r="V141" s="141"/>
      <c r="W141" s="141"/>
      <c r="X141" s="11"/>
      <c r="Y141" s="11"/>
    </row>
    <row r="142" spans="1:25" ht="15.75" customHeight="1" x14ac:dyDescent="0.3">
      <c r="A142" s="140"/>
      <c r="B142" s="140"/>
      <c r="K142" s="141"/>
      <c r="L142" s="141"/>
      <c r="M142" s="143"/>
      <c r="N142" s="11"/>
      <c r="O142" s="142"/>
      <c r="P142" s="142"/>
      <c r="Q142" s="143"/>
      <c r="R142" s="142"/>
      <c r="S142" s="141"/>
      <c r="T142" s="141"/>
      <c r="U142" s="143"/>
      <c r="V142" s="141"/>
      <c r="W142" s="141"/>
      <c r="X142" s="11"/>
      <c r="Y142" s="11"/>
    </row>
    <row r="143" spans="1:25" ht="15.75" customHeight="1" x14ac:dyDescent="0.3">
      <c r="A143" s="140"/>
      <c r="B143" s="140"/>
      <c r="K143" s="141"/>
      <c r="L143" s="141"/>
      <c r="M143" s="143"/>
      <c r="N143" s="11"/>
      <c r="O143" s="142"/>
      <c r="P143" s="142"/>
      <c r="Q143" s="143"/>
      <c r="R143" s="142"/>
      <c r="S143" s="141"/>
      <c r="T143" s="141"/>
      <c r="U143" s="143"/>
      <c r="V143" s="141"/>
      <c r="W143" s="141"/>
      <c r="X143" s="11"/>
      <c r="Y143" s="11"/>
    </row>
    <row r="144" spans="1:25" ht="15.75" customHeight="1" x14ac:dyDescent="0.3">
      <c r="A144" s="140"/>
      <c r="B144" s="140"/>
      <c r="K144" s="141"/>
      <c r="L144" s="141"/>
      <c r="M144" s="143"/>
      <c r="N144" s="11"/>
      <c r="O144" s="142"/>
      <c r="P144" s="142"/>
      <c r="Q144" s="143"/>
      <c r="R144" s="142"/>
      <c r="S144" s="141"/>
      <c r="T144" s="141"/>
      <c r="U144" s="143"/>
      <c r="V144" s="141"/>
      <c r="W144" s="141"/>
      <c r="X144" s="11"/>
      <c r="Y144" s="11"/>
    </row>
    <row r="145" spans="1:25" ht="15.75" customHeight="1" x14ac:dyDescent="0.3">
      <c r="A145" s="140"/>
      <c r="B145" s="140"/>
      <c r="K145" s="141"/>
      <c r="L145" s="141"/>
      <c r="M145" s="143"/>
      <c r="N145" s="11"/>
      <c r="O145" s="142"/>
      <c r="P145" s="142"/>
      <c r="Q145" s="143"/>
      <c r="R145" s="142"/>
      <c r="S145" s="141"/>
      <c r="T145" s="141"/>
      <c r="U145" s="143"/>
      <c r="V145" s="141"/>
      <c r="W145" s="141"/>
      <c r="X145" s="11"/>
      <c r="Y145" s="11"/>
    </row>
    <row r="146" spans="1:25" ht="15.75" customHeight="1" x14ac:dyDescent="0.3">
      <c r="A146" s="140"/>
      <c r="B146" s="140"/>
      <c r="K146" s="141"/>
      <c r="L146" s="141"/>
      <c r="M146" s="143"/>
      <c r="N146" s="11"/>
      <c r="O146" s="142"/>
      <c r="P146" s="142"/>
      <c r="Q146" s="143"/>
      <c r="R146" s="142"/>
      <c r="S146" s="141"/>
      <c r="T146" s="141"/>
      <c r="U146" s="143"/>
      <c r="V146" s="141"/>
      <c r="W146" s="141"/>
      <c r="X146" s="11"/>
      <c r="Y146" s="11"/>
    </row>
    <row r="147" spans="1:25" ht="15.75" customHeight="1" x14ac:dyDescent="0.3">
      <c r="A147" s="140"/>
      <c r="B147" s="140"/>
      <c r="K147" s="141"/>
      <c r="L147" s="141"/>
      <c r="M147" s="143"/>
      <c r="N147" s="11"/>
      <c r="O147" s="142"/>
      <c r="P147" s="142"/>
      <c r="Q147" s="143"/>
      <c r="R147" s="142"/>
      <c r="S147" s="141"/>
      <c r="T147" s="141"/>
      <c r="U147" s="143"/>
      <c r="V147" s="141"/>
      <c r="W147" s="141"/>
      <c r="X147" s="11"/>
      <c r="Y147" s="11"/>
    </row>
    <row r="148" spans="1:25" ht="15.75" customHeight="1" x14ac:dyDescent="0.3">
      <c r="A148" s="140"/>
      <c r="B148" s="140"/>
      <c r="K148" s="141"/>
      <c r="L148" s="141"/>
      <c r="M148" s="143"/>
      <c r="N148" s="11"/>
      <c r="O148" s="142"/>
      <c r="P148" s="142"/>
      <c r="Q148" s="143"/>
      <c r="R148" s="142"/>
      <c r="S148" s="141"/>
      <c r="T148" s="141"/>
      <c r="U148" s="143"/>
      <c r="V148" s="141"/>
      <c r="W148" s="141"/>
      <c r="X148" s="11"/>
      <c r="Y148" s="11"/>
    </row>
    <row r="149" spans="1:25" ht="15.75" customHeight="1" x14ac:dyDescent="0.3">
      <c r="A149" s="140"/>
      <c r="B149" s="140"/>
      <c r="K149" s="141"/>
      <c r="L149" s="141"/>
      <c r="M149" s="143"/>
      <c r="N149" s="11"/>
      <c r="O149" s="142"/>
      <c r="P149" s="142"/>
      <c r="Q149" s="143"/>
      <c r="R149" s="142"/>
      <c r="S149" s="141"/>
      <c r="T149" s="141"/>
      <c r="U149" s="143"/>
      <c r="V149" s="141"/>
      <c r="W149" s="141"/>
      <c r="X149" s="11"/>
      <c r="Y149" s="11"/>
    </row>
    <row r="150" spans="1:25" ht="15.75" customHeight="1" x14ac:dyDescent="0.3">
      <c r="A150" s="140"/>
      <c r="B150" s="140"/>
      <c r="K150" s="141"/>
      <c r="L150" s="141"/>
      <c r="M150" s="143"/>
      <c r="N150" s="11"/>
      <c r="O150" s="142"/>
      <c r="P150" s="142"/>
      <c r="Q150" s="143"/>
      <c r="R150" s="142"/>
      <c r="S150" s="141"/>
      <c r="T150" s="141"/>
      <c r="U150" s="143"/>
      <c r="V150" s="141"/>
      <c r="W150" s="141"/>
      <c r="X150" s="11"/>
      <c r="Y150" s="11"/>
    </row>
    <row r="151" spans="1:25" ht="15.75" customHeight="1" x14ac:dyDescent="0.3">
      <c r="A151" s="140"/>
      <c r="B151" s="140"/>
      <c r="K151" s="141"/>
      <c r="L151" s="141"/>
      <c r="M151" s="143"/>
      <c r="N151" s="11"/>
      <c r="O151" s="142"/>
      <c r="P151" s="142"/>
      <c r="Q151" s="143"/>
      <c r="R151" s="142"/>
      <c r="S151" s="141"/>
      <c r="T151" s="141"/>
      <c r="U151" s="143"/>
      <c r="V151" s="141"/>
      <c r="W151" s="141"/>
      <c r="X151" s="11"/>
      <c r="Y151" s="11"/>
    </row>
    <row r="152" spans="1:25" ht="15.75" customHeight="1" x14ac:dyDescent="0.3">
      <c r="A152" s="140"/>
      <c r="B152" s="140"/>
      <c r="K152" s="141"/>
      <c r="L152" s="141"/>
      <c r="M152" s="143"/>
      <c r="N152" s="11"/>
      <c r="O152" s="142"/>
      <c r="P152" s="142"/>
      <c r="Q152" s="143"/>
      <c r="R152" s="142"/>
      <c r="S152" s="141"/>
      <c r="T152" s="141"/>
      <c r="U152" s="143"/>
      <c r="V152" s="141"/>
      <c r="W152" s="141"/>
      <c r="X152" s="11"/>
      <c r="Y152" s="11"/>
    </row>
    <row r="153" spans="1:25" ht="15.75" customHeight="1" x14ac:dyDescent="0.3">
      <c r="A153" s="140"/>
      <c r="B153" s="140"/>
      <c r="K153" s="141"/>
      <c r="L153" s="141"/>
      <c r="M153" s="143"/>
      <c r="N153" s="11"/>
      <c r="O153" s="142"/>
      <c r="P153" s="142"/>
      <c r="Q153" s="143"/>
      <c r="R153" s="142"/>
      <c r="S153" s="141"/>
      <c r="T153" s="141"/>
      <c r="U153" s="143"/>
      <c r="V153" s="141"/>
      <c r="W153" s="141"/>
      <c r="X153" s="11"/>
      <c r="Y153" s="11"/>
    </row>
    <row r="154" spans="1:25" ht="15.75" customHeight="1" x14ac:dyDescent="0.3">
      <c r="A154" s="140"/>
      <c r="B154" s="140"/>
      <c r="K154" s="141"/>
      <c r="L154" s="141"/>
      <c r="M154" s="143"/>
      <c r="N154" s="11"/>
      <c r="O154" s="142"/>
      <c r="P154" s="142"/>
      <c r="Q154" s="143"/>
      <c r="R154" s="142"/>
      <c r="S154" s="141"/>
      <c r="T154" s="141"/>
      <c r="U154" s="143"/>
      <c r="V154" s="141"/>
      <c r="W154" s="141"/>
      <c r="X154" s="11"/>
      <c r="Y154" s="11"/>
    </row>
    <row r="155" spans="1:25" ht="15.75" customHeight="1" x14ac:dyDescent="0.3">
      <c r="A155" s="140"/>
      <c r="B155" s="140"/>
      <c r="K155" s="141"/>
      <c r="L155" s="141"/>
      <c r="M155" s="143"/>
      <c r="N155" s="11"/>
      <c r="O155" s="142"/>
      <c r="P155" s="142"/>
      <c r="Q155" s="143"/>
      <c r="R155" s="142"/>
      <c r="S155" s="141"/>
      <c r="T155" s="141"/>
      <c r="U155" s="143"/>
      <c r="V155" s="141"/>
      <c r="W155" s="141"/>
      <c r="X155" s="11"/>
      <c r="Y155" s="11"/>
    </row>
    <row r="156" spans="1:25" ht="15.75" customHeight="1" x14ac:dyDescent="0.3">
      <c r="A156" s="140"/>
      <c r="B156" s="140"/>
      <c r="K156" s="141"/>
      <c r="L156" s="141"/>
      <c r="M156" s="143"/>
      <c r="N156" s="11"/>
      <c r="O156" s="142"/>
      <c r="P156" s="142"/>
      <c r="Q156" s="143"/>
      <c r="R156" s="142"/>
      <c r="S156" s="141"/>
      <c r="T156" s="141"/>
      <c r="U156" s="143"/>
      <c r="V156" s="141"/>
      <c r="W156" s="141"/>
      <c r="X156" s="11"/>
      <c r="Y156" s="11"/>
    </row>
    <row r="157" spans="1:25" ht="15.75" customHeight="1" x14ac:dyDescent="0.3">
      <c r="A157" s="140"/>
      <c r="B157" s="140"/>
      <c r="K157" s="141"/>
      <c r="L157" s="141"/>
      <c r="M157" s="143"/>
      <c r="N157" s="11"/>
      <c r="O157" s="142"/>
      <c r="P157" s="142"/>
      <c r="Q157" s="143"/>
      <c r="R157" s="142"/>
      <c r="S157" s="141"/>
      <c r="T157" s="141"/>
      <c r="U157" s="143"/>
      <c r="V157" s="141"/>
      <c r="W157" s="141"/>
      <c r="X157" s="11"/>
      <c r="Y157" s="11"/>
    </row>
    <row r="158" spans="1:25" ht="15.75" customHeight="1" x14ac:dyDescent="0.3">
      <c r="A158" s="140"/>
      <c r="B158" s="140"/>
      <c r="K158" s="141"/>
      <c r="L158" s="141"/>
      <c r="M158" s="143"/>
      <c r="N158" s="11"/>
      <c r="O158" s="142"/>
      <c r="P158" s="142"/>
      <c r="Q158" s="143"/>
      <c r="R158" s="142"/>
      <c r="S158" s="141"/>
      <c r="T158" s="141"/>
      <c r="U158" s="143"/>
      <c r="V158" s="141"/>
      <c r="W158" s="141"/>
      <c r="X158" s="11"/>
      <c r="Y158" s="11"/>
    </row>
    <row r="159" spans="1:25" ht="15.75" customHeight="1" x14ac:dyDescent="0.3">
      <c r="A159" s="140"/>
      <c r="B159" s="140"/>
      <c r="K159" s="141"/>
      <c r="L159" s="141"/>
      <c r="M159" s="143"/>
      <c r="N159" s="11"/>
      <c r="O159" s="142"/>
      <c r="P159" s="142"/>
      <c r="Q159" s="143"/>
      <c r="R159" s="142"/>
      <c r="S159" s="141"/>
      <c r="T159" s="141"/>
      <c r="U159" s="143"/>
      <c r="V159" s="141"/>
      <c r="W159" s="141"/>
      <c r="X159" s="11"/>
      <c r="Y159" s="11"/>
    </row>
    <row r="160" spans="1:25" ht="15.75" customHeight="1" x14ac:dyDescent="0.3">
      <c r="A160" s="140"/>
      <c r="B160" s="140"/>
      <c r="K160" s="141"/>
      <c r="L160" s="141"/>
      <c r="M160" s="143"/>
      <c r="N160" s="11"/>
      <c r="O160" s="142"/>
      <c r="P160" s="142"/>
      <c r="Q160" s="143"/>
      <c r="R160" s="142"/>
      <c r="S160" s="141"/>
      <c r="T160" s="141"/>
      <c r="U160" s="143"/>
      <c r="V160" s="141"/>
      <c r="W160" s="141"/>
      <c r="X160" s="11"/>
      <c r="Y160" s="11"/>
    </row>
    <row r="161" spans="1:25" ht="15.75" customHeight="1" x14ac:dyDescent="0.3">
      <c r="A161" s="140"/>
      <c r="B161" s="140"/>
      <c r="K161" s="141"/>
      <c r="L161" s="141"/>
      <c r="M161" s="143"/>
      <c r="N161" s="11"/>
      <c r="O161" s="142"/>
      <c r="P161" s="142"/>
      <c r="Q161" s="143"/>
      <c r="R161" s="142"/>
      <c r="S161" s="141"/>
      <c r="T161" s="141"/>
      <c r="U161" s="143"/>
      <c r="V161" s="141"/>
      <c r="W161" s="141"/>
      <c r="X161" s="11"/>
      <c r="Y161" s="11"/>
    </row>
    <row r="162" spans="1:25" ht="15.75" customHeight="1" x14ac:dyDescent="0.3">
      <c r="A162" s="140"/>
      <c r="B162" s="140"/>
      <c r="K162" s="141"/>
      <c r="L162" s="141"/>
      <c r="M162" s="143"/>
      <c r="N162" s="11"/>
      <c r="O162" s="142"/>
      <c r="P162" s="142"/>
      <c r="Q162" s="143"/>
      <c r="R162" s="142"/>
      <c r="S162" s="141"/>
      <c r="T162" s="141"/>
      <c r="U162" s="143"/>
      <c r="V162" s="141"/>
      <c r="W162" s="141"/>
      <c r="X162" s="11"/>
      <c r="Y162" s="11"/>
    </row>
    <row r="163" spans="1:25" ht="15.75" customHeight="1" x14ac:dyDescent="0.3">
      <c r="A163" s="140"/>
      <c r="B163" s="140"/>
      <c r="K163" s="141"/>
      <c r="L163" s="141"/>
      <c r="M163" s="143"/>
      <c r="N163" s="11"/>
      <c r="O163" s="142"/>
      <c r="P163" s="142"/>
      <c r="Q163" s="143"/>
      <c r="R163" s="142"/>
      <c r="S163" s="141"/>
      <c r="T163" s="141"/>
      <c r="U163" s="143"/>
      <c r="V163" s="141"/>
      <c r="W163" s="141"/>
      <c r="X163" s="11"/>
      <c r="Y163" s="11"/>
    </row>
    <row r="164" spans="1:25" ht="15.75" customHeight="1" x14ac:dyDescent="0.3">
      <c r="A164" s="140"/>
      <c r="B164" s="140"/>
      <c r="K164" s="141"/>
      <c r="L164" s="141"/>
      <c r="M164" s="143"/>
      <c r="N164" s="11"/>
      <c r="O164" s="142"/>
      <c r="P164" s="142"/>
      <c r="Q164" s="143"/>
      <c r="R164" s="142"/>
      <c r="S164" s="141"/>
      <c r="T164" s="141"/>
      <c r="U164" s="143"/>
      <c r="V164" s="141"/>
      <c r="W164" s="141"/>
      <c r="X164" s="11"/>
      <c r="Y164" s="11"/>
    </row>
    <row r="165" spans="1:25" ht="15.75" customHeight="1" x14ac:dyDescent="0.3">
      <c r="A165" s="140"/>
      <c r="B165" s="140"/>
      <c r="K165" s="141"/>
      <c r="L165" s="141"/>
      <c r="M165" s="143"/>
      <c r="N165" s="11"/>
      <c r="O165" s="142"/>
      <c r="P165" s="142"/>
      <c r="Q165" s="143"/>
      <c r="R165" s="142"/>
      <c r="S165" s="141"/>
      <c r="T165" s="141"/>
      <c r="U165" s="143"/>
      <c r="V165" s="141"/>
      <c r="W165" s="141"/>
      <c r="X165" s="11"/>
      <c r="Y165" s="11"/>
    </row>
    <row r="166" spans="1:25" ht="15.75" customHeight="1" x14ac:dyDescent="0.3">
      <c r="A166" s="140"/>
      <c r="B166" s="140"/>
      <c r="K166" s="141"/>
      <c r="L166" s="141"/>
      <c r="M166" s="143"/>
      <c r="N166" s="11"/>
      <c r="O166" s="142"/>
      <c r="P166" s="142"/>
      <c r="Q166" s="143"/>
      <c r="R166" s="142"/>
      <c r="S166" s="141"/>
      <c r="T166" s="141"/>
      <c r="U166" s="143"/>
      <c r="V166" s="141"/>
      <c r="W166" s="141"/>
      <c r="X166" s="11"/>
      <c r="Y166" s="11"/>
    </row>
    <row r="167" spans="1:25" ht="15.75" customHeight="1" x14ac:dyDescent="0.3">
      <c r="A167" s="140"/>
      <c r="B167" s="140"/>
      <c r="K167" s="141"/>
      <c r="L167" s="141"/>
      <c r="M167" s="143"/>
      <c r="N167" s="11"/>
      <c r="O167" s="142"/>
      <c r="P167" s="142"/>
      <c r="Q167" s="143"/>
      <c r="R167" s="142"/>
      <c r="S167" s="141"/>
      <c r="T167" s="141"/>
      <c r="U167" s="143"/>
      <c r="V167" s="141"/>
      <c r="W167" s="141"/>
      <c r="X167" s="11"/>
      <c r="Y167" s="11"/>
    </row>
    <row r="168" spans="1:25" ht="15.75" customHeight="1" x14ac:dyDescent="0.3">
      <c r="A168" s="140"/>
      <c r="B168" s="140"/>
      <c r="K168" s="141"/>
      <c r="L168" s="141"/>
      <c r="M168" s="143"/>
      <c r="N168" s="11"/>
      <c r="O168" s="142"/>
      <c r="P168" s="142"/>
      <c r="Q168" s="143"/>
      <c r="R168" s="142"/>
      <c r="S168" s="141"/>
      <c r="T168" s="141"/>
      <c r="U168" s="143"/>
      <c r="V168" s="141"/>
      <c r="W168" s="141"/>
      <c r="X168" s="11"/>
      <c r="Y168" s="11"/>
    </row>
    <row r="169" spans="1:25" ht="15.75" customHeight="1" x14ac:dyDescent="0.3">
      <c r="A169" s="140"/>
      <c r="B169" s="140"/>
      <c r="K169" s="141"/>
      <c r="L169" s="141"/>
      <c r="M169" s="143"/>
      <c r="N169" s="11"/>
      <c r="O169" s="142"/>
      <c r="P169" s="142"/>
      <c r="Q169" s="143"/>
      <c r="R169" s="142"/>
      <c r="S169" s="141"/>
      <c r="T169" s="141"/>
      <c r="U169" s="143"/>
      <c r="V169" s="141"/>
      <c r="W169" s="141"/>
      <c r="X169" s="11"/>
      <c r="Y169" s="11"/>
    </row>
    <row r="170" spans="1:25" ht="15.75" customHeight="1" x14ac:dyDescent="0.3">
      <c r="A170" s="140"/>
      <c r="B170" s="140"/>
      <c r="K170" s="141"/>
      <c r="L170" s="141"/>
      <c r="M170" s="143"/>
      <c r="N170" s="11"/>
      <c r="O170" s="142"/>
      <c r="P170" s="142"/>
      <c r="Q170" s="143"/>
      <c r="R170" s="142"/>
      <c r="S170" s="141"/>
      <c r="T170" s="141"/>
      <c r="U170" s="143"/>
      <c r="V170" s="141"/>
      <c r="W170" s="141"/>
      <c r="X170" s="11"/>
      <c r="Y170" s="11"/>
    </row>
    <row r="171" spans="1:25" ht="15.75" customHeight="1" x14ac:dyDescent="0.3">
      <c r="A171" s="140"/>
      <c r="B171" s="140"/>
      <c r="K171" s="141"/>
      <c r="L171" s="141"/>
      <c r="M171" s="143"/>
      <c r="N171" s="11"/>
      <c r="O171" s="142"/>
      <c r="P171" s="142"/>
      <c r="Q171" s="143"/>
      <c r="R171" s="142"/>
      <c r="S171" s="141"/>
      <c r="T171" s="141"/>
      <c r="U171" s="143"/>
      <c r="V171" s="141"/>
      <c r="W171" s="141"/>
      <c r="X171" s="11"/>
      <c r="Y171" s="11"/>
    </row>
    <row r="172" spans="1:25" ht="15.75" customHeight="1" x14ac:dyDescent="0.3">
      <c r="A172" s="140"/>
      <c r="B172" s="140"/>
      <c r="K172" s="141"/>
      <c r="L172" s="141"/>
      <c r="M172" s="143"/>
      <c r="N172" s="11"/>
      <c r="O172" s="142"/>
      <c r="P172" s="142"/>
      <c r="Q172" s="143"/>
      <c r="R172" s="142"/>
      <c r="S172" s="141"/>
      <c r="T172" s="141"/>
      <c r="U172" s="143"/>
      <c r="V172" s="141"/>
      <c r="W172" s="141"/>
      <c r="X172" s="11"/>
      <c r="Y172" s="11"/>
    </row>
    <row r="173" spans="1:25" ht="15.75" customHeight="1" x14ac:dyDescent="0.3">
      <c r="A173" s="140"/>
      <c r="B173" s="140"/>
      <c r="K173" s="141"/>
      <c r="L173" s="141"/>
      <c r="M173" s="143"/>
      <c r="N173" s="11"/>
      <c r="O173" s="142"/>
      <c r="P173" s="142"/>
      <c r="Q173" s="143"/>
      <c r="R173" s="142"/>
      <c r="S173" s="141"/>
      <c r="T173" s="141"/>
      <c r="U173" s="143"/>
      <c r="V173" s="141"/>
      <c r="W173" s="141"/>
      <c r="X173" s="11"/>
      <c r="Y173" s="11"/>
    </row>
    <row r="174" spans="1:25" ht="15.75" customHeight="1" x14ac:dyDescent="0.3">
      <c r="A174" s="140"/>
      <c r="B174" s="140"/>
      <c r="K174" s="141"/>
      <c r="L174" s="141"/>
      <c r="M174" s="143"/>
      <c r="N174" s="11"/>
      <c r="O174" s="142"/>
      <c r="P174" s="142"/>
      <c r="Q174" s="143"/>
      <c r="R174" s="142"/>
      <c r="S174" s="141"/>
      <c r="T174" s="141"/>
      <c r="U174" s="143"/>
      <c r="V174" s="141"/>
      <c r="W174" s="141"/>
      <c r="X174" s="11"/>
      <c r="Y174" s="11"/>
    </row>
    <row r="175" spans="1:25" ht="15.75" customHeight="1" x14ac:dyDescent="0.3">
      <c r="A175" s="140"/>
      <c r="B175" s="140"/>
      <c r="K175" s="141"/>
      <c r="L175" s="141"/>
      <c r="M175" s="143"/>
      <c r="N175" s="11"/>
      <c r="O175" s="142"/>
      <c r="P175" s="142"/>
      <c r="Q175" s="143"/>
      <c r="R175" s="142"/>
      <c r="S175" s="141"/>
      <c r="T175" s="141"/>
      <c r="U175" s="143"/>
      <c r="V175" s="141"/>
      <c r="W175" s="141"/>
      <c r="X175" s="11"/>
      <c r="Y175" s="11"/>
    </row>
    <row r="176" spans="1:25" ht="15.75" customHeight="1" x14ac:dyDescent="0.3">
      <c r="A176" s="140"/>
      <c r="B176" s="140"/>
      <c r="K176" s="141"/>
      <c r="L176" s="141"/>
      <c r="M176" s="143"/>
      <c r="N176" s="11"/>
      <c r="O176" s="142"/>
      <c r="P176" s="142"/>
      <c r="Q176" s="143"/>
      <c r="R176" s="142"/>
      <c r="S176" s="141"/>
      <c r="T176" s="141"/>
      <c r="U176" s="143"/>
      <c r="V176" s="141"/>
      <c r="W176" s="141"/>
      <c r="X176" s="11"/>
      <c r="Y176" s="11"/>
    </row>
    <row r="177" spans="1:25" ht="15.75" customHeight="1" x14ac:dyDescent="0.3">
      <c r="A177" s="140"/>
      <c r="B177" s="140"/>
      <c r="K177" s="141"/>
      <c r="L177" s="141"/>
      <c r="M177" s="143"/>
      <c r="N177" s="11"/>
      <c r="O177" s="142"/>
      <c r="P177" s="142"/>
      <c r="Q177" s="143"/>
      <c r="R177" s="142"/>
      <c r="S177" s="141"/>
      <c r="T177" s="141"/>
      <c r="U177" s="143"/>
      <c r="V177" s="141"/>
      <c r="W177" s="141"/>
      <c r="X177" s="11"/>
      <c r="Y177" s="11"/>
    </row>
    <row r="178" spans="1:25" ht="15.75" customHeight="1" x14ac:dyDescent="0.3">
      <c r="A178" s="140"/>
      <c r="B178" s="140"/>
      <c r="K178" s="141"/>
      <c r="L178" s="141"/>
      <c r="M178" s="143"/>
      <c r="N178" s="11"/>
      <c r="O178" s="142"/>
      <c r="P178" s="142"/>
      <c r="Q178" s="143"/>
      <c r="R178" s="142"/>
      <c r="S178" s="141"/>
      <c r="T178" s="141"/>
      <c r="U178" s="143"/>
      <c r="V178" s="141"/>
      <c r="W178" s="141"/>
      <c r="X178" s="11"/>
      <c r="Y178" s="11"/>
    </row>
    <row r="179" spans="1:25" ht="15.75" customHeight="1" x14ac:dyDescent="0.3">
      <c r="A179" s="140"/>
      <c r="B179" s="140"/>
      <c r="K179" s="141"/>
      <c r="L179" s="141"/>
      <c r="M179" s="143"/>
      <c r="N179" s="11"/>
      <c r="O179" s="142"/>
      <c r="P179" s="142"/>
      <c r="Q179" s="143"/>
      <c r="R179" s="142"/>
      <c r="S179" s="141"/>
      <c r="T179" s="141"/>
      <c r="U179" s="143"/>
      <c r="V179" s="141"/>
      <c r="W179" s="141"/>
      <c r="X179" s="11"/>
      <c r="Y179" s="11"/>
    </row>
    <row r="180" spans="1:25" ht="15.75" customHeight="1" x14ac:dyDescent="0.3">
      <c r="A180" s="140"/>
      <c r="B180" s="140"/>
      <c r="K180" s="141"/>
      <c r="L180" s="141"/>
      <c r="M180" s="143"/>
      <c r="N180" s="11"/>
      <c r="O180" s="142"/>
      <c r="P180" s="142"/>
      <c r="Q180" s="143"/>
      <c r="R180" s="142"/>
      <c r="S180" s="141"/>
      <c r="T180" s="141"/>
      <c r="U180" s="143"/>
      <c r="V180" s="141"/>
      <c r="W180" s="141"/>
      <c r="X180" s="11"/>
      <c r="Y180" s="11"/>
    </row>
    <row r="181" spans="1:25" ht="15.75" customHeight="1" x14ac:dyDescent="0.3">
      <c r="A181" s="140"/>
      <c r="B181" s="140"/>
      <c r="K181" s="141"/>
      <c r="L181" s="141"/>
      <c r="M181" s="143"/>
      <c r="N181" s="11"/>
      <c r="O181" s="142"/>
      <c r="P181" s="142"/>
      <c r="Q181" s="143"/>
      <c r="R181" s="142"/>
      <c r="S181" s="141"/>
      <c r="T181" s="141"/>
      <c r="U181" s="143"/>
      <c r="V181" s="141"/>
      <c r="W181" s="141"/>
      <c r="X181" s="11"/>
      <c r="Y181" s="11"/>
    </row>
    <row r="182" spans="1:25" ht="15.75" customHeight="1" x14ac:dyDescent="0.3">
      <c r="A182" s="140"/>
      <c r="B182" s="140"/>
      <c r="K182" s="141"/>
      <c r="L182" s="141"/>
      <c r="M182" s="143"/>
      <c r="N182" s="11"/>
      <c r="O182" s="142"/>
      <c r="P182" s="142"/>
      <c r="Q182" s="143"/>
      <c r="R182" s="142"/>
      <c r="S182" s="141"/>
      <c r="T182" s="141"/>
      <c r="U182" s="143"/>
      <c r="V182" s="141"/>
      <c r="W182" s="141"/>
      <c r="X182" s="11"/>
      <c r="Y182" s="11"/>
    </row>
    <row r="183" spans="1:25" ht="15.75" customHeight="1" x14ac:dyDescent="0.3">
      <c r="A183" s="140"/>
      <c r="B183" s="140"/>
      <c r="K183" s="141"/>
      <c r="L183" s="141"/>
      <c r="M183" s="143"/>
      <c r="N183" s="11"/>
      <c r="O183" s="142"/>
      <c r="P183" s="142"/>
      <c r="Q183" s="143"/>
      <c r="R183" s="142"/>
      <c r="S183" s="141"/>
      <c r="T183" s="141"/>
      <c r="U183" s="143"/>
      <c r="V183" s="141"/>
      <c r="W183" s="141"/>
      <c r="X183" s="11"/>
      <c r="Y183" s="11"/>
    </row>
    <row r="184" spans="1:25" ht="15.75" customHeight="1" x14ac:dyDescent="0.3">
      <c r="A184" s="140"/>
      <c r="B184" s="140"/>
      <c r="K184" s="141"/>
      <c r="L184" s="141"/>
      <c r="M184" s="143"/>
      <c r="N184" s="11"/>
      <c r="O184" s="142"/>
      <c r="P184" s="142"/>
      <c r="Q184" s="143"/>
      <c r="R184" s="142"/>
      <c r="S184" s="141"/>
      <c r="T184" s="141"/>
      <c r="U184" s="143"/>
      <c r="V184" s="141"/>
      <c r="W184" s="141"/>
      <c r="X184" s="11"/>
      <c r="Y184" s="11"/>
    </row>
    <row r="185" spans="1:25" ht="15.75" customHeight="1" x14ac:dyDescent="0.3">
      <c r="A185" s="140"/>
      <c r="B185" s="140"/>
      <c r="K185" s="141"/>
      <c r="L185" s="141"/>
      <c r="M185" s="143"/>
      <c r="N185" s="11"/>
      <c r="O185" s="142"/>
      <c r="P185" s="142"/>
      <c r="Q185" s="143"/>
      <c r="R185" s="142"/>
      <c r="S185" s="141"/>
      <c r="T185" s="141"/>
      <c r="U185" s="143"/>
      <c r="V185" s="141"/>
      <c r="W185" s="141"/>
      <c r="X185" s="11"/>
      <c r="Y185" s="11"/>
    </row>
    <row r="186" spans="1:25" ht="15.75" customHeight="1" x14ac:dyDescent="0.3">
      <c r="A186" s="140"/>
      <c r="B186" s="140"/>
      <c r="K186" s="141"/>
      <c r="L186" s="141"/>
      <c r="M186" s="143"/>
      <c r="N186" s="11"/>
      <c r="O186" s="142"/>
      <c r="P186" s="142"/>
      <c r="Q186" s="143"/>
      <c r="R186" s="142"/>
      <c r="S186" s="141"/>
      <c r="T186" s="141"/>
      <c r="U186" s="143"/>
      <c r="V186" s="141"/>
      <c r="W186" s="141"/>
      <c r="X186" s="11"/>
      <c r="Y186" s="11"/>
    </row>
    <row r="187" spans="1:25" ht="15.75" customHeight="1" x14ac:dyDescent="0.3">
      <c r="A187" s="140"/>
      <c r="B187" s="140"/>
      <c r="K187" s="141"/>
      <c r="L187" s="141"/>
      <c r="M187" s="143"/>
      <c r="N187" s="11"/>
      <c r="O187" s="142"/>
      <c r="P187" s="142"/>
      <c r="Q187" s="143"/>
      <c r="R187" s="142"/>
      <c r="S187" s="141"/>
      <c r="T187" s="141"/>
      <c r="U187" s="143"/>
      <c r="V187" s="141"/>
      <c r="W187" s="141"/>
      <c r="X187" s="11"/>
      <c r="Y187" s="11"/>
    </row>
    <row r="188" spans="1:25" ht="15.75" customHeight="1" x14ac:dyDescent="0.3">
      <c r="A188" s="140"/>
      <c r="B188" s="140"/>
      <c r="K188" s="141"/>
      <c r="L188" s="141"/>
      <c r="M188" s="143"/>
      <c r="N188" s="11"/>
      <c r="O188" s="142"/>
      <c r="P188" s="142"/>
      <c r="Q188" s="143"/>
      <c r="R188" s="142"/>
      <c r="S188" s="141"/>
      <c r="T188" s="141"/>
      <c r="U188" s="143"/>
      <c r="V188" s="141"/>
      <c r="W188" s="141"/>
      <c r="X188" s="11"/>
      <c r="Y188" s="11"/>
    </row>
    <row r="189" spans="1:25" ht="15.75" customHeight="1" x14ac:dyDescent="0.3">
      <c r="A189" s="140"/>
      <c r="B189" s="140"/>
      <c r="K189" s="141"/>
      <c r="L189" s="141"/>
      <c r="M189" s="143"/>
      <c r="N189" s="11"/>
      <c r="O189" s="142"/>
      <c r="P189" s="142"/>
      <c r="Q189" s="143"/>
      <c r="R189" s="142"/>
      <c r="S189" s="141"/>
      <c r="T189" s="141"/>
      <c r="U189" s="143"/>
      <c r="V189" s="141"/>
      <c r="W189" s="141"/>
      <c r="X189" s="11"/>
      <c r="Y189" s="11"/>
    </row>
    <row r="190" spans="1:25" ht="15.75" customHeight="1" x14ac:dyDescent="0.3">
      <c r="A190" s="140"/>
      <c r="B190" s="140"/>
      <c r="K190" s="141"/>
      <c r="L190" s="141"/>
      <c r="M190" s="143"/>
      <c r="N190" s="11"/>
      <c r="O190" s="142"/>
      <c r="P190" s="142"/>
      <c r="Q190" s="143"/>
      <c r="R190" s="142"/>
      <c r="S190" s="141"/>
      <c r="T190" s="141"/>
      <c r="U190" s="143"/>
      <c r="V190" s="141"/>
      <c r="W190" s="141"/>
      <c r="X190" s="11"/>
      <c r="Y190" s="11"/>
    </row>
    <row r="191" spans="1:25" ht="15.75" customHeight="1" x14ac:dyDescent="0.3">
      <c r="A191" s="140"/>
      <c r="B191" s="140"/>
      <c r="K191" s="141"/>
      <c r="L191" s="141"/>
      <c r="M191" s="143"/>
      <c r="N191" s="11"/>
      <c r="O191" s="142"/>
      <c r="P191" s="142"/>
      <c r="Q191" s="143"/>
      <c r="R191" s="142"/>
      <c r="S191" s="141"/>
      <c r="T191" s="141"/>
      <c r="U191" s="143"/>
      <c r="V191" s="141"/>
      <c r="W191" s="141"/>
      <c r="X191" s="11"/>
      <c r="Y191" s="11"/>
    </row>
    <row r="192" spans="1:25" ht="15.75" customHeight="1" x14ac:dyDescent="0.3">
      <c r="A192" s="140"/>
      <c r="B192" s="140"/>
      <c r="K192" s="141"/>
      <c r="L192" s="141"/>
      <c r="M192" s="143"/>
      <c r="N192" s="11"/>
      <c r="O192" s="142"/>
      <c r="P192" s="142"/>
      <c r="Q192" s="143"/>
      <c r="R192" s="142"/>
      <c r="S192" s="141"/>
      <c r="T192" s="141"/>
      <c r="U192" s="143"/>
      <c r="V192" s="141"/>
      <c r="W192" s="141"/>
      <c r="X192" s="11"/>
      <c r="Y192" s="11"/>
    </row>
    <row r="193" spans="1:25" ht="15.75" customHeight="1" x14ac:dyDescent="0.3">
      <c r="A193" s="140"/>
      <c r="B193" s="140"/>
      <c r="K193" s="141"/>
      <c r="L193" s="141"/>
      <c r="M193" s="143"/>
      <c r="N193" s="11"/>
      <c r="O193" s="142"/>
      <c r="P193" s="142"/>
      <c r="Q193" s="143"/>
      <c r="R193" s="142"/>
      <c r="S193" s="141"/>
      <c r="T193" s="141"/>
      <c r="U193" s="143"/>
      <c r="V193" s="141"/>
      <c r="W193" s="141"/>
      <c r="X193" s="11"/>
      <c r="Y193" s="11"/>
    </row>
    <row r="194" spans="1:25" ht="15.75" customHeight="1" x14ac:dyDescent="0.3">
      <c r="A194" s="140"/>
      <c r="B194" s="140"/>
      <c r="K194" s="141"/>
      <c r="L194" s="141"/>
      <c r="M194" s="143"/>
      <c r="N194" s="11"/>
      <c r="O194" s="142"/>
      <c r="P194" s="142"/>
      <c r="Q194" s="143"/>
      <c r="R194" s="142"/>
      <c r="S194" s="141"/>
      <c r="T194" s="141"/>
      <c r="U194" s="143"/>
      <c r="V194" s="141"/>
      <c r="W194" s="141"/>
      <c r="X194" s="11"/>
      <c r="Y194" s="11"/>
    </row>
    <row r="195" spans="1:25" ht="15.75" customHeight="1" x14ac:dyDescent="0.3">
      <c r="A195" s="140"/>
      <c r="B195" s="140"/>
      <c r="K195" s="141"/>
      <c r="L195" s="141"/>
      <c r="M195" s="143"/>
      <c r="N195" s="11"/>
      <c r="O195" s="142"/>
      <c r="P195" s="142"/>
      <c r="Q195" s="143"/>
      <c r="R195" s="142"/>
      <c r="S195" s="141"/>
      <c r="T195" s="141"/>
      <c r="U195" s="143"/>
      <c r="V195" s="141"/>
      <c r="W195" s="141"/>
      <c r="X195" s="11"/>
      <c r="Y195" s="11"/>
    </row>
    <row r="196" spans="1:25" ht="15.75" customHeight="1" x14ac:dyDescent="0.3">
      <c r="A196" s="140"/>
      <c r="B196" s="140"/>
      <c r="K196" s="141"/>
      <c r="L196" s="141"/>
      <c r="M196" s="143"/>
      <c r="N196" s="11"/>
      <c r="O196" s="142"/>
      <c r="P196" s="142"/>
      <c r="Q196" s="143"/>
      <c r="R196" s="142"/>
      <c r="S196" s="141"/>
      <c r="T196" s="141"/>
      <c r="U196" s="143"/>
      <c r="V196" s="141"/>
      <c r="W196" s="141"/>
      <c r="X196" s="11"/>
      <c r="Y196" s="11"/>
    </row>
    <row r="197" spans="1:25" ht="15.75" customHeight="1" x14ac:dyDescent="0.3">
      <c r="A197" s="140"/>
      <c r="B197" s="140"/>
      <c r="K197" s="141"/>
      <c r="L197" s="141"/>
      <c r="M197" s="143"/>
      <c r="N197" s="11"/>
      <c r="O197" s="142"/>
      <c r="P197" s="142"/>
      <c r="Q197" s="143"/>
      <c r="R197" s="142"/>
      <c r="S197" s="141"/>
      <c r="T197" s="141"/>
      <c r="U197" s="143"/>
      <c r="V197" s="141"/>
      <c r="W197" s="141"/>
      <c r="X197" s="11"/>
      <c r="Y197" s="11"/>
    </row>
    <row r="198" spans="1:25" ht="15.75" customHeight="1" x14ac:dyDescent="0.3">
      <c r="A198" s="140"/>
      <c r="B198" s="140"/>
      <c r="K198" s="141"/>
      <c r="L198" s="141"/>
      <c r="M198" s="143"/>
      <c r="N198" s="11"/>
      <c r="O198" s="142"/>
      <c r="P198" s="142"/>
      <c r="Q198" s="143"/>
      <c r="R198" s="142"/>
      <c r="S198" s="141"/>
      <c r="T198" s="141"/>
      <c r="U198" s="143"/>
      <c r="V198" s="141"/>
      <c r="W198" s="141"/>
      <c r="X198" s="11"/>
      <c r="Y198" s="11"/>
    </row>
    <row r="199" spans="1:25" ht="15.75" customHeight="1" x14ac:dyDescent="0.3">
      <c r="A199" s="140"/>
      <c r="B199" s="140"/>
      <c r="K199" s="141"/>
      <c r="L199" s="141"/>
      <c r="M199" s="143"/>
      <c r="N199" s="11"/>
      <c r="O199" s="142"/>
      <c r="P199" s="142"/>
      <c r="Q199" s="143"/>
      <c r="R199" s="142"/>
      <c r="S199" s="141"/>
      <c r="T199" s="141"/>
      <c r="U199" s="143"/>
      <c r="V199" s="141"/>
      <c r="W199" s="141"/>
      <c r="X199" s="11"/>
      <c r="Y199" s="11"/>
    </row>
    <row r="200" spans="1:25" ht="15.75" customHeight="1" x14ac:dyDescent="0.3">
      <c r="A200" s="140"/>
      <c r="B200" s="140"/>
      <c r="K200" s="141"/>
      <c r="L200" s="141"/>
      <c r="M200" s="143"/>
      <c r="N200" s="11"/>
      <c r="O200" s="142"/>
      <c r="P200" s="142"/>
      <c r="Q200" s="143"/>
      <c r="R200" s="142"/>
      <c r="S200" s="141"/>
      <c r="T200" s="141"/>
      <c r="U200" s="143"/>
      <c r="V200" s="141"/>
      <c r="W200" s="141"/>
      <c r="X200" s="11"/>
      <c r="Y200" s="11"/>
    </row>
    <row r="201" spans="1:25" ht="15.75" customHeight="1" x14ac:dyDescent="0.3">
      <c r="A201" s="140"/>
      <c r="B201" s="140"/>
      <c r="K201" s="141"/>
      <c r="L201" s="141"/>
      <c r="M201" s="143"/>
      <c r="N201" s="11"/>
      <c r="O201" s="142"/>
      <c r="P201" s="142"/>
      <c r="Q201" s="143"/>
      <c r="R201" s="142"/>
      <c r="S201" s="141"/>
      <c r="T201" s="141"/>
      <c r="U201" s="143"/>
      <c r="V201" s="141"/>
      <c r="W201" s="141"/>
      <c r="X201" s="11"/>
      <c r="Y201" s="11"/>
    </row>
    <row r="202" spans="1:25" ht="15.75" customHeight="1" x14ac:dyDescent="0.3">
      <c r="A202" s="140"/>
      <c r="B202" s="140"/>
      <c r="K202" s="141"/>
      <c r="L202" s="141"/>
      <c r="M202" s="143"/>
      <c r="N202" s="11"/>
      <c r="O202" s="142"/>
      <c r="P202" s="142"/>
      <c r="Q202" s="143"/>
      <c r="R202" s="142"/>
      <c r="S202" s="141"/>
      <c r="T202" s="141"/>
      <c r="U202" s="143"/>
      <c r="V202" s="141"/>
      <c r="W202" s="141"/>
      <c r="X202" s="11"/>
      <c r="Y202" s="11"/>
    </row>
    <row r="203" spans="1:25" ht="15.75" customHeight="1" x14ac:dyDescent="0.3">
      <c r="A203" s="140"/>
      <c r="B203" s="140"/>
      <c r="K203" s="141"/>
      <c r="L203" s="141"/>
      <c r="M203" s="143"/>
      <c r="N203" s="11"/>
      <c r="O203" s="142"/>
      <c r="P203" s="142"/>
      <c r="Q203" s="143"/>
      <c r="R203" s="142"/>
      <c r="S203" s="141"/>
      <c r="T203" s="141"/>
      <c r="U203" s="143"/>
      <c r="V203" s="141"/>
      <c r="W203" s="141"/>
      <c r="X203" s="11"/>
      <c r="Y203" s="11"/>
    </row>
    <row r="204" spans="1:25" ht="15.75" customHeight="1" x14ac:dyDescent="0.3">
      <c r="A204" s="140"/>
      <c r="B204" s="140"/>
      <c r="K204" s="141"/>
      <c r="L204" s="141"/>
      <c r="M204" s="143"/>
      <c r="N204" s="11"/>
      <c r="O204" s="142"/>
      <c r="P204" s="142"/>
      <c r="Q204" s="143"/>
      <c r="R204" s="142"/>
      <c r="S204" s="141"/>
      <c r="T204" s="141"/>
      <c r="U204" s="143"/>
      <c r="V204" s="141"/>
      <c r="W204" s="141"/>
      <c r="X204" s="11"/>
      <c r="Y204" s="11"/>
    </row>
    <row r="205" spans="1:25" ht="15.75" customHeight="1" x14ac:dyDescent="0.3">
      <c r="A205" s="140"/>
      <c r="B205" s="140"/>
      <c r="K205" s="141"/>
      <c r="L205" s="141"/>
      <c r="M205" s="143"/>
      <c r="N205" s="11"/>
      <c r="O205" s="142"/>
      <c r="P205" s="142"/>
      <c r="Q205" s="143"/>
      <c r="R205" s="142"/>
      <c r="S205" s="141"/>
      <c r="T205" s="141"/>
      <c r="U205" s="143"/>
      <c r="V205" s="141"/>
      <c r="W205" s="141"/>
      <c r="X205" s="11"/>
      <c r="Y205" s="11"/>
    </row>
    <row r="206" spans="1:25" ht="15.75" customHeight="1" x14ac:dyDescent="0.3">
      <c r="A206" s="140"/>
      <c r="B206" s="140"/>
      <c r="K206" s="141"/>
      <c r="L206" s="141"/>
      <c r="M206" s="143"/>
      <c r="N206" s="11"/>
      <c r="O206" s="142"/>
      <c r="P206" s="142"/>
      <c r="Q206" s="143"/>
      <c r="R206" s="142"/>
      <c r="S206" s="141"/>
      <c r="T206" s="141"/>
      <c r="U206" s="143"/>
      <c r="V206" s="141"/>
      <c r="W206" s="141"/>
      <c r="X206" s="11"/>
      <c r="Y206" s="11"/>
    </row>
    <row r="207" spans="1:25" ht="15.75" customHeight="1" x14ac:dyDescent="0.3">
      <c r="A207" s="140"/>
      <c r="B207" s="140"/>
      <c r="K207" s="141"/>
      <c r="L207" s="141"/>
      <c r="M207" s="143"/>
      <c r="N207" s="11"/>
      <c r="O207" s="142"/>
      <c r="P207" s="142"/>
      <c r="Q207" s="143"/>
      <c r="R207" s="142"/>
      <c r="S207" s="141"/>
      <c r="T207" s="141"/>
      <c r="U207" s="143"/>
      <c r="V207" s="141"/>
      <c r="W207" s="141"/>
      <c r="X207" s="11"/>
      <c r="Y207" s="11"/>
    </row>
    <row r="208" spans="1:25" ht="15.75" customHeight="1" x14ac:dyDescent="0.3">
      <c r="A208" s="140"/>
      <c r="B208" s="140"/>
      <c r="K208" s="141"/>
      <c r="L208" s="141"/>
      <c r="M208" s="143"/>
      <c r="N208" s="11"/>
      <c r="O208" s="142"/>
      <c r="P208" s="142"/>
      <c r="Q208" s="143"/>
      <c r="R208" s="142"/>
      <c r="S208" s="141"/>
      <c r="T208" s="141"/>
      <c r="U208" s="143"/>
      <c r="V208" s="141"/>
      <c r="W208" s="141"/>
      <c r="X208" s="11"/>
      <c r="Y208" s="11"/>
    </row>
    <row r="209" spans="1:25" ht="15.75" customHeight="1" x14ac:dyDescent="0.3">
      <c r="A209" s="140"/>
      <c r="B209" s="140"/>
      <c r="K209" s="141"/>
      <c r="L209" s="141"/>
      <c r="M209" s="143"/>
      <c r="N209" s="11"/>
      <c r="O209" s="142"/>
      <c r="P209" s="142"/>
      <c r="Q209" s="143"/>
      <c r="R209" s="142"/>
      <c r="S209" s="141"/>
      <c r="T209" s="141"/>
      <c r="U209" s="143"/>
      <c r="V209" s="141"/>
      <c r="W209" s="141"/>
      <c r="X209" s="11"/>
      <c r="Y209" s="11"/>
    </row>
    <row r="210" spans="1:25" ht="15.75" customHeight="1" x14ac:dyDescent="0.3">
      <c r="A210" s="140"/>
      <c r="B210" s="140"/>
      <c r="K210" s="141"/>
      <c r="L210" s="141"/>
      <c r="M210" s="143"/>
      <c r="N210" s="11"/>
      <c r="O210" s="142"/>
      <c r="P210" s="142"/>
      <c r="Q210" s="143"/>
      <c r="R210" s="142"/>
      <c r="S210" s="141"/>
      <c r="T210" s="141"/>
      <c r="U210" s="143"/>
      <c r="V210" s="141"/>
      <c r="W210" s="141"/>
      <c r="X210" s="11"/>
      <c r="Y210" s="11"/>
    </row>
    <row r="211" spans="1:25" ht="15.75" customHeight="1" x14ac:dyDescent="0.3">
      <c r="A211" s="140"/>
      <c r="B211" s="140"/>
      <c r="K211" s="141"/>
      <c r="L211" s="141"/>
      <c r="M211" s="143"/>
      <c r="N211" s="11"/>
      <c r="O211" s="142"/>
      <c r="P211" s="142"/>
      <c r="Q211" s="143"/>
      <c r="R211" s="142"/>
      <c r="S211" s="141"/>
      <c r="T211" s="141"/>
      <c r="U211" s="143"/>
      <c r="V211" s="141"/>
      <c r="W211" s="141"/>
      <c r="X211" s="11"/>
      <c r="Y211" s="11"/>
    </row>
    <row r="212" spans="1:25" ht="15.75" customHeight="1" x14ac:dyDescent="0.3">
      <c r="A212" s="140"/>
      <c r="B212" s="140"/>
      <c r="K212" s="141"/>
      <c r="L212" s="141"/>
      <c r="M212" s="143"/>
      <c r="N212" s="11"/>
      <c r="O212" s="142"/>
      <c r="P212" s="142"/>
      <c r="Q212" s="143"/>
      <c r="R212" s="142"/>
      <c r="S212" s="141"/>
      <c r="T212" s="141"/>
      <c r="U212" s="143"/>
      <c r="V212" s="141"/>
      <c r="W212" s="141"/>
      <c r="X212" s="11"/>
      <c r="Y212" s="11"/>
    </row>
    <row r="213" spans="1:25" ht="15.75" customHeight="1" x14ac:dyDescent="0.3">
      <c r="A213" s="140"/>
      <c r="B213" s="140"/>
      <c r="K213" s="141"/>
      <c r="L213" s="141"/>
      <c r="M213" s="143"/>
      <c r="N213" s="11"/>
      <c r="O213" s="142"/>
      <c r="P213" s="142"/>
      <c r="Q213" s="143"/>
      <c r="R213" s="142"/>
      <c r="S213" s="141"/>
      <c r="T213" s="141"/>
      <c r="U213" s="143"/>
      <c r="V213" s="141"/>
      <c r="W213" s="141"/>
      <c r="X213" s="11"/>
      <c r="Y213" s="11"/>
    </row>
    <row r="214" spans="1:25" ht="15.75" customHeight="1" x14ac:dyDescent="0.3">
      <c r="A214" s="140"/>
      <c r="B214" s="140"/>
      <c r="K214" s="141"/>
      <c r="L214" s="141"/>
      <c r="M214" s="143"/>
      <c r="N214" s="11"/>
      <c r="O214" s="142"/>
      <c r="P214" s="142"/>
      <c r="Q214" s="143"/>
      <c r="R214" s="142"/>
      <c r="S214" s="141"/>
      <c r="T214" s="141"/>
      <c r="U214" s="143"/>
      <c r="V214" s="141"/>
      <c r="W214" s="141"/>
      <c r="X214" s="11"/>
      <c r="Y214" s="11"/>
    </row>
    <row r="215" spans="1:25" ht="15.75" customHeight="1" x14ac:dyDescent="0.3">
      <c r="A215" s="140"/>
      <c r="B215" s="140"/>
      <c r="K215" s="141"/>
      <c r="L215" s="141"/>
      <c r="M215" s="143"/>
      <c r="N215" s="11"/>
      <c r="O215" s="142"/>
      <c r="P215" s="142"/>
      <c r="Q215" s="143"/>
      <c r="R215" s="142"/>
      <c r="S215" s="141"/>
      <c r="T215" s="141"/>
      <c r="U215" s="143"/>
      <c r="V215" s="141"/>
      <c r="W215" s="141"/>
      <c r="X215" s="11"/>
      <c r="Y215" s="11"/>
    </row>
    <row r="216" spans="1:25" ht="15.75" customHeight="1" x14ac:dyDescent="0.3">
      <c r="A216" s="140"/>
      <c r="B216" s="140"/>
      <c r="K216" s="141"/>
      <c r="L216" s="141"/>
      <c r="M216" s="143"/>
      <c r="N216" s="11"/>
      <c r="O216" s="142"/>
      <c r="P216" s="142"/>
      <c r="Q216" s="143"/>
      <c r="R216" s="142"/>
      <c r="S216" s="141"/>
      <c r="T216" s="141"/>
      <c r="U216" s="143"/>
      <c r="V216" s="141"/>
      <c r="W216" s="141"/>
      <c r="X216" s="11"/>
      <c r="Y216" s="11"/>
    </row>
    <row r="217" spans="1:25" ht="15.75" customHeight="1" x14ac:dyDescent="0.3">
      <c r="A217" s="140"/>
      <c r="B217" s="140"/>
      <c r="K217" s="141"/>
      <c r="L217" s="141"/>
      <c r="M217" s="143"/>
      <c r="N217" s="11"/>
      <c r="O217" s="142"/>
      <c r="P217" s="142"/>
      <c r="Q217" s="143"/>
      <c r="R217" s="142"/>
      <c r="S217" s="141"/>
      <c r="T217" s="141"/>
      <c r="U217" s="143"/>
      <c r="V217" s="141"/>
      <c r="W217" s="141"/>
      <c r="X217" s="11"/>
      <c r="Y217" s="11"/>
    </row>
    <row r="218" spans="1:25" ht="15.75" customHeight="1" x14ac:dyDescent="0.3">
      <c r="A218" s="140"/>
      <c r="B218" s="140"/>
      <c r="K218" s="141"/>
      <c r="L218" s="141"/>
      <c r="M218" s="143"/>
      <c r="N218" s="11"/>
      <c r="O218" s="142"/>
      <c r="P218" s="142"/>
      <c r="Q218" s="143"/>
      <c r="R218" s="142"/>
      <c r="S218" s="141"/>
      <c r="T218" s="141"/>
      <c r="U218" s="143"/>
      <c r="V218" s="141"/>
      <c r="W218" s="141"/>
      <c r="X218" s="11"/>
      <c r="Y218" s="11"/>
    </row>
    <row r="219" spans="1:25" ht="15.75" customHeight="1" x14ac:dyDescent="0.3">
      <c r="A219" s="140"/>
      <c r="B219" s="140"/>
      <c r="K219" s="141"/>
      <c r="L219" s="141"/>
      <c r="M219" s="143"/>
      <c r="N219" s="11"/>
      <c r="O219" s="142"/>
      <c r="P219" s="142"/>
      <c r="Q219" s="143"/>
      <c r="R219" s="142"/>
      <c r="S219" s="141"/>
      <c r="T219" s="141"/>
      <c r="U219" s="143"/>
      <c r="V219" s="141"/>
      <c r="W219" s="141"/>
      <c r="X219" s="11"/>
      <c r="Y219" s="11"/>
    </row>
    <row r="220" spans="1:25" ht="15.75" customHeight="1" x14ac:dyDescent="0.3">
      <c r="A220" s="140"/>
      <c r="B220" s="140"/>
      <c r="K220" s="141"/>
      <c r="L220" s="141"/>
      <c r="M220" s="143"/>
      <c r="N220" s="11"/>
      <c r="O220" s="142"/>
      <c r="P220" s="142"/>
      <c r="Q220" s="143"/>
      <c r="R220" s="142"/>
      <c r="S220" s="141"/>
      <c r="T220" s="141"/>
      <c r="U220" s="143"/>
      <c r="V220" s="141"/>
      <c r="W220" s="141"/>
      <c r="X220" s="11"/>
      <c r="Y220" s="11"/>
    </row>
    <row r="221" spans="1:25" ht="15.75" customHeight="1" x14ac:dyDescent="0.3">
      <c r="A221" s="140"/>
      <c r="B221" s="140"/>
      <c r="K221" s="141"/>
      <c r="L221" s="141"/>
      <c r="M221" s="143"/>
      <c r="N221" s="11"/>
      <c r="O221" s="142"/>
      <c r="P221" s="142"/>
      <c r="Q221" s="143"/>
      <c r="R221" s="142"/>
      <c r="S221" s="141"/>
      <c r="T221" s="141"/>
      <c r="U221" s="143"/>
      <c r="V221" s="141"/>
      <c r="W221" s="141"/>
      <c r="X221" s="11"/>
      <c r="Y221" s="11"/>
    </row>
    <row r="222" spans="1:25" ht="15.75" customHeight="1" x14ac:dyDescent="0.3">
      <c r="A222" s="140"/>
      <c r="B222" s="140"/>
      <c r="K222" s="141"/>
      <c r="L222" s="141"/>
      <c r="M222" s="143"/>
      <c r="N222" s="11"/>
      <c r="O222" s="142"/>
      <c r="P222" s="142"/>
      <c r="Q222" s="143"/>
      <c r="R222" s="142"/>
      <c r="S222" s="141"/>
      <c r="T222" s="141"/>
      <c r="U222" s="143"/>
      <c r="V222" s="141"/>
      <c r="W222" s="141"/>
      <c r="X222" s="11"/>
      <c r="Y222" s="11"/>
    </row>
    <row r="223" spans="1:25" ht="15.75" customHeight="1" x14ac:dyDescent="0.3">
      <c r="A223" s="140"/>
      <c r="B223" s="140"/>
      <c r="K223" s="141"/>
      <c r="L223" s="141"/>
      <c r="M223" s="143"/>
      <c r="N223" s="11"/>
      <c r="O223" s="142"/>
      <c r="P223" s="142"/>
      <c r="Q223" s="143"/>
      <c r="R223" s="142"/>
      <c r="S223" s="141"/>
      <c r="T223" s="141"/>
      <c r="U223" s="143"/>
      <c r="V223" s="141"/>
      <c r="W223" s="141"/>
      <c r="X223" s="11"/>
      <c r="Y223" s="11"/>
    </row>
    <row r="224" spans="1:25" ht="15.75" customHeight="1" x14ac:dyDescent="0.3">
      <c r="A224" s="140"/>
      <c r="B224" s="140"/>
      <c r="K224" s="141"/>
      <c r="L224" s="141"/>
      <c r="M224" s="143"/>
      <c r="N224" s="11"/>
      <c r="O224" s="142"/>
      <c r="P224" s="142"/>
      <c r="Q224" s="143"/>
      <c r="R224" s="142"/>
      <c r="S224" s="141"/>
      <c r="T224" s="141"/>
      <c r="U224" s="143"/>
      <c r="V224" s="141"/>
      <c r="W224" s="141"/>
      <c r="X224" s="11"/>
      <c r="Y224" s="11"/>
    </row>
    <row r="225" spans="1:25" ht="15.75" customHeight="1" x14ac:dyDescent="0.3">
      <c r="A225" s="140"/>
      <c r="B225" s="140"/>
      <c r="K225" s="141"/>
      <c r="L225" s="141"/>
      <c r="M225" s="143"/>
      <c r="N225" s="11"/>
      <c r="O225" s="142"/>
      <c r="P225" s="142"/>
      <c r="Q225" s="143"/>
      <c r="R225" s="142"/>
      <c r="S225" s="141"/>
      <c r="T225" s="141"/>
      <c r="U225" s="143"/>
      <c r="V225" s="141"/>
      <c r="W225" s="141"/>
      <c r="X225" s="11"/>
      <c r="Y225" s="11"/>
    </row>
    <row r="226" spans="1:25" ht="15.75" customHeight="1" x14ac:dyDescent="0.3">
      <c r="A226" s="140"/>
      <c r="B226" s="140"/>
      <c r="K226" s="141"/>
      <c r="L226" s="141"/>
      <c r="M226" s="143"/>
      <c r="N226" s="11"/>
      <c r="O226" s="142"/>
      <c r="P226" s="142"/>
      <c r="Q226" s="143"/>
      <c r="R226" s="142"/>
      <c r="S226" s="141"/>
      <c r="T226" s="141"/>
      <c r="U226" s="143"/>
      <c r="V226" s="141"/>
      <c r="W226" s="141"/>
      <c r="X226" s="11"/>
      <c r="Y226" s="11"/>
    </row>
    <row r="227" spans="1:25" ht="15.75" customHeight="1" x14ac:dyDescent="0.3">
      <c r="A227" s="140"/>
      <c r="B227" s="140"/>
      <c r="K227" s="141"/>
      <c r="L227" s="141"/>
      <c r="M227" s="143"/>
      <c r="N227" s="11"/>
      <c r="O227" s="142"/>
      <c r="P227" s="142"/>
      <c r="Q227" s="143"/>
      <c r="R227" s="142"/>
      <c r="S227" s="141"/>
      <c r="T227" s="141"/>
      <c r="U227" s="143"/>
      <c r="V227" s="141"/>
      <c r="W227" s="141"/>
      <c r="X227" s="11"/>
      <c r="Y227" s="11"/>
    </row>
    <row r="228" spans="1:25" ht="15.75" customHeight="1" x14ac:dyDescent="0.3">
      <c r="A228" s="140"/>
      <c r="B228" s="140"/>
      <c r="K228" s="141"/>
      <c r="L228" s="141"/>
      <c r="M228" s="143"/>
      <c r="N228" s="11"/>
      <c r="O228" s="142"/>
      <c r="P228" s="142"/>
      <c r="Q228" s="143"/>
      <c r="R228" s="142"/>
      <c r="S228" s="141"/>
      <c r="T228" s="141"/>
      <c r="U228" s="143"/>
      <c r="V228" s="141"/>
      <c r="W228" s="141"/>
      <c r="X228" s="11"/>
      <c r="Y228" s="11"/>
    </row>
    <row r="229" spans="1:25" ht="15.75" customHeight="1" x14ac:dyDescent="0.3">
      <c r="A229" s="140"/>
      <c r="B229" s="140"/>
      <c r="K229" s="141"/>
      <c r="L229" s="141"/>
      <c r="M229" s="143"/>
      <c r="N229" s="11"/>
      <c r="O229" s="142"/>
      <c r="P229" s="142"/>
      <c r="Q229" s="143"/>
      <c r="R229" s="142"/>
      <c r="S229" s="141"/>
      <c r="T229" s="141"/>
      <c r="U229" s="143"/>
      <c r="V229" s="141"/>
      <c r="W229" s="141"/>
      <c r="X229" s="11"/>
      <c r="Y229" s="11"/>
    </row>
    <row r="230" spans="1:25" ht="15.75" customHeight="1" x14ac:dyDescent="0.3">
      <c r="A230" s="140"/>
      <c r="B230" s="140"/>
      <c r="K230" s="141"/>
      <c r="L230" s="141"/>
      <c r="M230" s="143"/>
      <c r="N230" s="11"/>
      <c r="O230" s="142"/>
      <c r="P230" s="142"/>
      <c r="Q230" s="143"/>
      <c r="R230" s="142"/>
      <c r="S230" s="141"/>
      <c r="T230" s="141"/>
      <c r="U230" s="143"/>
      <c r="V230" s="141"/>
      <c r="W230" s="141"/>
      <c r="X230" s="11"/>
      <c r="Y230" s="11"/>
    </row>
    <row r="231" spans="1:25" ht="15.75" customHeight="1" x14ac:dyDescent="0.3">
      <c r="A231" s="140"/>
      <c r="B231" s="140"/>
      <c r="K231" s="141"/>
      <c r="L231" s="141"/>
      <c r="M231" s="143"/>
      <c r="N231" s="11"/>
      <c r="O231" s="142"/>
      <c r="P231" s="142"/>
      <c r="Q231" s="143"/>
      <c r="R231" s="142"/>
      <c r="S231" s="141"/>
      <c r="T231" s="141"/>
      <c r="U231" s="143"/>
      <c r="V231" s="141"/>
      <c r="W231" s="141"/>
      <c r="X231" s="11"/>
      <c r="Y231" s="11"/>
    </row>
    <row r="232" spans="1:25" ht="15.75" customHeight="1" x14ac:dyDescent="0.3">
      <c r="A232" s="140"/>
      <c r="B232" s="140"/>
      <c r="K232" s="141"/>
      <c r="L232" s="141"/>
      <c r="M232" s="143"/>
      <c r="N232" s="11"/>
      <c r="O232" s="142"/>
      <c r="P232" s="142"/>
      <c r="Q232" s="143"/>
      <c r="R232" s="142"/>
      <c r="S232" s="141"/>
      <c r="T232" s="141"/>
      <c r="U232" s="143"/>
      <c r="V232" s="141"/>
      <c r="W232" s="141"/>
      <c r="X232" s="11"/>
      <c r="Y232" s="11"/>
    </row>
    <row r="233" spans="1:25" ht="15.75" customHeight="1" x14ac:dyDescent="0.3">
      <c r="A233" s="140"/>
      <c r="B233" s="140"/>
      <c r="K233" s="141"/>
      <c r="L233" s="141"/>
      <c r="M233" s="143"/>
      <c r="N233" s="11"/>
      <c r="O233" s="142"/>
      <c r="P233" s="142"/>
      <c r="Q233" s="143"/>
      <c r="R233" s="142"/>
      <c r="S233" s="141"/>
      <c r="T233" s="141"/>
      <c r="U233" s="143"/>
      <c r="V233" s="141"/>
      <c r="W233" s="141"/>
      <c r="X233" s="11"/>
      <c r="Y233" s="11"/>
    </row>
    <row r="234" spans="1:25" ht="15.75" customHeight="1" x14ac:dyDescent="0.3">
      <c r="A234" s="140"/>
      <c r="B234" s="140"/>
      <c r="K234" s="141"/>
      <c r="L234" s="141"/>
      <c r="M234" s="143"/>
      <c r="N234" s="11"/>
      <c r="O234" s="142"/>
      <c r="P234" s="142"/>
      <c r="Q234" s="143"/>
      <c r="R234" s="142"/>
      <c r="S234" s="141"/>
      <c r="T234" s="141"/>
      <c r="U234" s="143"/>
      <c r="V234" s="141"/>
      <c r="W234" s="141"/>
      <c r="X234" s="11"/>
      <c r="Y234" s="11"/>
    </row>
    <row r="235" spans="1:25" ht="15.75" customHeight="1" x14ac:dyDescent="0.3">
      <c r="A235" s="140"/>
      <c r="B235" s="140"/>
      <c r="K235" s="141"/>
      <c r="L235" s="141"/>
      <c r="M235" s="143"/>
      <c r="N235" s="11"/>
      <c r="O235" s="142"/>
      <c r="P235" s="142"/>
      <c r="Q235" s="143"/>
      <c r="R235" s="142"/>
      <c r="S235" s="141"/>
      <c r="T235" s="141"/>
      <c r="U235" s="143"/>
      <c r="V235" s="141"/>
      <c r="W235" s="141"/>
      <c r="X235" s="11"/>
      <c r="Y235" s="11"/>
    </row>
    <row r="236" spans="1:25" ht="15.75" customHeight="1" x14ac:dyDescent="0.3">
      <c r="A236" s="140"/>
      <c r="B236" s="140"/>
      <c r="K236" s="141"/>
      <c r="L236" s="141"/>
      <c r="M236" s="143"/>
      <c r="N236" s="11"/>
      <c r="O236" s="142"/>
      <c r="P236" s="142"/>
      <c r="Q236" s="143"/>
      <c r="R236" s="142"/>
      <c r="S236" s="141"/>
      <c r="T236" s="141"/>
      <c r="U236" s="143"/>
      <c r="V236" s="141"/>
      <c r="W236" s="141"/>
      <c r="X236" s="11"/>
      <c r="Y236" s="11"/>
    </row>
    <row r="237" spans="1:25" ht="15.75" customHeight="1" x14ac:dyDescent="0.3">
      <c r="A237" s="140"/>
      <c r="B237" s="140"/>
      <c r="K237" s="141"/>
      <c r="L237" s="141"/>
      <c r="M237" s="143"/>
      <c r="N237" s="11"/>
      <c r="O237" s="142"/>
      <c r="P237" s="142"/>
      <c r="Q237" s="143"/>
      <c r="R237" s="142"/>
      <c r="S237" s="141"/>
      <c r="T237" s="141"/>
      <c r="U237" s="143"/>
      <c r="V237" s="141"/>
      <c r="W237" s="141"/>
      <c r="X237" s="11"/>
      <c r="Y237" s="11"/>
    </row>
    <row r="238" spans="1:25" ht="15.75" customHeight="1" x14ac:dyDescent="0.3">
      <c r="A238" s="140"/>
      <c r="B238" s="140"/>
      <c r="K238" s="141"/>
      <c r="L238" s="141"/>
      <c r="M238" s="143"/>
      <c r="N238" s="11"/>
      <c r="O238" s="142"/>
      <c r="P238" s="142"/>
      <c r="Q238" s="143"/>
      <c r="R238" s="142"/>
      <c r="S238" s="141"/>
      <c r="T238" s="141"/>
      <c r="U238" s="143"/>
      <c r="V238" s="141"/>
      <c r="W238" s="141"/>
      <c r="X238" s="11"/>
      <c r="Y238" s="11"/>
    </row>
    <row r="239" spans="1:25" ht="15.75" customHeight="1" x14ac:dyDescent="0.3">
      <c r="A239" s="140"/>
      <c r="B239" s="140"/>
      <c r="K239" s="141"/>
      <c r="L239" s="141"/>
      <c r="M239" s="143"/>
      <c r="N239" s="11"/>
      <c r="O239" s="142"/>
      <c r="P239" s="142"/>
      <c r="Q239" s="143"/>
      <c r="R239" s="142"/>
      <c r="S239" s="141"/>
      <c r="T239" s="141"/>
      <c r="U239" s="143"/>
      <c r="V239" s="141"/>
      <c r="W239" s="141"/>
      <c r="X239" s="11"/>
      <c r="Y239" s="11"/>
    </row>
    <row r="240" spans="1:25" ht="15.75" customHeight="1" x14ac:dyDescent="0.3">
      <c r="A240" s="140"/>
      <c r="B240" s="140"/>
      <c r="K240" s="141"/>
      <c r="L240" s="141"/>
      <c r="M240" s="143"/>
      <c r="N240" s="11"/>
      <c r="O240" s="142"/>
      <c r="P240" s="142"/>
      <c r="Q240" s="143"/>
      <c r="R240" s="142"/>
      <c r="S240" s="141"/>
      <c r="T240" s="141"/>
      <c r="U240" s="143"/>
      <c r="V240" s="141"/>
      <c r="W240" s="141"/>
      <c r="X240" s="11"/>
      <c r="Y240" s="11"/>
    </row>
    <row r="241" spans="1:25" ht="15.75" customHeight="1" x14ac:dyDescent="0.3">
      <c r="A241" s="140"/>
      <c r="B241" s="140"/>
      <c r="K241" s="141"/>
      <c r="L241" s="141"/>
      <c r="M241" s="143"/>
      <c r="N241" s="11"/>
      <c r="O241" s="142"/>
      <c r="P241" s="142"/>
      <c r="Q241" s="143"/>
      <c r="R241" s="142"/>
      <c r="S241" s="141"/>
      <c r="T241" s="141"/>
      <c r="U241" s="143"/>
      <c r="V241" s="141"/>
      <c r="W241" s="141"/>
      <c r="X241" s="11"/>
      <c r="Y241" s="11"/>
    </row>
    <row r="242" spans="1:25" ht="15.75" customHeight="1" x14ac:dyDescent="0.3">
      <c r="A242" s="140"/>
      <c r="B242" s="140"/>
      <c r="K242" s="141"/>
      <c r="L242" s="141"/>
      <c r="M242" s="143"/>
      <c r="N242" s="11"/>
      <c r="O242" s="142"/>
      <c r="P242" s="142"/>
      <c r="Q242" s="143"/>
      <c r="R242" s="142"/>
      <c r="S242" s="141"/>
      <c r="T242" s="141"/>
      <c r="U242" s="143"/>
      <c r="V242" s="141"/>
      <c r="W242" s="141"/>
      <c r="X242" s="11"/>
      <c r="Y242" s="11"/>
    </row>
    <row r="243" spans="1:25" ht="15.75" customHeight="1" x14ac:dyDescent="0.3">
      <c r="A243" s="140"/>
      <c r="B243" s="140"/>
      <c r="K243" s="141"/>
      <c r="L243" s="141"/>
      <c r="M243" s="143"/>
      <c r="N243" s="11"/>
      <c r="O243" s="142"/>
      <c r="P243" s="142"/>
      <c r="Q243" s="143"/>
      <c r="R243" s="142"/>
      <c r="S243" s="141"/>
      <c r="T243" s="141"/>
      <c r="U243" s="143"/>
      <c r="V243" s="141"/>
      <c r="W243" s="141"/>
      <c r="X243" s="11"/>
      <c r="Y243" s="11"/>
    </row>
    <row r="244" spans="1:25" ht="15.75" customHeight="1" x14ac:dyDescent="0.3">
      <c r="A244" s="140"/>
      <c r="B244" s="140"/>
      <c r="K244" s="141"/>
      <c r="L244" s="141"/>
      <c r="M244" s="143"/>
      <c r="N244" s="11"/>
      <c r="O244" s="142"/>
      <c r="P244" s="142"/>
      <c r="Q244" s="143"/>
      <c r="R244" s="142"/>
      <c r="S244" s="141"/>
      <c r="T244" s="141"/>
      <c r="U244" s="143"/>
      <c r="V244" s="141"/>
      <c r="W244" s="141"/>
      <c r="X244" s="11"/>
      <c r="Y244" s="11"/>
    </row>
    <row r="245" spans="1:25" ht="15.75" customHeight="1" x14ac:dyDescent="0.3">
      <c r="A245" s="140"/>
      <c r="B245" s="140"/>
      <c r="K245" s="141"/>
      <c r="L245" s="141"/>
      <c r="M245" s="143"/>
      <c r="N245" s="11"/>
      <c r="O245" s="142"/>
      <c r="P245" s="142"/>
      <c r="Q245" s="143"/>
      <c r="R245" s="142"/>
      <c r="S245" s="141"/>
      <c r="T245" s="141"/>
      <c r="U245" s="143"/>
      <c r="V245" s="141"/>
      <c r="W245" s="141"/>
      <c r="X245" s="11"/>
      <c r="Y245" s="11"/>
    </row>
    <row r="246" spans="1:25" ht="15.75" customHeight="1" x14ac:dyDescent="0.3">
      <c r="A246" s="140"/>
      <c r="B246" s="140"/>
      <c r="K246" s="141"/>
      <c r="L246" s="141"/>
      <c r="M246" s="143"/>
      <c r="N246" s="11"/>
      <c r="O246" s="142"/>
      <c r="P246" s="142"/>
      <c r="Q246" s="143"/>
      <c r="R246" s="142"/>
      <c r="S246" s="141"/>
      <c r="T246" s="141"/>
      <c r="U246" s="143"/>
      <c r="V246" s="141"/>
      <c r="W246" s="141"/>
      <c r="X246" s="11"/>
      <c r="Y246" s="11"/>
    </row>
    <row r="247" spans="1:25" ht="15.75" customHeight="1" x14ac:dyDescent="0.3">
      <c r="A247" s="140"/>
      <c r="B247" s="140"/>
      <c r="K247" s="141"/>
      <c r="L247" s="141"/>
      <c r="M247" s="143"/>
      <c r="N247" s="11"/>
      <c r="O247" s="142"/>
      <c r="P247" s="142"/>
      <c r="Q247" s="143"/>
      <c r="R247" s="142"/>
      <c r="S247" s="141"/>
      <c r="T247" s="141"/>
      <c r="U247" s="143"/>
      <c r="V247" s="141"/>
      <c r="W247" s="141"/>
      <c r="X247" s="11"/>
      <c r="Y247" s="11"/>
    </row>
    <row r="248" spans="1:25" ht="15.75" customHeight="1" x14ac:dyDescent="0.3">
      <c r="A248" s="140"/>
      <c r="B248" s="140"/>
      <c r="K248" s="141"/>
      <c r="L248" s="141"/>
      <c r="M248" s="143"/>
      <c r="N248" s="11"/>
      <c r="O248" s="142"/>
      <c r="P248" s="142"/>
      <c r="Q248" s="143"/>
      <c r="R248" s="142"/>
      <c r="S248" s="141"/>
      <c r="T248" s="141"/>
      <c r="U248" s="143"/>
      <c r="V248" s="141"/>
      <c r="W248" s="141"/>
      <c r="X248" s="11"/>
      <c r="Y248" s="11"/>
    </row>
    <row r="249" spans="1:25" ht="15.75" customHeight="1" x14ac:dyDescent="0.3">
      <c r="A249" s="140"/>
      <c r="B249" s="140"/>
      <c r="K249" s="141"/>
      <c r="L249" s="141"/>
      <c r="M249" s="143"/>
      <c r="N249" s="11"/>
      <c r="O249" s="142"/>
      <c r="P249" s="142"/>
      <c r="Q249" s="143"/>
      <c r="R249" s="142"/>
      <c r="S249" s="141"/>
      <c r="T249" s="141"/>
      <c r="U249" s="143"/>
      <c r="V249" s="141"/>
      <c r="W249" s="141"/>
      <c r="X249" s="11"/>
      <c r="Y249" s="11"/>
    </row>
    <row r="250" spans="1:25" ht="15.75" customHeight="1" x14ac:dyDescent="0.3">
      <c r="A250" s="140"/>
      <c r="B250" s="140"/>
      <c r="K250" s="141"/>
      <c r="L250" s="141"/>
      <c r="M250" s="143"/>
      <c r="N250" s="11"/>
      <c r="O250" s="142"/>
      <c r="P250" s="142"/>
      <c r="Q250" s="143"/>
      <c r="R250" s="142"/>
      <c r="S250" s="141"/>
      <c r="T250" s="141"/>
      <c r="U250" s="143"/>
      <c r="V250" s="141"/>
      <c r="W250" s="141"/>
      <c r="X250" s="11"/>
      <c r="Y250" s="11"/>
    </row>
    <row r="251" spans="1:25" ht="15.75" customHeight="1" x14ac:dyDescent="0.3">
      <c r="A251" s="140"/>
      <c r="B251" s="140"/>
      <c r="K251" s="141"/>
      <c r="L251" s="141"/>
      <c r="M251" s="143"/>
      <c r="N251" s="11"/>
      <c r="O251" s="142"/>
      <c r="P251" s="142"/>
      <c r="Q251" s="143"/>
      <c r="R251" s="142"/>
      <c r="S251" s="141"/>
      <c r="T251" s="141"/>
      <c r="U251" s="143"/>
      <c r="V251" s="141"/>
      <c r="W251" s="141"/>
      <c r="X251" s="11"/>
      <c r="Y251" s="11"/>
    </row>
    <row r="252" spans="1:25" ht="15.75" customHeight="1" x14ac:dyDescent="0.3">
      <c r="A252" s="140"/>
      <c r="B252" s="140"/>
      <c r="K252" s="141"/>
      <c r="L252" s="141"/>
      <c r="M252" s="143"/>
      <c r="N252" s="11"/>
      <c r="O252" s="142"/>
      <c r="P252" s="142"/>
      <c r="Q252" s="143"/>
      <c r="R252" s="142"/>
      <c r="S252" s="141"/>
      <c r="T252" s="141"/>
      <c r="U252" s="143"/>
      <c r="V252" s="141"/>
      <c r="W252" s="141"/>
      <c r="X252" s="11"/>
      <c r="Y252" s="11"/>
    </row>
    <row r="253" spans="1:25" ht="15.75" customHeight="1" x14ac:dyDescent="0.3">
      <c r="A253" s="140"/>
      <c r="B253" s="140"/>
      <c r="K253" s="141"/>
      <c r="L253" s="141"/>
      <c r="M253" s="143"/>
      <c r="N253" s="11"/>
      <c r="O253" s="142"/>
      <c r="P253" s="142"/>
      <c r="Q253" s="143"/>
      <c r="R253" s="142"/>
      <c r="S253" s="141"/>
      <c r="T253" s="141"/>
      <c r="U253" s="143"/>
      <c r="V253" s="141"/>
      <c r="W253" s="141"/>
      <c r="X253" s="11"/>
      <c r="Y253" s="11"/>
    </row>
    <row r="254" spans="1:25" ht="15.75" customHeight="1" x14ac:dyDescent="0.3">
      <c r="A254" s="140"/>
      <c r="B254" s="140"/>
      <c r="K254" s="141"/>
      <c r="L254" s="141"/>
      <c r="M254" s="143"/>
      <c r="N254" s="11"/>
      <c r="O254" s="142"/>
      <c r="P254" s="142"/>
      <c r="Q254" s="143"/>
      <c r="R254" s="142"/>
      <c r="S254" s="141"/>
      <c r="T254" s="141"/>
      <c r="U254" s="143"/>
      <c r="V254" s="141"/>
      <c r="W254" s="141"/>
      <c r="X254" s="11"/>
      <c r="Y254" s="11"/>
    </row>
    <row r="255" spans="1:25" ht="15.75" customHeight="1" x14ac:dyDescent="0.3">
      <c r="A255" s="140"/>
      <c r="B255" s="140"/>
      <c r="K255" s="141"/>
      <c r="L255" s="141"/>
      <c r="M255" s="143"/>
      <c r="N255" s="11"/>
      <c r="O255" s="142"/>
      <c r="P255" s="142"/>
      <c r="Q255" s="143"/>
      <c r="R255" s="142"/>
      <c r="S255" s="141"/>
      <c r="T255" s="141"/>
      <c r="U255" s="143"/>
      <c r="V255" s="141"/>
      <c r="W255" s="141"/>
      <c r="X255" s="11"/>
      <c r="Y255" s="11"/>
    </row>
    <row r="256" spans="1:25" ht="15.75" customHeight="1" x14ac:dyDescent="0.3">
      <c r="A256" s="140"/>
      <c r="B256" s="140"/>
      <c r="K256" s="141"/>
      <c r="L256" s="141"/>
      <c r="M256" s="143"/>
      <c r="N256" s="11"/>
      <c r="O256" s="142"/>
      <c r="P256" s="142"/>
      <c r="Q256" s="143"/>
      <c r="R256" s="142"/>
      <c r="S256" s="141"/>
      <c r="T256" s="141"/>
      <c r="U256" s="143"/>
      <c r="V256" s="141"/>
      <c r="W256" s="141"/>
      <c r="X256" s="11"/>
      <c r="Y256" s="11"/>
    </row>
    <row r="257" spans="1:25" ht="15.75" customHeight="1" x14ac:dyDescent="0.3">
      <c r="A257" s="140"/>
      <c r="B257" s="140"/>
      <c r="J257" s="145"/>
      <c r="K257" s="141"/>
      <c r="L257" s="141"/>
      <c r="M257" s="143"/>
      <c r="N257" s="11"/>
      <c r="O257" s="142"/>
      <c r="P257" s="142"/>
      <c r="Q257" s="143"/>
      <c r="R257" s="142"/>
      <c r="S257" s="141"/>
      <c r="T257" s="141"/>
      <c r="U257" s="143"/>
      <c r="V257" s="141"/>
      <c r="W257" s="141"/>
      <c r="X257" s="11"/>
      <c r="Y257" s="11"/>
    </row>
    <row r="258" spans="1:25" ht="15.75" customHeight="1" x14ac:dyDescent="0.25">
      <c r="O258" s="144"/>
      <c r="P258" s="144"/>
    </row>
    <row r="259" spans="1:25" ht="15.75" customHeight="1" x14ac:dyDescent="0.25">
      <c r="O259" s="144"/>
      <c r="P259" s="144"/>
    </row>
    <row r="260" spans="1:25" ht="15.75" customHeight="1" x14ac:dyDescent="0.25">
      <c r="O260" s="144"/>
      <c r="P260" s="144"/>
    </row>
    <row r="261" spans="1:25" ht="15.75" customHeight="1" x14ac:dyDescent="0.25">
      <c r="O261" s="144"/>
      <c r="P261" s="144"/>
    </row>
    <row r="262" spans="1:25" ht="15.75" customHeight="1" x14ac:dyDescent="0.25">
      <c r="O262" s="144"/>
      <c r="P262" s="144"/>
    </row>
    <row r="263" spans="1:25" ht="15.75" customHeight="1" x14ac:dyDescent="0.25">
      <c r="O263" s="144"/>
      <c r="P263" s="144"/>
    </row>
    <row r="264" spans="1:25" ht="15.75" customHeight="1" x14ac:dyDescent="0.25">
      <c r="O264" s="144"/>
      <c r="P264" s="144"/>
    </row>
    <row r="265" spans="1:25" ht="15.75" customHeight="1" x14ac:dyDescent="0.25">
      <c r="O265" s="144"/>
      <c r="P265" s="144"/>
    </row>
    <row r="266" spans="1:25" ht="15.75" customHeight="1" x14ac:dyDescent="0.25">
      <c r="O266" s="144"/>
      <c r="P266" s="144"/>
    </row>
    <row r="267" spans="1:25" ht="15.75" customHeight="1" x14ac:dyDescent="0.25">
      <c r="O267" s="144"/>
      <c r="P267" s="144"/>
    </row>
    <row r="268" spans="1:25" ht="15.75" customHeight="1" x14ac:dyDescent="0.25">
      <c r="O268" s="144"/>
      <c r="P268" s="144"/>
    </row>
    <row r="269" spans="1:25" ht="15.75" customHeight="1" x14ac:dyDescent="0.25">
      <c r="O269" s="144"/>
      <c r="P269" s="144"/>
    </row>
    <row r="270" spans="1:25" ht="15.75" customHeight="1" x14ac:dyDescent="0.25">
      <c r="O270" s="144"/>
      <c r="P270" s="144"/>
    </row>
    <row r="271" spans="1:25" ht="15.75" customHeight="1" x14ac:dyDescent="0.25">
      <c r="O271" s="144"/>
      <c r="P271" s="144"/>
    </row>
    <row r="272" spans="1:25" ht="15.75" customHeight="1" x14ac:dyDescent="0.25">
      <c r="O272" s="144"/>
      <c r="P272" s="144"/>
    </row>
    <row r="273" spans="15:16" ht="15.75" customHeight="1" x14ac:dyDescent="0.25">
      <c r="O273" s="144"/>
      <c r="P273" s="144"/>
    </row>
    <row r="274" spans="15:16" ht="15.75" customHeight="1" x14ac:dyDescent="0.25">
      <c r="O274" s="144"/>
      <c r="P274" s="144"/>
    </row>
    <row r="275" spans="15:16" ht="15.75" customHeight="1" x14ac:dyDescent="0.25">
      <c r="O275" s="144"/>
      <c r="P275" s="144"/>
    </row>
    <row r="276" spans="15:16" ht="15.75" customHeight="1" x14ac:dyDescent="0.25">
      <c r="O276" s="144"/>
      <c r="P276" s="144"/>
    </row>
    <row r="277" spans="15:16" ht="15.75" customHeight="1" x14ac:dyDescent="0.25">
      <c r="O277" s="144"/>
      <c r="P277" s="144"/>
    </row>
    <row r="278" spans="15:16" ht="15.75" customHeight="1" x14ac:dyDescent="0.25">
      <c r="O278" s="144"/>
      <c r="P278" s="144"/>
    </row>
    <row r="279" spans="15:16" ht="15.75" customHeight="1" x14ac:dyDescent="0.25">
      <c r="O279" s="144"/>
      <c r="P279" s="144"/>
    </row>
    <row r="280" spans="15:16" ht="15.75" customHeight="1" x14ac:dyDescent="0.25">
      <c r="O280" s="144"/>
      <c r="P280" s="144"/>
    </row>
    <row r="281" spans="15:16" ht="15.75" customHeight="1" x14ac:dyDescent="0.25">
      <c r="O281" s="144"/>
      <c r="P281" s="144"/>
    </row>
    <row r="282" spans="15:16" ht="15.75" customHeight="1" x14ac:dyDescent="0.25">
      <c r="O282" s="144"/>
      <c r="P282" s="144"/>
    </row>
    <row r="283" spans="15:16" ht="15.75" customHeight="1" x14ac:dyDescent="0.25">
      <c r="O283" s="144"/>
      <c r="P283" s="144"/>
    </row>
    <row r="284" spans="15:16" ht="15.75" customHeight="1" x14ac:dyDescent="0.25">
      <c r="O284" s="144"/>
      <c r="P284" s="144"/>
    </row>
    <row r="285" spans="15:16" ht="15.75" customHeight="1" x14ac:dyDescent="0.25">
      <c r="O285" s="144"/>
      <c r="P285" s="144"/>
    </row>
    <row r="286" spans="15:16" ht="15.75" customHeight="1" x14ac:dyDescent="0.25">
      <c r="O286" s="144"/>
      <c r="P286" s="144"/>
    </row>
    <row r="287" spans="15:16" ht="15.75" customHeight="1" x14ac:dyDescent="0.25">
      <c r="O287" s="144"/>
      <c r="P287" s="144"/>
    </row>
    <row r="288" spans="15:16" ht="15.75" customHeight="1" x14ac:dyDescent="0.25">
      <c r="O288" s="144"/>
      <c r="P288" s="144"/>
    </row>
    <row r="289" spans="15:16" ht="15.75" customHeight="1" x14ac:dyDescent="0.25">
      <c r="O289" s="144"/>
      <c r="P289" s="144"/>
    </row>
    <row r="290" spans="15:16" ht="15.75" customHeight="1" x14ac:dyDescent="0.25">
      <c r="O290" s="144"/>
      <c r="P290" s="144"/>
    </row>
    <row r="291" spans="15:16" ht="15.75" customHeight="1" x14ac:dyDescent="0.25">
      <c r="O291" s="144"/>
      <c r="P291" s="144"/>
    </row>
    <row r="292" spans="15:16" ht="15.75" customHeight="1" x14ac:dyDescent="0.25">
      <c r="O292" s="144"/>
      <c r="P292" s="144"/>
    </row>
    <row r="293" spans="15:16" ht="15.75" customHeight="1" x14ac:dyDescent="0.25">
      <c r="O293" s="144"/>
      <c r="P293" s="144"/>
    </row>
    <row r="294" spans="15:16" ht="15.75" customHeight="1" x14ac:dyDescent="0.25">
      <c r="O294" s="144"/>
      <c r="P294" s="144"/>
    </row>
    <row r="295" spans="15:16" ht="15.75" customHeight="1" x14ac:dyDescent="0.25">
      <c r="O295" s="144"/>
      <c r="P295" s="144"/>
    </row>
    <row r="296" spans="15:16" ht="15.75" customHeight="1" x14ac:dyDescent="0.25">
      <c r="O296" s="144"/>
      <c r="P296" s="144"/>
    </row>
    <row r="297" spans="15:16" ht="15.75" customHeight="1" x14ac:dyDescent="0.25">
      <c r="O297" s="144"/>
      <c r="P297" s="144"/>
    </row>
    <row r="298" spans="15:16" ht="15.75" customHeight="1" x14ac:dyDescent="0.25">
      <c r="O298" s="144"/>
      <c r="P298" s="144"/>
    </row>
    <row r="299" spans="15:16" ht="15.75" customHeight="1" x14ac:dyDescent="0.25">
      <c r="O299" s="144"/>
      <c r="P299" s="144"/>
    </row>
    <row r="300" spans="15:16" ht="15.75" customHeight="1" x14ac:dyDescent="0.25">
      <c r="O300" s="144"/>
      <c r="P300" s="144"/>
    </row>
    <row r="301" spans="15:16" ht="15.75" customHeight="1" x14ac:dyDescent="0.25">
      <c r="O301" s="144"/>
      <c r="P301" s="144"/>
    </row>
    <row r="302" spans="15:16" ht="15.75" customHeight="1" x14ac:dyDescent="0.25">
      <c r="O302" s="144"/>
      <c r="P302" s="144"/>
    </row>
    <row r="303" spans="15:16" ht="15.75" customHeight="1" x14ac:dyDescent="0.25">
      <c r="O303" s="144"/>
      <c r="P303" s="144"/>
    </row>
    <row r="304" spans="15:16" ht="15.75" customHeight="1" x14ac:dyDescent="0.25">
      <c r="O304" s="144"/>
      <c r="P304" s="144"/>
    </row>
    <row r="305" spans="15:16" ht="15.75" customHeight="1" x14ac:dyDescent="0.25">
      <c r="O305" s="144"/>
      <c r="P305" s="144"/>
    </row>
    <row r="306" spans="15:16" ht="15.75" customHeight="1" x14ac:dyDescent="0.25">
      <c r="O306" s="144"/>
      <c r="P306" s="144"/>
    </row>
    <row r="307" spans="15:16" ht="15.75" customHeight="1" x14ac:dyDescent="0.25">
      <c r="O307" s="144"/>
      <c r="P307" s="144"/>
    </row>
    <row r="308" spans="15:16" ht="15.75" customHeight="1" x14ac:dyDescent="0.25">
      <c r="O308" s="144"/>
      <c r="P308" s="144"/>
    </row>
    <row r="309" spans="15:16" ht="15.75" customHeight="1" x14ac:dyDescent="0.25">
      <c r="O309" s="144"/>
      <c r="P309" s="144"/>
    </row>
    <row r="310" spans="15:16" ht="15.75" customHeight="1" x14ac:dyDescent="0.25">
      <c r="O310" s="144"/>
      <c r="P310" s="144"/>
    </row>
    <row r="311" spans="15:16" ht="15.75" customHeight="1" x14ac:dyDescent="0.25">
      <c r="O311" s="144"/>
      <c r="P311" s="144"/>
    </row>
    <row r="312" spans="15:16" ht="15.75" customHeight="1" x14ac:dyDescent="0.25">
      <c r="O312" s="144"/>
      <c r="P312" s="144"/>
    </row>
    <row r="313" spans="15:16" ht="15.75" customHeight="1" x14ac:dyDescent="0.25">
      <c r="O313" s="144"/>
      <c r="P313" s="144"/>
    </row>
    <row r="314" spans="15:16" ht="15.75" customHeight="1" x14ac:dyDescent="0.25">
      <c r="O314" s="144"/>
      <c r="P314" s="144"/>
    </row>
    <row r="315" spans="15:16" ht="15.75" customHeight="1" x14ac:dyDescent="0.25">
      <c r="O315" s="144"/>
      <c r="P315" s="144"/>
    </row>
    <row r="316" spans="15:16" ht="15.75" customHeight="1" x14ac:dyDescent="0.25">
      <c r="O316" s="144"/>
      <c r="P316" s="144"/>
    </row>
    <row r="317" spans="15:16" ht="15.75" customHeight="1" x14ac:dyDescent="0.25">
      <c r="O317" s="144"/>
      <c r="P317" s="144"/>
    </row>
    <row r="318" spans="15:16" ht="15.75" customHeight="1" x14ac:dyDescent="0.25">
      <c r="O318" s="144"/>
      <c r="P318" s="144"/>
    </row>
    <row r="319" spans="15:16" ht="15.75" customHeight="1" x14ac:dyDescent="0.25">
      <c r="O319" s="144"/>
      <c r="P319" s="144"/>
    </row>
    <row r="320" spans="15:16" ht="15.75" customHeight="1" x14ac:dyDescent="0.25">
      <c r="O320" s="144"/>
      <c r="P320" s="144"/>
    </row>
    <row r="321" spans="15:16" ht="15.75" customHeight="1" x14ac:dyDescent="0.25">
      <c r="O321" s="144"/>
      <c r="P321" s="144"/>
    </row>
    <row r="322" spans="15:16" ht="15.75" customHeight="1" x14ac:dyDescent="0.25">
      <c r="O322" s="144"/>
      <c r="P322" s="144"/>
    </row>
    <row r="323" spans="15:16" ht="15.75" customHeight="1" x14ac:dyDescent="0.25">
      <c r="O323" s="144"/>
      <c r="P323" s="144"/>
    </row>
    <row r="324" spans="15:16" ht="15.75" customHeight="1" x14ac:dyDescent="0.25">
      <c r="O324" s="144"/>
      <c r="P324" s="144"/>
    </row>
    <row r="325" spans="15:16" ht="15.75" customHeight="1" x14ac:dyDescent="0.25">
      <c r="O325" s="144"/>
      <c r="P325" s="144"/>
    </row>
    <row r="326" spans="15:16" ht="15.75" customHeight="1" x14ac:dyDescent="0.25">
      <c r="O326" s="144"/>
      <c r="P326" s="144"/>
    </row>
    <row r="327" spans="15:16" ht="15.75" customHeight="1" x14ac:dyDescent="0.25">
      <c r="O327" s="144"/>
      <c r="P327" s="144"/>
    </row>
    <row r="328" spans="15:16" ht="15.75" customHeight="1" x14ac:dyDescent="0.25">
      <c r="O328" s="144"/>
      <c r="P328" s="144"/>
    </row>
    <row r="329" spans="15:16" ht="15.75" customHeight="1" x14ac:dyDescent="0.25">
      <c r="O329" s="144"/>
      <c r="P329" s="144"/>
    </row>
    <row r="330" spans="15:16" ht="15.75" customHeight="1" x14ac:dyDescent="0.25">
      <c r="O330" s="144"/>
      <c r="P330" s="144"/>
    </row>
    <row r="331" spans="15:16" ht="15.75" customHeight="1" x14ac:dyDescent="0.25">
      <c r="O331" s="144"/>
      <c r="P331" s="144"/>
    </row>
    <row r="332" spans="15:16" ht="15.75" customHeight="1" x14ac:dyDescent="0.25">
      <c r="O332" s="144"/>
      <c r="P332" s="144"/>
    </row>
    <row r="333" spans="15:16" ht="15.75" customHeight="1" x14ac:dyDescent="0.25">
      <c r="O333" s="144"/>
      <c r="P333" s="144"/>
    </row>
    <row r="334" spans="15:16" ht="15.75" customHeight="1" x14ac:dyDescent="0.25">
      <c r="O334" s="144"/>
      <c r="P334" s="144"/>
    </row>
    <row r="335" spans="15:16" ht="15.75" customHeight="1" x14ac:dyDescent="0.25">
      <c r="O335" s="144"/>
      <c r="P335" s="144"/>
    </row>
    <row r="336" spans="15:16" ht="15.75" customHeight="1" x14ac:dyDescent="0.25">
      <c r="O336" s="144"/>
      <c r="P336" s="144"/>
    </row>
    <row r="337" spans="15:16" ht="15.75" customHeight="1" x14ac:dyDescent="0.25">
      <c r="O337" s="144"/>
      <c r="P337" s="144"/>
    </row>
    <row r="338" spans="15:16" ht="15.75" customHeight="1" x14ac:dyDescent="0.25">
      <c r="O338" s="144"/>
      <c r="P338" s="144"/>
    </row>
    <row r="339" spans="15:16" ht="15.75" customHeight="1" x14ac:dyDescent="0.25">
      <c r="O339" s="144"/>
      <c r="P339" s="144"/>
    </row>
    <row r="340" spans="15:16" ht="15.75" customHeight="1" x14ac:dyDescent="0.25">
      <c r="O340" s="144"/>
      <c r="P340" s="144"/>
    </row>
    <row r="341" spans="15:16" ht="15.75" customHeight="1" x14ac:dyDescent="0.25">
      <c r="O341" s="144"/>
      <c r="P341" s="144"/>
    </row>
    <row r="342" spans="15:16" ht="15.75" customHeight="1" x14ac:dyDescent="0.25">
      <c r="O342" s="144"/>
      <c r="P342" s="144"/>
    </row>
    <row r="343" spans="15:16" ht="15.75" customHeight="1" x14ac:dyDescent="0.25">
      <c r="O343" s="144"/>
      <c r="P343" s="144"/>
    </row>
    <row r="344" spans="15:16" ht="15.75" customHeight="1" x14ac:dyDescent="0.25">
      <c r="O344" s="144"/>
      <c r="P344" s="144"/>
    </row>
    <row r="345" spans="15:16" ht="15.75" customHeight="1" x14ac:dyDescent="0.25">
      <c r="O345" s="144"/>
      <c r="P345" s="144"/>
    </row>
    <row r="346" spans="15:16" ht="15.75" customHeight="1" x14ac:dyDescent="0.25">
      <c r="O346" s="144"/>
      <c r="P346" s="144"/>
    </row>
    <row r="347" spans="15:16" ht="15.75" customHeight="1" x14ac:dyDescent="0.25">
      <c r="O347" s="144"/>
      <c r="P347" s="144"/>
    </row>
    <row r="348" spans="15:16" ht="15.75" customHeight="1" x14ac:dyDescent="0.25">
      <c r="O348" s="144"/>
      <c r="P348" s="144"/>
    </row>
    <row r="349" spans="15:16" ht="15.75" customHeight="1" x14ac:dyDescent="0.25">
      <c r="O349" s="144"/>
      <c r="P349" s="144"/>
    </row>
    <row r="350" spans="15:16" ht="15.75" customHeight="1" x14ac:dyDescent="0.25">
      <c r="O350" s="144"/>
      <c r="P350" s="144"/>
    </row>
    <row r="351" spans="15:16" ht="15.75" customHeight="1" x14ac:dyDescent="0.25">
      <c r="O351" s="144"/>
      <c r="P351" s="144"/>
    </row>
    <row r="352" spans="15:16" ht="15.75" customHeight="1" x14ac:dyDescent="0.25">
      <c r="O352" s="144"/>
      <c r="P352" s="144"/>
    </row>
    <row r="353" spans="15:16" ht="15.75" customHeight="1" x14ac:dyDescent="0.25">
      <c r="O353" s="144"/>
      <c r="P353" s="144"/>
    </row>
    <row r="354" spans="15:16" ht="15.75" customHeight="1" x14ac:dyDescent="0.25">
      <c r="O354" s="144"/>
      <c r="P354" s="144"/>
    </row>
    <row r="355" spans="15:16" ht="15.75" customHeight="1" x14ac:dyDescent="0.25">
      <c r="O355" s="144"/>
      <c r="P355" s="144"/>
    </row>
    <row r="356" spans="15:16" ht="15.75" customHeight="1" x14ac:dyDescent="0.25">
      <c r="O356" s="144"/>
      <c r="P356" s="144"/>
    </row>
    <row r="357" spans="15:16" ht="15.75" customHeight="1" x14ac:dyDescent="0.25">
      <c r="O357" s="144"/>
      <c r="P357" s="144"/>
    </row>
    <row r="358" spans="15:16" ht="15.75" customHeight="1" x14ac:dyDescent="0.25">
      <c r="O358" s="144"/>
      <c r="P358" s="144"/>
    </row>
    <row r="359" spans="15:16" ht="15.75" customHeight="1" x14ac:dyDescent="0.25">
      <c r="O359" s="144"/>
      <c r="P359" s="144"/>
    </row>
    <row r="360" spans="15:16" ht="15.75" customHeight="1" x14ac:dyDescent="0.25">
      <c r="O360" s="144"/>
      <c r="P360" s="144"/>
    </row>
    <row r="361" spans="15:16" ht="15.75" customHeight="1" x14ac:dyDescent="0.25">
      <c r="O361" s="144"/>
      <c r="P361" s="144"/>
    </row>
    <row r="362" spans="15:16" ht="15.75" customHeight="1" x14ac:dyDescent="0.25">
      <c r="O362" s="144"/>
      <c r="P362" s="144"/>
    </row>
    <row r="363" spans="15:16" ht="15.75" customHeight="1" x14ac:dyDescent="0.25">
      <c r="O363" s="144"/>
      <c r="P363" s="144"/>
    </row>
    <row r="364" spans="15:16" ht="15.75" customHeight="1" x14ac:dyDescent="0.25">
      <c r="O364" s="144"/>
      <c r="P364" s="144"/>
    </row>
    <row r="365" spans="15:16" ht="15.75" customHeight="1" x14ac:dyDescent="0.25">
      <c r="O365" s="144"/>
      <c r="P365" s="144"/>
    </row>
    <row r="366" spans="15:16" ht="15.75" customHeight="1" x14ac:dyDescent="0.25">
      <c r="O366" s="144"/>
      <c r="P366" s="144"/>
    </row>
    <row r="367" spans="15:16" ht="15.75" customHeight="1" x14ac:dyDescent="0.25">
      <c r="O367" s="144"/>
      <c r="P367" s="144"/>
    </row>
    <row r="368" spans="15:16" ht="15.75" customHeight="1" x14ac:dyDescent="0.25">
      <c r="O368" s="144"/>
      <c r="P368" s="144"/>
    </row>
    <row r="369" spans="15:16" ht="15.75" customHeight="1" x14ac:dyDescent="0.25">
      <c r="O369" s="144"/>
      <c r="P369" s="144"/>
    </row>
    <row r="370" spans="15:16" ht="15.75" customHeight="1" x14ac:dyDescent="0.25">
      <c r="O370" s="144"/>
      <c r="P370" s="144"/>
    </row>
    <row r="371" spans="15:16" ht="15.75" customHeight="1" x14ac:dyDescent="0.25">
      <c r="O371" s="144"/>
      <c r="P371" s="144"/>
    </row>
    <row r="372" spans="15:16" ht="15.75" customHeight="1" x14ac:dyDescent="0.25">
      <c r="O372" s="144"/>
      <c r="P372" s="144"/>
    </row>
    <row r="373" spans="15:16" ht="15.75" customHeight="1" x14ac:dyDescent="0.25">
      <c r="O373" s="144"/>
      <c r="P373" s="144"/>
    </row>
    <row r="374" spans="15:16" ht="15.75" customHeight="1" x14ac:dyDescent="0.25">
      <c r="O374" s="144"/>
      <c r="P374" s="144"/>
    </row>
    <row r="375" spans="15:16" ht="15.75" customHeight="1" x14ac:dyDescent="0.25">
      <c r="O375" s="144"/>
      <c r="P375" s="144"/>
    </row>
    <row r="376" spans="15:16" ht="15.75" customHeight="1" x14ac:dyDescent="0.25">
      <c r="O376" s="144"/>
      <c r="P376" s="144"/>
    </row>
    <row r="377" spans="15:16" ht="15.75" customHeight="1" x14ac:dyDescent="0.25">
      <c r="O377" s="144"/>
      <c r="P377" s="144"/>
    </row>
    <row r="378" spans="15:16" ht="15.75" customHeight="1" x14ac:dyDescent="0.25">
      <c r="O378" s="144"/>
      <c r="P378" s="144"/>
    </row>
    <row r="379" spans="15:16" ht="15.75" customHeight="1" x14ac:dyDescent="0.25">
      <c r="O379" s="144"/>
      <c r="P379" s="144"/>
    </row>
    <row r="380" spans="15:16" ht="15.75" customHeight="1" x14ac:dyDescent="0.25">
      <c r="O380" s="144"/>
      <c r="P380" s="144"/>
    </row>
    <row r="381" spans="15:16" ht="15.75" customHeight="1" x14ac:dyDescent="0.25">
      <c r="O381" s="144"/>
      <c r="P381" s="144"/>
    </row>
    <row r="382" spans="15:16" ht="15.75" customHeight="1" x14ac:dyDescent="0.25">
      <c r="O382" s="144"/>
      <c r="P382" s="144"/>
    </row>
    <row r="383" spans="15:16" ht="15.75" customHeight="1" x14ac:dyDescent="0.25">
      <c r="O383" s="144"/>
      <c r="P383" s="144"/>
    </row>
    <row r="384" spans="15:16" ht="15.75" customHeight="1" x14ac:dyDescent="0.25">
      <c r="O384" s="144"/>
      <c r="P384" s="144"/>
    </row>
    <row r="385" spans="15:16" ht="15.75" customHeight="1" x14ac:dyDescent="0.25">
      <c r="O385" s="144"/>
      <c r="P385" s="144"/>
    </row>
    <row r="386" spans="15:16" ht="15.75" customHeight="1" x14ac:dyDescent="0.25">
      <c r="O386" s="144"/>
      <c r="P386" s="144"/>
    </row>
    <row r="387" spans="15:16" ht="15.75" customHeight="1" x14ac:dyDescent="0.25">
      <c r="O387" s="144"/>
      <c r="P387" s="144"/>
    </row>
    <row r="388" spans="15:16" ht="15.75" customHeight="1" x14ac:dyDescent="0.25">
      <c r="O388" s="144"/>
      <c r="P388" s="144"/>
    </row>
    <row r="389" spans="15:16" ht="15.75" customHeight="1" x14ac:dyDescent="0.25">
      <c r="O389" s="144"/>
      <c r="P389" s="144"/>
    </row>
    <row r="390" spans="15:16" ht="15.75" customHeight="1" x14ac:dyDescent="0.25">
      <c r="O390" s="144"/>
      <c r="P390" s="144"/>
    </row>
    <row r="391" spans="15:16" ht="15.75" customHeight="1" x14ac:dyDescent="0.25">
      <c r="O391" s="144"/>
      <c r="P391" s="144"/>
    </row>
    <row r="392" spans="15:16" ht="15.75" customHeight="1" x14ac:dyDescent="0.25">
      <c r="O392" s="144"/>
      <c r="P392" s="144"/>
    </row>
    <row r="393" spans="15:16" ht="15.75" customHeight="1" x14ac:dyDescent="0.25">
      <c r="O393" s="144"/>
      <c r="P393" s="144"/>
    </row>
    <row r="394" spans="15:16" ht="15.75" customHeight="1" x14ac:dyDescent="0.25">
      <c r="O394" s="144"/>
      <c r="P394" s="144"/>
    </row>
    <row r="395" spans="15:16" ht="15.75" customHeight="1" x14ac:dyDescent="0.25">
      <c r="O395" s="144"/>
      <c r="P395" s="144"/>
    </row>
    <row r="396" spans="15:16" ht="15.75" customHeight="1" x14ac:dyDescent="0.25">
      <c r="O396" s="144"/>
      <c r="P396" s="144"/>
    </row>
    <row r="397" spans="15:16" ht="15.75" customHeight="1" x14ac:dyDescent="0.25">
      <c r="O397" s="144"/>
      <c r="P397" s="144"/>
    </row>
    <row r="398" spans="15:16" ht="15.75" customHeight="1" x14ac:dyDescent="0.25">
      <c r="O398" s="144"/>
      <c r="P398" s="144"/>
    </row>
    <row r="399" spans="15:16" ht="15.75" customHeight="1" x14ac:dyDescent="0.25">
      <c r="O399" s="144"/>
      <c r="P399" s="144"/>
    </row>
    <row r="400" spans="15:16" ht="15.75" customHeight="1" x14ac:dyDescent="0.25">
      <c r="O400" s="144"/>
      <c r="P400" s="144"/>
    </row>
    <row r="401" spans="15:16" ht="15.75" customHeight="1" x14ac:dyDescent="0.25">
      <c r="O401" s="144"/>
      <c r="P401" s="144"/>
    </row>
    <row r="402" spans="15:16" ht="15.75" customHeight="1" x14ac:dyDescent="0.25">
      <c r="O402" s="144"/>
      <c r="P402" s="144"/>
    </row>
    <row r="403" spans="15:16" ht="15.75" customHeight="1" x14ac:dyDescent="0.25">
      <c r="O403" s="144"/>
      <c r="P403" s="144"/>
    </row>
    <row r="404" spans="15:16" ht="15.75" customHeight="1" x14ac:dyDescent="0.25">
      <c r="O404" s="144"/>
      <c r="P404" s="144"/>
    </row>
    <row r="405" spans="15:16" ht="15.75" customHeight="1" x14ac:dyDescent="0.25">
      <c r="O405" s="144"/>
      <c r="P405" s="144"/>
    </row>
    <row r="406" spans="15:16" ht="15.75" customHeight="1" x14ac:dyDescent="0.25">
      <c r="O406" s="144"/>
      <c r="P406" s="144"/>
    </row>
    <row r="407" spans="15:16" ht="15.75" customHeight="1" x14ac:dyDescent="0.25">
      <c r="O407" s="144"/>
      <c r="P407" s="144"/>
    </row>
    <row r="408" spans="15:16" ht="15.75" customHeight="1" x14ac:dyDescent="0.25">
      <c r="O408" s="144"/>
      <c r="P408" s="144"/>
    </row>
    <row r="409" spans="15:16" ht="15.75" customHeight="1" x14ac:dyDescent="0.25">
      <c r="O409" s="144"/>
      <c r="P409" s="144"/>
    </row>
    <row r="410" spans="15:16" ht="15.75" customHeight="1" x14ac:dyDescent="0.25">
      <c r="O410" s="144"/>
      <c r="P410" s="144"/>
    </row>
    <row r="411" spans="15:16" ht="15.75" customHeight="1" x14ac:dyDescent="0.25">
      <c r="O411" s="144"/>
      <c r="P411" s="144"/>
    </row>
    <row r="412" spans="15:16" ht="15.75" customHeight="1" x14ac:dyDescent="0.25">
      <c r="O412" s="144"/>
      <c r="P412" s="144"/>
    </row>
    <row r="413" spans="15:16" ht="15.75" customHeight="1" x14ac:dyDescent="0.25">
      <c r="O413" s="144"/>
      <c r="P413" s="144"/>
    </row>
    <row r="414" spans="15:16" ht="15.75" customHeight="1" x14ac:dyDescent="0.25">
      <c r="O414" s="144"/>
      <c r="P414" s="144"/>
    </row>
    <row r="415" spans="15:16" ht="15.75" customHeight="1" x14ac:dyDescent="0.25">
      <c r="O415" s="144"/>
      <c r="P415" s="144"/>
    </row>
    <row r="416" spans="15:16" ht="15.75" customHeight="1" x14ac:dyDescent="0.25">
      <c r="O416" s="144"/>
      <c r="P416" s="144"/>
    </row>
    <row r="417" spans="15:16" ht="15.75" customHeight="1" x14ac:dyDescent="0.25">
      <c r="O417" s="144"/>
      <c r="P417" s="144"/>
    </row>
    <row r="418" spans="15:16" ht="15.75" customHeight="1" x14ac:dyDescent="0.25">
      <c r="O418" s="144"/>
      <c r="P418" s="144"/>
    </row>
    <row r="419" spans="15:16" ht="15.75" customHeight="1" x14ac:dyDescent="0.25">
      <c r="O419" s="144"/>
      <c r="P419" s="144"/>
    </row>
    <row r="420" spans="15:16" ht="15.75" customHeight="1" x14ac:dyDescent="0.25">
      <c r="O420" s="144"/>
      <c r="P420" s="144"/>
    </row>
    <row r="421" spans="15:16" ht="15.75" customHeight="1" x14ac:dyDescent="0.25">
      <c r="O421" s="144"/>
      <c r="P421" s="144"/>
    </row>
    <row r="422" spans="15:16" ht="15.75" customHeight="1" x14ac:dyDescent="0.25">
      <c r="O422" s="144"/>
      <c r="P422" s="144"/>
    </row>
    <row r="423" spans="15:16" ht="15.75" customHeight="1" x14ac:dyDescent="0.25">
      <c r="O423" s="144"/>
      <c r="P423" s="144"/>
    </row>
    <row r="424" spans="15:16" ht="15.75" customHeight="1" x14ac:dyDescent="0.25">
      <c r="O424" s="144"/>
      <c r="P424" s="144"/>
    </row>
    <row r="425" spans="15:16" ht="15.75" customHeight="1" x14ac:dyDescent="0.25">
      <c r="O425" s="144"/>
      <c r="P425" s="144"/>
    </row>
    <row r="426" spans="15:16" ht="15.75" customHeight="1" x14ac:dyDescent="0.25">
      <c r="O426" s="144"/>
      <c r="P426" s="144"/>
    </row>
    <row r="427" spans="15:16" ht="15.75" customHeight="1" x14ac:dyDescent="0.25">
      <c r="O427" s="144"/>
      <c r="P427" s="144"/>
    </row>
    <row r="428" spans="15:16" ht="15.75" customHeight="1" x14ac:dyDescent="0.25">
      <c r="O428" s="144"/>
      <c r="P428" s="144"/>
    </row>
    <row r="429" spans="15:16" ht="15.75" customHeight="1" x14ac:dyDescent="0.25">
      <c r="O429" s="144"/>
      <c r="P429" s="144"/>
    </row>
    <row r="430" spans="15:16" ht="15.75" customHeight="1" x14ac:dyDescent="0.25">
      <c r="O430" s="144"/>
      <c r="P430" s="144"/>
    </row>
    <row r="431" spans="15:16" ht="15.75" customHeight="1" x14ac:dyDescent="0.25">
      <c r="O431" s="144"/>
      <c r="P431" s="144"/>
    </row>
    <row r="432" spans="15:16" ht="15.75" customHeight="1" x14ac:dyDescent="0.25">
      <c r="O432" s="144"/>
      <c r="P432" s="144"/>
    </row>
    <row r="433" spans="15:16" ht="15.75" customHeight="1" x14ac:dyDescent="0.25">
      <c r="O433" s="144"/>
      <c r="P433" s="144"/>
    </row>
    <row r="434" spans="15:16" ht="15.75" customHeight="1" x14ac:dyDescent="0.25">
      <c r="O434" s="144"/>
      <c r="P434" s="144"/>
    </row>
    <row r="435" spans="15:16" ht="15.75" customHeight="1" x14ac:dyDescent="0.25">
      <c r="O435" s="144"/>
      <c r="P435" s="144"/>
    </row>
    <row r="436" spans="15:16" ht="15.75" customHeight="1" x14ac:dyDescent="0.25">
      <c r="O436" s="144"/>
      <c r="P436" s="144"/>
    </row>
    <row r="437" spans="15:16" ht="15.75" customHeight="1" x14ac:dyDescent="0.25">
      <c r="O437" s="144"/>
      <c r="P437" s="144"/>
    </row>
    <row r="438" spans="15:16" ht="15.75" customHeight="1" x14ac:dyDescent="0.25">
      <c r="O438" s="144"/>
      <c r="P438" s="144"/>
    </row>
    <row r="439" spans="15:16" ht="15.75" customHeight="1" x14ac:dyDescent="0.25">
      <c r="O439" s="144"/>
      <c r="P439" s="144"/>
    </row>
    <row r="440" spans="15:16" ht="15.75" customHeight="1" x14ac:dyDescent="0.25">
      <c r="O440" s="144"/>
      <c r="P440" s="144"/>
    </row>
    <row r="441" spans="15:16" ht="15.75" customHeight="1" x14ac:dyDescent="0.25">
      <c r="O441" s="144"/>
      <c r="P441" s="144"/>
    </row>
    <row r="442" spans="15:16" ht="15.75" customHeight="1" x14ac:dyDescent="0.25">
      <c r="O442" s="144"/>
      <c r="P442" s="144"/>
    </row>
    <row r="443" spans="15:16" ht="15.75" customHeight="1" x14ac:dyDescent="0.25">
      <c r="O443" s="144"/>
      <c r="P443" s="144"/>
    </row>
    <row r="444" spans="15:16" ht="15.75" customHeight="1" x14ac:dyDescent="0.25">
      <c r="O444" s="144"/>
      <c r="P444" s="144"/>
    </row>
    <row r="445" spans="15:16" ht="15.75" customHeight="1" x14ac:dyDescent="0.25">
      <c r="O445" s="144"/>
      <c r="P445" s="144"/>
    </row>
    <row r="446" spans="15:16" ht="15.75" customHeight="1" x14ac:dyDescent="0.25">
      <c r="O446" s="144"/>
      <c r="P446" s="144"/>
    </row>
    <row r="447" spans="15:16" ht="15.75" customHeight="1" x14ac:dyDescent="0.25">
      <c r="O447" s="144"/>
      <c r="P447" s="144"/>
    </row>
    <row r="448" spans="15:16" ht="15.75" customHeight="1" x14ac:dyDescent="0.25">
      <c r="O448" s="144"/>
      <c r="P448" s="144"/>
    </row>
    <row r="449" spans="15:16" ht="15.75" customHeight="1" x14ac:dyDescent="0.25">
      <c r="O449" s="144"/>
      <c r="P449" s="144"/>
    </row>
    <row r="450" spans="15:16" ht="15.75" customHeight="1" x14ac:dyDescent="0.25">
      <c r="O450" s="144"/>
      <c r="P450" s="144"/>
    </row>
    <row r="451" spans="15:16" ht="15.75" customHeight="1" x14ac:dyDescent="0.25">
      <c r="O451" s="144"/>
      <c r="P451" s="144"/>
    </row>
    <row r="452" spans="15:16" ht="15.75" customHeight="1" x14ac:dyDescent="0.25">
      <c r="O452" s="144"/>
      <c r="P452" s="144"/>
    </row>
    <row r="453" spans="15:16" ht="15.75" customHeight="1" x14ac:dyDescent="0.25">
      <c r="O453" s="144"/>
      <c r="P453" s="144"/>
    </row>
    <row r="454" spans="15:16" ht="15.75" customHeight="1" x14ac:dyDescent="0.25">
      <c r="O454" s="144"/>
      <c r="P454" s="144"/>
    </row>
    <row r="455" spans="15:16" ht="15.75" customHeight="1" x14ac:dyDescent="0.25">
      <c r="O455" s="144"/>
      <c r="P455" s="144"/>
    </row>
    <row r="456" spans="15:16" ht="15.75" customHeight="1" x14ac:dyDescent="0.25">
      <c r="O456" s="144"/>
      <c r="P456" s="144"/>
    </row>
    <row r="457" spans="15:16" ht="15.75" customHeight="1" x14ac:dyDescent="0.25">
      <c r="O457" s="144"/>
      <c r="P457" s="144"/>
    </row>
    <row r="458" spans="15:16" ht="15.75" customHeight="1" x14ac:dyDescent="0.25">
      <c r="O458" s="144"/>
      <c r="P458" s="144"/>
    </row>
    <row r="459" spans="15:16" ht="15.75" customHeight="1" x14ac:dyDescent="0.25">
      <c r="O459" s="144"/>
      <c r="P459" s="144"/>
    </row>
    <row r="460" spans="15:16" ht="15.75" customHeight="1" x14ac:dyDescent="0.25">
      <c r="O460" s="144"/>
      <c r="P460" s="144"/>
    </row>
    <row r="461" spans="15:16" ht="15.75" customHeight="1" x14ac:dyDescent="0.25">
      <c r="O461" s="144"/>
      <c r="P461" s="144"/>
    </row>
    <row r="462" spans="15:16" ht="15.75" customHeight="1" x14ac:dyDescent="0.25">
      <c r="O462" s="144"/>
      <c r="P462" s="144"/>
    </row>
    <row r="463" spans="15:16" ht="15.75" customHeight="1" x14ac:dyDescent="0.25">
      <c r="O463" s="144"/>
      <c r="P463" s="144"/>
    </row>
    <row r="464" spans="15:16" ht="15.75" customHeight="1" x14ac:dyDescent="0.25">
      <c r="O464" s="144"/>
      <c r="P464" s="144"/>
    </row>
    <row r="465" spans="15:16" ht="15.75" customHeight="1" x14ac:dyDescent="0.25">
      <c r="O465" s="144"/>
      <c r="P465" s="144"/>
    </row>
    <row r="466" spans="15:16" ht="15.75" customHeight="1" x14ac:dyDescent="0.25">
      <c r="O466" s="144"/>
      <c r="P466" s="144"/>
    </row>
    <row r="467" spans="15:16" ht="15.75" customHeight="1" x14ac:dyDescent="0.25">
      <c r="O467" s="144"/>
      <c r="P467" s="144"/>
    </row>
    <row r="468" spans="15:16" ht="15.75" customHeight="1" x14ac:dyDescent="0.25">
      <c r="O468" s="144"/>
      <c r="P468" s="144"/>
    </row>
    <row r="469" spans="15:16" ht="15.75" customHeight="1" x14ac:dyDescent="0.25">
      <c r="O469" s="144"/>
      <c r="P469" s="144"/>
    </row>
    <row r="470" spans="15:16" ht="15.75" customHeight="1" x14ac:dyDescent="0.25">
      <c r="O470" s="144"/>
      <c r="P470" s="144"/>
    </row>
    <row r="471" spans="15:16" ht="15.75" customHeight="1" x14ac:dyDescent="0.25">
      <c r="O471" s="144"/>
      <c r="P471" s="144"/>
    </row>
    <row r="472" spans="15:16" ht="15.75" customHeight="1" x14ac:dyDescent="0.25">
      <c r="O472" s="144"/>
      <c r="P472" s="144"/>
    </row>
    <row r="473" spans="15:16" ht="15.75" customHeight="1" x14ac:dyDescent="0.25">
      <c r="O473" s="144"/>
      <c r="P473" s="144"/>
    </row>
    <row r="474" spans="15:16" ht="15.75" customHeight="1" x14ac:dyDescent="0.25">
      <c r="O474" s="144"/>
      <c r="P474" s="144"/>
    </row>
    <row r="475" spans="15:16" ht="15.75" customHeight="1" x14ac:dyDescent="0.25">
      <c r="O475" s="144"/>
      <c r="P475" s="144"/>
    </row>
    <row r="476" spans="15:16" ht="15.75" customHeight="1" x14ac:dyDescent="0.25">
      <c r="O476" s="144"/>
      <c r="P476" s="144"/>
    </row>
    <row r="477" spans="15:16" ht="15.75" customHeight="1" x14ac:dyDescent="0.25">
      <c r="O477" s="144"/>
      <c r="P477" s="144"/>
    </row>
    <row r="478" spans="15:16" ht="15.75" customHeight="1" x14ac:dyDescent="0.25">
      <c r="O478" s="144"/>
      <c r="P478" s="144"/>
    </row>
    <row r="479" spans="15:16" ht="15.75" customHeight="1" x14ac:dyDescent="0.25">
      <c r="O479" s="144"/>
      <c r="P479" s="144"/>
    </row>
    <row r="480" spans="15:16" ht="15.75" customHeight="1" x14ac:dyDescent="0.25">
      <c r="O480" s="144"/>
      <c r="P480" s="144"/>
    </row>
    <row r="481" spans="15:16" ht="15.75" customHeight="1" x14ac:dyDescent="0.25">
      <c r="O481" s="144"/>
      <c r="P481" s="144"/>
    </row>
    <row r="482" spans="15:16" ht="15.75" customHeight="1" x14ac:dyDescent="0.25">
      <c r="O482" s="144"/>
      <c r="P482" s="144"/>
    </row>
    <row r="483" spans="15:16" ht="15.75" customHeight="1" x14ac:dyDescent="0.25">
      <c r="O483" s="144"/>
      <c r="P483" s="144"/>
    </row>
    <row r="484" spans="15:16" ht="15.75" customHeight="1" x14ac:dyDescent="0.25">
      <c r="O484" s="144"/>
      <c r="P484" s="144"/>
    </row>
    <row r="485" spans="15:16" ht="15.75" customHeight="1" x14ac:dyDescent="0.25">
      <c r="O485" s="144"/>
      <c r="P485" s="144"/>
    </row>
    <row r="486" spans="15:16" ht="15.75" customHeight="1" x14ac:dyDescent="0.25">
      <c r="O486" s="144"/>
      <c r="P486" s="144"/>
    </row>
    <row r="487" spans="15:16" ht="15.75" customHeight="1" x14ac:dyDescent="0.25">
      <c r="O487" s="144"/>
      <c r="P487" s="144"/>
    </row>
    <row r="488" spans="15:16" ht="15.75" customHeight="1" x14ac:dyDescent="0.25">
      <c r="O488" s="144"/>
      <c r="P488" s="144"/>
    </row>
    <row r="489" spans="15:16" ht="15.75" customHeight="1" x14ac:dyDescent="0.25">
      <c r="O489" s="144"/>
      <c r="P489" s="144"/>
    </row>
    <row r="490" spans="15:16" ht="15.75" customHeight="1" x14ac:dyDescent="0.25">
      <c r="O490" s="144"/>
      <c r="P490" s="144"/>
    </row>
    <row r="491" spans="15:16" ht="15.75" customHeight="1" x14ac:dyDescent="0.25">
      <c r="O491" s="144"/>
      <c r="P491" s="144"/>
    </row>
    <row r="492" spans="15:16" ht="15.75" customHeight="1" x14ac:dyDescent="0.25">
      <c r="O492" s="144"/>
      <c r="P492" s="144"/>
    </row>
    <row r="493" spans="15:16" ht="15.75" customHeight="1" x14ac:dyDescent="0.25">
      <c r="O493" s="144"/>
      <c r="P493" s="144"/>
    </row>
    <row r="494" spans="15:16" ht="15.75" customHeight="1" x14ac:dyDescent="0.25">
      <c r="O494" s="144"/>
      <c r="P494" s="144"/>
    </row>
    <row r="495" spans="15:16" ht="15.75" customHeight="1" x14ac:dyDescent="0.25">
      <c r="O495" s="144"/>
      <c r="P495" s="144"/>
    </row>
    <row r="496" spans="15:16" ht="15.75" customHeight="1" x14ac:dyDescent="0.25">
      <c r="O496" s="144"/>
      <c r="P496" s="144"/>
    </row>
    <row r="497" spans="15:16" ht="15.75" customHeight="1" x14ac:dyDescent="0.25">
      <c r="O497" s="144"/>
      <c r="P497" s="144"/>
    </row>
    <row r="498" spans="15:16" ht="15.75" customHeight="1" x14ac:dyDescent="0.25">
      <c r="O498" s="144"/>
      <c r="P498" s="144"/>
    </row>
    <row r="499" spans="15:16" ht="15.75" customHeight="1" x14ac:dyDescent="0.25">
      <c r="O499" s="144"/>
      <c r="P499" s="144"/>
    </row>
    <row r="500" spans="15:16" ht="15.75" customHeight="1" x14ac:dyDescent="0.25">
      <c r="O500" s="144"/>
      <c r="P500" s="144"/>
    </row>
    <row r="501" spans="15:16" ht="15.75" customHeight="1" x14ac:dyDescent="0.25">
      <c r="O501" s="144"/>
      <c r="P501" s="144"/>
    </row>
    <row r="502" spans="15:16" ht="15.75" customHeight="1" x14ac:dyDescent="0.25">
      <c r="O502" s="144"/>
      <c r="P502" s="144"/>
    </row>
    <row r="503" spans="15:16" ht="15.75" customHeight="1" x14ac:dyDescent="0.25">
      <c r="O503" s="144"/>
      <c r="P503" s="144"/>
    </row>
    <row r="504" spans="15:16" ht="15.75" customHeight="1" x14ac:dyDescent="0.25">
      <c r="O504" s="144"/>
      <c r="P504" s="144"/>
    </row>
    <row r="505" spans="15:16" ht="15.75" customHeight="1" x14ac:dyDescent="0.25">
      <c r="O505" s="144"/>
      <c r="P505" s="144"/>
    </row>
    <row r="506" spans="15:16" ht="15.75" customHeight="1" x14ac:dyDescent="0.25">
      <c r="O506" s="144"/>
      <c r="P506" s="144"/>
    </row>
    <row r="507" spans="15:16" ht="15.75" customHeight="1" x14ac:dyDescent="0.25">
      <c r="O507" s="144"/>
      <c r="P507" s="144"/>
    </row>
    <row r="508" spans="15:16" ht="15.75" customHeight="1" x14ac:dyDescent="0.25">
      <c r="O508" s="144"/>
      <c r="P508" s="144"/>
    </row>
    <row r="509" spans="15:16" ht="15.75" customHeight="1" x14ac:dyDescent="0.25">
      <c r="O509" s="144"/>
      <c r="P509" s="144"/>
    </row>
    <row r="510" spans="15:16" ht="15.75" customHeight="1" x14ac:dyDescent="0.25">
      <c r="O510" s="144"/>
      <c r="P510" s="144"/>
    </row>
    <row r="511" spans="15:16" ht="15.75" customHeight="1" x14ac:dyDescent="0.25">
      <c r="O511" s="144"/>
      <c r="P511" s="144"/>
    </row>
    <row r="512" spans="15:16" ht="15.75" customHeight="1" x14ac:dyDescent="0.25">
      <c r="O512" s="144"/>
      <c r="P512" s="144"/>
    </row>
    <row r="513" spans="15:16" ht="15.75" customHeight="1" x14ac:dyDescent="0.25">
      <c r="O513" s="144"/>
      <c r="P513" s="144"/>
    </row>
    <row r="514" spans="15:16" ht="15.75" customHeight="1" x14ac:dyDescent="0.25">
      <c r="O514" s="144"/>
      <c r="P514" s="144"/>
    </row>
    <row r="515" spans="15:16" ht="15.75" customHeight="1" x14ac:dyDescent="0.25">
      <c r="O515" s="144"/>
      <c r="P515" s="144"/>
    </row>
    <row r="516" spans="15:16" ht="15.75" customHeight="1" x14ac:dyDescent="0.25">
      <c r="O516" s="144"/>
      <c r="P516" s="144"/>
    </row>
    <row r="517" spans="15:16" ht="15.75" customHeight="1" x14ac:dyDescent="0.25">
      <c r="O517" s="144"/>
      <c r="P517" s="144"/>
    </row>
    <row r="518" spans="15:16" ht="15.75" customHeight="1" x14ac:dyDescent="0.25">
      <c r="O518" s="144"/>
      <c r="P518" s="144"/>
    </row>
    <row r="519" spans="15:16" ht="15.75" customHeight="1" x14ac:dyDescent="0.25">
      <c r="O519" s="144"/>
      <c r="P519" s="144"/>
    </row>
    <row r="520" spans="15:16" ht="15.75" customHeight="1" x14ac:dyDescent="0.25">
      <c r="O520" s="144"/>
      <c r="P520" s="144"/>
    </row>
    <row r="521" spans="15:16" ht="15.75" customHeight="1" x14ac:dyDescent="0.25">
      <c r="O521" s="144"/>
      <c r="P521" s="144"/>
    </row>
    <row r="522" spans="15:16" ht="15.75" customHeight="1" x14ac:dyDescent="0.25">
      <c r="O522" s="144"/>
      <c r="P522" s="144"/>
    </row>
    <row r="523" spans="15:16" ht="15.75" customHeight="1" x14ac:dyDescent="0.25">
      <c r="O523" s="144"/>
      <c r="P523" s="144"/>
    </row>
    <row r="524" spans="15:16" ht="15.75" customHeight="1" x14ac:dyDescent="0.25">
      <c r="O524" s="144"/>
      <c r="P524" s="144"/>
    </row>
    <row r="525" spans="15:16" ht="15.75" customHeight="1" x14ac:dyDescent="0.25">
      <c r="O525" s="144"/>
      <c r="P525" s="144"/>
    </row>
    <row r="526" spans="15:16" ht="15.75" customHeight="1" x14ac:dyDescent="0.25">
      <c r="O526" s="144"/>
      <c r="P526" s="144"/>
    </row>
    <row r="527" spans="15:16" ht="15.75" customHeight="1" x14ac:dyDescent="0.25">
      <c r="O527" s="144"/>
      <c r="P527" s="144"/>
    </row>
    <row r="528" spans="15:16" ht="15.75" customHeight="1" x14ac:dyDescent="0.25">
      <c r="O528" s="144"/>
      <c r="P528" s="144"/>
    </row>
    <row r="529" spans="15:16" ht="15.75" customHeight="1" x14ac:dyDescent="0.25">
      <c r="O529" s="144"/>
      <c r="P529" s="144"/>
    </row>
    <row r="530" spans="15:16" ht="15.75" customHeight="1" x14ac:dyDescent="0.25">
      <c r="O530" s="144"/>
      <c r="P530" s="144"/>
    </row>
    <row r="531" spans="15:16" ht="15.75" customHeight="1" x14ac:dyDescent="0.25">
      <c r="O531" s="144"/>
      <c r="P531" s="144"/>
    </row>
    <row r="532" spans="15:16" ht="15.75" customHeight="1" x14ac:dyDescent="0.25">
      <c r="O532" s="144"/>
      <c r="P532" s="144"/>
    </row>
    <row r="533" spans="15:16" ht="15.75" customHeight="1" x14ac:dyDescent="0.25">
      <c r="O533" s="144"/>
      <c r="P533" s="144"/>
    </row>
    <row r="534" spans="15:16" ht="15.75" customHeight="1" x14ac:dyDescent="0.25">
      <c r="O534" s="144"/>
      <c r="P534" s="144"/>
    </row>
    <row r="535" spans="15:16" ht="15.75" customHeight="1" x14ac:dyDescent="0.25">
      <c r="O535" s="144"/>
      <c r="P535" s="144"/>
    </row>
    <row r="536" spans="15:16" ht="15.75" customHeight="1" x14ac:dyDescent="0.25">
      <c r="O536" s="144"/>
      <c r="P536" s="144"/>
    </row>
    <row r="537" spans="15:16" ht="15.75" customHeight="1" x14ac:dyDescent="0.25">
      <c r="O537" s="144"/>
      <c r="P537" s="144"/>
    </row>
    <row r="538" spans="15:16" ht="15.75" customHeight="1" x14ac:dyDescent="0.25">
      <c r="O538" s="144"/>
      <c r="P538" s="144"/>
    </row>
    <row r="539" spans="15:16" ht="15.75" customHeight="1" x14ac:dyDescent="0.25">
      <c r="O539" s="144"/>
      <c r="P539" s="144"/>
    </row>
    <row r="540" spans="15:16" ht="15.75" customHeight="1" x14ac:dyDescent="0.25">
      <c r="O540" s="144"/>
      <c r="P540" s="144"/>
    </row>
    <row r="541" spans="15:16" ht="15.75" customHeight="1" x14ac:dyDescent="0.25">
      <c r="O541" s="144"/>
      <c r="P541" s="144"/>
    </row>
    <row r="542" spans="15:16" ht="15.75" customHeight="1" x14ac:dyDescent="0.25">
      <c r="O542" s="144"/>
      <c r="P542" s="144"/>
    </row>
    <row r="543" spans="15:16" ht="15.75" customHeight="1" x14ac:dyDescent="0.25">
      <c r="O543" s="144"/>
      <c r="P543" s="144"/>
    </row>
    <row r="544" spans="15:16" ht="15.75" customHeight="1" x14ac:dyDescent="0.25">
      <c r="O544" s="144"/>
      <c r="P544" s="144"/>
    </row>
    <row r="545" spans="15:16" ht="15.75" customHeight="1" x14ac:dyDescent="0.25">
      <c r="O545" s="144"/>
      <c r="P545" s="144"/>
    </row>
    <row r="546" spans="15:16" ht="15.75" customHeight="1" x14ac:dyDescent="0.25">
      <c r="O546" s="144"/>
      <c r="P546" s="144"/>
    </row>
    <row r="547" spans="15:16" ht="15.75" customHeight="1" x14ac:dyDescent="0.25">
      <c r="O547" s="144"/>
      <c r="P547" s="144"/>
    </row>
    <row r="548" spans="15:16" ht="15.75" customHeight="1" x14ac:dyDescent="0.25">
      <c r="O548" s="144"/>
      <c r="P548" s="144"/>
    </row>
    <row r="549" spans="15:16" ht="15.75" customHeight="1" x14ac:dyDescent="0.25">
      <c r="O549" s="144"/>
      <c r="P549" s="144"/>
    </row>
    <row r="550" spans="15:16" ht="15.75" customHeight="1" x14ac:dyDescent="0.25">
      <c r="O550" s="144"/>
      <c r="P550" s="144"/>
    </row>
    <row r="551" spans="15:16" ht="15.75" customHeight="1" x14ac:dyDescent="0.25">
      <c r="O551" s="144"/>
      <c r="P551" s="144"/>
    </row>
    <row r="552" spans="15:16" ht="15.75" customHeight="1" x14ac:dyDescent="0.25">
      <c r="O552" s="144"/>
      <c r="P552" s="144"/>
    </row>
    <row r="553" spans="15:16" ht="15.75" customHeight="1" x14ac:dyDescent="0.25">
      <c r="O553" s="144"/>
      <c r="P553" s="144"/>
    </row>
    <row r="554" spans="15:16" ht="15.75" customHeight="1" x14ac:dyDescent="0.25">
      <c r="O554" s="144"/>
      <c r="P554" s="144"/>
    </row>
    <row r="555" spans="15:16" ht="15.75" customHeight="1" x14ac:dyDescent="0.25">
      <c r="O555" s="144"/>
      <c r="P555" s="144"/>
    </row>
    <row r="556" spans="15:16" ht="15.75" customHeight="1" x14ac:dyDescent="0.25">
      <c r="O556" s="144"/>
      <c r="P556" s="144"/>
    </row>
    <row r="557" spans="15:16" ht="15.75" customHeight="1" x14ac:dyDescent="0.25">
      <c r="O557" s="144"/>
      <c r="P557" s="144"/>
    </row>
    <row r="558" spans="15:16" ht="15.75" customHeight="1" x14ac:dyDescent="0.25">
      <c r="O558" s="144"/>
      <c r="P558" s="144"/>
    </row>
    <row r="559" spans="15:16" ht="15.75" customHeight="1" x14ac:dyDescent="0.25">
      <c r="O559" s="144"/>
      <c r="P559" s="144"/>
    </row>
    <row r="560" spans="15:16" ht="15.75" customHeight="1" x14ac:dyDescent="0.25">
      <c r="O560" s="144"/>
      <c r="P560" s="144"/>
    </row>
    <row r="561" spans="15:16" ht="15.75" customHeight="1" x14ac:dyDescent="0.25">
      <c r="O561" s="144"/>
      <c r="P561" s="144"/>
    </row>
    <row r="562" spans="15:16" ht="15.75" customHeight="1" x14ac:dyDescent="0.25">
      <c r="O562" s="144"/>
      <c r="P562" s="144"/>
    </row>
    <row r="563" spans="15:16" ht="15.75" customHeight="1" x14ac:dyDescent="0.25">
      <c r="O563" s="144"/>
      <c r="P563" s="144"/>
    </row>
    <row r="564" spans="15:16" ht="15.75" customHeight="1" x14ac:dyDescent="0.25">
      <c r="O564" s="144"/>
      <c r="P564" s="144"/>
    </row>
    <row r="565" spans="15:16" ht="15.75" customHeight="1" x14ac:dyDescent="0.25">
      <c r="O565" s="144"/>
      <c r="P565" s="144"/>
    </row>
    <row r="566" spans="15:16" ht="15.75" customHeight="1" x14ac:dyDescent="0.25">
      <c r="O566" s="144"/>
      <c r="P566" s="144"/>
    </row>
    <row r="567" spans="15:16" ht="15.75" customHeight="1" x14ac:dyDescent="0.25">
      <c r="O567" s="144"/>
      <c r="P567" s="144"/>
    </row>
    <row r="568" spans="15:16" ht="15.75" customHeight="1" x14ac:dyDescent="0.25">
      <c r="O568" s="144"/>
      <c r="P568" s="144"/>
    </row>
    <row r="569" spans="15:16" ht="15.75" customHeight="1" x14ac:dyDescent="0.25">
      <c r="O569" s="144"/>
      <c r="P569" s="144"/>
    </row>
    <row r="570" spans="15:16" ht="15.75" customHeight="1" x14ac:dyDescent="0.25">
      <c r="O570" s="144"/>
      <c r="P570" s="144"/>
    </row>
    <row r="571" spans="15:16" ht="15.75" customHeight="1" x14ac:dyDescent="0.25">
      <c r="O571" s="144"/>
      <c r="P571" s="144"/>
    </row>
    <row r="572" spans="15:16" ht="15.75" customHeight="1" x14ac:dyDescent="0.25">
      <c r="O572" s="144"/>
      <c r="P572" s="144"/>
    </row>
    <row r="573" spans="15:16" ht="15.75" customHeight="1" x14ac:dyDescent="0.25">
      <c r="O573" s="144"/>
      <c r="P573" s="144"/>
    </row>
    <row r="574" spans="15:16" ht="15.75" customHeight="1" x14ac:dyDescent="0.25">
      <c r="O574" s="144"/>
      <c r="P574" s="144"/>
    </row>
    <row r="575" spans="15:16" ht="15.75" customHeight="1" x14ac:dyDescent="0.25">
      <c r="O575" s="144"/>
      <c r="P575" s="144"/>
    </row>
    <row r="576" spans="15:16" ht="15.75" customHeight="1" x14ac:dyDescent="0.25">
      <c r="O576" s="144"/>
      <c r="P576" s="144"/>
    </row>
    <row r="577" spans="15:16" ht="15.75" customHeight="1" x14ac:dyDescent="0.25">
      <c r="O577" s="144"/>
      <c r="P577" s="144"/>
    </row>
    <row r="578" spans="15:16" ht="15.75" customHeight="1" x14ac:dyDescent="0.25">
      <c r="O578" s="144"/>
      <c r="P578" s="144"/>
    </row>
    <row r="579" spans="15:16" ht="15.75" customHeight="1" x14ac:dyDescent="0.25">
      <c r="O579" s="144"/>
      <c r="P579" s="144"/>
    </row>
    <row r="580" spans="15:16" ht="15.75" customHeight="1" x14ac:dyDescent="0.25">
      <c r="O580" s="144"/>
      <c r="P580" s="144"/>
    </row>
    <row r="581" spans="15:16" ht="15.75" customHeight="1" x14ac:dyDescent="0.25">
      <c r="O581" s="144"/>
      <c r="P581" s="144"/>
    </row>
    <row r="582" spans="15:16" ht="15.75" customHeight="1" x14ac:dyDescent="0.25">
      <c r="O582" s="144"/>
      <c r="P582" s="144"/>
    </row>
    <row r="583" spans="15:16" ht="15.75" customHeight="1" x14ac:dyDescent="0.25">
      <c r="O583" s="144"/>
      <c r="P583" s="144"/>
    </row>
    <row r="584" spans="15:16" ht="15.75" customHeight="1" x14ac:dyDescent="0.25">
      <c r="O584" s="144"/>
      <c r="P584" s="144"/>
    </row>
    <row r="585" spans="15:16" ht="15.75" customHeight="1" x14ac:dyDescent="0.25">
      <c r="O585" s="144"/>
      <c r="P585" s="144"/>
    </row>
    <row r="586" spans="15:16" ht="15.75" customHeight="1" x14ac:dyDescent="0.25">
      <c r="O586" s="144"/>
      <c r="P586" s="144"/>
    </row>
    <row r="587" spans="15:16" ht="15.75" customHeight="1" x14ac:dyDescent="0.25">
      <c r="O587" s="144"/>
      <c r="P587" s="144"/>
    </row>
    <row r="588" spans="15:16" ht="15.75" customHeight="1" x14ac:dyDescent="0.25">
      <c r="O588" s="144"/>
      <c r="P588" s="144"/>
    </row>
    <row r="589" spans="15:16" ht="15.75" customHeight="1" x14ac:dyDescent="0.25">
      <c r="O589" s="144"/>
      <c r="P589" s="144"/>
    </row>
    <row r="590" spans="15:16" ht="15.75" customHeight="1" x14ac:dyDescent="0.25">
      <c r="O590" s="144"/>
      <c r="P590" s="144"/>
    </row>
    <row r="591" spans="15:16" ht="15.75" customHeight="1" x14ac:dyDescent="0.25">
      <c r="O591" s="144"/>
      <c r="P591" s="144"/>
    </row>
    <row r="592" spans="15:16" ht="15.75" customHeight="1" x14ac:dyDescent="0.25">
      <c r="O592" s="144"/>
      <c r="P592" s="144"/>
    </row>
    <row r="593" spans="15:16" ht="15.75" customHeight="1" x14ac:dyDescent="0.25">
      <c r="O593" s="144"/>
      <c r="P593" s="144"/>
    </row>
    <row r="594" spans="15:16" ht="15.75" customHeight="1" x14ac:dyDescent="0.25">
      <c r="O594" s="144"/>
      <c r="P594" s="144"/>
    </row>
    <row r="595" spans="15:16" ht="15.75" customHeight="1" x14ac:dyDescent="0.25">
      <c r="O595" s="144"/>
      <c r="P595" s="144"/>
    </row>
    <row r="596" spans="15:16" ht="15.75" customHeight="1" x14ac:dyDescent="0.25">
      <c r="O596" s="144"/>
      <c r="P596" s="144"/>
    </row>
    <row r="597" spans="15:16" ht="15.75" customHeight="1" x14ac:dyDescent="0.25">
      <c r="O597" s="144"/>
      <c r="P597" s="144"/>
    </row>
    <row r="598" spans="15:16" ht="15.75" customHeight="1" x14ac:dyDescent="0.25">
      <c r="O598" s="144"/>
      <c r="P598" s="144"/>
    </row>
    <row r="599" spans="15:16" ht="15.75" customHeight="1" x14ac:dyDescent="0.25">
      <c r="O599" s="144"/>
      <c r="P599" s="144"/>
    </row>
    <row r="600" spans="15:16" ht="15.75" customHeight="1" x14ac:dyDescent="0.25">
      <c r="O600" s="144"/>
      <c r="P600" s="144"/>
    </row>
    <row r="601" spans="15:16" ht="15.75" customHeight="1" x14ac:dyDescent="0.25">
      <c r="O601" s="144"/>
      <c r="P601" s="144"/>
    </row>
    <row r="602" spans="15:16" ht="15.75" customHeight="1" x14ac:dyDescent="0.25">
      <c r="O602" s="144"/>
      <c r="P602" s="144"/>
    </row>
    <row r="603" spans="15:16" ht="15.75" customHeight="1" x14ac:dyDescent="0.25">
      <c r="O603" s="144"/>
      <c r="P603" s="144"/>
    </row>
    <row r="604" spans="15:16" ht="15.75" customHeight="1" x14ac:dyDescent="0.25">
      <c r="O604" s="144"/>
      <c r="P604" s="144"/>
    </row>
    <row r="605" spans="15:16" ht="15.75" customHeight="1" x14ac:dyDescent="0.25">
      <c r="O605" s="144"/>
      <c r="P605" s="144"/>
    </row>
    <row r="606" spans="15:16" ht="15.75" customHeight="1" x14ac:dyDescent="0.25">
      <c r="O606" s="144"/>
      <c r="P606" s="144"/>
    </row>
    <row r="607" spans="15:16" ht="15.75" customHeight="1" x14ac:dyDescent="0.25">
      <c r="O607" s="144"/>
      <c r="P607" s="144"/>
    </row>
    <row r="608" spans="15:16" ht="15.75" customHeight="1" x14ac:dyDescent="0.25">
      <c r="O608" s="144"/>
      <c r="P608" s="144"/>
    </row>
    <row r="609" spans="15:16" ht="15.75" customHeight="1" x14ac:dyDescent="0.25">
      <c r="O609" s="144"/>
      <c r="P609" s="144"/>
    </row>
    <row r="610" spans="15:16" ht="15.75" customHeight="1" x14ac:dyDescent="0.25">
      <c r="O610" s="144"/>
      <c r="P610" s="144"/>
    </row>
    <row r="611" spans="15:16" ht="15.75" customHeight="1" x14ac:dyDescent="0.25">
      <c r="O611" s="144"/>
      <c r="P611" s="144"/>
    </row>
    <row r="612" spans="15:16" ht="15.75" customHeight="1" x14ac:dyDescent="0.25">
      <c r="O612" s="144"/>
      <c r="P612" s="144"/>
    </row>
    <row r="613" spans="15:16" ht="15.75" customHeight="1" x14ac:dyDescent="0.25">
      <c r="O613" s="144"/>
      <c r="P613" s="144"/>
    </row>
    <row r="614" spans="15:16" ht="15.75" customHeight="1" x14ac:dyDescent="0.25">
      <c r="O614" s="144"/>
      <c r="P614" s="144"/>
    </row>
    <row r="615" spans="15:16" ht="15.75" customHeight="1" x14ac:dyDescent="0.25">
      <c r="O615" s="144"/>
      <c r="P615" s="144"/>
    </row>
    <row r="616" spans="15:16" ht="15.75" customHeight="1" x14ac:dyDescent="0.25">
      <c r="O616" s="144"/>
      <c r="P616" s="144"/>
    </row>
    <row r="617" spans="15:16" ht="15.75" customHeight="1" x14ac:dyDescent="0.25">
      <c r="O617" s="144"/>
      <c r="P617" s="144"/>
    </row>
    <row r="618" spans="15:16" ht="15.75" customHeight="1" x14ac:dyDescent="0.25">
      <c r="O618" s="144"/>
      <c r="P618" s="144"/>
    </row>
    <row r="619" spans="15:16" ht="15.75" customHeight="1" x14ac:dyDescent="0.25">
      <c r="O619" s="144"/>
      <c r="P619" s="144"/>
    </row>
    <row r="620" spans="15:16" ht="15.75" customHeight="1" x14ac:dyDescent="0.25">
      <c r="O620" s="144"/>
      <c r="P620" s="144"/>
    </row>
    <row r="621" spans="15:16" ht="15.75" customHeight="1" x14ac:dyDescent="0.25">
      <c r="O621" s="144"/>
      <c r="P621" s="144"/>
    </row>
    <row r="622" spans="15:16" ht="15.75" customHeight="1" x14ac:dyDescent="0.25">
      <c r="O622" s="144"/>
      <c r="P622" s="144"/>
    </row>
    <row r="623" spans="15:16" ht="15.75" customHeight="1" x14ac:dyDescent="0.25">
      <c r="O623" s="144"/>
      <c r="P623" s="144"/>
    </row>
    <row r="624" spans="15:16" ht="15.75" customHeight="1" x14ac:dyDescent="0.25">
      <c r="O624" s="144"/>
      <c r="P624" s="144"/>
    </row>
    <row r="625" spans="15:16" ht="15.75" customHeight="1" x14ac:dyDescent="0.25">
      <c r="O625" s="144"/>
      <c r="P625" s="144"/>
    </row>
    <row r="626" spans="15:16" ht="15.75" customHeight="1" x14ac:dyDescent="0.25">
      <c r="O626" s="144"/>
      <c r="P626" s="144"/>
    </row>
    <row r="627" spans="15:16" ht="15.75" customHeight="1" x14ac:dyDescent="0.25">
      <c r="O627" s="144"/>
      <c r="P627" s="144"/>
    </row>
    <row r="628" spans="15:16" ht="15.75" customHeight="1" x14ac:dyDescent="0.25">
      <c r="O628" s="144"/>
      <c r="P628" s="144"/>
    </row>
    <row r="629" spans="15:16" ht="15.75" customHeight="1" x14ac:dyDescent="0.25">
      <c r="O629" s="144"/>
      <c r="P629" s="144"/>
    </row>
    <row r="630" spans="15:16" ht="15.75" customHeight="1" x14ac:dyDescent="0.25">
      <c r="O630" s="144"/>
      <c r="P630" s="144"/>
    </row>
    <row r="631" spans="15:16" ht="15.75" customHeight="1" x14ac:dyDescent="0.25">
      <c r="O631" s="144"/>
      <c r="P631" s="144"/>
    </row>
    <row r="632" spans="15:16" ht="15.75" customHeight="1" x14ac:dyDescent="0.25">
      <c r="O632" s="144"/>
      <c r="P632" s="144"/>
    </row>
    <row r="633" spans="15:16" ht="15.75" customHeight="1" x14ac:dyDescent="0.25">
      <c r="O633" s="144"/>
      <c r="P633" s="144"/>
    </row>
    <row r="634" spans="15:16" ht="15.75" customHeight="1" x14ac:dyDescent="0.25">
      <c r="O634" s="144"/>
      <c r="P634" s="144"/>
    </row>
    <row r="635" spans="15:16" ht="15.75" customHeight="1" x14ac:dyDescent="0.25">
      <c r="O635" s="144"/>
      <c r="P635" s="144"/>
    </row>
    <row r="636" spans="15:16" ht="15.75" customHeight="1" x14ac:dyDescent="0.25">
      <c r="O636" s="144"/>
      <c r="P636" s="144"/>
    </row>
    <row r="637" spans="15:16" ht="15.75" customHeight="1" x14ac:dyDescent="0.25">
      <c r="O637" s="144"/>
      <c r="P637" s="144"/>
    </row>
    <row r="638" spans="15:16" ht="15.75" customHeight="1" x14ac:dyDescent="0.25">
      <c r="O638" s="144"/>
      <c r="P638" s="144"/>
    </row>
    <row r="639" spans="15:16" ht="15.75" customHeight="1" x14ac:dyDescent="0.25">
      <c r="O639" s="144"/>
      <c r="P639" s="144"/>
    </row>
    <row r="640" spans="15:16" ht="15.75" customHeight="1" x14ac:dyDescent="0.25">
      <c r="O640" s="144"/>
      <c r="P640" s="144"/>
    </row>
    <row r="641" spans="15:16" ht="15.75" customHeight="1" x14ac:dyDescent="0.25">
      <c r="O641" s="144"/>
      <c r="P641" s="144"/>
    </row>
    <row r="642" spans="15:16" ht="15.75" customHeight="1" x14ac:dyDescent="0.25">
      <c r="O642" s="144"/>
      <c r="P642" s="144"/>
    </row>
    <row r="643" spans="15:16" ht="15.75" customHeight="1" x14ac:dyDescent="0.25">
      <c r="O643" s="144"/>
      <c r="P643" s="144"/>
    </row>
    <row r="644" spans="15:16" ht="15.75" customHeight="1" x14ac:dyDescent="0.25">
      <c r="O644" s="144"/>
      <c r="P644" s="144"/>
    </row>
    <row r="645" spans="15:16" ht="15.75" customHeight="1" x14ac:dyDescent="0.25">
      <c r="O645" s="144"/>
      <c r="P645" s="144"/>
    </row>
    <row r="646" spans="15:16" ht="15.75" customHeight="1" x14ac:dyDescent="0.25">
      <c r="O646" s="144"/>
      <c r="P646" s="144"/>
    </row>
    <row r="647" spans="15:16" ht="15.75" customHeight="1" x14ac:dyDescent="0.25">
      <c r="O647" s="144"/>
      <c r="P647" s="144"/>
    </row>
    <row r="648" spans="15:16" ht="15.75" customHeight="1" x14ac:dyDescent="0.25">
      <c r="O648" s="144"/>
      <c r="P648" s="144"/>
    </row>
    <row r="649" spans="15:16" ht="15.75" customHeight="1" x14ac:dyDescent="0.25">
      <c r="O649" s="144"/>
      <c r="P649" s="144"/>
    </row>
    <row r="650" spans="15:16" ht="15.75" customHeight="1" x14ac:dyDescent="0.25">
      <c r="O650" s="144"/>
      <c r="P650" s="144"/>
    </row>
    <row r="651" spans="15:16" ht="15.75" customHeight="1" x14ac:dyDescent="0.25">
      <c r="O651" s="144"/>
      <c r="P651" s="144"/>
    </row>
    <row r="652" spans="15:16" ht="15.75" customHeight="1" x14ac:dyDescent="0.25">
      <c r="O652" s="144"/>
      <c r="P652" s="144"/>
    </row>
    <row r="653" spans="15:16" ht="15.75" customHeight="1" x14ac:dyDescent="0.25">
      <c r="O653" s="144"/>
      <c r="P653" s="144"/>
    </row>
    <row r="654" spans="15:16" ht="15.75" customHeight="1" x14ac:dyDescent="0.25">
      <c r="O654" s="144"/>
      <c r="P654" s="144"/>
    </row>
    <row r="655" spans="15:16" ht="15.75" customHeight="1" x14ac:dyDescent="0.25">
      <c r="O655" s="144"/>
      <c r="P655" s="144"/>
    </row>
    <row r="656" spans="15:16" ht="15.75" customHeight="1" x14ac:dyDescent="0.25">
      <c r="O656" s="144"/>
      <c r="P656" s="144"/>
    </row>
    <row r="657" spans="15:16" ht="15.75" customHeight="1" x14ac:dyDescent="0.25">
      <c r="O657" s="144"/>
      <c r="P657" s="144"/>
    </row>
    <row r="658" spans="15:16" ht="15.75" customHeight="1" x14ac:dyDescent="0.25">
      <c r="O658" s="144"/>
      <c r="P658" s="144"/>
    </row>
    <row r="659" spans="15:16" ht="15.75" customHeight="1" x14ac:dyDescent="0.25">
      <c r="O659" s="144"/>
      <c r="P659" s="144"/>
    </row>
    <row r="660" spans="15:16" ht="15.75" customHeight="1" x14ac:dyDescent="0.25">
      <c r="O660" s="144"/>
      <c r="P660" s="144"/>
    </row>
    <row r="661" spans="15:16" ht="15.75" customHeight="1" x14ac:dyDescent="0.25">
      <c r="O661" s="144"/>
      <c r="P661" s="144"/>
    </row>
    <row r="662" spans="15:16" ht="15.75" customHeight="1" x14ac:dyDescent="0.25">
      <c r="O662" s="144"/>
      <c r="P662" s="144"/>
    </row>
    <row r="663" spans="15:16" ht="15.75" customHeight="1" x14ac:dyDescent="0.25">
      <c r="O663" s="144"/>
      <c r="P663" s="144"/>
    </row>
    <row r="664" spans="15:16" ht="15.75" customHeight="1" x14ac:dyDescent="0.25">
      <c r="O664" s="144"/>
      <c r="P664" s="144"/>
    </row>
    <row r="665" spans="15:16" ht="15.75" customHeight="1" x14ac:dyDescent="0.25">
      <c r="O665" s="144"/>
      <c r="P665" s="144"/>
    </row>
    <row r="666" spans="15:16" ht="15.75" customHeight="1" x14ac:dyDescent="0.25">
      <c r="O666" s="144"/>
      <c r="P666" s="144"/>
    </row>
    <row r="667" spans="15:16" ht="15.75" customHeight="1" x14ac:dyDescent="0.25">
      <c r="O667" s="144"/>
      <c r="P667" s="144"/>
    </row>
    <row r="668" spans="15:16" ht="15.75" customHeight="1" x14ac:dyDescent="0.25">
      <c r="O668" s="144"/>
      <c r="P668" s="144"/>
    </row>
    <row r="669" spans="15:16" ht="15.75" customHeight="1" x14ac:dyDescent="0.25">
      <c r="O669" s="144"/>
      <c r="P669" s="144"/>
    </row>
    <row r="670" spans="15:16" ht="15.75" customHeight="1" x14ac:dyDescent="0.25">
      <c r="O670" s="144"/>
      <c r="P670" s="144"/>
    </row>
    <row r="671" spans="15:16" ht="15.75" customHeight="1" x14ac:dyDescent="0.25">
      <c r="O671" s="144"/>
      <c r="P671" s="144"/>
    </row>
    <row r="672" spans="15:16" ht="15.75" customHeight="1" x14ac:dyDescent="0.25">
      <c r="O672" s="144"/>
      <c r="P672" s="144"/>
    </row>
    <row r="673" spans="15:16" ht="15.75" customHeight="1" x14ac:dyDescent="0.25">
      <c r="O673" s="144"/>
      <c r="P673" s="144"/>
    </row>
    <row r="674" spans="15:16" ht="15.75" customHeight="1" x14ac:dyDescent="0.25">
      <c r="O674" s="144"/>
      <c r="P674" s="144"/>
    </row>
    <row r="675" spans="15:16" ht="15.75" customHeight="1" x14ac:dyDescent="0.25">
      <c r="O675" s="144"/>
      <c r="P675" s="144"/>
    </row>
    <row r="676" spans="15:16" ht="15.75" customHeight="1" x14ac:dyDescent="0.25">
      <c r="O676" s="144"/>
      <c r="P676" s="144"/>
    </row>
    <row r="677" spans="15:16" ht="15.75" customHeight="1" x14ac:dyDescent="0.25">
      <c r="O677" s="144"/>
      <c r="P677" s="144"/>
    </row>
    <row r="678" spans="15:16" ht="15.75" customHeight="1" x14ac:dyDescent="0.25">
      <c r="O678" s="144"/>
      <c r="P678" s="144"/>
    </row>
    <row r="679" spans="15:16" ht="15.75" customHeight="1" x14ac:dyDescent="0.25">
      <c r="O679" s="144"/>
      <c r="P679" s="144"/>
    </row>
    <row r="680" spans="15:16" ht="15.75" customHeight="1" x14ac:dyDescent="0.25">
      <c r="O680" s="144"/>
      <c r="P680" s="144"/>
    </row>
    <row r="681" spans="15:16" ht="15.75" customHeight="1" x14ac:dyDescent="0.25">
      <c r="O681" s="144"/>
      <c r="P681" s="144"/>
    </row>
    <row r="682" spans="15:16" ht="15.75" customHeight="1" x14ac:dyDescent="0.25">
      <c r="O682" s="144"/>
      <c r="P682" s="144"/>
    </row>
    <row r="683" spans="15:16" ht="15.75" customHeight="1" x14ac:dyDescent="0.25">
      <c r="O683" s="144"/>
      <c r="P683" s="144"/>
    </row>
    <row r="684" spans="15:16" ht="15.75" customHeight="1" x14ac:dyDescent="0.25">
      <c r="O684" s="144"/>
      <c r="P684" s="144"/>
    </row>
    <row r="685" spans="15:16" ht="15.75" customHeight="1" x14ac:dyDescent="0.25">
      <c r="O685" s="144"/>
      <c r="P685" s="144"/>
    </row>
    <row r="686" spans="15:16" ht="15.75" customHeight="1" x14ac:dyDescent="0.25">
      <c r="O686" s="144"/>
      <c r="P686" s="144"/>
    </row>
    <row r="687" spans="15:16" ht="15.75" customHeight="1" x14ac:dyDescent="0.25">
      <c r="O687" s="144"/>
      <c r="P687" s="144"/>
    </row>
    <row r="688" spans="15:16" ht="15.75" customHeight="1" x14ac:dyDescent="0.25">
      <c r="O688" s="144"/>
      <c r="P688" s="144"/>
    </row>
    <row r="689" spans="15:16" ht="15.75" customHeight="1" x14ac:dyDescent="0.25">
      <c r="O689" s="144"/>
      <c r="P689" s="144"/>
    </row>
    <row r="690" spans="15:16" ht="15.75" customHeight="1" x14ac:dyDescent="0.25">
      <c r="O690" s="144"/>
      <c r="P690" s="144"/>
    </row>
    <row r="691" spans="15:16" ht="15.75" customHeight="1" x14ac:dyDescent="0.25">
      <c r="O691" s="144"/>
      <c r="P691" s="144"/>
    </row>
    <row r="692" spans="15:16" ht="15.75" customHeight="1" x14ac:dyDescent="0.25">
      <c r="O692" s="144"/>
      <c r="P692" s="144"/>
    </row>
    <row r="693" spans="15:16" ht="15.75" customHeight="1" x14ac:dyDescent="0.25">
      <c r="O693" s="144"/>
      <c r="P693" s="144"/>
    </row>
    <row r="694" spans="15:16" ht="15.75" customHeight="1" x14ac:dyDescent="0.25">
      <c r="O694" s="144"/>
      <c r="P694" s="144"/>
    </row>
    <row r="695" spans="15:16" ht="15.75" customHeight="1" x14ac:dyDescent="0.25">
      <c r="O695" s="144"/>
      <c r="P695" s="144"/>
    </row>
    <row r="696" spans="15:16" ht="15.75" customHeight="1" x14ac:dyDescent="0.25">
      <c r="O696" s="144"/>
      <c r="P696" s="144"/>
    </row>
    <row r="697" spans="15:16" ht="15.75" customHeight="1" x14ac:dyDescent="0.25">
      <c r="O697" s="144"/>
      <c r="P697" s="144"/>
    </row>
    <row r="698" spans="15:16" ht="15.75" customHeight="1" x14ac:dyDescent="0.25">
      <c r="O698" s="144"/>
      <c r="P698" s="144"/>
    </row>
    <row r="699" spans="15:16" ht="15.75" customHeight="1" x14ac:dyDescent="0.25">
      <c r="O699" s="144"/>
      <c r="P699" s="144"/>
    </row>
    <row r="700" spans="15:16" ht="15.75" customHeight="1" x14ac:dyDescent="0.25">
      <c r="O700" s="144"/>
      <c r="P700" s="144"/>
    </row>
    <row r="701" spans="15:16" ht="15.75" customHeight="1" x14ac:dyDescent="0.25">
      <c r="O701" s="144"/>
      <c r="P701" s="144"/>
    </row>
    <row r="702" spans="15:16" ht="15.75" customHeight="1" x14ac:dyDescent="0.25">
      <c r="O702" s="144"/>
      <c r="P702" s="144"/>
    </row>
    <row r="703" spans="15:16" ht="15.75" customHeight="1" x14ac:dyDescent="0.25">
      <c r="O703" s="144"/>
      <c r="P703" s="144"/>
    </row>
    <row r="704" spans="15:16" ht="15.75" customHeight="1" x14ac:dyDescent="0.25">
      <c r="O704" s="144"/>
      <c r="P704" s="144"/>
    </row>
    <row r="705" spans="15:16" ht="15.75" customHeight="1" x14ac:dyDescent="0.25">
      <c r="O705" s="144"/>
      <c r="P705" s="144"/>
    </row>
    <row r="706" spans="15:16" ht="15.75" customHeight="1" x14ac:dyDescent="0.25">
      <c r="O706" s="144"/>
      <c r="P706" s="144"/>
    </row>
    <row r="707" spans="15:16" ht="15.75" customHeight="1" x14ac:dyDescent="0.25">
      <c r="O707" s="144"/>
      <c r="P707" s="144"/>
    </row>
    <row r="708" spans="15:16" ht="15.75" customHeight="1" x14ac:dyDescent="0.25">
      <c r="O708" s="144"/>
      <c r="P708" s="144"/>
    </row>
    <row r="709" spans="15:16" ht="15.75" customHeight="1" x14ac:dyDescent="0.25">
      <c r="O709" s="144"/>
      <c r="P709" s="144"/>
    </row>
    <row r="710" spans="15:16" ht="15.75" customHeight="1" x14ac:dyDescent="0.25">
      <c r="O710" s="144"/>
      <c r="P710" s="144"/>
    </row>
    <row r="711" spans="15:16" ht="15.75" customHeight="1" x14ac:dyDescent="0.25">
      <c r="O711" s="144"/>
      <c r="P711" s="144"/>
    </row>
    <row r="712" spans="15:16" ht="15.75" customHeight="1" x14ac:dyDescent="0.25">
      <c r="O712" s="144"/>
      <c r="P712" s="144"/>
    </row>
    <row r="713" spans="15:16" ht="15.75" customHeight="1" x14ac:dyDescent="0.25">
      <c r="O713" s="144"/>
      <c r="P713" s="144"/>
    </row>
    <row r="714" spans="15:16" ht="15.75" customHeight="1" x14ac:dyDescent="0.25">
      <c r="O714" s="144"/>
      <c r="P714" s="144"/>
    </row>
    <row r="715" spans="15:16" ht="15.75" customHeight="1" x14ac:dyDescent="0.25">
      <c r="O715" s="144"/>
      <c r="P715" s="144"/>
    </row>
    <row r="716" spans="15:16" ht="15.75" customHeight="1" x14ac:dyDescent="0.25">
      <c r="O716" s="144"/>
      <c r="P716" s="144"/>
    </row>
    <row r="717" spans="15:16" ht="15.75" customHeight="1" x14ac:dyDescent="0.25">
      <c r="O717" s="144"/>
      <c r="P717" s="144"/>
    </row>
    <row r="718" spans="15:16" ht="15.75" customHeight="1" x14ac:dyDescent="0.25">
      <c r="O718" s="144"/>
      <c r="P718" s="144"/>
    </row>
    <row r="719" spans="15:16" ht="15.75" customHeight="1" x14ac:dyDescent="0.25">
      <c r="O719" s="144"/>
      <c r="P719" s="144"/>
    </row>
    <row r="720" spans="15:16" ht="15.75" customHeight="1" x14ac:dyDescent="0.25">
      <c r="O720" s="144"/>
      <c r="P720" s="144"/>
    </row>
    <row r="721" spans="15:16" ht="15.75" customHeight="1" x14ac:dyDescent="0.25">
      <c r="O721" s="144"/>
      <c r="P721" s="144"/>
    </row>
    <row r="722" spans="15:16" ht="15.75" customHeight="1" x14ac:dyDescent="0.25">
      <c r="O722" s="144"/>
      <c r="P722" s="144"/>
    </row>
    <row r="723" spans="15:16" ht="15.75" customHeight="1" x14ac:dyDescent="0.25">
      <c r="O723" s="144"/>
      <c r="P723" s="144"/>
    </row>
    <row r="724" spans="15:16" ht="15.75" customHeight="1" x14ac:dyDescent="0.25">
      <c r="O724" s="144"/>
      <c r="P724" s="144"/>
    </row>
    <row r="725" spans="15:16" ht="15.75" customHeight="1" x14ac:dyDescent="0.25">
      <c r="O725" s="144"/>
      <c r="P725" s="144"/>
    </row>
    <row r="726" spans="15:16" ht="15.75" customHeight="1" x14ac:dyDescent="0.25">
      <c r="O726" s="144"/>
      <c r="P726" s="144"/>
    </row>
    <row r="727" spans="15:16" ht="15.75" customHeight="1" x14ac:dyDescent="0.25">
      <c r="O727" s="144"/>
      <c r="P727" s="144"/>
    </row>
    <row r="728" spans="15:16" ht="15.75" customHeight="1" x14ac:dyDescent="0.25">
      <c r="O728" s="144"/>
      <c r="P728" s="144"/>
    </row>
    <row r="729" spans="15:16" ht="15.75" customHeight="1" x14ac:dyDescent="0.25">
      <c r="O729" s="144"/>
      <c r="P729" s="144"/>
    </row>
    <row r="730" spans="15:16" ht="15.75" customHeight="1" x14ac:dyDescent="0.25">
      <c r="O730" s="144"/>
      <c r="P730" s="144"/>
    </row>
    <row r="731" spans="15:16" ht="15.75" customHeight="1" x14ac:dyDescent="0.25">
      <c r="O731" s="144"/>
      <c r="P731" s="144"/>
    </row>
    <row r="732" spans="15:16" ht="15.75" customHeight="1" x14ac:dyDescent="0.25">
      <c r="O732" s="144"/>
      <c r="P732" s="144"/>
    </row>
    <row r="733" spans="15:16" ht="15.75" customHeight="1" x14ac:dyDescent="0.25">
      <c r="O733" s="144"/>
      <c r="P733" s="144"/>
    </row>
    <row r="734" spans="15:16" ht="15.75" customHeight="1" x14ac:dyDescent="0.25">
      <c r="O734" s="144"/>
      <c r="P734" s="144"/>
    </row>
    <row r="735" spans="15:16" ht="15.75" customHeight="1" x14ac:dyDescent="0.25">
      <c r="O735" s="144"/>
      <c r="P735" s="144"/>
    </row>
    <row r="736" spans="15:16" ht="15.75" customHeight="1" x14ac:dyDescent="0.25">
      <c r="O736" s="144"/>
      <c r="P736" s="144"/>
    </row>
    <row r="737" spans="15:16" ht="15.75" customHeight="1" x14ac:dyDescent="0.25">
      <c r="O737" s="144"/>
      <c r="P737" s="144"/>
    </row>
    <row r="738" spans="15:16" ht="15.75" customHeight="1" x14ac:dyDescent="0.25">
      <c r="O738" s="144"/>
      <c r="P738" s="144"/>
    </row>
    <row r="739" spans="15:16" ht="15.75" customHeight="1" x14ac:dyDescent="0.25">
      <c r="O739" s="144"/>
      <c r="P739" s="144"/>
    </row>
    <row r="740" spans="15:16" ht="15.75" customHeight="1" x14ac:dyDescent="0.25">
      <c r="O740" s="144"/>
      <c r="P740" s="144"/>
    </row>
    <row r="741" spans="15:16" ht="15.75" customHeight="1" x14ac:dyDescent="0.25">
      <c r="O741" s="144"/>
      <c r="P741" s="144"/>
    </row>
    <row r="742" spans="15:16" ht="15.75" customHeight="1" x14ac:dyDescent="0.25">
      <c r="O742" s="144"/>
      <c r="P742" s="144"/>
    </row>
    <row r="743" spans="15:16" ht="15.75" customHeight="1" x14ac:dyDescent="0.25">
      <c r="O743" s="144"/>
      <c r="P743" s="144"/>
    </row>
    <row r="744" spans="15:16" ht="15.75" customHeight="1" x14ac:dyDescent="0.25">
      <c r="O744" s="144"/>
      <c r="P744" s="144"/>
    </row>
    <row r="745" spans="15:16" ht="15.75" customHeight="1" x14ac:dyDescent="0.25">
      <c r="O745" s="144"/>
      <c r="P745" s="144"/>
    </row>
    <row r="746" spans="15:16" ht="15.75" customHeight="1" x14ac:dyDescent="0.25">
      <c r="O746" s="144"/>
      <c r="P746" s="144"/>
    </row>
    <row r="747" spans="15:16" ht="15.75" customHeight="1" x14ac:dyDescent="0.25">
      <c r="O747" s="144"/>
      <c r="P747" s="144"/>
    </row>
    <row r="748" spans="15:16" ht="15.75" customHeight="1" x14ac:dyDescent="0.25">
      <c r="O748" s="144"/>
      <c r="P748" s="144"/>
    </row>
    <row r="749" spans="15:16" ht="15.75" customHeight="1" x14ac:dyDescent="0.25">
      <c r="O749" s="144"/>
      <c r="P749" s="144"/>
    </row>
    <row r="750" spans="15:16" ht="15.75" customHeight="1" x14ac:dyDescent="0.25">
      <c r="O750" s="144"/>
      <c r="P750" s="144"/>
    </row>
    <row r="751" spans="15:16" ht="15.75" customHeight="1" x14ac:dyDescent="0.25">
      <c r="O751" s="144"/>
      <c r="P751" s="144"/>
    </row>
    <row r="752" spans="15:16" ht="15.75" customHeight="1" x14ac:dyDescent="0.25">
      <c r="O752" s="144"/>
      <c r="P752" s="144"/>
    </row>
    <row r="753" spans="15:16" ht="15.75" customHeight="1" x14ac:dyDescent="0.25">
      <c r="O753" s="144"/>
      <c r="P753" s="144"/>
    </row>
    <row r="754" spans="15:16" ht="15.75" customHeight="1" x14ac:dyDescent="0.25">
      <c r="O754" s="144"/>
      <c r="P754" s="144"/>
    </row>
    <row r="755" spans="15:16" ht="15.75" customHeight="1" x14ac:dyDescent="0.25">
      <c r="O755" s="144"/>
      <c r="P755" s="144"/>
    </row>
    <row r="756" spans="15:16" ht="15.75" customHeight="1" x14ac:dyDescent="0.25">
      <c r="O756" s="144"/>
      <c r="P756" s="144"/>
    </row>
    <row r="757" spans="15:16" ht="15.75" customHeight="1" x14ac:dyDescent="0.25">
      <c r="O757" s="144"/>
      <c r="P757" s="144"/>
    </row>
    <row r="758" spans="15:16" ht="15.75" customHeight="1" x14ac:dyDescent="0.25">
      <c r="O758" s="144"/>
      <c r="P758" s="144"/>
    </row>
    <row r="759" spans="15:16" ht="15.75" customHeight="1" x14ac:dyDescent="0.25">
      <c r="O759" s="144"/>
      <c r="P759" s="144"/>
    </row>
    <row r="760" spans="15:16" ht="15.75" customHeight="1" x14ac:dyDescent="0.25">
      <c r="O760" s="144"/>
      <c r="P760" s="144"/>
    </row>
    <row r="761" spans="15:16" ht="15.75" customHeight="1" x14ac:dyDescent="0.25">
      <c r="O761" s="144"/>
      <c r="P761" s="144"/>
    </row>
    <row r="762" spans="15:16" ht="15.75" customHeight="1" x14ac:dyDescent="0.25">
      <c r="O762" s="144"/>
      <c r="P762" s="144"/>
    </row>
    <row r="763" spans="15:16" ht="15.75" customHeight="1" x14ac:dyDescent="0.25">
      <c r="O763" s="144"/>
      <c r="P763" s="144"/>
    </row>
    <row r="764" spans="15:16" ht="15.75" customHeight="1" x14ac:dyDescent="0.25">
      <c r="O764" s="144"/>
      <c r="P764" s="144"/>
    </row>
    <row r="765" spans="15:16" ht="15.75" customHeight="1" x14ac:dyDescent="0.25">
      <c r="O765" s="144"/>
      <c r="P765" s="144"/>
    </row>
    <row r="766" spans="15:16" ht="15.75" customHeight="1" x14ac:dyDescent="0.25">
      <c r="O766" s="144"/>
      <c r="P766" s="144"/>
    </row>
    <row r="767" spans="15:16" ht="15.75" customHeight="1" x14ac:dyDescent="0.25">
      <c r="O767" s="144"/>
      <c r="P767" s="144"/>
    </row>
    <row r="768" spans="15:16" ht="15.75" customHeight="1" x14ac:dyDescent="0.25">
      <c r="O768" s="144"/>
      <c r="P768" s="144"/>
    </row>
    <row r="769" spans="15:16" ht="15.75" customHeight="1" x14ac:dyDescent="0.25">
      <c r="O769" s="144"/>
      <c r="P769" s="144"/>
    </row>
    <row r="770" spans="15:16" ht="15.75" customHeight="1" x14ac:dyDescent="0.25">
      <c r="O770" s="144"/>
      <c r="P770" s="144"/>
    </row>
    <row r="771" spans="15:16" ht="15.75" customHeight="1" x14ac:dyDescent="0.25">
      <c r="O771" s="144"/>
      <c r="P771" s="144"/>
    </row>
    <row r="772" spans="15:16" ht="15.75" customHeight="1" x14ac:dyDescent="0.25">
      <c r="O772" s="144"/>
      <c r="P772" s="144"/>
    </row>
    <row r="773" spans="15:16" ht="15.75" customHeight="1" x14ac:dyDescent="0.25">
      <c r="O773" s="144"/>
      <c r="P773" s="144"/>
    </row>
    <row r="774" spans="15:16" ht="15.75" customHeight="1" x14ac:dyDescent="0.25">
      <c r="O774" s="144"/>
      <c r="P774" s="144"/>
    </row>
    <row r="775" spans="15:16" ht="15.75" customHeight="1" x14ac:dyDescent="0.25">
      <c r="O775" s="144"/>
      <c r="P775" s="144"/>
    </row>
    <row r="776" spans="15:16" ht="15.75" customHeight="1" x14ac:dyDescent="0.25">
      <c r="O776" s="144"/>
      <c r="P776" s="144"/>
    </row>
    <row r="777" spans="15:16" ht="15.75" customHeight="1" x14ac:dyDescent="0.25">
      <c r="O777" s="144"/>
      <c r="P777" s="144"/>
    </row>
    <row r="778" spans="15:16" ht="15.75" customHeight="1" x14ac:dyDescent="0.25">
      <c r="O778" s="144"/>
      <c r="P778" s="144"/>
    </row>
    <row r="779" spans="15:16" ht="15.75" customHeight="1" x14ac:dyDescent="0.25">
      <c r="O779" s="144"/>
      <c r="P779" s="144"/>
    </row>
    <row r="780" spans="15:16" ht="15.75" customHeight="1" x14ac:dyDescent="0.25">
      <c r="O780" s="144"/>
      <c r="P780" s="144"/>
    </row>
    <row r="781" spans="15:16" ht="15.75" customHeight="1" x14ac:dyDescent="0.25">
      <c r="O781" s="144"/>
      <c r="P781" s="144"/>
    </row>
    <row r="782" spans="15:16" ht="15.75" customHeight="1" x14ac:dyDescent="0.25">
      <c r="O782" s="144"/>
      <c r="P782" s="144"/>
    </row>
    <row r="783" spans="15:16" ht="15.75" customHeight="1" x14ac:dyDescent="0.25">
      <c r="O783" s="144"/>
      <c r="P783" s="144"/>
    </row>
    <row r="784" spans="15:16" ht="15.75" customHeight="1" x14ac:dyDescent="0.25">
      <c r="O784" s="144"/>
      <c r="P784" s="144"/>
    </row>
    <row r="785" spans="15:16" ht="15.75" customHeight="1" x14ac:dyDescent="0.25">
      <c r="O785" s="144"/>
      <c r="P785" s="144"/>
    </row>
    <row r="786" spans="15:16" ht="15.75" customHeight="1" x14ac:dyDescent="0.25">
      <c r="O786" s="144"/>
      <c r="P786" s="144"/>
    </row>
    <row r="787" spans="15:16" ht="15.75" customHeight="1" x14ac:dyDescent="0.25">
      <c r="O787" s="144"/>
      <c r="P787" s="144"/>
    </row>
    <row r="788" spans="15:16" ht="15.75" customHeight="1" x14ac:dyDescent="0.25">
      <c r="O788" s="144"/>
      <c r="P788" s="144"/>
    </row>
    <row r="789" spans="15:16" ht="15.75" customHeight="1" x14ac:dyDescent="0.25">
      <c r="O789" s="144"/>
      <c r="P789" s="144"/>
    </row>
    <row r="790" spans="15:16" ht="15.75" customHeight="1" x14ac:dyDescent="0.25">
      <c r="O790" s="144"/>
      <c r="P790" s="144"/>
    </row>
    <row r="791" spans="15:16" ht="15.75" customHeight="1" x14ac:dyDescent="0.25">
      <c r="O791" s="144"/>
      <c r="P791" s="144"/>
    </row>
    <row r="792" spans="15:16" ht="15.75" customHeight="1" x14ac:dyDescent="0.25">
      <c r="O792" s="144"/>
      <c r="P792" s="144"/>
    </row>
    <row r="793" spans="15:16" ht="15.75" customHeight="1" x14ac:dyDescent="0.25">
      <c r="O793" s="144"/>
      <c r="P793" s="144"/>
    </row>
    <row r="794" spans="15:16" ht="15.75" customHeight="1" x14ac:dyDescent="0.25">
      <c r="O794" s="144"/>
      <c r="P794" s="144"/>
    </row>
    <row r="795" spans="15:16" ht="15.75" customHeight="1" x14ac:dyDescent="0.25">
      <c r="O795" s="144"/>
      <c r="P795" s="144"/>
    </row>
    <row r="796" spans="15:16" ht="15.75" customHeight="1" x14ac:dyDescent="0.25">
      <c r="O796" s="144"/>
      <c r="P796" s="144"/>
    </row>
    <row r="797" spans="15:16" ht="15.75" customHeight="1" x14ac:dyDescent="0.25">
      <c r="O797" s="144"/>
      <c r="P797" s="144"/>
    </row>
    <row r="798" spans="15:16" ht="15.75" customHeight="1" x14ac:dyDescent="0.25">
      <c r="O798" s="144"/>
      <c r="P798" s="144"/>
    </row>
    <row r="799" spans="15:16" ht="15.75" customHeight="1" x14ac:dyDescent="0.25">
      <c r="O799" s="144"/>
      <c r="P799" s="144"/>
    </row>
    <row r="800" spans="15:16" ht="15.75" customHeight="1" x14ac:dyDescent="0.25">
      <c r="O800" s="144"/>
      <c r="P800" s="144"/>
    </row>
    <row r="801" spans="15:16" ht="15.75" customHeight="1" x14ac:dyDescent="0.25">
      <c r="O801" s="144"/>
      <c r="P801" s="144"/>
    </row>
    <row r="802" spans="15:16" ht="15.75" customHeight="1" x14ac:dyDescent="0.25">
      <c r="O802" s="144"/>
      <c r="P802" s="144"/>
    </row>
    <row r="803" spans="15:16" ht="15.75" customHeight="1" x14ac:dyDescent="0.25">
      <c r="O803" s="144"/>
      <c r="P803" s="144"/>
    </row>
    <row r="804" spans="15:16" ht="15.75" customHeight="1" x14ac:dyDescent="0.25">
      <c r="O804" s="144"/>
      <c r="P804" s="144"/>
    </row>
    <row r="805" spans="15:16" ht="15.75" customHeight="1" x14ac:dyDescent="0.25">
      <c r="O805" s="144"/>
      <c r="P805" s="144"/>
    </row>
    <row r="806" spans="15:16" ht="15.75" customHeight="1" x14ac:dyDescent="0.25">
      <c r="O806" s="144"/>
      <c r="P806" s="144"/>
    </row>
    <row r="807" spans="15:16" ht="15.75" customHeight="1" x14ac:dyDescent="0.25">
      <c r="O807" s="144"/>
      <c r="P807" s="144"/>
    </row>
    <row r="808" spans="15:16" ht="15.75" customHeight="1" x14ac:dyDescent="0.25">
      <c r="O808" s="144"/>
      <c r="P808" s="144"/>
    </row>
    <row r="809" spans="15:16" ht="15.75" customHeight="1" x14ac:dyDescent="0.25">
      <c r="O809" s="144"/>
      <c r="P809" s="144"/>
    </row>
    <row r="810" spans="15:16" ht="15.75" customHeight="1" x14ac:dyDescent="0.25">
      <c r="O810" s="144"/>
      <c r="P810" s="144"/>
    </row>
    <row r="811" spans="15:16" ht="15.75" customHeight="1" x14ac:dyDescent="0.25">
      <c r="O811" s="144"/>
      <c r="P811" s="144"/>
    </row>
    <row r="812" spans="15:16" ht="15.75" customHeight="1" x14ac:dyDescent="0.25">
      <c r="O812" s="144"/>
      <c r="P812" s="144"/>
    </row>
    <row r="813" spans="15:16" ht="15.75" customHeight="1" x14ac:dyDescent="0.25">
      <c r="O813" s="144"/>
      <c r="P813" s="144"/>
    </row>
    <row r="814" spans="15:16" ht="15.75" customHeight="1" x14ac:dyDescent="0.25">
      <c r="O814" s="144"/>
      <c r="P814" s="144"/>
    </row>
    <row r="815" spans="15:16" ht="15.75" customHeight="1" x14ac:dyDescent="0.25">
      <c r="O815" s="144"/>
      <c r="P815" s="144"/>
    </row>
    <row r="816" spans="15:16" ht="15.75" customHeight="1" x14ac:dyDescent="0.25">
      <c r="O816" s="144"/>
      <c r="P816" s="144"/>
    </row>
    <row r="817" spans="15:16" ht="15.75" customHeight="1" x14ac:dyDescent="0.25">
      <c r="O817" s="144"/>
      <c r="P817" s="144"/>
    </row>
    <row r="818" spans="15:16" ht="15.75" customHeight="1" x14ac:dyDescent="0.25">
      <c r="O818" s="144"/>
      <c r="P818" s="144"/>
    </row>
    <row r="819" spans="15:16" ht="15.75" customHeight="1" x14ac:dyDescent="0.25">
      <c r="O819" s="144"/>
      <c r="P819" s="144"/>
    </row>
    <row r="820" spans="15:16" ht="15.75" customHeight="1" x14ac:dyDescent="0.25">
      <c r="O820" s="144"/>
      <c r="P820" s="144"/>
    </row>
    <row r="821" spans="15:16" ht="15.75" customHeight="1" x14ac:dyDescent="0.25">
      <c r="O821" s="144"/>
      <c r="P821" s="144"/>
    </row>
    <row r="822" spans="15:16" ht="15.75" customHeight="1" x14ac:dyDescent="0.25">
      <c r="O822" s="144"/>
      <c r="P822" s="144"/>
    </row>
    <row r="823" spans="15:16" ht="15.75" customHeight="1" x14ac:dyDescent="0.25">
      <c r="O823" s="144"/>
      <c r="P823" s="144"/>
    </row>
    <row r="824" spans="15:16" ht="15.75" customHeight="1" x14ac:dyDescent="0.25">
      <c r="O824" s="144"/>
      <c r="P824" s="144"/>
    </row>
    <row r="825" spans="15:16" ht="15.75" customHeight="1" x14ac:dyDescent="0.25">
      <c r="O825" s="144"/>
      <c r="P825" s="144"/>
    </row>
    <row r="826" spans="15:16" ht="15.75" customHeight="1" x14ac:dyDescent="0.25">
      <c r="O826" s="144"/>
      <c r="P826" s="144"/>
    </row>
    <row r="827" spans="15:16" ht="15.75" customHeight="1" x14ac:dyDescent="0.25">
      <c r="O827" s="144"/>
      <c r="P827" s="144"/>
    </row>
    <row r="828" spans="15:16" ht="15.75" customHeight="1" x14ac:dyDescent="0.25">
      <c r="O828" s="144"/>
      <c r="P828" s="144"/>
    </row>
    <row r="829" spans="15:16" ht="15.75" customHeight="1" x14ac:dyDescent="0.25">
      <c r="O829" s="144"/>
      <c r="P829" s="144"/>
    </row>
    <row r="830" spans="15:16" ht="15.75" customHeight="1" x14ac:dyDescent="0.25">
      <c r="O830" s="144"/>
      <c r="P830" s="144"/>
    </row>
    <row r="831" spans="15:16" ht="15.75" customHeight="1" x14ac:dyDescent="0.25">
      <c r="O831" s="144"/>
      <c r="P831" s="144"/>
    </row>
    <row r="832" spans="15:16" ht="15.75" customHeight="1" x14ac:dyDescent="0.25">
      <c r="O832" s="144"/>
      <c r="P832" s="144"/>
    </row>
    <row r="833" spans="15:16" ht="15.75" customHeight="1" x14ac:dyDescent="0.25">
      <c r="O833" s="144"/>
      <c r="P833" s="144"/>
    </row>
    <row r="834" spans="15:16" ht="15.75" customHeight="1" x14ac:dyDescent="0.25">
      <c r="O834" s="144"/>
      <c r="P834" s="144"/>
    </row>
    <row r="835" spans="15:16" ht="15.75" customHeight="1" x14ac:dyDescent="0.25">
      <c r="O835" s="144"/>
      <c r="P835" s="144"/>
    </row>
    <row r="836" spans="15:16" ht="15.75" customHeight="1" x14ac:dyDescent="0.25">
      <c r="O836" s="144"/>
      <c r="P836" s="144"/>
    </row>
    <row r="837" spans="15:16" ht="15.75" customHeight="1" x14ac:dyDescent="0.25">
      <c r="O837" s="144"/>
      <c r="P837" s="144"/>
    </row>
    <row r="838" spans="15:16" ht="15.75" customHeight="1" x14ac:dyDescent="0.25">
      <c r="O838" s="144"/>
      <c r="P838" s="144"/>
    </row>
    <row r="839" spans="15:16" ht="15.75" customHeight="1" x14ac:dyDescent="0.25">
      <c r="O839" s="144"/>
      <c r="P839" s="144"/>
    </row>
    <row r="840" spans="15:16" ht="15.75" customHeight="1" x14ac:dyDescent="0.25">
      <c r="O840" s="144"/>
      <c r="P840" s="144"/>
    </row>
    <row r="841" spans="15:16" ht="15.75" customHeight="1" x14ac:dyDescent="0.25">
      <c r="O841" s="144"/>
      <c r="P841" s="144"/>
    </row>
    <row r="842" spans="15:16" ht="15.75" customHeight="1" x14ac:dyDescent="0.25">
      <c r="O842" s="144"/>
      <c r="P842" s="144"/>
    </row>
    <row r="843" spans="15:16" ht="15.75" customHeight="1" x14ac:dyDescent="0.25">
      <c r="O843" s="144"/>
      <c r="P843" s="144"/>
    </row>
    <row r="844" spans="15:16" ht="15.75" customHeight="1" x14ac:dyDescent="0.25">
      <c r="O844" s="144"/>
      <c r="P844" s="144"/>
    </row>
    <row r="845" spans="15:16" ht="15.75" customHeight="1" x14ac:dyDescent="0.25">
      <c r="O845" s="144"/>
      <c r="P845" s="144"/>
    </row>
    <row r="846" spans="15:16" ht="15.75" customHeight="1" x14ac:dyDescent="0.25">
      <c r="O846" s="144"/>
      <c r="P846" s="144"/>
    </row>
    <row r="847" spans="15:16" ht="15.75" customHeight="1" x14ac:dyDescent="0.25">
      <c r="O847" s="144"/>
      <c r="P847" s="144"/>
    </row>
    <row r="848" spans="15:16" ht="15.75" customHeight="1" x14ac:dyDescent="0.25">
      <c r="O848" s="144"/>
      <c r="P848" s="144"/>
    </row>
    <row r="849" spans="15:16" ht="15.75" customHeight="1" x14ac:dyDescent="0.25">
      <c r="O849" s="144"/>
      <c r="P849" s="144"/>
    </row>
    <row r="850" spans="15:16" ht="15.75" customHeight="1" x14ac:dyDescent="0.25">
      <c r="O850" s="144"/>
      <c r="P850" s="144"/>
    </row>
    <row r="851" spans="15:16" ht="15.75" customHeight="1" x14ac:dyDescent="0.25">
      <c r="O851" s="144"/>
      <c r="P851" s="144"/>
    </row>
    <row r="852" spans="15:16" ht="15.75" customHeight="1" x14ac:dyDescent="0.25">
      <c r="O852" s="144"/>
      <c r="P852" s="144"/>
    </row>
    <row r="853" spans="15:16" ht="15.75" customHeight="1" x14ac:dyDescent="0.25">
      <c r="O853" s="144"/>
      <c r="P853" s="144"/>
    </row>
    <row r="854" spans="15:16" ht="15.75" customHeight="1" x14ac:dyDescent="0.25">
      <c r="O854" s="144"/>
      <c r="P854" s="144"/>
    </row>
    <row r="855" spans="15:16" ht="15.75" customHeight="1" x14ac:dyDescent="0.25">
      <c r="O855" s="144"/>
      <c r="P855" s="144"/>
    </row>
    <row r="856" spans="15:16" ht="15.75" customHeight="1" x14ac:dyDescent="0.25">
      <c r="O856" s="144"/>
      <c r="P856" s="144"/>
    </row>
    <row r="857" spans="15:16" ht="15.75" customHeight="1" x14ac:dyDescent="0.25">
      <c r="O857" s="144"/>
      <c r="P857" s="144"/>
    </row>
    <row r="858" spans="15:16" ht="15.75" customHeight="1" x14ac:dyDescent="0.25">
      <c r="O858" s="144"/>
      <c r="P858" s="144"/>
    </row>
    <row r="859" spans="15:16" ht="15.75" customHeight="1" x14ac:dyDescent="0.25">
      <c r="O859" s="144"/>
      <c r="P859" s="144"/>
    </row>
    <row r="860" spans="15:16" ht="15.75" customHeight="1" x14ac:dyDescent="0.25">
      <c r="O860" s="144"/>
      <c r="P860" s="144"/>
    </row>
    <row r="861" spans="15:16" ht="15.75" customHeight="1" x14ac:dyDescent="0.25">
      <c r="O861" s="144"/>
      <c r="P861" s="144"/>
    </row>
    <row r="862" spans="15:16" ht="15.75" customHeight="1" x14ac:dyDescent="0.25">
      <c r="O862" s="144"/>
      <c r="P862" s="144"/>
    </row>
    <row r="863" spans="15:16" ht="15.75" customHeight="1" x14ac:dyDescent="0.25">
      <c r="O863" s="144"/>
      <c r="P863" s="144"/>
    </row>
    <row r="864" spans="15:16" ht="15.75" customHeight="1" x14ac:dyDescent="0.25">
      <c r="O864" s="144"/>
      <c r="P864" s="144"/>
    </row>
    <row r="865" spans="15:16" ht="15.75" customHeight="1" x14ac:dyDescent="0.25">
      <c r="O865" s="144"/>
      <c r="P865" s="144"/>
    </row>
    <row r="866" spans="15:16" ht="15.75" customHeight="1" x14ac:dyDescent="0.25">
      <c r="O866" s="144"/>
      <c r="P866" s="144"/>
    </row>
    <row r="867" spans="15:16" ht="15.75" customHeight="1" x14ac:dyDescent="0.25">
      <c r="O867" s="144"/>
      <c r="P867" s="144"/>
    </row>
    <row r="868" spans="15:16" ht="15.75" customHeight="1" x14ac:dyDescent="0.25">
      <c r="O868" s="144"/>
      <c r="P868" s="144"/>
    </row>
    <row r="869" spans="15:16" ht="15.75" customHeight="1" x14ac:dyDescent="0.25">
      <c r="O869" s="144"/>
      <c r="P869" s="144"/>
    </row>
    <row r="870" spans="15:16" ht="15.75" customHeight="1" x14ac:dyDescent="0.25">
      <c r="O870" s="144"/>
      <c r="P870" s="144"/>
    </row>
    <row r="871" spans="15:16" ht="15.75" customHeight="1" x14ac:dyDescent="0.25">
      <c r="O871" s="144"/>
      <c r="P871" s="144"/>
    </row>
    <row r="872" spans="15:16" ht="15.75" customHeight="1" x14ac:dyDescent="0.25">
      <c r="O872" s="144"/>
      <c r="P872" s="144"/>
    </row>
    <row r="873" spans="15:16" ht="15.75" customHeight="1" x14ac:dyDescent="0.25">
      <c r="O873" s="144"/>
      <c r="P873" s="144"/>
    </row>
    <row r="874" spans="15:16" ht="15.75" customHeight="1" x14ac:dyDescent="0.25">
      <c r="O874" s="144"/>
      <c r="P874" s="144"/>
    </row>
    <row r="875" spans="15:16" ht="15.75" customHeight="1" x14ac:dyDescent="0.25">
      <c r="O875" s="144"/>
      <c r="P875" s="144"/>
    </row>
    <row r="876" spans="15:16" ht="15.75" customHeight="1" x14ac:dyDescent="0.25">
      <c r="O876" s="144"/>
      <c r="P876" s="144"/>
    </row>
    <row r="877" spans="15:16" ht="15.75" customHeight="1" x14ac:dyDescent="0.25">
      <c r="O877" s="144"/>
      <c r="P877" s="144"/>
    </row>
    <row r="878" spans="15:16" ht="15.75" customHeight="1" x14ac:dyDescent="0.25">
      <c r="O878" s="144"/>
      <c r="P878" s="144"/>
    </row>
    <row r="879" spans="15:16" ht="15.75" customHeight="1" x14ac:dyDescent="0.25">
      <c r="O879" s="144"/>
      <c r="P879" s="144"/>
    </row>
    <row r="880" spans="15:16" ht="15.75" customHeight="1" x14ac:dyDescent="0.25">
      <c r="O880" s="144"/>
      <c r="P880" s="144"/>
    </row>
    <row r="881" spans="15:16" ht="15.75" customHeight="1" x14ac:dyDescent="0.25">
      <c r="O881" s="144"/>
      <c r="P881" s="144"/>
    </row>
    <row r="882" spans="15:16" ht="15.75" customHeight="1" x14ac:dyDescent="0.25">
      <c r="O882" s="144"/>
      <c r="P882" s="144"/>
    </row>
    <row r="883" spans="15:16" ht="15.75" customHeight="1" x14ac:dyDescent="0.25">
      <c r="O883" s="144"/>
      <c r="P883" s="144"/>
    </row>
    <row r="884" spans="15:16" ht="15.75" customHeight="1" x14ac:dyDescent="0.25">
      <c r="O884" s="144"/>
      <c r="P884" s="144"/>
    </row>
    <row r="885" spans="15:16" ht="15.75" customHeight="1" x14ac:dyDescent="0.25">
      <c r="O885" s="144"/>
      <c r="P885" s="144"/>
    </row>
    <row r="886" spans="15:16" ht="15.75" customHeight="1" x14ac:dyDescent="0.25">
      <c r="O886" s="144"/>
      <c r="P886" s="144"/>
    </row>
    <row r="887" spans="15:16" ht="15.75" customHeight="1" x14ac:dyDescent="0.25">
      <c r="O887" s="144"/>
      <c r="P887" s="144"/>
    </row>
    <row r="888" spans="15:16" ht="15.75" customHeight="1" x14ac:dyDescent="0.25">
      <c r="O888" s="144"/>
      <c r="P888" s="144"/>
    </row>
    <row r="889" spans="15:16" ht="15.75" customHeight="1" x14ac:dyDescent="0.25">
      <c r="O889" s="144"/>
      <c r="P889" s="144"/>
    </row>
    <row r="890" spans="15:16" ht="15.75" customHeight="1" x14ac:dyDescent="0.25">
      <c r="O890" s="144"/>
      <c r="P890" s="144"/>
    </row>
    <row r="891" spans="15:16" ht="15.75" customHeight="1" x14ac:dyDescent="0.25">
      <c r="O891" s="144"/>
      <c r="P891" s="144"/>
    </row>
    <row r="892" spans="15:16" ht="15.75" customHeight="1" x14ac:dyDescent="0.25">
      <c r="O892" s="144"/>
      <c r="P892" s="144"/>
    </row>
    <row r="893" spans="15:16" ht="15.75" customHeight="1" x14ac:dyDescent="0.25">
      <c r="O893" s="144"/>
      <c r="P893" s="144"/>
    </row>
    <row r="894" spans="15:16" ht="15.75" customHeight="1" x14ac:dyDescent="0.25">
      <c r="O894" s="144"/>
      <c r="P894" s="144"/>
    </row>
    <row r="895" spans="15:16" ht="15.75" customHeight="1" x14ac:dyDescent="0.25">
      <c r="O895" s="144"/>
      <c r="P895" s="144"/>
    </row>
    <row r="896" spans="15:16" ht="15.75" customHeight="1" x14ac:dyDescent="0.25">
      <c r="O896" s="144"/>
      <c r="P896" s="144"/>
    </row>
    <row r="897" spans="15:16" ht="15.75" customHeight="1" x14ac:dyDescent="0.25">
      <c r="O897" s="144"/>
      <c r="P897" s="144"/>
    </row>
    <row r="898" spans="15:16" ht="15.75" customHeight="1" x14ac:dyDescent="0.25">
      <c r="O898" s="144"/>
      <c r="P898" s="144"/>
    </row>
    <row r="899" spans="15:16" ht="15.75" customHeight="1" x14ac:dyDescent="0.25">
      <c r="O899" s="144"/>
      <c r="P899" s="144"/>
    </row>
    <row r="900" spans="15:16" ht="15.75" customHeight="1" x14ac:dyDescent="0.25">
      <c r="O900" s="144"/>
      <c r="P900" s="144"/>
    </row>
    <row r="901" spans="15:16" ht="15.75" customHeight="1" x14ac:dyDescent="0.25">
      <c r="O901" s="144"/>
      <c r="P901" s="144"/>
    </row>
    <row r="902" spans="15:16" ht="15.75" customHeight="1" x14ac:dyDescent="0.25">
      <c r="O902" s="144"/>
      <c r="P902" s="144"/>
    </row>
    <row r="903" spans="15:16" ht="15.75" customHeight="1" x14ac:dyDescent="0.25">
      <c r="O903" s="144"/>
      <c r="P903" s="144"/>
    </row>
    <row r="904" spans="15:16" ht="15.75" customHeight="1" x14ac:dyDescent="0.25">
      <c r="O904" s="144"/>
      <c r="P904" s="144"/>
    </row>
    <row r="905" spans="15:16" ht="15.75" customHeight="1" x14ac:dyDescent="0.25">
      <c r="O905" s="144"/>
      <c r="P905" s="144"/>
    </row>
    <row r="906" spans="15:16" ht="15.75" customHeight="1" x14ac:dyDescent="0.25">
      <c r="O906" s="144"/>
      <c r="P906" s="144"/>
    </row>
    <row r="907" spans="15:16" ht="15.75" customHeight="1" x14ac:dyDescent="0.25">
      <c r="O907" s="144"/>
      <c r="P907" s="144"/>
    </row>
    <row r="908" spans="15:16" ht="15.75" customHeight="1" x14ac:dyDescent="0.25">
      <c r="O908" s="144"/>
      <c r="P908" s="144"/>
    </row>
    <row r="909" spans="15:16" ht="15.75" customHeight="1" x14ac:dyDescent="0.25">
      <c r="O909" s="144"/>
      <c r="P909" s="144"/>
    </row>
    <row r="910" spans="15:16" ht="15.75" customHeight="1" x14ac:dyDescent="0.25">
      <c r="O910" s="144"/>
      <c r="P910" s="144"/>
    </row>
    <row r="911" spans="15:16" ht="15.75" customHeight="1" x14ac:dyDescent="0.25">
      <c r="O911" s="144"/>
      <c r="P911" s="144"/>
    </row>
    <row r="912" spans="15:16" ht="15.75" customHeight="1" x14ac:dyDescent="0.25">
      <c r="O912" s="144"/>
      <c r="P912" s="144"/>
    </row>
    <row r="913" spans="15:16" ht="15.75" customHeight="1" x14ac:dyDescent="0.25">
      <c r="O913" s="144"/>
      <c r="P913" s="144"/>
    </row>
    <row r="914" spans="15:16" ht="15.75" customHeight="1" x14ac:dyDescent="0.25">
      <c r="O914" s="144"/>
      <c r="P914" s="144"/>
    </row>
    <row r="915" spans="15:16" ht="15.75" customHeight="1" x14ac:dyDescent="0.25">
      <c r="O915" s="144"/>
      <c r="P915" s="144"/>
    </row>
    <row r="916" spans="15:16" ht="15.75" customHeight="1" x14ac:dyDescent="0.25">
      <c r="O916" s="144"/>
      <c r="P916" s="144"/>
    </row>
    <row r="917" spans="15:16" ht="15.75" customHeight="1" x14ac:dyDescent="0.25">
      <c r="O917" s="144"/>
      <c r="P917" s="144"/>
    </row>
    <row r="918" spans="15:16" ht="15.75" customHeight="1" x14ac:dyDescent="0.25">
      <c r="O918" s="144"/>
      <c r="P918" s="144"/>
    </row>
    <row r="919" spans="15:16" ht="15.75" customHeight="1" x14ac:dyDescent="0.25">
      <c r="O919" s="144"/>
      <c r="P919" s="144"/>
    </row>
    <row r="920" spans="15:16" ht="15.75" customHeight="1" x14ac:dyDescent="0.25">
      <c r="O920" s="144"/>
      <c r="P920" s="144"/>
    </row>
    <row r="921" spans="15:16" ht="15.75" customHeight="1" x14ac:dyDescent="0.25">
      <c r="O921" s="144"/>
      <c r="P921" s="144"/>
    </row>
    <row r="922" spans="15:16" ht="15.75" customHeight="1" x14ac:dyDescent="0.25">
      <c r="O922" s="144"/>
      <c r="P922" s="144"/>
    </row>
    <row r="923" spans="15:16" ht="15.75" customHeight="1" x14ac:dyDescent="0.25">
      <c r="O923" s="144"/>
      <c r="P923" s="144"/>
    </row>
    <row r="924" spans="15:16" ht="15.75" customHeight="1" x14ac:dyDescent="0.25">
      <c r="O924" s="144"/>
      <c r="P924" s="144"/>
    </row>
    <row r="925" spans="15:16" ht="15.75" customHeight="1" x14ac:dyDescent="0.25">
      <c r="O925" s="144"/>
      <c r="P925" s="144"/>
    </row>
    <row r="926" spans="15:16" ht="15.75" customHeight="1" x14ac:dyDescent="0.25">
      <c r="O926" s="144"/>
      <c r="P926" s="144"/>
    </row>
    <row r="927" spans="15:16" ht="15.75" customHeight="1" x14ac:dyDescent="0.25">
      <c r="O927" s="144"/>
      <c r="P927" s="144"/>
    </row>
    <row r="928" spans="15:16" ht="15.75" customHeight="1" x14ac:dyDescent="0.25">
      <c r="O928" s="144"/>
      <c r="P928" s="144"/>
    </row>
    <row r="929" spans="15:16" ht="15.75" customHeight="1" x14ac:dyDescent="0.25">
      <c r="O929" s="144"/>
      <c r="P929" s="144"/>
    </row>
    <row r="930" spans="15:16" ht="15.75" customHeight="1" x14ac:dyDescent="0.25">
      <c r="O930" s="144"/>
      <c r="P930" s="144"/>
    </row>
    <row r="931" spans="15:16" ht="15.75" customHeight="1" x14ac:dyDescent="0.25">
      <c r="O931" s="144"/>
      <c r="P931" s="144"/>
    </row>
    <row r="932" spans="15:16" ht="15.75" customHeight="1" x14ac:dyDescent="0.25">
      <c r="O932" s="144"/>
      <c r="P932" s="144"/>
    </row>
    <row r="933" spans="15:16" ht="15.75" customHeight="1" x14ac:dyDescent="0.25">
      <c r="O933" s="144"/>
      <c r="P933" s="144"/>
    </row>
    <row r="934" spans="15:16" ht="15.75" customHeight="1" x14ac:dyDescent="0.25">
      <c r="O934" s="144"/>
      <c r="P934" s="144"/>
    </row>
    <row r="935" spans="15:16" ht="15.75" customHeight="1" x14ac:dyDescent="0.25">
      <c r="O935" s="144"/>
      <c r="P935" s="144"/>
    </row>
    <row r="936" spans="15:16" ht="15.75" customHeight="1" x14ac:dyDescent="0.25">
      <c r="O936" s="144"/>
      <c r="P936" s="144"/>
    </row>
    <row r="937" spans="15:16" ht="15.75" customHeight="1" x14ac:dyDescent="0.25">
      <c r="O937" s="144"/>
      <c r="P937" s="144"/>
    </row>
    <row r="938" spans="15:16" ht="15.75" customHeight="1" x14ac:dyDescent="0.25">
      <c r="O938" s="144"/>
      <c r="P938" s="144"/>
    </row>
    <row r="939" spans="15:16" ht="15.75" customHeight="1" x14ac:dyDescent="0.25">
      <c r="O939" s="144"/>
      <c r="P939" s="144"/>
    </row>
    <row r="940" spans="15:16" ht="15.75" customHeight="1" x14ac:dyDescent="0.25">
      <c r="O940" s="144"/>
      <c r="P940" s="144"/>
    </row>
    <row r="941" spans="15:16" ht="15.75" customHeight="1" x14ac:dyDescent="0.25">
      <c r="O941" s="144"/>
      <c r="P941" s="144"/>
    </row>
    <row r="942" spans="15:16" ht="15.75" customHeight="1" x14ac:dyDescent="0.25">
      <c r="O942" s="144"/>
      <c r="P942" s="144"/>
    </row>
    <row r="943" spans="15:16" ht="15.75" customHeight="1" x14ac:dyDescent="0.25">
      <c r="O943" s="144"/>
      <c r="P943" s="144"/>
    </row>
    <row r="944" spans="15:16" ht="15.75" customHeight="1" x14ac:dyDescent="0.25">
      <c r="O944" s="144"/>
      <c r="P944" s="144"/>
    </row>
    <row r="945" spans="15:16" ht="15.75" customHeight="1" x14ac:dyDescent="0.25">
      <c r="O945" s="144"/>
      <c r="P945" s="144"/>
    </row>
    <row r="946" spans="15:16" ht="15.75" customHeight="1" x14ac:dyDescent="0.25">
      <c r="O946" s="144"/>
      <c r="P946" s="144"/>
    </row>
    <row r="947" spans="15:16" ht="15.75" customHeight="1" x14ac:dyDescent="0.25">
      <c r="O947" s="144"/>
      <c r="P947" s="144"/>
    </row>
    <row r="948" spans="15:16" ht="15.75" customHeight="1" x14ac:dyDescent="0.25">
      <c r="O948" s="144"/>
      <c r="P948" s="144"/>
    </row>
    <row r="949" spans="15:16" ht="15.75" customHeight="1" x14ac:dyDescent="0.25">
      <c r="O949" s="144"/>
      <c r="P949" s="144"/>
    </row>
    <row r="950" spans="15:16" ht="15.75" customHeight="1" x14ac:dyDescent="0.25">
      <c r="O950" s="144"/>
      <c r="P950" s="144"/>
    </row>
    <row r="951" spans="15:16" ht="15.75" customHeight="1" x14ac:dyDescent="0.25">
      <c r="O951" s="144"/>
      <c r="P951" s="144"/>
    </row>
    <row r="952" spans="15:16" ht="15.75" customHeight="1" x14ac:dyDescent="0.25">
      <c r="O952" s="144"/>
      <c r="P952" s="144"/>
    </row>
    <row r="953" spans="15:16" ht="15.75" customHeight="1" x14ac:dyDescent="0.25">
      <c r="O953" s="144"/>
      <c r="P953" s="144"/>
    </row>
    <row r="954" spans="15:16" ht="15.75" customHeight="1" x14ac:dyDescent="0.25">
      <c r="O954" s="144"/>
      <c r="P954" s="144"/>
    </row>
    <row r="955" spans="15:16" ht="15.75" customHeight="1" x14ac:dyDescent="0.25">
      <c r="O955" s="144"/>
      <c r="P955" s="144"/>
    </row>
    <row r="956" spans="15:16" ht="15.75" customHeight="1" x14ac:dyDescent="0.25">
      <c r="O956" s="144"/>
      <c r="P956" s="144"/>
    </row>
    <row r="957" spans="15:16" ht="15.75" customHeight="1" x14ac:dyDescent="0.25">
      <c r="O957" s="144"/>
      <c r="P957" s="144"/>
    </row>
    <row r="958" spans="15:16" ht="15.75" customHeight="1" x14ac:dyDescent="0.25">
      <c r="O958" s="144"/>
      <c r="P958" s="144"/>
    </row>
    <row r="959" spans="15:16" ht="15.75" customHeight="1" x14ac:dyDescent="0.25">
      <c r="O959" s="144"/>
      <c r="P959" s="144"/>
    </row>
    <row r="960" spans="15:16" ht="15.75" customHeight="1" x14ac:dyDescent="0.25">
      <c r="O960" s="144"/>
      <c r="P960" s="144"/>
    </row>
    <row r="961" spans="15:16" ht="15.75" customHeight="1" x14ac:dyDescent="0.25">
      <c r="O961" s="144"/>
      <c r="P961" s="144"/>
    </row>
    <row r="962" spans="15:16" ht="15.75" customHeight="1" x14ac:dyDescent="0.25">
      <c r="O962" s="144"/>
      <c r="P962" s="144"/>
    </row>
    <row r="963" spans="15:16" ht="15.75" customHeight="1" x14ac:dyDescent="0.25">
      <c r="O963" s="144"/>
      <c r="P963" s="144"/>
    </row>
    <row r="964" spans="15:16" ht="15.75" customHeight="1" x14ac:dyDescent="0.25">
      <c r="O964" s="144"/>
      <c r="P964" s="144"/>
    </row>
    <row r="965" spans="15:16" ht="15.75" customHeight="1" x14ac:dyDescent="0.25">
      <c r="O965" s="144"/>
      <c r="P965" s="144"/>
    </row>
    <row r="966" spans="15:16" ht="15.75" customHeight="1" x14ac:dyDescent="0.25">
      <c r="O966" s="144"/>
      <c r="P966" s="144"/>
    </row>
    <row r="967" spans="15:16" ht="15.75" customHeight="1" x14ac:dyDescent="0.25">
      <c r="O967" s="144"/>
      <c r="P967" s="144"/>
    </row>
    <row r="968" spans="15:16" ht="15.75" customHeight="1" x14ac:dyDescent="0.25">
      <c r="O968" s="144"/>
      <c r="P968" s="144"/>
    </row>
    <row r="969" spans="15:16" ht="15.75" customHeight="1" x14ac:dyDescent="0.25">
      <c r="O969" s="144"/>
      <c r="P969" s="144"/>
    </row>
    <row r="970" spans="15:16" ht="15.75" customHeight="1" x14ac:dyDescent="0.25">
      <c r="O970" s="144"/>
      <c r="P970" s="144"/>
    </row>
    <row r="971" spans="15:16" ht="15.75" customHeight="1" x14ac:dyDescent="0.25">
      <c r="O971" s="144"/>
      <c r="P971" s="144"/>
    </row>
    <row r="972" spans="15:16" ht="15.75" customHeight="1" x14ac:dyDescent="0.25">
      <c r="O972" s="144"/>
      <c r="P972" s="144"/>
    </row>
    <row r="973" spans="15:16" ht="15.75" customHeight="1" x14ac:dyDescent="0.25">
      <c r="O973" s="144"/>
      <c r="P973" s="144"/>
    </row>
    <row r="974" spans="15:16" ht="15.75" customHeight="1" x14ac:dyDescent="0.25">
      <c r="O974" s="144"/>
      <c r="P974" s="144"/>
    </row>
    <row r="975" spans="15:16" ht="15.75" customHeight="1" x14ac:dyDescent="0.25">
      <c r="O975" s="144"/>
      <c r="P975" s="144"/>
    </row>
    <row r="976" spans="15:16" ht="15.75" customHeight="1" x14ac:dyDescent="0.25">
      <c r="O976" s="144"/>
      <c r="P976" s="144"/>
    </row>
    <row r="977" spans="15:16" ht="15.75" customHeight="1" x14ac:dyDescent="0.25">
      <c r="O977" s="144"/>
      <c r="P977" s="144"/>
    </row>
    <row r="978" spans="15:16" ht="15.75" customHeight="1" x14ac:dyDescent="0.25">
      <c r="O978" s="144"/>
      <c r="P978" s="144"/>
    </row>
    <row r="979" spans="15:16" ht="15.75" customHeight="1" x14ac:dyDescent="0.25">
      <c r="O979" s="144"/>
      <c r="P979" s="144"/>
    </row>
    <row r="980" spans="15:16" ht="15.75" customHeight="1" x14ac:dyDescent="0.25">
      <c r="O980" s="144"/>
      <c r="P980" s="144"/>
    </row>
    <row r="981" spans="15:16" ht="15.75" customHeight="1" x14ac:dyDescent="0.25">
      <c r="O981" s="144"/>
      <c r="P981" s="144"/>
    </row>
    <row r="982" spans="15:16" ht="15.75" customHeight="1" x14ac:dyDescent="0.25">
      <c r="O982" s="144"/>
      <c r="P982" s="144"/>
    </row>
    <row r="983" spans="15:16" ht="15.75" customHeight="1" x14ac:dyDescent="0.25">
      <c r="O983" s="144"/>
      <c r="P983" s="144"/>
    </row>
    <row r="984" spans="15:16" ht="15.75" customHeight="1" x14ac:dyDescent="0.25">
      <c r="O984" s="144"/>
      <c r="P984" s="144"/>
    </row>
    <row r="985" spans="15:16" ht="15.75" customHeight="1" x14ac:dyDescent="0.25">
      <c r="O985" s="144"/>
      <c r="P985" s="144"/>
    </row>
    <row r="986" spans="15:16" ht="15.75" customHeight="1" x14ac:dyDescent="0.25">
      <c r="O986" s="144"/>
      <c r="P986" s="144"/>
    </row>
    <row r="987" spans="15:16" ht="15.75" customHeight="1" x14ac:dyDescent="0.25">
      <c r="O987" s="144"/>
      <c r="P987" s="144"/>
    </row>
    <row r="988" spans="15:16" ht="15.75" customHeight="1" x14ac:dyDescent="0.25">
      <c r="O988" s="144"/>
      <c r="P988" s="144"/>
    </row>
    <row r="989" spans="15:16" ht="15.75" customHeight="1" x14ac:dyDescent="0.25">
      <c r="O989" s="144"/>
      <c r="P989" s="144"/>
    </row>
    <row r="990" spans="15:16" ht="15.75" customHeight="1" x14ac:dyDescent="0.25">
      <c r="O990" s="144"/>
      <c r="P990" s="144"/>
    </row>
    <row r="991" spans="15:16" ht="15.75" customHeight="1" x14ac:dyDescent="0.25">
      <c r="O991" s="144"/>
      <c r="P991" s="144"/>
    </row>
    <row r="992" spans="15:16" ht="15.75" customHeight="1" x14ac:dyDescent="0.25">
      <c r="O992" s="144"/>
      <c r="P992" s="144"/>
    </row>
    <row r="993" spans="15:16" ht="15.75" customHeight="1" x14ac:dyDescent="0.25">
      <c r="O993" s="144"/>
      <c r="P993" s="144"/>
    </row>
    <row r="994" spans="15:16" ht="15.75" customHeight="1" x14ac:dyDescent="0.25">
      <c r="O994" s="144"/>
      <c r="P994" s="144"/>
    </row>
    <row r="995" spans="15:16" ht="15.75" customHeight="1" x14ac:dyDescent="0.25">
      <c r="O995" s="144"/>
      <c r="P995" s="144"/>
    </row>
    <row r="996" spans="15:16" ht="15.75" customHeight="1" x14ac:dyDescent="0.25">
      <c r="O996" s="144"/>
      <c r="P996" s="144"/>
    </row>
    <row r="997" spans="15:16" ht="15.75" customHeight="1" x14ac:dyDescent="0.25">
      <c r="O997" s="144"/>
      <c r="P997" s="144"/>
    </row>
    <row r="998" spans="15:16" ht="15.75" customHeight="1" x14ac:dyDescent="0.25">
      <c r="O998" s="144"/>
      <c r="P998" s="144"/>
    </row>
    <row r="999" spans="15:16" ht="15.75" customHeight="1" x14ac:dyDescent="0.25">
      <c r="O999" s="144"/>
      <c r="P999" s="144"/>
    </row>
    <row r="1000" spans="15:16" ht="15.75" customHeight="1" x14ac:dyDescent="0.25">
      <c r="O1000" s="144"/>
      <c r="P1000" s="144"/>
    </row>
  </sheetData>
  <autoFilter ref="A1:Y43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9765625" defaultRowHeight="15" customHeight="1" x14ac:dyDescent="0.25"/>
  <cols>
    <col min="1" max="2" width="11.3984375" customWidth="1"/>
    <col min="3" max="3" width="16.8984375" customWidth="1"/>
    <col min="4" max="4" width="8.19921875" customWidth="1"/>
    <col min="5" max="5" width="49.5" customWidth="1"/>
    <col min="6" max="6" width="19.19921875" customWidth="1"/>
    <col min="7" max="7" width="7.3984375" customWidth="1"/>
    <col min="8" max="8" width="11.69921875" customWidth="1"/>
    <col min="9" max="9" width="9.8984375" customWidth="1"/>
    <col min="10" max="10" width="46.59765625" customWidth="1"/>
    <col min="11" max="11" width="10.09765625" customWidth="1"/>
    <col min="12" max="12" width="5.19921875" customWidth="1"/>
    <col min="13" max="13" width="16.8984375" customWidth="1"/>
    <col min="14" max="14" width="18.09765625" customWidth="1"/>
    <col min="15" max="15" width="7" customWidth="1"/>
    <col min="16" max="16" width="15.09765625" customWidth="1"/>
    <col min="17" max="17" width="29.3984375" customWidth="1"/>
    <col min="18" max="18" width="32.19921875" customWidth="1"/>
    <col min="19" max="19" width="34.69921875" customWidth="1"/>
    <col min="20" max="20" width="19.09765625" customWidth="1"/>
    <col min="21" max="21" width="17.8984375" customWidth="1"/>
    <col min="22" max="22" width="19.3984375" customWidth="1"/>
    <col min="23" max="23" width="26.19921875" customWidth="1"/>
    <col min="24" max="24" width="22.09765625" customWidth="1"/>
    <col min="25" max="25" width="23.69921875" customWidth="1"/>
    <col min="26" max="26" width="19.69921875" customWidth="1"/>
  </cols>
  <sheetData>
    <row r="1" spans="1:26" ht="14.4" x14ac:dyDescent="0.3">
      <c r="A1" s="146" t="s">
        <v>0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7</v>
      </c>
      <c r="I1" s="147" t="s">
        <v>8</v>
      </c>
      <c r="J1" s="147" t="s">
        <v>9</v>
      </c>
      <c r="K1" s="147" t="s">
        <v>10</v>
      </c>
      <c r="L1" s="147" t="s">
        <v>11</v>
      </c>
      <c r="M1" s="147" t="s">
        <v>12</v>
      </c>
      <c r="N1" s="147" t="s">
        <v>13</v>
      </c>
      <c r="O1" s="148" t="s">
        <v>14</v>
      </c>
      <c r="P1" s="148" t="s">
        <v>15</v>
      </c>
      <c r="Q1" s="148" t="s">
        <v>16</v>
      </c>
      <c r="R1" s="147" t="s">
        <v>17</v>
      </c>
      <c r="S1" s="147" t="s">
        <v>18</v>
      </c>
      <c r="T1" s="147" t="s">
        <v>19</v>
      </c>
      <c r="U1" s="147" t="s">
        <v>20</v>
      </c>
      <c r="V1" s="147" t="s">
        <v>21</v>
      </c>
      <c r="W1" s="147" t="s">
        <v>22</v>
      </c>
      <c r="X1" s="147" t="s">
        <v>23</v>
      </c>
      <c r="Y1" s="149" t="s">
        <v>24</v>
      </c>
    </row>
    <row r="2" spans="1:26" ht="14.4" x14ac:dyDescent="0.3">
      <c r="A2" s="4">
        <v>45955</v>
      </c>
      <c r="B2" s="4">
        <v>45955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30</v>
      </c>
      <c r="I2" s="5" t="s">
        <v>32</v>
      </c>
      <c r="J2" s="5" t="s">
        <v>247</v>
      </c>
      <c r="K2" s="6">
        <v>1</v>
      </c>
      <c r="L2" s="7">
        <v>1</v>
      </c>
      <c r="M2" s="8">
        <v>1</v>
      </c>
      <c r="N2" s="6" t="s">
        <v>248</v>
      </c>
      <c r="O2" s="9">
        <v>3.03</v>
      </c>
      <c r="P2" s="9">
        <v>24.94</v>
      </c>
      <c r="Q2" s="9">
        <v>12.15</v>
      </c>
      <c r="R2" s="6">
        <v>8.23</v>
      </c>
      <c r="S2" s="9">
        <v>1</v>
      </c>
      <c r="T2" s="7">
        <v>1</v>
      </c>
      <c r="U2" s="8">
        <v>1</v>
      </c>
      <c r="V2" s="6">
        <v>1</v>
      </c>
      <c r="W2" s="7">
        <v>0</v>
      </c>
      <c r="X2" s="7" t="s">
        <v>35</v>
      </c>
      <c r="Y2" s="10" t="s">
        <v>36</v>
      </c>
      <c r="Z2" s="11"/>
    </row>
    <row r="3" spans="1:26" ht="14.4" x14ac:dyDescent="0.3">
      <c r="A3" s="4">
        <v>45955</v>
      </c>
      <c r="B3" s="4">
        <v>45955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30</v>
      </c>
      <c r="I3" s="5" t="s">
        <v>32</v>
      </c>
      <c r="J3" s="5" t="s">
        <v>162</v>
      </c>
      <c r="K3" s="6">
        <v>48</v>
      </c>
      <c r="L3" s="7">
        <v>1</v>
      </c>
      <c r="M3" s="8">
        <v>2.0833000000000001E-2</v>
      </c>
      <c r="N3" s="6" t="s">
        <v>34</v>
      </c>
      <c r="O3" s="9">
        <v>2.83</v>
      </c>
      <c r="P3" s="9">
        <v>24.94</v>
      </c>
      <c r="Q3" s="9">
        <v>11.35</v>
      </c>
      <c r="R3" s="6">
        <v>8.81</v>
      </c>
      <c r="S3" s="9">
        <v>1</v>
      </c>
      <c r="T3" s="7">
        <v>1</v>
      </c>
      <c r="U3" s="8">
        <v>1</v>
      </c>
      <c r="V3" s="6">
        <v>1</v>
      </c>
      <c r="W3" s="7">
        <v>0</v>
      </c>
      <c r="X3" s="7" t="s">
        <v>35</v>
      </c>
      <c r="Y3" s="10" t="s">
        <v>36</v>
      </c>
      <c r="Z3" s="11"/>
    </row>
    <row r="4" spans="1:26" ht="14.4" x14ac:dyDescent="0.3">
      <c r="A4" s="4">
        <v>45954</v>
      </c>
      <c r="B4" s="4">
        <v>45954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30</v>
      </c>
      <c r="I4" s="5" t="s">
        <v>32</v>
      </c>
      <c r="J4" s="5" t="s">
        <v>249</v>
      </c>
      <c r="K4" s="6">
        <v>5</v>
      </c>
      <c r="L4" s="7">
        <v>1</v>
      </c>
      <c r="M4" s="8">
        <v>0.2</v>
      </c>
      <c r="N4" s="6" t="s">
        <v>34</v>
      </c>
      <c r="O4" s="9">
        <v>2.83</v>
      </c>
      <c r="P4" s="9">
        <v>24.94</v>
      </c>
      <c r="Q4" s="9">
        <v>11.35</v>
      </c>
      <c r="R4" s="6">
        <v>8.81</v>
      </c>
      <c r="S4" s="9">
        <v>1</v>
      </c>
      <c r="T4" s="7">
        <v>1</v>
      </c>
      <c r="U4" s="8">
        <v>1</v>
      </c>
      <c r="V4" s="6">
        <v>1</v>
      </c>
      <c r="W4" s="7">
        <v>0</v>
      </c>
      <c r="X4" s="7" t="s">
        <v>35</v>
      </c>
      <c r="Y4" s="10" t="s">
        <v>36</v>
      </c>
      <c r="Z4" s="11"/>
    </row>
    <row r="5" spans="1:26" ht="14.4" x14ac:dyDescent="0.3">
      <c r="A5" s="4">
        <v>45954</v>
      </c>
      <c r="B5" s="4">
        <v>45954</v>
      </c>
      <c r="C5" s="5" t="s">
        <v>27</v>
      </c>
      <c r="D5" s="5" t="s">
        <v>28</v>
      </c>
      <c r="E5" s="5" t="s">
        <v>71</v>
      </c>
      <c r="F5" s="5" t="s">
        <v>72</v>
      </c>
      <c r="G5" s="5" t="s">
        <v>31</v>
      </c>
      <c r="H5" s="5" t="s">
        <v>51</v>
      </c>
      <c r="I5" s="5" t="s">
        <v>52</v>
      </c>
      <c r="J5" s="5" t="s">
        <v>250</v>
      </c>
      <c r="K5" s="6">
        <v>1</v>
      </c>
      <c r="L5" s="7">
        <v>1</v>
      </c>
      <c r="M5" s="8">
        <v>1</v>
      </c>
      <c r="N5" s="6" t="s">
        <v>251</v>
      </c>
      <c r="O5" s="9">
        <v>3.17</v>
      </c>
      <c r="P5" s="9">
        <v>24.94</v>
      </c>
      <c r="Q5" s="9">
        <v>12.71</v>
      </c>
      <c r="R5" s="6">
        <v>7.87</v>
      </c>
      <c r="S5" s="9">
        <v>1</v>
      </c>
      <c r="T5" s="7">
        <v>1</v>
      </c>
      <c r="U5" s="8">
        <v>1</v>
      </c>
      <c r="V5" s="6">
        <v>1</v>
      </c>
      <c r="W5" s="7">
        <v>0</v>
      </c>
      <c r="X5" s="7" t="s">
        <v>35</v>
      </c>
      <c r="Y5" s="10" t="s">
        <v>36</v>
      </c>
      <c r="Z5" s="11"/>
    </row>
    <row r="6" spans="1:26" ht="14.4" x14ac:dyDescent="0.3">
      <c r="A6" s="4">
        <v>45953</v>
      </c>
      <c r="B6" s="4">
        <v>45953</v>
      </c>
      <c r="C6" s="5" t="s">
        <v>27</v>
      </c>
      <c r="D6" s="5" t="s">
        <v>28</v>
      </c>
      <c r="E6" s="5" t="s">
        <v>71</v>
      </c>
      <c r="F6" s="5" t="s">
        <v>72</v>
      </c>
      <c r="G6" s="5" t="s">
        <v>31</v>
      </c>
      <c r="H6" s="5" t="s">
        <v>51</v>
      </c>
      <c r="I6" s="5" t="s">
        <v>52</v>
      </c>
      <c r="J6" s="5" t="s">
        <v>252</v>
      </c>
      <c r="K6" s="6">
        <v>1</v>
      </c>
      <c r="L6" s="7">
        <v>1</v>
      </c>
      <c r="M6" s="8">
        <v>1</v>
      </c>
      <c r="N6" s="6" t="s">
        <v>152</v>
      </c>
      <c r="O6" s="9">
        <v>3.09</v>
      </c>
      <c r="P6" s="9">
        <v>24.94</v>
      </c>
      <c r="Q6" s="9">
        <v>12.39</v>
      </c>
      <c r="R6" s="6">
        <v>8.07</v>
      </c>
      <c r="S6" s="9">
        <v>1</v>
      </c>
      <c r="T6" s="7">
        <v>1</v>
      </c>
      <c r="U6" s="8">
        <v>1</v>
      </c>
      <c r="V6" s="6">
        <v>1</v>
      </c>
      <c r="W6" s="7">
        <v>0</v>
      </c>
      <c r="X6" s="7" t="s">
        <v>35</v>
      </c>
      <c r="Y6" s="10" t="s">
        <v>36</v>
      </c>
      <c r="Z6" s="11"/>
    </row>
    <row r="7" spans="1:26" ht="14.4" x14ac:dyDescent="0.3">
      <c r="A7" s="4">
        <v>45952</v>
      </c>
      <c r="B7" s="4">
        <v>45952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30</v>
      </c>
      <c r="I7" s="5" t="s">
        <v>32</v>
      </c>
      <c r="J7" s="5" t="s">
        <v>253</v>
      </c>
      <c r="K7" s="6">
        <v>1</v>
      </c>
      <c r="L7" s="7">
        <v>1</v>
      </c>
      <c r="M7" s="8">
        <v>1</v>
      </c>
      <c r="N7" s="6" t="s">
        <v>194</v>
      </c>
      <c r="O7" s="9">
        <v>2.74</v>
      </c>
      <c r="P7" s="9">
        <v>24.94</v>
      </c>
      <c r="Q7" s="9">
        <v>10.99</v>
      </c>
      <c r="R7" s="6">
        <v>9.1</v>
      </c>
      <c r="S7" s="9">
        <v>1</v>
      </c>
      <c r="T7" s="7">
        <v>1</v>
      </c>
      <c r="U7" s="8">
        <v>1</v>
      </c>
      <c r="V7" s="6">
        <v>1</v>
      </c>
      <c r="W7" s="7">
        <v>0</v>
      </c>
      <c r="X7" s="7" t="s">
        <v>35</v>
      </c>
      <c r="Y7" s="10" t="s">
        <v>36</v>
      </c>
      <c r="Z7" s="11"/>
    </row>
    <row r="8" spans="1:26" ht="14.4" x14ac:dyDescent="0.3">
      <c r="A8" s="4">
        <v>45952</v>
      </c>
      <c r="B8" s="4">
        <v>45952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30</v>
      </c>
      <c r="I8" s="5" t="s">
        <v>32</v>
      </c>
      <c r="J8" s="5" t="s">
        <v>254</v>
      </c>
      <c r="K8" s="6">
        <v>1</v>
      </c>
      <c r="L8" s="7">
        <v>1</v>
      </c>
      <c r="M8" s="8">
        <v>1</v>
      </c>
      <c r="N8" s="6" t="s">
        <v>34</v>
      </c>
      <c r="O8" s="9">
        <v>2.83</v>
      </c>
      <c r="P8" s="9">
        <v>24.94</v>
      </c>
      <c r="Q8" s="9">
        <v>11.35</v>
      </c>
      <c r="R8" s="6">
        <v>8.81</v>
      </c>
      <c r="S8" s="9">
        <v>1</v>
      </c>
      <c r="T8" s="7">
        <v>1</v>
      </c>
      <c r="U8" s="8">
        <v>1</v>
      </c>
      <c r="V8" s="6">
        <v>1</v>
      </c>
      <c r="W8" s="7">
        <v>0</v>
      </c>
      <c r="X8" s="7" t="s">
        <v>35</v>
      </c>
      <c r="Y8" s="10" t="s">
        <v>36</v>
      </c>
      <c r="Z8" s="11"/>
    </row>
    <row r="9" spans="1:26" ht="14.4" x14ac:dyDescent="0.3">
      <c r="A9" s="4">
        <v>45952</v>
      </c>
      <c r="B9" s="4">
        <v>45952</v>
      </c>
      <c r="C9" s="5" t="s">
        <v>27</v>
      </c>
      <c r="D9" s="5" t="s">
        <v>28</v>
      </c>
      <c r="E9" s="5" t="s">
        <v>71</v>
      </c>
      <c r="F9" s="5" t="s">
        <v>72</v>
      </c>
      <c r="G9" s="5" t="s">
        <v>31</v>
      </c>
      <c r="H9" s="5" t="s">
        <v>51</v>
      </c>
      <c r="I9" s="5" t="s">
        <v>52</v>
      </c>
      <c r="J9" s="5" t="s">
        <v>98</v>
      </c>
      <c r="K9" s="6">
        <v>4</v>
      </c>
      <c r="L9" s="7">
        <v>1</v>
      </c>
      <c r="M9" s="8">
        <v>0.25</v>
      </c>
      <c r="N9" s="6" t="s">
        <v>124</v>
      </c>
      <c r="O9" s="9">
        <v>2.63</v>
      </c>
      <c r="P9" s="9">
        <v>24.94</v>
      </c>
      <c r="Q9" s="9">
        <v>10.55</v>
      </c>
      <c r="R9" s="6">
        <v>9.48</v>
      </c>
      <c r="S9" s="9">
        <v>1</v>
      </c>
      <c r="T9" s="7">
        <v>1</v>
      </c>
      <c r="U9" s="8">
        <v>1</v>
      </c>
      <c r="V9" s="6">
        <v>1</v>
      </c>
      <c r="W9" s="7">
        <v>0</v>
      </c>
      <c r="X9" s="7" t="s">
        <v>35</v>
      </c>
      <c r="Y9" s="10" t="s">
        <v>36</v>
      </c>
      <c r="Z9" s="11"/>
    </row>
    <row r="10" spans="1:26" ht="14.4" x14ac:dyDescent="0.3">
      <c r="A10" s="4">
        <v>45952</v>
      </c>
      <c r="B10" s="4">
        <v>45953</v>
      </c>
      <c r="C10" s="5" t="s">
        <v>48</v>
      </c>
      <c r="D10" s="5" t="s">
        <v>28</v>
      </c>
      <c r="E10" s="5" t="s">
        <v>49</v>
      </c>
      <c r="F10" s="5" t="s">
        <v>50</v>
      </c>
      <c r="G10" s="5" t="s">
        <v>31</v>
      </c>
      <c r="H10" s="5" t="s">
        <v>51</v>
      </c>
      <c r="I10" s="5" t="s">
        <v>52</v>
      </c>
      <c r="J10" s="5" t="s">
        <v>255</v>
      </c>
      <c r="K10" s="6">
        <v>15</v>
      </c>
      <c r="L10" s="7">
        <v>2</v>
      </c>
      <c r="M10" s="8">
        <v>0.13333300000000001</v>
      </c>
      <c r="N10" s="6" t="s">
        <v>131</v>
      </c>
      <c r="O10" s="9">
        <v>6</v>
      </c>
      <c r="P10" s="9">
        <v>21.9</v>
      </c>
      <c r="Q10" s="9">
        <v>27.4</v>
      </c>
      <c r="R10" s="6">
        <v>3.65</v>
      </c>
      <c r="S10" s="9">
        <v>1</v>
      </c>
      <c r="T10" s="7">
        <v>1</v>
      </c>
      <c r="U10" s="8">
        <v>0.5</v>
      </c>
      <c r="V10" s="6">
        <v>1</v>
      </c>
      <c r="W10" s="7">
        <v>0</v>
      </c>
      <c r="X10" s="7" t="s">
        <v>55</v>
      </c>
      <c r="Y10" s="10" t="s">
        <v>36</v>
      </c>
      <c r="Z10" s="11"/>
    </row>
    <row r="11" spans="1:26" ht="14.4" x14ac:dyDescent="0.3">
      <c r="A11" s="4">
        <v>45951</v>
      </c>
      <c r="B11" s="4">
        <v>45951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30</v>
      </c>
      <c r="I11" s="5" t="s">
        <v>32</v>
      </c>
      <c r="J11" s="5" t="s">
        <v>256</v>
      </c>
      <c r="K11" s="6">
        <v>2</v>
      </c>
      <c r="L11" s="7">
        <v>1</v>
      </c>
      <c r="M11" s="8">
        <v>0.5</v>
      </c>
      <c r="N11" s="6" t="s">
        <v>257</v>
      </c>
      <c r="O11" s="9">
        <v>4.07</v>
      </c>
      <c r="P11" s="9">
        <v>24.94</v>
      </c>
      <c r="Q11" s="9">
        <v>16.32</v>
      </c>
      <c r="R11" s="6">
        <v>6.13</v>
      </c>
      <c r="S11" s="9">
        <v>1</v>
      </c>
      <c r="T11" s="7">
        <v>1</v>
      </c>
      <c r="U11" s="8">
        <v>1</v>
      </c>
      <c r="V11" s="6">
        <v>1</v>
      </c>
      <c r="W11" s="7">
        <v>0</v>
      </c>
      <c r="X11" s="7" t="s">
        <v>35</v>
      </c>
      <c r="Y11" s="10" t="s">
        <v>36</v>
      </c>
      <c r="Z11" s="11"/>
    </row>
    <row r="12" spans="1:26" ht="14.4" x14ac:dyDescent="0.3">
      <c r="A12" s="4">
        <v>45951</v>
      </c>
      <c r="B12" s="4">
        <v>45951</v>
      </c>
      <c r="C12" s="5" t="s">
        <v>143</v>
      </c>
      <c r="D12" s="5" t="s">
        <v>28</v>
      </c>
      <c r="E12" s="5" t="s">
        <v>144</v>
      </c>
      <c r="F12" s="5" t="s">
        <v>32</v>
      </c>
      <c r="G12" s="5" t="s">
        <v>31</v>
      </c>
      <c r="H12" s="5" t="s">
        <v>30</v>
      </c>
      <c r="I12" s="5" t="s">
        <v>44</v>
      </c>
      <c r="J12" s="5" t="s">
        <v>30</v>
      </c>
      <c r="K12" s="6">
        <v>141</v>
      </c>
      <c r="L12" s="7">
        <v>1</v>
      </c>
      <c r="M12" s="8">
        <v>7.0920000000000002E-3</v>
      </c>
      <c r="N12" s="6" t="s">
        <v>258</v>
      </c>
      <c r="O12" s="9">
        <v>0.86</v>
      </c>
      <c r="P12" s="9">
        <v>24.94</v>
      </c>
      <c r="Q12" s="9">
        <v>3.45</v>
      </c>
      <c r="R12" s="6">
        <v>29</v>
      </c>
      <c r="S12" s="9">
        <v>1</v>
      </c>
      <c r="T12" s="7">
        <v>1</v>
      </c>
      <c r="U12" s="8">
        <v>1</v>
      </c>
      <c r="V12" s="6">
        <v>1</v>
      </c>
      <c r="W12" s="7">
        <v>0</v>
      </c>
      <c r="X12" s="7" t="s">
        <v>35</v>
      </c>
      <c r="Y12" s="10" t="s">
        <v>36</v>
      </c>
      <c r="Z12" s="11"/>
    </row>
    <row r="13" spans="1:26" ht="14.4" x14ac:dyDescent="0.3">
      <c r="A13" s="4">
        <v>45951</v>
      </c>
      <c r="B13" s="4">
        <v>45955</v>
      </c>
      <c r="C13" s="5" t="s">
        <v>48</v>
      </c>
      <c r="D13" s="5" t="s">
        <v>28</v>
      </c>
      <c r="E13" s="5" t="s">
        <v>62</v>
      </c>
      <c r="F13" s="5" t="s">
        <v>63</v>
      </c>
      <c r="G13" s="5" t="s">
        <v>31</v>
      </c>
      <c r="H13" s="5" t="s">
        <v>68</v>
      </c>
      <c r="I13" s="5" t="s">
        <v>65</v>
      </c>
      <c r="J13" s="5" t="s">
        <v>68</v>
      </c>
      <c r="K13" s="6">
        <v>158</v>
      </c>
      <c r="L13" s="7">
        <v>8</v>
      </c>
      <c r="M13" s="8">
        <v>5.0632999999999997E-2</v>
      </c>
      <c r="N13" s="6" t="s">
        <v>259</v>
      </c>
      <c r="O13" s="9">
        <v>32.68</v>
      </c>
      <c r="P13" s="9">
        <v>65.7</v>
      </c>
      <c r="Q13" s="9">
        <v>49.74</v>
      </c>
      <c r="R13" s="6">
        <v>2.0099999999999998</v>
      </c>
      <c r="S13" s="9">
        <v>1</v>
      </c>
      <c r="T13" s="7">
        <v>3</v>
      </c>
      <c r="U13" s="8">
        <v>0.125</v>
      </c>
      <c r="V13" s="6">
        <v>3</v>
      </c>
      <c r="W13" s="7">
        <v>0</v>
      </c>
      <c r="X13" s="7" t="s">
        <v>260</v>
      </c>
      <c r="Y13" s="10" t="s">
        <v>36</v>
      </c>
      <c r="Z13" s="11"/>
    </row>
    <row r="14" spans="1:26" ht="14.4" x14ac:dyDescent="0.3">
      <c r="A14" s="4">
        <v>45951</v>
      </c>
      <c r="B14" s="4">
        <v>45951</v>
      </c>
      <c r="C14" s="5" t="s">
        <v>143</v>
      </c>
      <c r="D14" s="5" t="s">
        <v>28</v>
      </c>
      <c r="E14" s="5" t="s">
        <v>144</v>
      </c>
      <c r="F14" s="5" t="s">
        <v>32</v>
      </c>
      <c r="G14" s="5" t="s">
        <v>31</v>
      </c>
      <c r="H14" s="5" t="s">
        <v>30</v>
      </c>
      <c r="I14" s="5" t="s">
        <v>44</v>
      </c>
      <c r="J14" s="5" t="s">
        <v>145</v>
      </c>
      <c r="K14" s="6">
        <v>4</v>
      </c>
      <c r="L14" s="7">
        <v>1</v>
      </c>
      <c r="M14" s="8">
        <v>0.25</v>
      </c>
      <c r="N14" s="6" t="s">
        <v>217</v>
      </c>
      <c r="O14" s="9">
        <v>1.82</v>
      </c>
      <c r="P14" s="9">
        <v>24.94</v>
      </c>
      <c r="Q14" s="9">
        <v>7.3</v>
      </c>
      <c r="R14" s="6">
        <v>13.7</v>
      </c>
      <c r="S14" s="9">
        <v>1</v>
      </c>
      <c r="T14" s="7">
        <v>1</v>
      </c>
      <c r="U14" s="8">
        <v>1</v>
      </c>
      <c r="V14" s="6">
        <v>1</v>
      </c>
      <c r="W14" s="7">
        <v>0</v>
      </c>
      <c r="X14" s="7" t="s">
        <v>35</v>
      </c>
      <c r="Y14" s="10" t="s">
        <v>36</v>
      </c>
      <c r="Z14" s="11"/>
    </row>
    <row r="15" spans="1:26" ht="14.4" x14ac:dyDescent="0.3">
      <c r="A15" s="4">
        <v>45951</v>
      </c>
      <c r="B15" s="4">
        <v>45951</v>
      </c>
      <c r="C15" s="5" t="s">
        <v>27</v>
      </c>
      <c r="D15" s="5" t="s">
        <v>28</v>
      </c>
      <c r="E15" s="5" t="s">
        <v>71</v>
      </c>
      <c r="F15" s="5" t="s">
        <v>72</v>
      </c>
      <c r="G15" s="5" t="s">
        <v>31</v>
      </c>
      <c r="H15" s="5" t="s">
        <v>51</v>
      </c>
      <c r="I15" s="5" t="s">
        <v>52</v>
      </c>
      <c r="J15" s="5" t="s">
        <v>261</v>
      </c>
      <c r="K15" s="6">
        <v>1</v>
      </c>
      <c r="L15" s="7">
        <v>1</v>
      </c>
      <c r="M15" s="8">
        <v>1</v>
      </c>
      <c r="N15" s="6" t="s">
        <v>262</v>
      </c>
      <c r="O15" s="9">
        <v>3.24</v>
      </c>
      <c r="P15" s="9">
        <v>24.94</v>
      </c>
      <c r="Q15" s="9">
        <v>12.99</v>
      </c>
      <c r="R15" s="6">
        <v>7.7</v>
      </c>
      <c r="S15" s="9">
        <v>1</v>
      </c>
      <c r="T15" s="7">
        <v>1</v>
      </c>
      <c r="U15" s="8">
        <v>1</v>
      </c>
      <c r="V15" s="6">
        <v>1</v>
      </c>
      <c r="W15" s="7">
        <v>0</v>
      </c>
      <c r="X15" s="7" t="s">
        <v>35</v>
      </c>
      <c r="Y15" s="10" t="s">
        <v>36</v>
      </c>
      <c r="Z15" s="11"/>
    </row>
    <row r="16" spans="1:26" ht="14.4" x14ac:dyDescent="0.3">
      <c r="A16" s="4">
        <v>45951</v>
      </c>
      <c r="B16" s="4">
        <v>45951</v>
      </c>
      <c r="C16" s="5" t="s">
        <v>143</v>
      </c>
      <c r="D16" s="5" t="s">
        <v>28</v>
      </c>
      <c r="E16" s="5" t="s">
        <v>144</v>
      </c>
      <c r="F16" s="5" t="s">
        <v>32</v>
      </c>
      <c r="G16" s="5" t="s">
        <v>31</v>
      </c>
      <c r="H16" s="5" t="s">
        <v>119</v>
      </c>
      <c r="I16" s="5" t="s">
        <v>44</v>
      </c>
      <c r="J16" s="5" t="s">
        <v>119</v>
      </c>
      <c r="K16" s="6">
        <v>3</v>
      </c>
      <c r="L16" s="7">
        <v>1</v>
      </c>
      <c r="M16" s="8">
        <v>0.33333299999999999</v>
      </c>
      <c r="N16" s="6" t="s">
        <v>263</v>
      </c>
      <c r="O16" s="9">
        <v>1.02</v>
      </c>
      <c r="P16" s="9">
        <v>24.94</v>
      </c>
      <c r="Q16" s="9">
        <v>4.09</v>
      </c>
      <c r="R16" s="6">
        <v>24.45</v>
      </c>
      <c r="S16" s="9">
        <v>1</v>
      </c>
      <c r="T16" s="7">
        <v>1</v>
      </c>
      <c r="U16" s="8">
        <v>1</v>
      </c>
      <c r="V16" s="6">
        <v>1</v>
      </c>
      <c r="W16" s="7">
        <v>0</v>
      </c>
      <c r="X16" s="7" t="s">
        <v>35</v>
      </c>
      <c r="Y16" s="10" t="s">
        <v>36</v>
      </c>
      <c r="Z16" s="11"/>
    </row>
    <row r="17" spans="1:26" ht="14.4" x14ac:dyDescent="0.3">
      <c r="A17" s="4">
        <v>45951</v>
      </c>
      <c r="B17" s="4">
        <v>45951</v>
      </c>
      <c r="C17" s="5" t="s">
        <v>40</v>
      </c>
      <c r="D17" s="5" t="s">
        <v>28</v>
      </c>
      <c r="E17" s="5" t="s">
        <v>41</v>
      </c>
      <c r="F17" s="5" t="s">
        <v>42</v>
      </c>
      <c r="G17" s="5" t="s">
        <v>31</v>
      </c>
      <c r="H17" s="5" t="s">
        <v>43</v>
      </c>
      <c r="I17" s="5" t="s">
        <v>44</v>
      </c>
      <c r="J17" s="5" t="s">
        <v>264</v>
      </c>
      <c r="K17" s="6">
        <v>1</v>
      </c>
      <c r="L17" s="7">
        <v>1</v>
      </c>
      <c r="M17" s="8">
        <v>1</v>
      </c>
      <c r="N17" s="6" t="s">
        <v>139</v>
      </c>
      <c r="O17" s="9">
        <v>2.08</v>
      </c>
      <c r="P17" s="9">
        <v>24.94</v>
      </c>
      <c r="Q17" s="9">
        <v>8.34</v>
      </c>
      <c r="R17" s="6">
        <v>11.99</v>
      </c>
      <c r="S17" s="9">
        <v>1</v>
      </c>
      <c r="T17" s="7">
        <v>1</v>
      </c>
      <c r="U17" s="8">
        <v>1</v>
      </c>
      <c r="V17" s="6">
        <v>1</v>
      </c>
      <c r="W17" s="7">
        <v>0</v>
      </c>
      <c r="X17" s="7" t="s">
        <v>35</v>
      </c>
      <c r="Y17" s="10" t="s">
        <v>36</v>
      </c>
      <c r="Z17" s="11"/>
    </row>
    <row r="18" spans="1:26" ht="14.4" x14ac:dyDescent="0.3">
      <c r="A18" s="4">
        <v>45951</v>
      </c>
      <c r="B18" s="4">
        <v>45951</v>
      </c>
      <c r="C18" s="5" t="s">
        <v>27</v>
      </c>
      <c r="D18" s="5" t="s">
        <v>28</v>
      </c>
      <c r="E18" s="5" t="s">
        <v>71</v>
      </c>
      <c r="F18" s="5" t="s">
        <v>72</v>
      </c>
      <c r="G18" s="5" t="s">
        <v>31</v>
      </c>
      <c r="H18" s="5" t="s">
        <v>51</v>
      </c>
      <c r="I18" s="5" t="s">
        <v>52</v>
      </c>
      <c r="J18" s="5" t="s">
        <v>265</v>
      </c>
      <c r="K18" s="6">
        <v>1</v>
      </c>
      <c r="L18" s="7">
        <v>1</v>
      </c>
      <c r="M18" s="8">
        <v>1</v>
      </c>
      <c r="N18" s="6" t="s">
        <v>201</v>
      </c>
      <c r="O18" s="9">
        <v>3.67</v>
      </c>
      <c r="P18" s="9">
        <v>24.94</v>
      </c>
      <c r="Q18" s="9">
        <v>14.72</v>
      </c>
      <c r="R18" s="6">
        <v>6.8</v>
      </c>
      <c r="S18" s="9">
        <v>1</v>
      </c>
      <c r="T18" s="7">
        <v>1</v>
      </c>
      <c r="U18" s="8">
        <v>1</v>
      </c>
      <c r="V18" s="6">
        <v>1</v>
      </c>
      <c r="W18" s="7">
        <v>0</v>
      </c>
      <c r="X18" s="7" t="s">
        <v>35</v>
      </c>
      <c r="Y18" s="10" t="s">
        <v>36</v>
      </c>
      <c r="Z18" s="11"/>
    </row>
    <row r="19" spans="1:26" ht="14.4" x14ac:dyDescent="0.3">
      <c r="A19" s="4">
        <v>45951</v>
      </c>
      <c r="B19" s="4">
        <v>45951</v>
      </c>
      <c r="C19" s="5" t="s">
        <v>27</v>
      </c>
      <c r="D19" s="5" t="s">
        <v>28</v>
      </c>
      <c r="E19" s="5" t="s">
        <v>71</v>
      </c>
      <c r="F19" s="5" t="s">
        <v>72</v>
      </c>
      <c r="G19" s="5" t="s">
        <v>31</v>
      </c>
      <c r="H19" s="5" t="s">
        <v>51</v>
      </c>
      <c r="I19" s="5" t="s">
        <v>52</v>
      </c>
      <c r="J19" s="5" t="s">
        <v>266</v>
      </c>
      <c r="K19" s="6">
        <v>1</v>
      </c>
      <c r="L19" s="7">
        <v>1</v>
      </c>
      <c r="M19" s="8">
        <v>1</v>
      </c>
      <c r="N19" s="6" t="s">
        <v>201</v>
      </c>
      <c r="O19" s="9">
        <v>3.67</v>
      </c>
      <c r="P19" s="9">
        <v>24.94</v>
      </c>
      <c r="Q19" s="9">
        <v>14.72</v>
      </c>
      <c r="R19" s="6">
        <v>6.8</v>
      </c>
      <c r="S19" s="9">
        <v>1</v>
      </c>
      <c r="T19" s="7">
        <v>1</v>
      </c>
      <c r="U19" s="8">
        <v>1</v>
      </c>
      <c r="V19" s="6">
        <v>1</v>
      </c>
      <c r="W19" s="7">
        <v>0</v>
      </c>
      <c r="X19" s="7" t="s">
        <v>35</v>
      </c>
      <c r="Y19" s="10" t="s">
        <v>36</v>
      </c>
      <c r="Z19" s="11"/>
    </row>
    <row r="20" spans="1:26" ht="14.4" x14ac:dyDescent="0.3">
      <c r="A20" s="4">
        <v>45950</v>
      </c>
      <c r="B20" s="4">
        <v>45950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30</v>
      </c>
      <c r="I20" s="5" t="s">
        <v>32</v>
      </c>
      <c r="J20" s="5" t="s">
        <v>267</v>
      </c>
      <c r="K20" s="6">
        <v>3</v>
      </c>
      <c r="L20" s="7">
        <v>1</v>
      </c>
      <c r="M20" s="8">
        <v>0.33333299999999999</v>
      </c>
      <c r="N20" s="6" t="s">
        <v>179</v>
      </c>
      <c r="O20" s="9">
        <v>4.34</v>
      </c>
      <c r="P20" s="9">
        <v>24.94</v>
      </c>
      <c r="Q20" s="9">
        <v>17.399999999999999</v>
      </c>
      <c r="R20" s="6">
        <v>5.75</v>
      </c>
      <c r="S20" s="9">
        <v>1</v>
      </c>
      <c r="T20" s="7">
        <v>1</v>
      </c>
      <c r="U20" s="8">
        <v>1</v>
      </c>
      <c r="V20" s="6">
        <v>1</v>
      </c>
      <c r="W20" s="7">
        <v>0</v>
      </c>
      <c r="X20" s="7" t="s">
        <v>35</v>
      </c>
      <c r="Y20" s="10" t="s">
        <v>36</v>
      </c>
      <c r="Z20" s="11"/>
    </row>
    <row r="21" spans="1:26" ht="15.75" customHeight="1" x14ac:dyDescent="0.3">
      <c r="A21" s="4">
        <v>45950</v>
      </c>
      <c r="B21" s="4">
        <v>45950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30</v>
      </c>
      <c r="I21" s="5" t="s">
        <v>32</v>
      </c>
      <c r="J21" s="5" t="s">
        <v>268</v>
      </c>
      <c r="K21" s="6">
        <v>1</v>
      </c>
      <c r="L21" s="7">
        <v>1</v>
      </c>
      <c r="M21" s="8">
        <v>1</v>
      </c>
      <c r="N21" s="6" t="s">
        <v>34</v>
      </c>
      <c r="O21" s="9">
        <v>2.83</v>
      </c>
      <c r="P21" s="9">
        <v>24.94</v>
      </c>
      <c r="Q21" s="9">
        <v>11.35</v>
      </c>
      <c r="R21" s="6">
        <v>8.81</v>
      </c>
      <c r="S21" s="9">
        <v>1</v>
      </c>
      <c r="T21" s="7">
        <v>1</v>
      </c>
      <c r="U21" s="8">
        <v>1</v>
      </c>
      <c r="V21" s="6">
        <v>1</v>
      </c>
      <c r="W21" s="7">
        <v>0</v>
      </c>
      <c r="X21" s="7" t="s">
        <v>35</v>
      </c>
      <c r="Y21" s="10" t="s">
        <v>36</v>
      </c>
      <c r="Z21" s="11"/>
    </row>
    <row r="22" spans="1:26" ht="15.75" customHeight="1" x14ac:dyDescent="0.3">
      <c r="A22" s="4">
        <v>45950</v>
      </c>
      <c r="B22" s="4">
        <v>45955</v>
      </c>
      <c r="C22" s="5" t="s">
        <v>40</v>
      </c>
      <c r="D22" s="5" t="s">
        <v>28</v>
      </c>
      <c r="E22" s="5" t="s">
        <v>41</v>
      </c>
      <c r="F22" s="5" t="s">
        <v>42</v>
      </c>
      <c r="G22" s="5" t="s">
        <v>31</v>
      </c>
      <c r="H22" s="5" t="s">
        <v>43</v>
      </c>
      <c r="I22" s="5" t="s">
        <v>44</v>
      </c>
      <c r="J22" s="5" t="s">
        <v>43</v>
      </c>
      <c r="K22" s="6">
        <v>193</v>
      </c>
      <c r="L22" s="7">
        <v>13</v>
      </c>
      <c r="M22" s="8">
        <v>6.7358000000000001E-2</v>
      </c>
      <c r="N22" s="6" t="s">
        <v>269</v>
      </c>
      <c r="O22" s="9">
        <v>40.01</v>
      </c>
      <c r="P22" s="9">
        <v>74.819999999999993</v>
      </c>
      <c r="Q22" s="9">
        <v>53.48</v>
      </c>
      <c r="R22" s="6">
        <v>1.87</v>
      </c>
      <c r="S22" s="9">
        <v>3</v>
      </c>
      <c r="T22" s="7">
        <v>3</v>
      </c>
      <c r="U22" s="8">
        <v>0.230769</v>
      </c>
      <c r="V22" s="6">
        <v>3</v>
      </c>
      <c r="W22" s="7">
        <v>0</v>
      </c>
      <c r="X22" s="7" t="s">
        <v>93</v>
      </c>
      <c r="Y22" s="10" t="s">
        <v>36</v>
      </c>
      <c r="Z22" s="11"/>
    </row>
    <row r="23" spans="1:26" ht="15.75" customHeight="1" x14ac:dyDescent="0.3">
      <c r="A23" s="4">
        <v>45950</v>
      </c>
      <c r="B23" s="4">
        <v>45950</v>
      </c>
      <c r="C23" s="5" t="s">
        <v>27</v>
      </c>
      <c r="D23" s="5" t="s">
        <v>28</v>
      </c>
      <c r="E23" s="5" t="s">
        <v>71</v>
      </c>
      <c r="F23" s="5" t="s">
        <v>72</v>
      </c>
      <c r="G23" s="5" t="s">
        <v>31</v>
      </c>
      <c r="H23" s="5" t="s">
        <v>51</v>
      </c>
      <c r="I23" s="5" t="s">
        <v>52</v>
      </c>
      <c r="J23" s="5" t="s">
        <v>270</v>
      </c>
      <c r="K23" s="6">
        <v>1</v>
      </c>
      <c r="L23" s="7">
        <v>1</v>
      </c>
      <c r="M23" s="8">
        <v>1</v>
      </c>
      <c r="N23" s="6" t="s">
        <v>124</v>
      </c>
      <c r="O23" s="9">
        <v>2.63</v>
      </c>
      <c r="P23" s="9">
        <v>24.94</v>
      </c>
      <c r="Q23" s="9">
        <v>10.55</v>
      </c>
      <c r="R23" s="6">
        <v>9.48</v>
      </c>
      <c r="S23" s="9">
        <v>1</v>
      </c>
      <c r="T23" s="7">
        <v>1</v>
      </c>
      <c r="U23" s="8">
        <v>1</v>
      </c>
      <c r="V23" s="6">
        <v>1</v>
      </c>
      <c r="W23" s="7">
        <v>0</v>
      </c>
      <c r="X23" s="7" t="s">
        <v>35</v>
      </c>
      <c r="Y23" s="10" t="s">
        <v>36</v>
      </c>
      <c r="Z23" s="11"/>
    </row>
    <row r="24" spans="1:26" ht="15.75" customHeight="1" x14ac:dyDescent="0.3">
      <c r="A24" s="4">
        <v>45949</v>
      </c>
      <c r="B24" s="4">
        <v>45955</v>
      </c>
      <c r="C24" s="5" t="s">
        <v>105</v>
      </c>
      <c r="D24" s="5" t="s">
        <v>28</v>
      </c>
      <c r="E24" s="5" t="s">
        <v>106</v>
      </c>
      <c r="F24" s="5" t="s">
        <v>30</v>
      </c>
      <c r="G24" s="5" t="s">
        <v>31</v>
      </c>
      <c r="H24" s="5" t="s">
        <v>30</v>
      </c>
      <c r="I24" s="5" t="s">
        <v>65</v>
      </c>
      <c r="J24" s="5" t="s">
        <v>30</v>
      </c>
      <c r="K24" s="6">
        <v>7331</v>
      </c>
      <c r="L24" s="7">
        <v>26</v>
      </c>
      <c r="M24" s="8">
        <v>3.5469999999999998E-3</v>
      </c>
      <c r="N24" s="6" t="s">
        <v>271</v>
      </c>
      <c r="O24" s="9">
        <v>74.25</v>
      </c>
      <c r="P24" s="9">
        <v>149.63999999999999</v>
      </c>
      <c r="Q24" s="9">
        <v>49.62</v>
      </c>
      <c r="R24" s="6">
        <v>2.02</v>
      </c>
      <c r="S24" s="9">
        <v>5</v>
      </c>
      <c r="T24" s="7">
        <v>6</v>
      </c>
      <c r="U24" s="8">
        <v>0.19230800000000001</v>
      </c>
      <c r="V24" s="6">
        <v>6</v>
      </c>
      <c r="W24" s="7">
        <v>0</v>
      </c>
      <c r="X24" s="7" t="s">
        <v>272</v>
      </c>
      <c r="Y24" s="10" t="s">
        <v>36</v>
      </c>
      <c r="Z24" s="11"/>
    </row>
    <row r="25" spans="1:26" ht="15.75" customHeight="1" x14ac:dyDescent="0.3">
      <c r="A25" s="4">
        <v>45949</v>
      </c>
      <c r="B25" s="4">
        <v>45955</v>
      </c>
      <c r="C25" s="5" t="s">
        <v>48</v>
      </c>
      <c r="D25" s="5" t="s">
        <v>28</v>
      </c>
      <c r="E25" s="5" t="s">
        <v>225</v>
      </c>
      <c r="F25" s="5" t="s">
        <v>226</v>
      </c>
      <c r="G25" s="5" t="s">
        <v>31</v>
      </c>
      <c r="H25" s="5" t="s">
        <v>68</v>
      </c>
      <c r="I25" s="5" t="s">
        <v>32</v>
      </c>
      <c r="J25" s="5" t="s">
        <v>273</v>
      </c>
      <c r="K25" s="6">
        <v>6</v>
      </c>
      <c r="L25" s="7">
        <v>2</v>
      </c>
      <c r="M25" s="8">
        <v>0.33333299999999999</v>
      </c>
      <c r="N25" s="6" t="s">
        <v>274</v>
      </c>
      <c r="O25" s="9">
        <v>4.53</v>
      </c>
      <c r="P25" s="9">
        <v>21.9</v>
      </c>
      <c r="Q25" s="9">
        <v>20.68</v>
      </c>
      <c r="R25" s="6">
        <v>4.83</v>
      </c>
      <c r="S25" s="9">
        <v>1</v>
      </c>
      <c r="T25" s="7">
        <v>1</v>
      </c>
      <c r="U25" s="8">
        <v>0.5</v>
      </c>
      <c r="V25" s="6">
        <v>1</v>
      </c>
      <c r="W25" s="7">
        <v>0</v>
      </c>
      <c r="X25" s="7" t="s">
        <v>55</v>
      </c>
      <c r="Y25" s="10" t="s">
        <v>36</v>
      </c>
      <c r="Z25" s="11"/>
    </row>
    <row r="26" spans="1:26" ht="15.75" customHeight="1" x14ac:dyDescent="0.3">
      <c r="A26" s="4">
        <v>45949</v>
      </c>
      <c r="B26" s="4">
        <v>45955</v>
      </c>
      <c r="C26" s="5" t="s">
        <v>27</v>
      </c>
      <c r="D26" s="5" t="s">
        <v>28</v>
      </c>
      <c r="E26" s="5" t="s">
        <v>56</v>
      </c>
      <c r="F26" s="5" t="s">
        <v>57</v>
      </c>
      <c r="G26" s="5" t="s">
        <v>31</v>
      </c>
      <c r="H26" s="12" t="e">
        <f>+maca +root</f>
        <v>#NAME?</v>
      </c>
      <c r="I26" s="5" t="s">
        <v>32</v>
      </c>
      <c r="J26" s="5" t="s">
        <v>119</v>
      </c>
      <c r="K26" s="6">
        <v>4519</v>
      </c>
      <c r="L26" s="7">
        <v>52</v>
      </c>
      <c r="M26" s="8">
        <v>1.1507E-2</v>
      </c>
      <c r="N26" s="6" t="s">
        <v>201</v>
      </c>
      <c r="O26" s="9">
        <v>190.65</v>
      </c>
      <c r="P26" s="9">
        <v>174.58</v>
      </c>
      <c r="Q26" s="9">
        <v>109.2</v>
      </c>
      <c r="R26" s="6">
        <v>0.92</v>
      </c>
      <c r="S26" s="9">
        <v>7</v>
      </c>
      <c r="T26" s="7">
        <v>7</v>
      </c>
      <c r="U26" s="8">
        <v>0.13461500000000001</v>
      </c>
      <c r="V26" s="6">
        <v>7</v>
      </c>
      <c r="W26" s="7">
        <v>0</v>
      </c>
      <c r="X26" s="7" t="s">
        <v>121</v>
      </c>
      <c r="Y26" s="10" t="s">
        <v>36</v>
      </c>
      <c r="Z26" s="11"/>
    </row>
    <row r="27" spans="1:26" ht="15.75" customHeight="1" x14ac:dyDescent="0.3">
      <c r="A27" s="4">
        <v>45949</v>
      </c>
      <c r="B27" s="4">
        <v>45949</v>
      </c>
      <c r="C27" s="5" t="s">
        <v>27</v>
      </c>
      <c r="D27" s="5" t="s">
        <v>28</v>
      </c>
      <c r="E27" s="5" t="s">
        <v>71</v>
      </c>
      <c r="F27" s="5" t="s">
        <v>72</v>
      </c>
      <c r="G27" s="5" t="s">
        <v>31</v>
      </c>
      <c r="H27" s="5" t="s">
        <v>51</v>
      </c>
      <c r="I27" s="5" t="s">
        <v>52</v>
      </c>
      <c r="J27" s="5" t="s">
        <v>275</v>
      </c>
      <c r="K27" s="6">
        <v>1</v>
      </c>
      <c r="L27" s="7">
        <v>1</v>
      </c>
      <c r="M27" s="8">
        <v>1</v>
      </c>
      <c r="N27" s="6" t="s">
        <v>124</v>
      </c>
      <c r="O27" s="9">
        <v>2.63</v>
      </c>
      <c r="P27" s="9">
        <v>24.94</v>
      </c>
      <c r="Q27" s="9">
        <v>10.55</v>
      </c>
      <c r="R27" s="6">
        <v>9.48</v>
      </c>
      <c r="S27" s="9">
        <v>1</v>
      </c>
      <c r="T27" s="7">
        <v>1</v>
      </c>
      <c r="U27" s="8">
        <v>1</v>
      </c>
      <c r="V27" s="6">
        <v>1</v>
      </c>
      <c r="W27" s="7">
        <v>0</v>
      </c>
      <c r="X27" s="7" t="s">
        <v>35</v>
      </c>
      <c r="Y27" s="10" t="s">
        <v>36</v>
      </c>
      <c r="Z27" s="11"/>
    </row>
    <row r="28" spans="1:26" ht="15.75" customHeight="1" x14ac:dyDescent="0.3">
      <c r="A28" s="4">
        <v>45949</v>
      </c>
      <c r="B28" s="4">
        <v>45955</v>
      </c>
      <c r="C28" s="5" t="s">
        <v>27</v>
      </c>
      <c r="D28" s="5" t="s">
        <v>28</v>
      </c>
      <c r="E28" s="5" t="s">
        <v>71</v>
      </c>
      <c r="F28" s="5" t="s">
        <v>72</v>
      </c>
      <c r="G28" s="5" t="s">
        <v>31</v>
      </c>
      <c r="H28" s="5" t="s">
        <v>73</v>
      </c>
      <c r="I28" s="5" t="s">
        <v>52</v>
      </c>
      <c r="J28" s="5" t="s">
        <v>101</v>
      </c>
      <c r="K28" s="6">
        <v>975</v>
      </c>
      <c r="L28" s="7">
        <v>8</v>
      </c>
      <c r="M28" s="8">
        <v>8.2050000000000005E-3</v>
      </c>
      <c r="N28" s="6" t="s">
        <v>276</v>
      </c>
      <c r="O28" s="9">
        <v>27.67</v>
      </c>
      <c r="P28" s="9">
        <v>49.88</v>
      </c>
      <c r="Q28" s="9">
        <v>55.47</v>
      </c>
      <c r="R28" s="6">
        <v>1.8</v>
      </c>
      <c r="S28" s="9">
        <v>1</v>
      </c>
      <c r="T28" s="7">
        <v>2</v>
      </c>
      <c r="U28" s="8">
        <v>0.125</v>
      </c>
      <c r="V28" s="6">
        <v>2</v>
      </c>
      <c r="W28" s="7">
        <v>0</v>
      </c>
      <c r="X28" s="7" t="s">
        <v>78</v>
      </c>
      <c r="Y28" s="10" t="s">
        <v>36</v>
      </c>
      <c r="Z28" s="11"/>
    </row>
    <row r="29" spans="1:26" ht="15.75" customHeight="1" x14ac:dyDescent="0.3">
      <c r="A29" s="4">
        <v>45949</v>
      </c>
      <c r="B29" s="4">
        <v>45954</v>
      </c>
      <c r="C29" s="5" t="s">
        <v>48</v>
      </c>
      <c r="D29" s="5" t="s">
        <v>28</v>
      </c>
      <c r="E29" s="5" t="s">
        <v>62</v>
      </c>
      <c r="F29" s="5" t="s">
        <v>63</v>
      </c>
      <c r="G29" s="5" t="s">
        <v>31</v>
      </c>
      <c r="H29" s="5" t="s">
        <v>88</v>
      </c>
      <c r="I29" s="5" t="s">
        <v>65</v>
      </c>
      <c r="J29" s="5" t="s">
        <v>89</v>
      </c>
      <c r="K29" s="6">
        <v>116</v>
      </c>
      <c r="L29" s="7">
        <v>6</v>
      </c>
      <c r="M29" s="8">
        <v>5.1723999999999999E-2</v>
      </c>
      <c r="N29" s="6" t="s">
        <v>277</v>
      </c>
      <c r="O29" s="9">
        <v>25.46</v>
      </c>
      <c r="P29" s="9">
        <v>21.9</v>
      </c>
      <c r="Q29" s="9">
        <v>116.26</v>
      </c>
      <c r="R29" s="6">
        <v>0.86</v>
      </c>
      <c r="S29" s="9">
        <v>1</v>
      </c>
      <c r="T29" s="7">
        <v>1</v>
      </c>
      <c r="U29" s="8">
        <v>0.16666700000000001</v>
      </c>
      <c r="V29" s="6">
        <v>1</v>
      </c>
      <c r="W29" s="7">
        <v>0</v>
      </c>
      <c r="X29" s="7" t="s">
        <v>55</v>
      </c>
      <c r="Y29" s="10" t="s">
        <v>36</v>
      </c>
      <c r="Z29" s="11"/>
    </row>
    <row r="30" spans="1:26" ht="15.75" customHeight="1" x14ac:dyDescent="0.3">
      <c r="A30" s="140"/>
      <c r="B30" s="140"/>
      <c r="L30" s="141"/>
      <c r="M30" s="141"/>
      <c r="N30" s="143"/>
      <c r="O30" s="142"/>
      <c r="P30" s="142"/>
      <c r="Q30" s="142"/>
      <c r="R30" s="143"/>
      <c r="S30" s="142"/>
      <c r="T30" s="141"/>
      <c r="U30" s="141"/>
      <c r="V30" s="143"/>
      <c r="W30" s="141"/>
      <c r="X30" s="141"/>
      <c r="Y30" s="11"/>
      <c r="Z30" s="11"/>
    </row>
    <row r="31" spans="1:26" ht="15.75" customHeight="1" x14ac:dyDescent="0.3">
      <c r="A31" s="140"/>
      <c r="B31" s="140"/>
      <c r="L31" s="141"/>
      <c r="M31" s="141"/>
      <c r="N31" s="143"/>
      <c r="O31" s="142"/>
      <c r="P31" s="142"/>
      <c r="Q31" s="142"/>
      <c r="R31" s="143"/>
      <c r="S31" s="142"/>
      <c r="T31" s="141"/>
      <c r="U31" s="141"/>
      <c r="V31" s="143"/>
      <c r="W31" s="141"/>
      <c r="X31" s="141"/>
      <c r="Y31" s="11"/>
      <c r="Z31" s="11"/>
    </row>
    <row r="32" spans="1:26" ht="15.75" customHeight="1" x14ac:dyDescent="0.3">
      <c r="A32" s="140"/>
      <c r="B32" s="140"/>
      <c r="L32" s="141"/>
      <c r="M32" s="141"/>
      <c r="N32" s="143"/>
      <c r="O32" s="142"/>
      <c r="P32" s="142"/>
      <c r="Q32" s="142"/>
      <c r="R32" s="143"/>
      <c r="S32" s="142"/>
      <c r="T32" s="141"/>
      <c r="U32" s="141"/>
      <c r="V32" s="143"/>
      <c r="W32" s="141"/>
      <c r="X32" s="141"/>
      <c r="Y32" s="11"/>
      <c r="Z32" s="11"/>
    </row>
    <row r="33" spans="1:26" ht="15.75" customHeight="1" x14ac:dyDescent="0.3">
      <c r="A33" s="140"/>
      <c r="B33" s="140"/>
      <c r="L33" s="141"/>
      <c r="M33" s="141"/>
      <c r="N33" s="143"/>
      <c r="O33" s="142"/>
      <c r="P33" s="142"/>
      <c r="Q33" s="142"/>
      <c r="R33" s="143"/>
      <c r="S33" s="142"/>
      <c r="T33" s="141"/>
      <c r="U33" s="141"/>
      <c r="V33" s="143"/>
      <c r="W33" s="141"/>
      <c r="X33" s="141"/>
      <c r="Y33" s="11"/>
      <c r="Z33" s="11"/>
    </row>
    <row r="34" spans="1:26" ht="15.75" customHeight="1" x14ac:dyDescent="0.3">
      <c r="A34" s="140"/>
      <c r="B34" s="140"/>
      <c r="L34" s="141"/>
      <c r="M34" s="141"/>
      <c r="N34" s="143"/>
      <c r="O34" s="142"/>
      <c r="P34" s="142"/>
      <c r="Q34" s="142"/>
      <c r="R34" s="143"/>
      <c r="S34" s="142"/>
      <c r="T34" s="141"/>
      <c r="U34" s="141"/>
      <c r="V34" s="143"/>
      <c r="W34" s="141"/>
      <c r="X34" s="141"/>
      <c r="Y34" s="11"/>
      <c r="Z34" s="11"/>
    </row>
    <row r="35" spans="1:26" ht="15.75" customHeight="1" x14ac:dyDescent="0.3">
      <c r="A35" s="140"/>
      <c r="B35" s="140"/>
      <c r="L35" s="141"/>
      <c r="M35" s="141"/>
      <c r="N35" s="143"/>
      <c r="O35" s="142"/>
      <c r="P35" s="142"/>
      <c r="Q35" s="142"/>
      <c r="R35" s="143"/>
      <c r="S35" s="142"/>
      <c r="T35" s="141"/>
      <c r="U35" s="141"/>
      <c r="V35" s="143"/>
      <c r="W35" s="141"/>
      <c r="X35" s="141"/>
      <c r="Y35" s="11"/>
      <c r="Z35" s="11"/>
    </row>
    <row r="36" spans="1:26" ht="15.75" customHeight="1" x14ac:dyDescent="0.3">
      <c r="A36" s="140"/>
      <c r="B36" s="140"/>
      <c r="L36" s="141"/>
      <c r="M36" s="141"/>
      <c r="N36" s="143"/>
      <c r="O36" s="142"/>
      <c r="P36" s="142"/>
      <c r="Q36" s="142"/>
      <c r="R36" s="143"/>
      <c r="S36" s="142"/>
      <c r="T36" s="141"/>
      <c r="U36" s="141"/>
      <c r="V36" s="143"/>
      <c r="W36" s="141"/>
      <c r="X36" s="141"/>
      <c r="Y36" s="11"/>
      <c r="Z36" s="11"/>
    </row>
    <row r="37" spans="1:26" ht="15.75" customHeight="1" x14ac:dyDescent="0.3">
      <c r="A37" s="140"/>
      <c r="B37" s="140"/>
      <c r="L37" s="141"/>
      <c r="M37" s="141"/>
      <c r="N37" s="143"/>
      <c r="O37" s="142"/>
      <c r="P37" s="142"/>
      <c r="Q37" s="142"/>
      <c r="R37" s="143"/>
      <c r="S37" s="142"/>
      <c r="T37" s="141"/>
      <c r="U37" s="141"/>
      <c r="V37" s="143"/>
      <c r="W37" s="141"/>
      <c r="X37" s="141"/>
      <c r="Y37" s="11"/>
      <c r="Z37" s="11"/>
    </row>
    <row r="38" spans="1:26" ht="15.75" customHeight="1" x14ac:dyDescent="0.3">
      <c r="A38" s="140"/>
      <c r="B38" s="140"/>
      <c r="L38" s="141"/>
      <c r="M38" s="141"/>
      <c r="N38" s="143"/>
      <c r="O38" s="142"/>
      <c r="P38" s="142"/>
      <c r="Q38" s="142"/>
      <c r="R38" s="143"/>
      <c r="S38" s="142"/>
      <c r="T38" s="141"/>
      <c r="U38" s="141"/>
      <c r="V38" s="143"/>
      <c r="W38" s="141"/>
      <c r="X38" s="141"/>
      <c r="Y38" s="11"/>
      <c r="Z38" s="11"/>
    </row>
    <row r="39" spans="1:26" ht="15.75" customHeight="1" x14ac:dyDescent="0.3">
      <c r="A39" s="140"/>
      <c r="B39" s="140"/>
      <c r="L39" s="141"/>
      <c r="M39" s="141"/>
      <c r="N39" s="143"/>
      <c r="O39" s="142"/>
      <c r="P39" s="142"/>
      <c r="Q39" s="142"/>
      <c r="R39" s="143"/>
      <c r="S39" s="142"/>
      <c r="T39" s="141"/>
      <c r="U39" s="141"/>
      <c r="V39" s="143"/>
      <c r="W39" s="141"/>
      <c r="X39" s="141"/>
      <c r="Y39" s="11"/>
      <c r="Z39" s="11"/>
    </row>
    <row r="40" spans="1:26" ht="15.75" customHeight="1" x14ac:dyDescent="0.3">
      <c r="A40" s="140"/>
      <c r="B40" s="140"/>
      <c r="L40" s="141"/>
      <c r="M40" s="141"/>
      <c r="N40" s="143"/>
      <c r="O40" s="142"/>
      <c r="P40" s="142"/>
      <c r="Q40" s="142"/>
      <c r="R40" s="143"/>
      <c r="S40" s="142"/>
      <c r="T40" s="141"/>
      <c r="U40" s="141"/>
      <c r="V40" s="143"/>
      <c r="W40" s="141"/>
      <c r="X40" s="141"/>
      <c r="Y40" s="11"/>
      <c r="Z40" s="11"/>
    </row>
    <row r="41" spans="1:26" ht="15.75" customHeight="1" x14ac:dyDescent="0.3">
      <c r="A41" s="140"/>
      <c r="B41" s="140"/>
      <c r="L41" s="141"/>
      <c r="M41" s="141"/>
      <c r="N41" s="143"/>
      <c r="O41" s="142"/>
      <c r="P41" s="142"/>
      <c r="Q41" s="142"/>
      <c r="R41" s="143"/>
      <c r="S41" s="142"/>
      <c r="T41" s="141"/>
      <c r="U41" s="141"/>
      <c r="V41" s="143"/>
      <c r="W41" s="141"/>
      <c r="X41" s="141"/>
      <c r="Y41" s="11"/>
      <c r="Z41" s="11"/>
    </row>
    <row r="42" spans="1:26" ht="15.75" customHeight="1" x14ac:dyDescent="0.3">
      <c r="A42" s="140"/>
      <c r="B42" s="140"/>
      <c r="L42" s="141"/>
      <c r="M42" s="141"/>
      <c r="N42" s="143"/>
      <c r="O42" s="142"/>
      <c r="P42" s="142"/>
      <c r="Q42" s="142"/>
      <c r="R42" s="143"/>
      <c r="S42" s="142"/>
      <c r="T42" s="141"/>
      <c r="U42" s="141"/>
      <c r="V42" s="143"/>
      <c r="W42" s="141"/>
      <c r="X42" s="141"/>
      <c r="Y42" s="11"/>
      <c r="Z42" s="11"/>
    </row>
    <row r="43" spans="1:26" ht="15.75" customHeight="1" x14ac:dyDescent="0.3">
      <c r="A43" s="140"/>
      <c r="B43" s="140"/>
      <c r="L43" s="141"/>
      <c r="M43" s="141"/>
      <c r="N43" s="143"/>
      <c r="O43" s="142"/>
      <c r="P43" s="142"/>
      <c r="Q43" s="142"/>
      <c r="R43" s="143"/>
      <c r="S43" s="142"/>
      <c r="T43" s="141"/>
      <c r="U43" s="141"/>
      <c r="V43" s="143"/>
      <c r="W43" s="141"/>
      <c r="X43" s="141"/>
      <c r="Y43" s="11"/>
      <c r="Z43" s="11"/>
    </row>
    <row r="44" spans="1:26" ht="15.75" customHeight="1" x14ac:dyDescent="0.3">
      <c r="A44" s="140"/>
      <c r="B44" s="140"/>
      <c r="L44" s="141"/>
      <c r="M44" s="141"/>
      <c r="N44" s="143"/>
      <c r="O44" s="142"/>
      <c r="P44" s="142"/>
      <c r="Q44" s="142"/>
      <c r="R44" s="143"/>
      <c r="S44" s="142"/>
      <c r="T44" s="141"/>
      <c r="U44" s="141"/>
      <c r="V44" s="143"/>
      <c r="W44" s="141"/>
      <c r="X44" s="141"/>
      <c r="Y44" s="11"/>
      <c r="Z44" s="11"/>
    </row>
    <row r="45" spans="1:26" ht="15.75" customHeight="1" x14ac:dyDescent="0.3">
      <c r="A45" s="140"/>
      <c r="B45" s="140"/>
      <c r="L45" s="141"/>
      <c r="M45" s="141"/>
      <c r="N45" s="143"/>
      <c r="O45" s="142"/>
      <c r="P45" s="142"/>
      <c r="Q45" s="142"/>
      <c r="R45" s="143"/>
      <c r="S45" s="142"/>
      <c r="T45" s="141"/>
      <c r="U45" s="141"/>
      <c r="V45" s="143"/>
      <c r="W45" s="141"/>
      <c r="X45" s="141"/>
      <c r="Y45" s="11"/>
      <c r="Z45" s="11"/>
    </row>
    <row r="46" spans="1:26" ht="15.75" customHeight="1" x14ac:dyDescent="0.3">
      <c r="A46" s="140"/>
      <c r="B46" s="140"/>
      <c r="L46" s="141"/>
      <c r="M46" s="141"/>
      <c r="N46" s="143"/>
      <c r="O46" s="142"/>
      <c r="P46" s="142"/>
      <c r="Q46" s="142"/>
      <c r="R46" s="143"/>
      <c r="S46" s="142"/>
      <c r="T46" s="141"/>
      <c r="U46" s="141"/>
      <c r="V46" s="143"/>
      <c r="W46" s="141"/>
      <c r="X46" s="141"/>
      <c r="Y46" s="11"/>
      <c r="Z46" s="11"/>
    </row>
    <row r="47" spans="1:26" ht="15.75" customHeight="1" x14ac:dyDescent="0.3">
      <c r="A47" s="140"/>
      <c r="B47" s="140"/>
      <c r="L47" s="141"/>
      <c r="M47" s="141"/>
      <c r="N47" s="143"/>
      <c r="O47" s="142"/>
      <c r="P47" s="142"/>
      <c r="Q47" s="142"/>
      <c r="R47" s="143"/>
      <c r="S47" s="142"/>
      <c r="T47" s="141"/>
      <c r="U47" s="141"/>
      <c r="V47" s="143"/>
      <c r="W47" s="141"/>
      <c r="X47" s="141"/>
      <c r="Y47" s="11"/>
      <c r="Z47" s="11"/>
    </row>
    <row r="48" spans="1:26" ht="15.75" customHeight="1" x14ac:dyDescent="0.3">
      <c r="A48" s="140"/>
      <c r="B48" s="140"/>
      <c r="L48" s="141"/>
      <c r="M48" s="141"/>
      <c r="N48" s="143"/>
      <c r="O48" s="142"/>
      <c r="P48" s="142"/>
      <c r="Q48" s="142"/>
      <c r="R48" s="143"/>
      <c r="S48" s="142"/>
      <c r="T48" s="141"/>
      <c r="U48" s="141"/>
      <c r="V48" s="143"/>
      <c r="W48" s="141"/>
      <c r="X48" s="141"/>
      <c r="Y48" s="11"/>
      <c r="Z48" s="11"/>
    </row>
    <row r="49" spans="1:26" ht="15.75" customHeight="1" x14ac:dyDescent="0.3">
      <c r="A49" s="140"/>
      <c r="B49" s="140"/>
      <c r="L49" s="141"/>
      <c r="M49" s="141"/>
      <c r="N49" s="143"/>
      <c r="O49" s="142"/>
      <c r="P49" s="142"/>
      <c r="Q49" s="142"/>
      <c r="R49" s="143"/>
      <c r="S49" s="142"/>
      <c r="T49" s="141"/>
      <c r="U49" s="141"/>
      <c r="V49" s="143"/>
      <c r="W49" s="141"/>
      <c r="X49" s="141"/>
      <c r="Y49" s="11"/>
      <c r="Z49" s="11"/>
    </row>
    <row r="50" spans="1:26" ht="15.75" customHeight="1" x14ac:dyDescent="0.3">
      <c r="A50" s="140"/>
      <c r="B50" s="140"/>
      <c r="L50" s="141"/>
      <c r="M50" s="141"/>
      <c r="N50" s="143"/>
      <c r="O50" s="142"/>
      <c r="P50" s="142"/>
      <c r="Q50" s="142"/>
      <c r="R50" s="143"/>
      <c r="S50" s="142"/>
      <c r="T50" s="141"/>
      <c r="U50" s="141"/>
      <c r="V50" s="143"/>
      <c r="W50" s="141"/>
      <c r="X50" s="141"/>
      <c r="Y50" s="11"/>
      <c r="Z50" s="11"/>
    </row>
    <row r="51" spans="1:26" ht="15.75" customHeight="1" x14ac:dyDescent="0.3">
      <c r="A51" s="140"/>
      <c r="B51" s="140"/>
      <c r="L51" s="141"/>
      <c r="M51" s="141"/>
      <c r="N51" s="143"/>
      <c r="O51" s="142"/>
      <c r="P51" s="142"/>
      <c r="Q51" s="142"/>
      <c r="R51" s="143"/>
      <c r="S51" s="142"/>
      <c r="T51" s="141"/>
      <c r="U51" s="141"/>
      <c r="V51" s="143"/>
      <c r="W51" s="141"/>
      <c r="X51" s="141"/>
      <c r="Y51" s="11"/>
      <c r="Z51" s="11"/>
    </row>
    <row r="52" spans="1:26" ht="15.75" customHeight="1" x14ac:dyDescent="0.3">
      <c r="A52" s="140"/>
      <c r="B52" s="140"/>
      <c r="L52" s="141"/>
      <c r="M52" s="141"/>
      <c r="N52" s="143"/>
      <c r="O52" s="142"/>
      <c r="P52" s="142"/>
      <c r="Q52" s="142"/>
      <c r="R52" s="143"/>
      <c r="S52" s="142"/>
      <c r="T52" s="141"/>
      <c r="U52" s="141"/>
      <c r="V52" s="143"/>
      <c r="W52" s="141"/>
      <c r="X52" s="141"/>
      <c r="Y52" s="11"/>
      <c r="Z52" s="11"/>
    </row>
    <row r="53" spans="1:26" ht="15.75" customHeight="1" x14ac:dyDescent="0.3">
      <c r="A53" s="140"/>
      <c r="B53" s="140"/>
      <c r="L53" s="141"/>
      <c r="M53" s="141"/>
      <c r="N53" s="143"/>
      <c r="O53" s="142"/>
      <c r="P53" s="142"/>
      <c r="Q53" s="142"/>
      <c r="R53" s="143"/>
      <c r="S53" s="142"/>
      <c r="T53" s="141"/>
      <c r="U53" s="141"/>
      <c r="V53" s="143"/>
      <c r="W53" s="141"/>
      <c r="X53" s="141"/>
      <c r="Y53" s="11"/>
      <c r="Z53" s="11"/>
    </row>
    <row r="54" spans="1:26" ht="15.75" customHeight="1" x14ac:dyDescent="0.3">
      <c r="A54" s="140"/>
      <c r="B54" s="140"/>
      <c r="L54" s="141"/>
      <c r="M54" s="141"/>
      <c r="N54" s="143"/>
      <c r="O54" s="142"/>
      <c r="P54" s="142"/>
      <c r="Q54" s="142"/>
      <c r="R54" s="143"/>
      <c r="S54" s="142"/>
      <c r="T54" s="141"/>
      <c r="U54" s="141"/>
      <c r="V54" s="143"/>
      <c r="W54" s="141"/>
      <c r="X54" s="141"/>
      <c r="Y54" s="11"/>
      <c r="Z54" s="11"/>
    </row>
    <row r="55" spans="1:26" ht="15.75" customHeight="1" x14ac:dyDescent="0.3">
      <c r="A55" s="140"/>
      <c r="B55" s="140"/>
      <c r="L55" s="141"/>
      <c r="M55" s="141"/>
      <c r="N55" s="143"/>
      <c r="O55" s="142"/>
      <c r="P55" s="142"/>
      <c r="Q55" s="142"/>
      <c r="R55" s="143"/>
      <c r="S55" s="142"/>
      <c r="T55" s="141"/>
      <c r="U55" s="141"/>
      <c r="V55" s="143"/>
      <c r="W55" s="141"/>
      <c r="X55" s="141"/>
      <c r="Y55" s="11"/>
      <c r="Z55" s="11"/>
    </row>
    <row r="56" spans="1:26" ht="15.75" customHeight="1" x14ac:dyDescent="0.3">
      <c r="A56" s="140"/>
      <c r="B56" s="140"/>
      <c r="L56" s="141"/>
      <c r="M56" s="141"/>
      <c r="N56" s="143"/>
      <c r="O56" s="142"/>
      <c r="P56" s="142"/>
      <c r="Q56" s="142"/>
      <c r="R56" s="143"/>
      <c r="S56" s="142"/>
      <c r="T56" s="141"/>
      <c r="U56" s="141"/>
      <c r="V56" s="143"/>
      <c r="W56" s="141"/>
      <c r="X56" s="141"/>
      <c r="Y56" s="11"/>
      <c r="Z56" s="11"/>
    </row>
    <row r="57" spans="1:26" ht="15.75" customHeight="1" x14ac:dyDescent="0.3">
      <c r="A57" s="140"/>
      <c r="B57" s="140"/>
      <c r="L57" s="141"/>
      <c r="M57" s="141"/>
      <c r="N57" s="143"/>
      <c r="O57" s="142"/>
      <c r="P57" s="142"/>
      <c r="Q57" s="142"/>
      <c r="R57" s="143"/>
      <c r="S57" s="142"/>
      <c r="T57" s="141"/>
      <c r="U57" s="141"/>
      <c r="V57" s="143"/>
      <c r="W57" s="141"/>
      <c r="X57" s="141"/>
      <c r="Y57" s="11"/>
      <c r="Z57" s="11"/>
    </row>
    <row r="58" spans="1:26" ht="15.75" customHeight="1" x14ac:dyDescent="0.3">
      <c r="A58" s="140"/>
      <c r="B58" s="140"/>
      <c r="L58" s="141"/>
      <c r="M58" s="141"/>
      <c r="N58" s="143"/>
      <c r="O58" s="142"/>
      <c r="P58" s="142"/>
      <c r="Q58" s="142"/>
      <c r="R58" s="143"/>
      <c r="S58" s="142"/>
      <c r="T58" s="141"/>
      <c r="U58" s="141"/>
      <c r="V58" s="143"/>
      <c r="W58" s="141"/>
      <c r="X58" s="141"/>
      <c r="Y58" s="11"/>
      <c r="Z58" s="11"/>
    </row>
    <row r="59" spans="1:26" ht="15.75" customHeight="1" x14ac:dyDescent="0.3">
      <c r="A59" s="140"/>
      <c r="B59" s="140"/>
      <c r="L59" s="141"/>
      <c r="M59" s="141"/>
      <c r="N59" s="143"/>
      <c r="O59" s="142"/>
      <c r="P59" s="142"/>
      <c r="Q59" s="142"/>
      <c r="R59" s="143"/>
      <c r="S59" s="142"/>
      <c r="T59" s="141"/>
      <c r="U59" s="141"/>
      <c r="V59" s="143"/>
      <c r="W59" s="141"/>
      <c r="X59" s="141"/>
      <c r="Y59" s="11"/>
      <c r="Z59" s="11"/>
    </row>
    <row r="60" spans="1:26" ht="15.75" customHeight="1" x14ac:dyDescent="0.3">
      <c r="A60" s="140"/>
      <c r="B60" s="140"/>
      <c r="L60" s="141"/>
      <c r="M60" s="141"/>
      <c r="N60" s="143"/>
      <c r="O60" s="142"/>
      <c r="P60" s="142"/>
      <c r="Q60" s="142"/>
      <c r="R60" s="143"/>
      <c r="S60" s="142"/>
      <c r="T60" s="141"/>
      <c r="U60" s="141"/>
      <c r="V60" s="143"/>
      <c r="W60" s="141"/>
      <c r="X60" s="141"/>
      <c r="Y60" s="11"/>
      <c r="Z60" s="11"/>
    </row>
    <row r="61" spans="1:26" ht="15.75" customHeight="1" x14ac:dyDescent="0.3">
      <c r="A61" s="140"/>
      <c r="B61" s="140"/>
      <c r="L61" s="141"/>
      <c r="M61" s="141"/>
      <c r="N61" s="143"/>
      <c r="O61" s="142"/>
      <c r="P61" s="142"/>
      <c r="Q61" s="142"/>
      <c r="R61" s="143"/>
      <c r="S61" s="142"/>
      <c r="T61" s="141"/>
      <c r="U61" s="141"/>
      <c r="V61" s="143"/>
      <c r="W61" s="141"/>
      <c r="X61" s="141"/>
      <c r="Y61" s="11"/>
      <c r="Z61" s="11"/>
    </row>
    <row r="62" spans="1:26" ht="15.75" customHeight="1" x14ac:dyDescent="0.3">
      <c r="A62" s="140"/>
      <c r="B62" s="140"/>
      <c r="L62" s="141"/>
      <c r="M62" s="141"/>
      <c r="N62" s="143"/>
      <c r="O62" s="142"/>
      <c r="P62" s="142"/>
      <c r="Q62" s="142"/>
      <c r="R62" s="143"/>
      <c r="S62" s="142"/>
      <c r="T62" s="141"/>
      <c r="U62" s="141"/>
      <c r="V62" s="143"/>
      <c r="W62" s="141"/>
      <c r="X62" s="141"/>
      <c r="Y62" s="11"/>
      <c r="Z62" s="11"/>
    </row>
    <row r="63" spans="1:26" ht="15.75" customHeight="1" x14ac:dyDescent="0.3">
      <c r="A63" s="140"/>
      <c r="B63" s="140"/>
      <c r="L63" s="141"/>
      <c r="M63" s="141"/>
      <c r="N63" s="143"/>
      <c r="O63" s="142"/>
      <c r="P63" s="142"/>
      <c r="Q63" s="142"/>
      <c r="R63" s="143"/>
      <c r="S63" s="142"/>
      <c r="T63" s="141"/>
      <c r="U63" s="141"/>
      <c r="V63" s="143"/>
      <c r="W63" s="141"/>
      <c r="X63" s="141"/>
      <c r="Y63" s="11"/>
      <c r="Z63" s="11"/>
    </row>
    <row r="64" spans="1:26" ht="15.75" customHeight="1" x14ac:dyDescent="0.3">
      <c r="A64" s="140"/>
      <c r="B64" s="140"/>
      <c r="L64" s="141"/>
      <c r="M64" s="141"/>
      <c r="N64" s="143"/>
      <c r="O64" s="142"/>
      <c r="P64" s="142"/>
      <c r="Q64" s="142"/>
      <c r="R64" s="143"/>
      <c r="S64" s="142"/>
      <c r="T64" s="141"/>
      <c r="U64" s="141"/>
      <c r="V64" s="143"/>
      <c r="W64" s="141"/>
      <c r="X64" s="141"/>
      <c r="Y64" s="11"/>
      <c r="Z64" s="11"/>
    </row>
    <row r="65" spans="1:26" ht="15.75" customHeight="1" x14ac:dyDescent="0.3">
      <c r="A65" s="140"/>
      <c r="B65" s="140"/>
      <c r="L65" s="141"/>
      <c r="M65" s="141"/>
      <c r="N65" s="143"/>
      <c r="O65" s="142"/>
      <c r="P65" s="142"/>
      <c r="Q65" s="142"/>
      <c r="R65" s="143"/>
      <c r="S65" s="142"/>
      <c r="T65" s="141"/>
      <c r="U65" s="141"/>
      <c r="V65" s="143"/>
      <c r="W65" s="141"/>
      <c r="X65" s="141"/>
      <c r="Y65" s="11"/>
      <c r="Z65" s="11"/>
    </row>
    <row r="66" spans="1:26" ht="15.75" customHeight="1" x14ac:dyDescent="0.3">
      <c r="A66" s="140"/>
      <c r="B66" s="140"/>
      <c r="L66" s="141"/>
      <c r="M66" s="141"/>
      <c r="N66" s="143"/>
      <c r="O66" s="142"/>
      <c r="P66" s="142"/>
      <c r="Q66" s="142"/>
      <c r="R66" s="143"/>
      <c r="S66" s="142"/>
      <c r="T66" s="141"/>
      <c r="U66" s="141"/>
      <c r="V66" s="143"/>
      <c r="W66" s="141"/>
      <c r="X66" s="141"/>
      <c r="Y66" s="11"/>
      <c r="Z66" s="11"/>
    </row>
    <row r="67" spans="1:26" ht="15.75" customHeight="1" x14ac:dyDescent="0.3">
      <c r="A67" s="140"/>
      <c r="B67" s="140"/>
      <c r="L67" s="141"/>
      <c r="M67" s="141"/>
      <c r="N67" s="143"/>
      <c r="O67" s="142"/>
      <c r="P67" s="142"/>
      <c r="Q67" s="142"/>
      <c r="R67" s="143"/>
      <c r="S67" s="142"/>
      <c r="T67" s="141"/>
      <c r="U67" s="141"/>
      <c r="V67" s="143"/>
      <c r="W67" s="141"/>
      <c r="X67" s="141"/>
      <c r="Y67" s="11"/>
      <c r="Z67" s="11"/>
    </row>
    <row r="68" spans="1:26" ht="15.75" customHeight="1" x14ac:dyDescent="0.3">
      <c r="A68" s="140"/>
      <c r="B68" s="140"/>
      <c r="L68" s="141"/>
      <c r="M68" s="141"/>
      <c r="N68" s="143"/>
      <c r="O68" s="142"/>
      <c r="P68" s="142"/>
      <c r="Q68" s="142"/>
      <c r="R68" s="143"/>
      <c r="S68" s="142"/>
      <c r="T68" s="141"/>
      <c r="U68" s="141"/>
      <c r="V68" s="143"/>
      <c r="W68" s="141"/>
      <c r="X68" s="141"/>
      <c r="Y68" s="11"/>
      <c r="Z68" s="11"/>
    </row>
    <row r="69" spans="1:26" ht="15.75" customHeight="1" x14ac:dyDescent="0.3">
      <c r="A69" s="140"/>
      <c r="B69" s="140"/>
      <c r="L69" s="141"/>
      <c r="M69" s="141"/>
      <c r="N69" s="143"/>
      <c r="O69" s="142"/>
      <c r="P69" s="142"/>
      <c r="Q69" s="142"/>
      <c r="R69" s="143"/>
      <c r="S69" s="142"/>
      <c r="T69" s="141"/>
      <c r="U69" s="141"/>
      <c r="V69" s="143"/>
      <c r="W69" s="141"/>
      <c r="X69" s="141"/>
      <c r="Y69" s="11"/>
      <c r="Z69" s="11"/>
    </row>
    <row r="70" spans="1:26" ht="15.75" customHeight="1" x14ac:dyDescent="0.3">
      <c r="A70" s="140"/>
      <c r="B70" s="140"/>
      <c r="L70" s="141"/>
      <c r="M70" s="141"/>
      <c r="N70" s="143"/>
      <c r="O70" s="142"/>
      <c r="P70" s="142"/>
      <c r="Q70" s="142"/>
      <c r="R70" s="143"/>
      <c r="S70" s="142"/>
      <c r="T70" s="141"/>
      <c r="U70" s="141"/>
      <c r="V70" s="143"/>
      <c r="W70" s="141"/>
      <c r="X70" s="141"/>
      <c r="Y70" s="11"/>
      <c r="Z70" s="11"/>
    </row>
    <row r="71" spans="1:26" ht="15.75" customHeight="1" x14ac:dyDescent="0.3">
      <c r="A71" s="140"/>
      <c r="B71" s="140"/>
      <c r="L71" s="141"/>
      <c r="M71" s="141"/>
      <c r="N71" s="143"/>
      <c r="O71" s="142"/>
      <c r="P71" s="142"/>
      <c r="Q71" s="142"/>
      <c r="R71" s="143"/>
      <c r="S71" s="142"/>
      <c r="T71" s="141"/>
      <c r="U71" s="141"/>
      <c r="V71" s="143"/>
      <c r="W71" s="141"/>
      <c r="X71" s="141"/>
      <c r="Y71" s="11"/>
      <c r="Z71" s="11"/>
    </row>
    <row r="72" spans="1:26" ht="15.75" customHeight="1" x14ac:dyDescent="0.3">
      <c r="A72" s="140"/>
      <c r="B72" s="140"/>
      <c r="L72" s="141"/>
      <c r="M72" s="141"/>
      <c r="N72" s="143"/>
      <c r="O72" s="142"/>
      <c r="P72" s="142"/>
      <c r="Q72" s="142"/>
      <c r="R72" s="143"/>
      <c r="S72" s="142"/>
      <c r="T72" s="141"/>
      <c r="U72" s="141"/>
      <c r="V72" s="143"/>
      <c r="W72" s="141"/>
      <c r="X72" s="141"/>
      <c r="Y72" s="11"/>
      <c r="Z72" s="11"/>
    </row>
    <row r="73" spans="1:26" ht="15.75" customHeight="1" x14ac:dyDescent="0.3">
      <c r="A73" s="140"/>
      <c r="B73" s="140"/>
      <c r="L73" s="141"/>
      <c r="M73" s="141"/>
      <c r="N73" s="143"/>
      <c r="O73" s="142"/>
      <c r="P73" s="142"/>
      <c r="Q73" s="142"/>
      <c r="R73" s="143"/>
      <c r="S73" s="142"/>
      <c r="T73" s="141"/>
      <c r="U73" s="141"/>
      <c r="V73" s="143"/>
      <c r="W73" s="141"/>
      <c r="X73" s="141"/>
      <c r="Y73" s="11"/>
      <c r="Z73" s="11"/>
    </row>
    <row r="74" spans="1:26" ht="15.75" customHeight="1" x14ac:dyDescent="0.3">
      <c r="A74" s="140"/>
      <c r="B74" s="140"/>
      <c r="L74" s="141"/>
      <c r="M74" s="141"/>
      <c r="N74" s="143"/>
      <c r="O74" s="142"/>
      <c r="P74" s="142"/>
      <c r="Q74" s="142"/>
      <c r="R74" s="143"/>
      <c r="S74" s="142"/>
      <c r="T74" s="141"/>
      <c r="U74" s="141"/>
      <c r="V74" s="143"/>
      <c r="W74" s="141"/>
      <c r="X74" s="141"/>
      <c r="Y74" s="11"/>
      <c r="Z74" s="11"/>
    </row>
    <row r="75" spans="1:26" ht="15.75" customHeight="1" x14ac:dyDescent="0.3">
      <c r="A75" s="140"/>
      <c r="B75" s="140"/>
      <c r="L75" s="141"/>
      <c r="M75" s="141"/>
      <c r="N75" s="143"/>
      <c r="O75" s="142"/>
      <c r="P75" s="142"/>
      <c r="Q75" s="142"/>
      <c r="R75" s="143"/>
      <c r="S75" s="142"/>
      <c r="T75" s="141"/>
      <c r="U75" s="141"/>
      <c r="V75" s="143"/>
      <c r="W75" s="141"/>
      <c r="X75" s="141"/>
      <c r="Y75" s="11"/>
      <c r="Z75" s="11"/>
    </row>
    <row r="76" spans="1:26" ht="15.75" customHeight="1" x14ac:dyDescent="0.3">
      <c r="A76" s="140"/>
      <c r="B76" s="140"/>
      <c r="L76" s="141"/>
      <c r="M76" s="141"/>
      <c r="N76" s="143"/>
      <c r="O76" s="142"/>
      <c r="P76" s="142"/>
      <c r="Q76" s="142"/>
      <c r="R76" s="143"/>
      <c r="S76" s="142"/>
      <c r="T76" s="141"/>
      <c r="U76" s="141"/>
      <c r="V76" s="143"/>
      <c r="W76" s="141"/>
      <c r="X76" s="141"/>
      <c r="Y76" s="11"/>
      <c r="Z76" s="11"/>
    </row>
    <row r="77" spans="1:26" ht="15.75" customHeight="1" x14ac:dyDescent="0.3">
      <c r="A77" s="140"/>
      <c r="B77" s="140"/>
      <c r="L77" s="141"/>
      <c r="M77" s="141"/>
      <c r="N77" s="143"/>
      <c r="O77" s="142"/>
      <c r="P77" s="142"/>
      <c r="Q77" s="142"/>
      <c r="R77" s="143"/>
      <c r="S77" s="142"/>
      <c r="T77" s="141"/>
      <c r="U77" s="141"/>
      <c r="V77" s="143"/>
      <c r="W77" s="141"/>
      <c r="X77" s="141"/>
      <c r="Y77" s="11"/>
      <c r="Z77" s="11"/>
    </row>
    <row r="78" spans="1:26" ht="15.75" customHeight="1" x14ac:dyDescent="0.3">
      <c r="A78" s="140"/>
      <c r="B78" s="140"/>
      <c r="L78" s="141"/>
      <c r="M78" s="141"/>
      <c r="N78" s="143"/>
      <c r="O78" s="142"/>
      <c r="P78" s="142"/>
      <c r="Q78" s="142"/>
      <c r="R78" s="143"/>
      <c r="S78" s="142"/>
      <c r="T78" s="141"/>
      <c r="U78" s="141"/>
      <c r="V78" s="143"/>
      <c r="W78" s="141"/>
      <c r="X78" s="141"/>
      <c r="Y78" s="11"/>
      <c r="Z78" s="11"/>
    </row>
    <row r="79" spans="1:26" ht="15.75" customHeight="1" x14ac:dyDescent="0.3">
      <c r="A79" s="140"/>
      <c r="B79" s="140"/>
      <c r="L79" s="141"/>
      <c r="M79" s="141"/>
      <c r="N79" s="143"/>
      <c r="O79" s="142"/>
      <c r="P79" s="142"/>
      <c r="Q79" s="142"/>
      <c r="R79" s="143"/>
      <c r="S79" s="142"/>
      <c r="T79" s="141"/>
      <c r="U79" s="141"/>
      <c r="V79" s="143"/>
      <c r="W79" s="141"/>
      <c r="X79" s="141"/>
      <c r="Y79" s="11"/>
      <c r="Z79" s="11"/>
    </row>
    <row r="80" spans="1:26" ht="15.75" customHeight="1" x14ac:dyDescent="0.3">
      <c r="A80" s="140"/>
      <c r="B80" s="140"/>
      <c r="L80" s="141"/>
      <c r="M80" s="141"/>
      <c r="N80" s="143"/>
      <c r="O80" s="142"/>
      <c r="P80" s="142"/>
      <c r="Q80" s="142"/>
      <c r="R80" s="143"/>
      <c r="S80" s="142"/>
      <c r="T80" s="141"/>
      <c r="U80" s="141"/>
      <c r="V80" s="143"/>
      <c r="W80" s="141"/>
      <c r="X80" s="141"/>
      <c r="Y80" s="11"/>
      <c r="Z80" s="11"/>
    </row>
    <row r="81" spans="1:26" ht="15.75" customHeight="1" x14ac:dyDescent="0.3">
      <c r="A81" s="140"/>
      <c r="B81" s="140"/>
      <c r="L81" s="141"/>
      <c r="M81" s="141"/>
      <c r="N81" s="143"/>
      <c r="O81" s="142"/>
      <c r="P81" s="142"/>
      <c r="Q81" s="142"/>
      <c r="R81" s="143"/>
      <c r="S81" s="142"/>
      <c r="T81" s="141"/>
      <c r="U81" s="141"/>
      <c r="V81" s="143"/>
      <c r="W81" s="141"/>
      <c r="X81" s="141"/>
      <c r="Y81" s="11"/>
      <c r="Z81" s="11"/>
    </row>
    <row r="82" spans="1:26" ht="15.75" customHeight="1" x14ac:dyDescent="0.3">
      <c r="A82" s="140"/>
      <c r="B82" s="140"/>
      <c r="L82" s="141"/>
      <c r="M82" s="141"/>
      <c r="N82" s="143"/>
      <c r="O82" s="142"/>
      <c r="P82" s="142"/>
      <c r="Q82" s="142"/>
      <c r="R82" s="143"/>
      <c r="S82" s="142"/>
      <c r="T82" s="141"/>
      <c r="U82" s="141"/>
      <c r="V82" s="143"/>
      <c r="W82" s="141"/>
      <c r="X82" s="141"/>
      <c r="Y82" s="11"/>
      <c r="Z82" s="11"/>
    </row>
    <row r="83" spans="1:26" ht="15.75" customHeight="1" x14ac:dyDescent="0.3">
      <c r="A83" s="140"/>
      <c r="B83" s="140"/>
      <c r="L83" s="141"/>
      <c r="M83" s="141"/>
      <c r="N83" s="143"/>
      <c r="O83" s="142"/>
      <c r="P83" s="142"/>
      <c r="Q83" s="142"/>
      <c r="R83" s="143"/>
      <c r="S83" s="142"/>
      <c r="T83" s="141"/>
      <c r="U83" s="141"/>
      <c r="V83" s="143"/>
      <c r="W83" s="141"/>
      <c r="X83" s="141"/>
      <c r="Y83" s="11"/>
      <c r="Z83" s="11"/>
    </row>
    <row r="84" spans="1:26" ht="15.75" customHeight="1" x14ac:dyDescent="0.3">
      <c r="A84" s="140"/>
      <c r="B84" s="140"/>
      <c r="L84" s="141"/>
      <c r="M84" s="141"/>
      <c r="N84" s="143"/>
      <c r="O84" s="142"/>
      <c r="P84" s="142"/>
      <c r="Q84" s="142"/>
      <c r="R84" s="143"/>
      <c r="S84" s="142"/>
      <c r="T84" s="141"/>
      <c r="U84" s="141"/>
      <c r="V84" s="143"/>
      <c r="W84" s="141"/>
      <c r="X84" s="141"/>
      <c r="Y84" s="11"/>
      <c r="Z84" s="11"/>
    </row>
    <row r="85" spans="1:26" ht="15.75" customHeight="1" x14ac:dyDescent="0.3">
      <c r="A85" s="140"/>
      <c r="B85" s="140"/>
      <c r="L85" s="141"/>
      <c r="M85" s="141"/>
      <c r="N85" s="143"/>
      <c r="O85" s="142"/>
      <c r="P85" s="142"/>
      <c r="Q85" s="142"/>
      <c r="R85" s="143"/>
      <c r="S85" s="142"/>
      <c r="T85" s="141"/>
      <c r="U85" s="141"/>
      <c r="V85" s="143"/>
      <c r="W85" s="141"/>
      <c r="X85" s="141"/>
      <c r="Y85" s="11"/>
      <c r="Z85" s="11"/>
    </row>
    <row r="86" spans="1:26" ht="15.75" customHeight="1" x14ac:dyDescent="0.3">
      <c r="A86" s="140"/>
      <c r="B86" s="140"/>
      <c r="L86" s="141"/>
      <c r="M86" s="141"/>
      <c r="N86" s="143"/>
      <c r="O86" s="142"/>
      <c r="P86" s="142"/>
      <c r="Q86" s="142"/>
      <c r="R86" s="143"/>
      <c r="S86" s="142"/>
      <c r="T86" s="141"/>
      <c r="U86" s="141"/>
      <c r="V86" s="143"/>
      <c r="W86" s="141"/>
      <c r="X86" s="141"/>
      <c r="Y86" s="11"/>
      <c r="Z86" s="11"/>
    </row>
    <row r="87" spans="1:26" ht="15.75" customHeight="1" x14ac:dyDescent="0.3">
      <c r="A87" s="140"/>
      <c r="B87" s="140"/>
      <c r="L87" s="141"/>
      <c r="M87" s="141"/>
      <c r="N87" s="143"/>
      <c r="O87" s="142"/>
      <c r="P87" s="142"/>
      <c r="Q87" s="142"/>
      <c r="R87" s="143"/>
      <c r="S87" s="142"/>
      <c r="T87" s="141"/>
      <c r="U87" s="141"/>
      <c r="V87" s="143"/>
      <c r="W87" s="141"/>
      <c r="X87" s="141"/>
      <c r="Y87" s="11"/>
      <c r="Z87" s="11"/>
    </row>
    <row r="88" spans="1:26" ht="15.75" customHeight="1" x14ac:dyDescent="0.3">
      <c r="A88" s="140"/>
      <c r="B88" s="140"/>
      <c r="L88" s="141"/>
      <c r="M88" s="141"/>
      <c r="N88" s="143"/>
      <c r="O88" s="142"/>
      <c r="P88" s="142"/>
      <c r="Q88" s="142"/>
      <c r="R88" s="143"/>
      <c r="S88" s="142"/>
      <c r="T88" s="141"/>
      <c r="U88" s="141"/>
      <c r="V88" s="143"/>
      <c r="W88" s="141"/>
      <c r="X88" s="141"/>
      <c r="Y88" s="11"/>
      <c r="Z88" s="11"/>
    </row>
    <row r="89" spans="1:26" ht="15.75" customHeight="1" x14ac:dyDescent="0.3">
      <c r="A89" s="140"/>
      <c r="B89" s="140"/>
      <c r="L89" s="141"/>
      <c r="M89" s="141"/>
      <c r="N89" s="143"/>
      <c r="O89" s="142"/>
      <c r="P89" s="142"/>
      <c r="Q89" s="142"/>
      <c r="R89" s="143"/>
      <c r="S89" s="142"/>
      <c r="T89" s="141"/>
      <c r="U89" s="141"/>
      <c r="V89" s="143"/>
      <c r="W89" s="141"/>
      <c r="X89" s="141"/>
      <c r="Y89" s="11"/>
      <c r="Z89" s="11"/>
    </row>
    <row r="90" spans="1:26" ht="15.75" customHeight="1" x14ac:dyDescent="0.3">
      <c r="A90" s="140"/>
      <c r="B90" s="140"/>
      <c r="L90" s="141"/>
      <c r="M90" s="141"/>
      <c r="N90" s="143"/>
      <c r="O90" s="142"/>
      <c r="P90" s="142"/>
      <c r="Q90" s="142"/>
      <c r="R90" s="143"/>
      <c r="S90" s="142"/>
      <c r="T90" s="141"/>
      <c r="U90" s="141"/>
      <c r="V90" s="143"/>
      <c r="W90" s="141"/>
      <c r="X90" s="141"/>
      <c r="Y90" s="11"/>
      <c r="Z90" s="11"/>
    </row>
    <row r="91" spans="1:26" ht="15.75" customHeight="1" x14ac:dyDescent="0.3">
      <c r="A91" s="140"/>
      <c r="B91" s="140"/>
      <c r="L91" s="141"/>
      <c r="M91" s="141"/>
      <c r="N91" s="143"/>
      <c r="O91" s="142"/>
      <c r="P91" s="142"/>
      <c r="Q91" s="142"/>
      <c r="R91" s="143"/>
      <c r="S91" s="142"/>
      <c r="T91" s="141"/>
      <c r="U91" s="141"/>
      <c r="V91" s="143"/>
      <c r="W91" s="141"/>
      <c r="X91" s="141"/>
      <c r="Y91" s="11"/>
      <c r="Z91" s="11"/>
    </row>
    <row r="92" spans="1:26" ht="15.75" customHeight="1" x14ac:dyDescent="0.3">
      <c r="A92" s="140"/>
      <c r="B92" s="140"/>
      <c r="L92" s="141"/>
      <c r="M92" s="141"/>
      <c r="N92" s="143"/>
      <c r="O92" s="142"/>
      <c r="P92" s="142"/>
      <c r="Q92" s="142"/>
      <c r="R92" s="143"/>
      <c r="S92" s="142"/>
      <c r="T92" s="141"/>
      <c r="U92" s="141"/>
      <c r="V92" s="143"/>
      <c r="W92" s="141"/>
      <c r="X92" s="141"/>
      <c r="Y92" s="11"/>
      <c r="Z92" s="11"/>
    </row>
    <row r="93" spans="1:26" ht="15.75" customHeight="1" x14ac:dyDescent="0.3">
      <c r="A93" s="140"/>
      <c r="B93" s="140"/>
      <c r="L93" s="141"/>
      <c r="M93" s="141"/>
      <c r="N93" s="143"/>
      <c r="O93" s="142"/>
      <c r="P93" s="142"/>
      <c r="Q93" s="142"/>
      <c r="R93" s="143"/>
      <c r="S93" s="142"/>
      <c r="T93" s="141"/>
      <c r="U93" s="141"/>
      <c r="V93" s="143"/>
      <c r="W93" s="141"/>
      <c r="X93" s="141"/>
      <c r="Y93" s="11"/>
      <c r="Z93" s="11"/>
    </row>
    <row r="94" spans="1:26" ht="15.75" customHeight="1" x14ac:dyDescent="0.3">
      <c r="A94" s="140"/>
      <c r="B94" s="140"/>
      <c r="L94" s="141"/>
      <c r="M94" s="141"/>
      <c r="N94" s="143"/>
      <c r="O94" s="142"/>
      <c r="P94" s="142"/>
      <c r="Q94" s="142"/>
      <c r="R94" s="143"/>
      <c r="S94" s="142"/>
      <c r="T94" s="141"/>
      <c r="U94" s="141"/>
      <c r="V94" s="143"/>
      <c r="W94" s="141"/>
      <c r="X94" s="141"/>
      <c r="Y94" s="11"/>
      <c r="Z94" s="11"/>
    </row>
    <row r="95" spans="1:26" ht="15.75" customHeight="1" x14ac:dyDescent="0.3">
      <c r="A95" s="140"/>
      <c r="B95" s="140"/>
      <c r="L95" s="141"/>
      <c r="M95" s="141"/>
      <c r="N95" s="143"/>
      <c r="O95" s="142"/>
      <c r="P95" s="142"/>
      <c r="Q95" s="142"/>
      <c r="R95" s="143"/>
      <c r="S95" s="142"/>
      <c r="T95" s="141"/>
      <c r="U95" s="141"/>
      <c r="V95" s="143"/>
      <c r="W95" s="141"/>
      <c r="X95" s="141"/>
      <c r="Y95" s="11"/>
      <c r="Z95" s="11"/>
    </row>
    <row r="96" spans="1:26" ht="15.75" customHeight="1" x14ac:dyDescent="0.3">
      <c r="A96" s="140"/>
      <c r="B96" s="140"/>
      <c r="L96" s="141"/>
      <c r="M96" s="141"/>
      <c r="N96" s="143"/>
      <c r="O96" s="142"/>
      <c r="P96" s="142"/>
      <c r="Q96" s="142"/>
      <c r="R96" s="143"/>
      <c r="S96" s="142"/>
      <c r="T96" s="141"/>
      <c r="U96" s="141"/>
      <c r="V96" s="143"/>
      <c r="W96" s="141"/>
      <c r="X96" s="141"/>
      <c r="Y96" s="11"/>
      <c r="Z96" s="11"/>
    </row>
    <row r="97" spans="1:26" ht="15.75" customHeight="1" x14ac:dyDescent="0.3">
      <c r="A97" s="140"/>
      <c r="B97" s="140"/>
      <c r="L97" s="141"/>
      <c r="M97" s="141"/>
      <c r="N97" s="143"/>
      <c r="O97" s="142"/>
      <c r="P97" s="142"/>
      <c r="Q97" s="142"/>
      <c r="R97" s="143"/>
      <c r="S97" s="142"/>
      <c r="T97" s="141"/>
      <c r="U97" s="141"/>
      <c r="V97" s="143"/>
      <c r="W97" s="141"/>
      <c r="X97" s="141"/>
      <c r="Y97" s="11"/>
      <c r="Z97" s="11"/>
    </row>
    <row r="98" spans="1:26" ht="15.75" customHeight="1" x14ac:dyDescent="0.3">
      <c r="A98" s="140"/>
      <c r="B98" s="140"/>
      <c r="L98" s="141"/>
      <c r="M98" s="141"/>
      <c r="N98" s="143"/>
      <c r="O98" s="142"/>
      <c r="P98" s="142"/>
      <c r="Q98" s="142"/>
      <c r="R98" s="143"/>
      <c r="S98" s="142"/>
      <c r="T98" s="141"/>
      <c r="U98" s="141"/>
      <c r="V98" s="143"/>
      <c r="W98" s="141"/>
      <c r="X98" s="141"/>
      <c r="Y98" s="11"/>
      <c r="Z98" s="11"/>
    </row>
    <row r="99" spans="1:26" ht="15.75" customHeight="1" x14ac:dyDescent="0.3">
      <c r="A99" s="140"/>
      <c r="B99" s="140"/>
      <c r="L99" s="141"/>
      <c r="M99" s="141"/>
      <c r="N99" s="143"/>
      <c r="O99" s="142"/>
      <c r="P99" s="142"/>
      <c r="Q99" s="142"/>
      <c r="R99" s="143"/>
      <c r="S99" s="142"/>
      <c r="T99" s="141"/>
      <c r="U99" s="141"/>
      <c r="V99" s="143"/>
      <c r="W99" s="141"/>
      <c r="X99" s="141"/>
      <c r="Y99" s="11"/>
      <c r="Z99" s="11"/>
    </row>
    <row r="100" spans="1:26" ht="15.75" customHeight="1" x14ac:dyDescent="0.3">
      <c r="A100" s="140"/>
      <c r="B100" s="140"/>
      <c r="L100" s="141"/>
      <c r="M100" s="141"/>
      <c r="N100" s="143"/>
      <c r="O100" s="142"/>
      <c r="P100" s="142"/>
      <c r="Q100" s="142"/>
      <c r="R100" s="143"/>
      <c r="S100" s="142"/>
      <c r="T100" s="141"/>
      <c r="U100" s="141"/>
      <c r="V100" s="143"/>
      <c r="W100" s="141"/>
      <c r="X100" s="141"/>
      <c r="Y100" s="11"/>
      <c r="Z100" s="11"/>
    </row>
    <row r="101" spans="1:26" ht="15.75" customHeight="1" x14ac:dyDescent="0.3">
      <c r="A101" s="140"/>
      <c r="B101" s="140"/>
      <c r="L101" s="141"/>
      <c r="M101" s="141"/>
      <c r="N101" s="143"/>
      <c r="O101" s="142"/>
      <c r="P101" s="142"/>
      <c r="Q101" s="142"/>
      <c r="R101" s="143"/>
      <c r="S101" s="142"/>
      <c r="T101" s="141"/>
      <c r="U101" s="141"/>
      <c r="V101" s="143"/>
      <c r="W101" s="141"/>
      <c r="X101" s="141"/>
      <c r="Y101" s="11"/>
      <c r="Z101" s="11"/>
    </row>
    <row r="102" spans="1:26" ht="15.75" customHeight="1" x14ac:dyDescent="0.3">
      <c r="A102" s="140"/>
      <c r="B102" s="140"/>
      <c r="L102" s="141"/>
      <c r="M102" s="141"/>
      <c r="N102" s="143"/>
      <c r="O102" s="142"/>
      <c r="P102" s="142"/>
      <c r="Q102" s="142"/>
      <c r="R102" s="143"/>
      <c r="S102" s="142"/>
      <c r="T102" s="141"/>
      <c r="U102" s="141"/>
      <c r="V102" s="143"/>
      <c r="W102" s="141"/>
      <c r="X102" s="141"/>
      <c r="Y102" s="11"/>
      <c r="Z102" s="11"/>
    </row>
    <row r="103" spans="1:26" ht="15.75" customHeight="1" x14ac:dyDescent="0.3">
      <c r="A103" s="140"/>
      <c r="B103" s="140"/>
      <c r="L103" s="141"/>
      <c r="M103" s="141"/>
      <c r="N103" s="143"/>
      <c r="O103" s="142"/>
      <c r="P103" s="142"/>
      <c r="Q103" s="142"/>
      <c r="R103" s="143"/>
      <c r="S103" s="142"/>
      <c r="T103" s="141"/>
      <c r="U103" s="141"/>
      <c r="V103" s="143"/>
      <c r="W103" s="141"/>
      <c r="X103" s="141"/>
      <c r="Y103" s="11"/>
      <c r="Z103" s="11"/>
    </row>
    <row r="104" spans="1:26" ht="15.75" customHeight="1" x14ac:dyDescent="0.3">
      <c r="A104" s="140"/>
      <c r="B104" s="140"/>
      <c r="L104" s="141"/>
      <c r="M104" s="141"/>
      <c r="N104" s="143"/>
      <c r="O104" s="142"/>
      <c r="P104" s="142"/>
      <c r="Q104" s="142"/>
      <c r="R104" s="143"/>
      <c r="S104" s="142"/>
      <c r="T104" s="141"/>
      <c r="U104" s="141"/>
      <c r="V104" s="143"/>
      <c r="W104" s="141"/>
      <c r="X104" s="141"/>
      <c r="Y104" s="11"/>
      <c r="Z104" s="11"/>
    </row>
    <row r="105" spans="1:26" ht="15.75" customHeight="1" x14ac:dyDescent="0.3">
      <c r="A105" s="140"/>
      <c r="B105" s="140"/>
      <c r="L105" s="141"/>
      <c r="M105" s="141"/>
      <c r="N105" s="143"/>
      <c r="O105" s="142"/>
      <c r="P105" s="142"/>
      <c r="Q105" s="142"/>
      <c r="R105" s="143"/>
      <c r="S105" s="142"/>
      <c r="T105" s="141"/>
      <c r="U105" s="141"/>
      <c r="V105" s="143"/>
      <c r="W105" s="141"/>
      <c r="X105" s="141"/>
      <c r="Y105" s="11"/>
      <c r="Z105" s="11"/>
    </row>
    <row r="106" spans="1:26" ht="15.75" customHeight="1" x14ac:dyDescent="0.3">
      <c r="A106" s="140"/>
      <c r="B106" s="140"/>
      <c r="L106" s="141"/>
      <c r="M106" s="141"/>
      <c r="N106" s="143"/>
      <c r="O106" s="142"/>
      <c r="P106" s="142"/>
      <c r="Q106" s="142"/>
      <c r="R106" s="143"/>
      <c r="S106" s="142"/>
      <c r="T106" s="141"/>
      <c r="U106" s="141"/>
      <c r="V106" s="143"/>
      <c r="W106" s="141"/>
      <c r="X106" s="141"/>
      <c r="Y106" s="11"/>
      <c r="Z106" s="11"/>
    </row>
    <row r="107" spans="1:26" ht="15.75" customHeight="1" x14ac:dyDescent="0.3">
      <c r="A107" s="140"/>
      <c r="B107" s="140"/>
      <c r="L107" s="141"/>
      <c r="M107" s="141"/>
      <c r="N107" s="143"/>
      <c r="O107" s="142"/>
      <c r="P107" s="142"/>
      <c r="Q107" s="142"/>
      <c r="R107" s="143"/>
      <c r="S107" s="142"/>
      <c r="T107" s="141"/>
      <c r="U107" s="141"/>
      <c r="V107" s="143"/>
      <c r="W107" s="141"/>
      <c r="X107" s="141"/>
      <c r="Y107" s="11"/>
      <c r="Z107" s="11"/>
    </row>
    <row r="108" spans="1:26" ht="15.75" customHeight="1" x14ac:dyDescent="0.3">
      <c r="A108" s="140"/>
      <c r="B108" s="140"/>
      <c r="L108" s="141"/>
      <c r="M108" s="141"/>
      <c r="N108" s="143"/>
      <c r="O108" s="142"/>
      <c r="P108" s="142"/>
      <c r="Q108" s="142"/>
      <c r="R108" s="143"/>
      <c r="S108" s="142"/>
      <c r="T108" s="141"/>
      <c r="U108" s="141"/>
      <c r="V108" s="143"/>
      <c r="W108" s="141"/>
      <c r="X108" s="141"/>
      <c r="Y108" s="11"/>
      <c r="Z108" s="11"/>
    </row>
    <row r="109" spans="1:26" ht="15.75" customHeight="1" x14ac:dyDescent="0.3">
      <c r="A109" s="140"/>
      <c r="B109" s="140"/>
      <c r="L109" s="141"/>
      <c r="M109" s="141"/>
      <c r="N109" s="143"/>
      <c r="O109" s="142"/>
      <c r="P109" s="142"/>
      <c r="Q109" s="142"/>
      <c r="R109" s="143"/>
      <c r="S109" s="142"/>
      <c r="T109" s="141"/>
      <c r="U109" s="141"/>
      <c r="V109" s="143"/>
      <c r="W109" s="141"/>
      <c r="X109" s="141"/>
      <c r="Y109" s="11"/>
      <c r="Z109" s="11"/>
    </row>
    <row r="110" spans="1:26" ht="15.75" customHeight="1" x14ac:dyDescent="0.3">
      <c r="A110" s="140"/>
      <c r="B110" s="140"/>
      <c r="L110" s="141"/>
      <c r="M110" s="141"/>
      <c r="N110" s="143"/>
      <c r="O110" s="142"/>
      <c r="P110" s="142"/>
      <c r="Q110" s="142"/>
      <c r="R110" s="143"/>
      <c r="S110" s="142"/>
      <c r="T110" s="141"/>
      <c r="U110" s="141"/>
      <c r="V110" s="143"/>
      <c r="W110" s="141"/>
      <c r="X110" s="141"/>
      <c r="Y110" s="11"/>
      <c r="Z110" s="11"/>
    </row>
    <row r="111" spans="1:26" ht="15.75" customHeight="1" x14ac:dyDescent="0.3">
      <c r="A111" s="140"/>
      <c r="B111" s="140"/>
      <c r="L111" s="141"/>
      <c r="M111" s="141"/>
      <c r="N111" s="143"/>
      <c r="O111" s="142"/>
      <c r="P111" s="142"/>
      <c r="Q111" s="142"/>
      <c r="R111" s="143"/>
      <c r="S111" s="142"/>
      <c r="T111" s="141"/>
      <c r="U111" s="141"/>
      <c r="V111" s="143"/>
      <c r="W111" s="141"/>
      <c r="X111" s="141"/>
      <c r="Y111" s="11"/>
      <c r="Z111" s="11"/>
    </row>
    <row r="112" spans="1:26" ht="15.75" customHeight="1" x14ac:dyDescent="0.3">
      <c r="A112" s="140"/>
      <c r="B112" s="140"/>
      <c r="L112" s="141"/>
      <c r="M112" s="141"/>
      <c r="N112" s="143"/>
      <c r="O112" s="142"/>
      <c r="P112" s="142"/>
      <c r="Q112" s="142"/>
      <c r="R112" s="143"/>
      <c r="S112" s="142"/>
      <c r="T112" s="141"/>
      <c r="U112" s="141"/>
      <c r="V112" s="143"/>
      <c r="W112" s="141"/>
      <c r="X112" s="141"/>
      <c r="Y112" s="11"/>
      <c r="Z112" s="11"/>
    </row>
    <row r="113" spans="1:26" ht="15.75" customHeight="1" x14ac:dyDescent="0.3">
      <c r="A113" s="140"/>
      <c r="B113" s="140"/>
      <c r="L113" s="141"/>
      <c r="M113" s="141"/>
      <c r="N113" s="143"/>
      <c r="O113" s="142"/>
      <c r="P113" s="142"/>
      <c r="Q113" s="142"/>
      <c r="R113" s="143"/>
      <c r="S113" s="142"/>
      <c r="T113" s="141"/>
      <c r="U113" s="141"/>
      <c r="V113" s="143"/>
      <c r="W113" s="141"/>
      <c r="X113" s="141"/>
      <c r="Y113" s="11"/>
      <c r="Z113" s="11"/>
    </row>
    <row r="114" spans="1:26" ht="15.75" customHeight="1" x14ac:dyDescent="0.3">
      <c r="A114" s="140"/>
      <c r="B114" s="140"/>
      <c r="L114" s="141"/>
      <c r="M114" s="141"/>
      <c r="N114" s="143"/>
      <c r="O114" s="142"/>
      <c r="P114" s="142"/>
      <c r="Q114" s="142"/>
      <c r="R114" s="143"/>
      <c r="S114" s="142"/>
      <c r="T114" s="141"/>
      <c r="U114" s="141"/>
      <c r="V114" s="143"/>
      <c r="W114" s="141"/>
      <c r="X114" s="141"/>
      <c r="Y114" s="11"/>
      <c r="Z114" s="11"/>
    </row>
    <row r="115" spans="1:26" ht="15.75" customHeight="1" x14ac:dyDescent="0.3">
      <c r="A115" s="140"/>
      <c r="B115" s="140"/>
      <c r="L115" s="141"/>
      <c r="M115" s="141"/>
      <c r="N115" s="143"/>
      <c r="O115" s="142"/>
      <c r="P115" s="142"/>
      <c r="Q115" s="142"/>
      <c r="R115" s="143"/>
      <c r="S115" s="142"/>
      <c r="T115" s="141"/>
      <c r="U115" s="141"/>
      <c r="V115" s="143"/>
      <c r="W115" s="141"/>
      <c r="X115" s="141"/>
      <c r="Y115" s="11"/>
      <c r="Z115" s="11"/>
    </row>
    <row r="116" spans="1:26" ht="15.75" customHeight="1" x14ac:dyDescent="0.3">
      <c r="A116" s="140"/>
      <c r="B116" s="140"/>
      <c r="L116" s="141"/>
      <c r="M116" s="141"/>
      <c r="N116" s="143"/>
      <c r="O116" s="142"/>
      <c r="P116" s="142"/>
      <c r="Q116" s="142"/>
      <c r="R116" s="143"/>
      <c r="S116" s="142"/>
      <c r="T116" s="141"/>
      <c r="U116" s="141"/>
      <c r="V116" s="143"/>
      <c r="W116" s="141"/>
      <c r="X116" s="141"/>
      <c r="Y116" s="11"/>
      <c r="Z116" s="11"/>
    </row>
    <row r="117" spans="1:26" ht="15.75" customHeight="1" x14ac:dyDescent="0.3">
      <c r="A117" s="140"/>
      <c r="B117" s="140"/>
      <c r="L117" s="141"/>
      <c r="M117" s="141"/>
      <c r="N117" s="143"/>
      <c r="O117" s="142"/>
      <c r="P117" s="142"/>
      <c r="Q117" s="142"/>
      <c r="R117" s="143"/>
      <c r="S117" s="142"/>
      <c r="T117" s="141"/>
      <c r="U117" s="141"/>
      <c r="V117" s="143"/>
      <c r="W117" s="141"/>
      <c r="X117" s="141"/>
      <c r="Y117" s="11"/>
      <c r="Z117" s="11"/>
    </row>
    <row r="118" spans="1:26" ht="15.75" customHeight="1" x14ac:dyDescent="0.3">
      <c r="A118" s="140"/>
      <c r="B118" s="140"/>
      <c r="L118" s="141"/>
      <c r="M118" s="141"/>
      <c r="N118" s="143"/>
      <c r="O118" s="142"/>
      <c r="P118" s="142"/>
      <c r="Q118" s="142"/>
      <c r="R118" s="143"/>
      <c r="S118" s="142"/>
      <c r="T118" s="141"/>
      <c r="U118" s="141"/>
      <c r="V118" s="143"/>
      <c r="W118" s="141"/>
      <c r="X118" s="141"/>
      <c r="Y118" s="11"/>
      <c r="Z118" s="11"/>
    </row>
    <row r="119" spans="1:26" ht="15.75" customHeight="1" x14ac:dyDescent="0.3">
      <c r="A119" s="140"/>
      <c r="B119" s="140"/>
      <c r="L119" s="141"/>
      <c r="M119" s="141"/>
      <c r="N119" s="143"/>
      <c r="O119" s="142"/>
      <c r="P119" s="142"/>
      <c r="Q119" s="142"/>
      <c r="R119" s="143"/>
      <c r="S119" s="142"/>
      <c r="T119" s="141"/>
      <c r="U119" s="141"/>
      <c r="V119" s="143"/>
      <c r="W119" s="141"/>
      <c r="X119" s="141"/>
      <c r="Y119" s="11"/>
      <c r="Z119" s="11"/>
    </row>
    <row r="120" spans="1:26" ht="15.75" customHeight="1" x14ac:dyDescent="0.3">
      <c r="A120" s="140"/>
      <c r="B120" s="140"/>
      <c r="L120" s="141"/>
      <c r="M120" s="141"/>
      <c r="N120" s="143"/>
      <c r="O120" s="142"/>
      <c r="P120" s="142"/>
      <c r="Q120" s="142"/>
      <c r="R120" s="143"/>
      <c r="S120" s="142"/>
      <c r="T120" s="141"/>
      <c r="U120" s="141"/>
      <c r="V120" s="143"/>
      <c r="W120" s="141"/>
      <c r="X120" s="141"/>
      <c r="Y120" s="11"/>
      <c r="Z120" s="11"/>
    </row>
    <row r="121" spans="1:26" ht="15.75" customHeight="1" x14ac:dyDescent="0.3">
      <c r="A121" s="140"/>
      <c r="B121" s="140"/>
      <c r="L121" s="141"/>
      <c r="M121" s="141"/>
      <c r="N121" s="143"/>
      <c r="O121" s="142"/>
      <c r="P121" s="142"/>
      <c r="Q121" s="142"/>
      <c r="R121" s="143"/>
      <c r="S121" s="142"/>
      <c r="T121" s="141"/>
      <c r="U121" s="141"/>
      <c r="V121" s="143"/>
      <c r="W121" s="141"/>
      <c r="X121" s="141"/>
      <c r="Y121" s="11"/>
      <c r="Z121" s="11"/>
    </row>
    <row r="122" spans="1:26" ht="15.75" customHeight="1" x14ac:dyDescent="0.3">
      <c r="A122" s="140"/>
      <c r="B122" s="140"/>
      <c r="L122" s="141"/>
      <c r="M122" s="141"/>
      <c r="N122" s="143"/>
      <c r="O122" s="142"/>
      <c r="P122" s="142"/>
      <c r="Q122" s="142"/>
      <c r="R122" s="143"/>
      <c r="S122" s="142"/>
      <c r="T122" s="141"/>
      <c r="U122" s="141"/>
      <c r="V122" s="143"/>
      <c r="W122" s="141"/>
      <c r="X122" s="141"/>
      <c r="Y122" s="11"/>
      <c r="Z122" s="11"/>
    </row>
    <row r="123" spans="1:26" ht="15.75" customHeight="1" x14ac:dyDescent="0.3">
      <c r="A123" s="140"/>
      <c r="B123" s="140"/>
      <c r="L123" s="141"/>
      <c r="M123" s="141"/>
      <c r="N123" s="143"/>
      <c r="O123" s="142"/>
      <c r="P123" s="142"/>
      <c r="Q123" s="142"/>
      <c r="R123" s="143"/>
      <c r="S123" s="142"/>
      <c r="T123" s="141"/>
      <c r="U123" s="141"/>
      <c r="V123" s="143"/>
      <c r="W123" s="141"/>
      <c r="X123" s="141"/>
      <c r="Y123" s="11"/>
      <c r="Z123" s="11"/>
    </row>
    <row r="124" spans="1:26" ht="15.75" customHeight="1" x14ac:dyDescent="0.3">
      <c r="A124" s="140"/>
      <c r="B124" s="140"/>
      <c r="L124" s="141"/>
      <c r="M124" s="141"/>
      <c r="N124" s="143"/>
      <c r="O124" s="142"/>
      <c r="P124" s="142"/>
      <c r="Q124" s="142"/>
      <c r="R124" s="143"/>
      <c r="S124" s="142"/>
      <c r="T124" s="141"/>
      <c r="U124" s="141"/>
      <c r="V124" s="143"/>
      <c r="W124" s="141"/>
      <c r="X124" s="141"/>
      <c r="Y124" s="11"/>
      <c r="Z124" s="11"/>
    </row>
    <row r="125" spans="1:26" ht="15.75" customHeight="1" x14ac:dyDescent="0.3">
      <c r="A125" s="140"/>
      <c r="B125" s="140"/>
      <c r="L125" s="141"/>
      <c r="M125" s="141"/>
      <c r="N125" s="143"/>
      <c r="O125" s="142"/>
      <c r="P125" s="142"/>
      <c r="Q125" s="142"/>
      <c r="R125" s="143"/>
      <c r="S125" s="142"/>
      <c r="T125" s="141"/>
      <c r="U125" s="141"/>
      <c r="V125" s="143"/>
      <c r="W125" s="141"/>
      <c r="X125" s="141"/>
      <c r="Y125" s="11"/>
      <c r="Z125" s="11"/>
    </row>
    <row r="126" spans="1:26" ht="15.75" customHeight="1" x14ac:dyDescent="0.3">
      <c r="A126" s="140"/>
      <c r="B126" s="140"/>
      <c r="L126" s="141"/>
      <c r="M126" s="141"/>
      <c r="N126" s="143"/>
      <c r="O126" s="142"/>
      <c r="P126" s="142"/>
      <c r="Q126" s="142"/>
      <c r="R126" s="143"/>
      <c r="S126" s="142"/>
      <c r="T126" s="141"/>
      <c r="U126" s="141"/>
      <c r="V126" s="143"/>
      <c r="W126" s="141"/>
      <c r="X126" s="141"/>
      <c r="Y126" s="11"/>
      <c r="Z126" s="11"/>
    </row>
    <row r="127" spans="1:26" ht="15.75" customHeight="1" x14ac:dyDescent="0.3">
      <c r="A127" s="140"/>
      <c r="B127" s="140"/>
      <c r="L127" s="141"/>
      <c r="M127" s="141"/>
      <c r="N127" s="143"/>
      <c r="O127" s="142"/>
      <c r="P127" s="142"/>
      <c r="Q127" s="142"/>
      <c r="R127" s="143"/>
      <c r="S127" s="142"/>
      <c r="T127" s="141"/>
      <c r="U127" s="141"/>
      <c r="V127" s="143"/>
      <c r="W127" s="141"/>
      <c r="X127" s="141"/>
      <c r="Y127" s="11"/>
      <c r="Z127" s="11"/>
    </row>
    <row r="128" spans="1:26" ht="15.75" customHeight="1" x14ac:dyDescent="0.3">
      <c r="A128" s="140"/>
      <c r="B128" s="140"/>
      <c r="L128" s="141"/>
      <c r="M128" s="141"/>
      <c r="N128" s="143"/>
      <c r="O128" s="142"/>
      <c r="P128" s="142"/>
      <c r="Q128" s="142"/>
      <c r="R128" s="143"/>
      <c r="S128" s="142"/>
      <c r="T128" s="141"/>
      <c r="U128" s="141"/>
      <c r="V128" s="143"/>
      <c r="W128" s="141"/>
      <c r="X128" s="141"/>
      <c r="Y128" s="11"/>
      <c r="Z128" s="11"/>
    </row>
    <row r="129" spans="1:26" ht="15.75" customHeight="1" x14ac:dyDescent="0.3">
      <c r="A129" s="140"/>
      <c r="B129" s="140"/>
      <c r="L129" s="141"/>
      <c r="M129" s="141"/>
      <c r="N129" s="143"/>
      <c r="O129" s="142"/>
      <c r="P129" s="142"/>
      <c r="Q129" s="142"/>
      <c r="R129" s="143"/>
      <c r="S129" s="142"/>
      <c r="T129" s="141"/>
      <c r="U129" s="141"/>
      <c r="V129" s="143"/>
      <c r="W129" s="141"/>
      <c r="X129" s="141"/>
      <c r="Y129" s="11"/>
      <c r="Z129" s="11"/>
    </row>
    <row r="130" spans="1:26" ht="15.75" customHeight="1" x14ac:dyDescent="0.3">
      <c r="A130" s="140"/>
      <c r="B130" s="140"/>
      <c r="L130" s="141"/>
      <c r="M130" s="141"/>
      <c r="N130" s="143"/>
      <c r="O130" s="142"/>
      <c r="P130" s="142"/>
      <c r="Q130" s="142"/>
      <c r="R130" s="143"/>
      <c r="S130" s="142"/>
      <c r="T130" s="141"/>
      <c r="U130" s="141"/>
      <c r="V130" s="143"/>
      <c r="W130" s="141"/>
      <c r="X130" s="141"/>
      <c r="Y130" s="11"/>
      <c r="Z130" s="11"/>
    </row>
    <row r="131" spans="1:26" ht="15.75" customHeight="1" x14ac:dyDescent="0.3">
      <c r="A131" s="140"/>
      <c r="B131" s="140"/>
      <c r="L131" s="141"/>
      <c r="M131" s="141"/>
      <c r="N131" s="143"/>
      <c r="O131" s="142"/>
      <c r="P131" s="142"/>
      <c r="Q131" s="142"/>
      <c r="R131" s="143"/>
      <c r="S131" s="142"/>
      <c r="T131" s="141"/>
      <c r="U131" s="141"/>
      <c r="V131" s="143"/>
      <c r="W131" s="141"/>
      <c r="X131" s="141"/>
      <c r="Y131" s="11"/>
      <c r="Z131" s="11"/>
    </row>
    <row r="132" spans="1:26" ht="15.75" customHeight="1" x14ac:dyDescent="0.3">
      <c r="A132" s="140"/>
      <c r="B132" s="140"/>
      <c r="L132" s="141"/>
      <c r="M132" s="141"/>
      <c r="N132" s="143"/>
      <c r="O132" s="142"/>
      <c r="P132" s="142"/>
      <c r="Q132" s="142"/>
      <c r="R132" s="143"/>
      <c r="S132" s="142"/>
      <c r="T132" s="141"/>
      <c r="U132" s="141"/>
      <c r="V132" s="143"/>
      <c r="W132" s="141"/>
      <c r="X132" s="141"/>
      <c r="Y132" s="11"/>
      <c r="Z132" s="11"/>
    </row>
    <row r="133" spans="1:26" ht="15.75" customHeight="1" x14ac:dyDescent="0.3">
      <c r="A133" s="140"/>
      <c r="B133" s="140"/>
      <c r="L133" s="141"/>
      <c r="M133" s="141"/>
      <c r="N133" s="143"/>
      <c r="O133" s="142"/>
      <c r="P133" s="142"/>
      <c r="Q133" s="142"/>
      <c r="R133" s="143"/>
      <c r="S133" s="142"/>
      <c r="T133" s="141"/>
      <c r="U133" s="141"/>
      <c r="V133" s="143"/>
      <c r="W133" s="141"/>
      <c r="X133" s="141"/>
      <c r="Y133" s="11"/>
      <c r="Z133" s="11"/>
    </row>
    <row r="134" spans="1:26" ht="15.75" customHeight="1" x14ac:dyDescent="0.3">
      <c r="A134" s="140"/>
      <c r="B134" s="140"/>
      <c r="L134" s="141"/>
      <c r="M134" s="141"/>
      <c r="N134" s="143"/>
      <c r="O134" s="142"/>
      <c r="P134" s="142"/>
      <c r="Q134" s="142"/>
      <c r="R134" s="143"/>
      <c r="S134" s="142"/>
      <c r="T134" s="141"/>
      <c r="U134" s="141"/>
      <c r="V134" s="143"/>
      <c r="W134" s="141"/>
      <c r="X134" s="141"/>
      <c r="Y134" s="11"/>
      <c r="Z134" s="11"/>
    </row>
    <row r="135" spans="1:26" ht="15.75" customHeight="1" x14ac:dyDescent="0.3">
      <c r="A135" s="140"/>
      <c r="B135" s="140"/>
      <c r="L135" s="141"/>
      <c r="M135" s="141"/>
      <c r="N135" s="143"/>
      <c r="O135" s="142"/>
      <c r="P135" s="142"/>
      <c r="Q135" s="142"/>
      <c r="R135" s="143"/>
      <c r="S135" s="142"/>
      <c r="T135" s="141"/>
      <c r="U135" s="141"/>
      <c r="V135" s="143"/>
      <c r="W135" s="141"/>
      <c r="X135" s="141"/>
      <c r="Y135" s="11"/>
      <c r="Z135" s="11"/>
    </row>
    <row r="136" spans="1:26" ht="15.75" customHeight="1" x14ac:dyDescent="0.3">
      <c r="A136" s="140"/>
      <c r="B136" s="140"/>
      <c r="L136" s="141"/>
      <c r="M136" s="141"/>
      <c r="N136" s="143"/>
      <c r="O136" s="142"/>
      <c r="P136" s="142"/>
      <c r="Q136" s="142"/>
      <c r="R136" s="143"/>
      <c r="S136" s="142"/>
      <c r="T136" s="141"/>
      <c r="U136" s="141"/>
      <c r="V136" s="143"/>
      <c r="W136" s="141"/>
      <c r="X136" s="141"/>
      <c r="Y136" s="11"/>
      <c r="Z136" s="11"/>
    </row>
    <row r="137" spans="1:26" ht="15.75" customHeight="1" x14ac:dyDescent="0.3">
      <c r="A137" s="140"/>
      <c r="B137" s="140"/>
      <c r="L137" s="141"/>
      <c r="M137" s="141"/>
      <c r="N137" s="143"/>
      <c r="O137" s="142"/>
      <c r="P137" s="142"/>
      <c r="Q137" s="142"/>
      <c r="R137" s="143"/>
      <c r="S137" s="142"/>
      <c r="T137" s="141"/>
      <c r="U137" s="141"/>
      <c r="V137" s="143"/>
      <c r="W137" s="141"/>
      <c r="X137" s="141"/>
      <c r="Y137" s="11"/>
      <c r="Z137" s="11"/>
    </row>
    <row r="138" spans="1:26" ht="15.75" customHeight="1" x14ac:dyDescent="0.3">
      <c r="A138" s="140"/>
      <c r="B138" s="140"/>
      <c r="L138" s="141"/>
      <c r="M138" s="141"/>
      <c r="N138" s="143"/>
      <c r="O138" s="142"/>
      <c r="P138" s="142"/>
      <c r="Q138" s="142"/>
      <c r="R138" s="143"/>
      <c r="S138" s="142"/>
      <c r="T138" s="141"/>
      <c r="U138" s="141"/>
      <c r="V138" s="143"/>
      <c r="W138" s="141"/>
      <c r="X138" s="141"/>
      <c r="Y138" s="11"/>
      <c r="Z138" s="11"/>
    </row>
    <row r="139" spans="1:26" ht="15.75" customHeight="1" x14ac:dyDescent="0.3">
      <c r="A139" s="140"/>
      <c r="B139" s="140"/>
      <c r="L139" s="141"/>
      <c r="M139" s="141"/>
      <c r="N139" s="143"/>
      <c r="O139" s="142"/>
      <c r="P139" s="142"/>
      <c r="Q139" s="142"/>
      <c r="R139" s="143"/>
      <c r="S139" s="142"/>
      <c r="T139" s="141"/>
      <c r="U139" s="141"/>
      <c r="V139" s="143"/>
      <c r="W139" s="141"/>
      <c r="X139" s="141"/>
      <c r="Y139" s="11"/>
      <c r="Z139" s="11"/>
    </row>
    <row r="140" spans="1:26" ht="15.75" customHeight="1" x14ac:dyDescent="0.3">
      <c r="A140" s="140"/>
      <c r="B140" s="140"/>
      <c r="L140" s="141"/>
      <c r="M140" s="141"/>
      <c r="N140" s="143"/>
      <c r="O140" s="142"/>
      <c r="P140" s="142"/>
      <c r="Q140" s="142"/>
      <c r="R140" s="143"/>
      <c r="S140" s="142"/>
      <c r="T140" s="141"/>
      <c r="U140" s="141"/>
      <c r="V140" s="143"/>
      <c r="W140" s="141"/>
      <c r="X140" s="141"/>
      <c r="Y140" s="11"/>
      <c r="Z140" s="11"/>
    </row>
    <row r="141" spans="1:26" ht="15.75" customHeight="1" x14ac:dyDescent="0.3">
      <c r="A141" s="140"/>
      <c r="B141" s="140"/>
      <c r="L141" s="141"/>
      <c r="M141" s="141"/>
      <c r="N141" s="143"/>
      <c r="O141" s="142"/>
      <c r="P141" s="142"/>
      <c r="Q141" s="142"/>
      <c r="R141" s="143"/>
      <c r="S141" s="142"/>
      <c r="T141" s="141"/>
      <c r="U141" s="141"/>
      <c r="V141" s="143"/>
      <c r="W141" s="141"/>
      <c r="X141" s="141"/>
      <c r="Y141" s="11"/>
      <c r="Z141" s="11"/>
    </row>
    <row r="142" spans="1:26" ht="15.75" customHeight="1" x14ac:dyDescent="0.3">
      <c r="A142" s="140"/>
      <c r="B142" s="140"/>
      <c r="L142" s="141"/>
      <c r="M142" s="141"/>
      <c r="N142" s="143"/>
      <c r="O142" s="142"/>
      <c r="P142" s="142"/>
      <c r="Q142" s="142"/>
      <c r="R142" s="143"/>
      <c r="S142" s="142"/>
      <c r="T142" s="141"/>
      <c r="U142" s="141"/>
      <c r="V142" s="143"/>
      <c r="W142" s="141"/>
      <c r="X142" s="141"/>
      <c r="Y142" s="11"/>
      <c r="Z142" s="11"/>
    </row>
    <row r="143" spans="1:26" ht="15.75" customHeight="1" x14ac:dyDescent="0.3">
      <c r="A143" s="140"/>
      <c r="B143" s="140"/>
      <c r="L143" s="141"/>
      <c r="M143" s="141"/>
      <c r="N143" s="143"/>
      <c r="O143" s="142"/>
      <c r="P143" s="142"/>
      <c r="Q143" s="142"/>
      <c r="R143" s="143"/>
      <c r="S143" s="142"/>
      <c r="T143" s="141"/>
      <c r="U143" s="141"/>
      <c r="V143" s="143"/>
      <c r="W143" s="141"/>
      <c r="X143" s="141"/>
      <c r="Y143" s="11"/>
      <c r="Z143" s="11"/>
    </row>
    <row r="144" spans="1:26" ht="15.75" customHeight="1" x14ac:dyDescent="0.3">
      <c r="A144" s="140"/>
      <c r="B144" s="140"/>
      <c r="L144" s="141"/>
      <c r="M144" s="141"/>
      <c r="N144" s="143"/>
      <c r="O144" s="142"/>
      <c r="P144" s="142"/>
      <c r="Q144" s="142"/>
      <c r="R144" s="143"/>
      <c r="S144" s="142"/>
      <c r="T144" s="141"/>
      <c r="U144" s="141"/>
      <c r="V144" s="143"/>
      <c r="W144" s="141"/>
      <c r="X144" s="141"/>
      <c r="Y144" s="11"/>
      <c r="Z144" s="11"/>
    </row>
    <row r="145" spans="1:26" ht="15.75" customHeight="1" x14ac:dyDescent="0.3">
      <c r="A145" s="140"/>
      <c r="B145" s="140"/>
      <c r="L145" s="141"/>
      <c r="M145" s="141"/>
      <c r="N145" s="143"/>
      <c r="O145" s="142"/>
      <c r="P145" s="142"/>
      <c r="Q145" s="142"/>
      <c r="R145" s="143"/>
      <c r="S145" s="142"/>
      <c r="T145" s="141"/>
      <c r="U145" s="141"/>
      <c r="V145" s="143"/>
      <c r="W145" s="141"/>
      <c r="X145" s="141"/>
      <c r="Y145" s="11"/>
      <c r="Z145" s="11"/>
    </row>
    <row r="146" spans="1:26" ht="15.75" customHeight="1" x14ac:dyDescent="0.3">
      <c r="A146" s="140"/>
      <c r="B146" s="140"/>
      <c r="L146" s="141"/>
      <c r="M146" s="141"/>
      <c r="N146" s="143"/>
      <c r="O146" s="142"/>
      <c r="P146" s="142"/>
      <c r="Q146" s="142"/>
      <c r="R146" s="143"/>
      <c r="S146" s="142"/>
      <c r="T146" s="141"/>
      <c r="U146" s="141"/>
      <c r="V146" s="143"/>
      <c r="W146" s="141"/>
      <c r="X146" s="141"/>
      <c r="Y146" s="11"/>
      <c r="Z146" s="11"/>
    </row>
    <row r="147" spans="1:26" ht="15.75" customHeight="1" x14ac:dyDescent="0.3">
      <c r="A147" s="140"/>
      <c r="B147" s="140"/>
      <c r="L147" s="141"/>
      <c r="M147" s="141"/>
      <c r="N147" s="143"/>
      <c r="O147" s="142"/>
      <c r="P147" s="142"/>
      <c r="Q147" s="142"/>
      <c r="R147" s="143"/>
      <c r="S147" s="142"/>
      <c r="T147" s="141"/>
      <c r="U147" s="141"/>
      <c r="V147" s="143"/>
      <c r="W147" s="141"/>
      <c r="X147" s="141"/>
      <c r="Y147" s="11"/>
      <c r="Z147" s="11"/>
    </row>
    <row r="148" spans="1:26" ht="15.75" customHeight="1" x14ac:dyDescent="0.3">
      <c r="A148" s="140"/>
      <c r="B148" s="140"/>
      <c r="L148" s="141"/>
      <c r="M148" s="141"/>
      <c r="N148" s="143"/>
      <c r="O148" s="142"/>
      <c r="P148" s="142"/>
      <c r="Q148" s="142"/>
      <c r="R148" s="143"/>
      <c r="S148" s="142"/>
      <c r="T148" s="141"/>
      <c r="U148" s="141"/>
      <c r="V148" s="143"/>
      <c r="W148" s="141"/>
      <c r="X148" s="141"/>
      <c r="Y148" s="11"/>
      <c r="Z148" s="11"/>
    </row>
    <row r="149" spans="1:26" ht="15.75" customHeight="1" x14ac:dyDescent="0.3">
      <c r="A149" s="140"/>
      <c r="B149" s="140"/>
      <c r="L149" s="141"/>
      <c r="M149" s="141"/>
      <c r="N149" s="143"/>
      <c r="O149" s="142"/>
      <c r="P149" s="142"/>
      <c r="Q149" s="142"/>
      <c r="R149" s="143"/>
      <c r="S149" s="142"/>
      <c r="T149" s="141"/>
      <c r="U149" s="141"/>
      <c r="V149" s="143"/>
      <c r="W149" s="141"/>
      <c r="X149" s="141"/>
      <c r="Y149" s="11"/>
      <c r="Z149" s="11"/>
    </row>
    <row r="150" spans="1:26" ht="15.75" customHeight="1" x14ac:dyDescent="0.3">
      <c r="A150" s="140"/>
      <c r="B150" s="140"/>
      <c r="L150" s="141"/>
      <c r="M150" s="141"/>
      <c r="N150" s="143"/>
      <c r="O150" s="142"/>
      <c r="P150" s="142"/>
      <c r="Q150" s="142"/>
      <c r="R150" s="143"/>
      <c r="S150" s="142"/>
      <c r="T150" s="141"/>
      <c r="U150" s="141"/>
      <c r="V150" s="143"/>
      <c r="W150" s="141"/>
      <c r="X150" s="141"/>
      <c r="Y150" s="11"/>
      <c r="Z150" s="11"/>
    </row>
    <row r="151" spans="1:26" ht="15.75" customHeight="1" x14ac:dyDescent="0.3">
      <c r="A151" s="140"/>
      <c r="B151" s="140"/>
      <c r="L151" s="141"/>
      <c r="M151" s="141"/>
      <c r="N151" s="143"/>
      <c r="O151" s="142"/>
      <c r="P151" s="142"/>
      <c r="Q151" s="142"/>
      <c r="R151" s="143"/>
      <c r="S151" s="142"/>
      <c r="T151" s="141"/>
      <c r="U151" s="141"/>
      <c r="V151" s="143"/>
      <c r="W151" s="141"/>
      <c r="X151" s="141"/>
      <c r="Y151" s="11"/>
      <c r="Z151" s="11"/>
    </row>
    <row r="152" spans="1:26" ht="15.75" customHeight="1" x14ac:dyDescent="0.3">
      <c r="A152" s="140"/>
      <c r="B152" s="140"/>
      <c r="L152" s="141"/>
      <c r="M152" s="141"/>
      <c r="N152" s="143"/>
      <c r="O152" s="142"/>
      <c r="P152" s="142"/>
      <c r="Q152" s="142"/>
      <c r="R152" s="143"/>
      <c r="S152" s="142"/>
      <c r="T152" s="141"/>
      <c r="U152" s="141"/>
      <c r="V152" s="143"/>
      <c r="W152" s="141"/>
      <c r="X152" s="141"/>
      <c r="Y152" s="11"/>
      <c r="Z152" s="11"/>
    </row>
    <row r="153" spans="1:26" ht="15.75" customHeight="1" x14ac:dyDescent="0.3">
      <c r="A153" s="140"/>
      <c r="B153" s="140"/>
      <c r="L153" s="141"/>
      <c r="M153" s="141"/>
      <c r="N153" s="143"/>
      <c r="O153" s="142"/>
      <c r="P153" s="142"/>
      <c r="Q153" s="142"/>
      <c r="R153" s="143"/>
      <c r="S153" s="142"/>
      <c r="T153" s="141"/>
      <c r="U153" s="141"/>
      <c r="V153" s="143"/>
      <c r="W153" s="141"/>
      <c r="X153" s="141"/>
      <c r="Y153" s="11"/>
      <c r="Z153" s="11"/>
    </row>
    <row r="154" spans="1:26" ht="15.75" customHeight="1" x14ac:dyDescent="0.3">
      <c r="A154" s="140"/>
      <c r="B154" s="140"/>
      <c r="L154" s="141"/>
      <c r="M154" s="141"/>
      <c r="N154" s="143"/>
      <c r="O154" s="142"/>
      <c r="P154" s="142"/>
      <c r="Q154" s="142"/>
      <c r="R154" s="143"/>
      <c r="S154" s="142"/>
      <c r="T154" s="141"/>
      <c r="U154" s="141"/>
      <c r="V154" s="143"/>
      <c r="W154" s="141"/>
      <c r="X154" s="141"/>
      <c r="Y154" s="11"/>
      <c r="Z154" s="11"/>
    </row>
    <row r="155" spans="1:26" ht="15.75" customHeight="1" x14ac:dyDescent="0.3">
      <c r="A155" s="140"/>
      <c r="B155" s="140"/>
      <c r="L155" s="141"/>
      <c r="M155" s="141"/>
      <c r="N155" s="143"/>
      <c r="O155" s="142"/>
      <c r="P155" s="142"/>
      <c r="Q155" s="142"/>
      <c r="R155" s="143"/>
      <c r="S155" s="142"/>
      <c r="T155" s="141"/>
      <c r="U155" s="141"/>
      <c r="V155" s="143"/>
      <c r="W155" s="141"/>
      <c r="X155" s="141"/>
      <c r="Y155" s="11"/>
      <c r="Z155" s="11"/>
    </row>
    <row r="156" spans="1:26" ht="15.75" customHeight="1" x14ac:dyDescent="0.3">
      <c r="A156" s="140"/>
      <c r="B156" s="140"/>
      <c r="L156" s="141"/>
      <c r="M156" s="141"/>
      <c r="N156" s="143"/>
      <c r="O156" s="142"/>
      <c r="P156" s="142"/>
      <c r="Q156" s="142"/>
      <c r="R156" s="143"/>
      <c r="S156" s="142"/>
      <c r="T156" s="141"/>
      <c r="U156" s="141"/>
      <c r="V156" s="143"/>
      <c r="W156" s="141"/>
      <c r="X156" s="141"/>
      <c r="Y156" s="11"/>
      <c r="Z156" s="11"/>
    </row>
    <row r="157" spans="1:26" ht="15.75" customHeight="1" x14ac:dyDescent="0.3">
      <c r="A157" s="140"/>
      <c r="B157" s="140"/>
      <c r="L157" s="141"/>
      <c r="M157" s="141"/>
      <c r="N157" s="143"/>
      <c r="O157" s="142"/>
      <c r="P157" s="142"/>
      <c r="Q157" s="142"/>
      <c r="R157" s="143"/>
      <c r="S157" s="142"/>
      <c r="T157" s="141"/>
      <c r="U157" s="141"/>
      <c r="V157" s="143"/>
      <c r="W157" s="141"/>
      <c r="X157" s="141"/>
      <c r="Y157" s="11"/>
      <c r="Z157" s="11"/>
    </row>
    <row r="158" spans="1:26" ht="15.75" customHeight="1" x14ac:dyDescent="0.3">
      <c r="A158" s="140"/>
      <c r="B158" s="140"/>
      <c r="L158" s="141"/>
      <c r="M158" s="141"/>
      <c r="N158" s="143"/>
      <c r="O158" s="142"/>
      <c r="P158" s="142"/>
      <c r="Q158" s="142"/>
      <c r="R158" s="143"/>
      <c r="S158" s="142"/>
      <c r="T158" s="141"/>
      <c r="U158" s="141"/>
      <c r="V158" s="143"/>
      <c r="W158" s="141"/>
      <c r="X158" s="141"/>
      <c r="Y158" s="11"/>
      <c r="Z158" s="11"/>
    </row>
    <row r="159" spans="1:26" ht="15.75" customHeight="1" x14ac:dyDescent="0.3">
      <c r="A159" s="140"/>
      <c r="B159" s="140"/>
      <c r="L159" s="141"/>
      <c r="M159" s="141"/>
      <c r="N159" s="143"/>
      <c r="O159" s="142"/>
      <c r="P159" s="142"/>
      <c r="Q159" s="142"/>
      <c r="R159" s="143"/>
      <c r="S159" s="142"/>
      <c r="T159" s="141"/>
      <c r="U159" s="141"/>
      <c r="V159" s="143"/>
      <c r="W159" s="141"/>
      <c r="X159" s="141"/>
      <c r="Y159" s="11"/>
      <c r="Z159" s="11"/>
    </row>
    <row r="160" spans="1:26" ht="15.75" customHeight="1" x14ac:dyDescent="0.3">
      <c r="A160" s="140"/>
      <c r="B160" s="140"/>
      <c r="L160" s="141"/>
      <c r="M160" s="141"/>
      <c r="N160" s="143"/>
      <c r="O160" s="142"/>
      <c r="P160" s="142"/>
      <c r="Q160" s="142"/>
      <c r="R160" s="143"/>
      <c r="S160" s="142"/>
      <c r="T160" s="141"/>
      <c r="U160" s="141"/>
      <c r="V160" s="143"/>
      <c r="W160" s="141"/>
      <c r="X160" s="141"/>
      <c r="Y160" s="11"/>
      <c r="Z160" s="11"/>
    </row>
    <row r="161" spans="1:26" ht="15.75" customHeight="1" x14ac:dyDescent="0.3">
      <c r="A161" s="140"/>
      <c r="B161" s="140"/>
      <c r="L161" s="141"/>
      <c r="M161" s="141"/>
      <c r="N161" s="143"/>
      <c r="O161" s="142"/>
      <c r="P161" s="142"/>
      <c r="Q161" s="142"/>
      <c r="R161" s="143"/>
      <c r="S161" s="142"/>
      <c r="T161" s="141"/>
      <c r="U161" s="141"/>
      <c r="V161" s="143"/>
      <c r="W161" s="141"/>
      <c r="X161" s="141"/>
      <c r="Y161" s="11"/>
      <c r="Z161" s="11"/>
    </row>
    <row r="162" spans="1:26" ht="15.75" customHeight="1" x14ac:dyDescent="0.3">
      <c r="A162" s="140"/>
      <c r="B162" s="140"/>
      <c r="L162" s="141"/>
      <c r="M162" s="141"/>
      <c r="N162" s="143"/>
      <c r="O162" s="142"/>
      <c r="P162" s="142"/>
      <c r="Q162" s="142"/>
      <c r="R162" s="143"/>
      <c r="S162" s="142"/>
      <c r="T162" s="141"/>
      <c r="U162" s="141"/>
      <c r="V162" s="143"/>
      <c r="W162" s="141"/>
      <c r="X162" s="141"/>
      <c r="Y162" s="11"/>
      <c r="Z162" s="11"/>
    </row>
    <row r="163" spans="1:26" ht="15.75" customHeight="1" x14ac:dyDescent="0.3">
      <c r="A163" s="140"/>
      <c r="B163" s="140"/>
      <c r="L163" s="141"/>
      <c r="M163" s="141"/>
      <c r="N163" s="143"/>
      <c r="O163" s="142"/>
      <c r="P163" s="142"/>
      <c r="Q163" s="142"/>
      <c r="R163" s="143"/>
      <c r="S163" s="142"/>
      <c r="T163" s="141"/>
      <c r="U163" s="141"/>
      <c r="V163" s="143"/>
      <c r="W163" s="141"/>
      <c r="X163" s="141"/>
      <c r="Y163" s="11"/>
      <c r="Z163" s="11"/>
    </row>
    <row r="164" spans="1:26" ht="15.75" customHeight="1" x14ac:dyDescent="0.3">
      <c r="A164" s="140"/>
      <c r="B164" s="140"/>
      <c r="L164" s="141"/>
      <c r="M164" s="141"/>
      <c r="N164" s="143"/>
      <c r="O164" s="142"/>
      <c r="P164" s="142"/>
      <c r="Q164" s="142"/>
      <c r="R164" s="143"/>
      <c r="S164" s="142"/>
      <c r="T164" s="141"/>
      <c r="U164" s="141"/>
      <c r="V164" s="143"/>
      <c r="W164" s="141"/>
      <c r="X164" s="141"/>
      <c r="Y164" s="11"/>
      <c r="Z164" s="11"/>
    </row>
    <row r="165" spans="1:26" ht="15.75" customHeight="1" x14ac:dyDescent="0.3">
      <c r="A165" s="140"/>
      <c r="B165" s="140"/>
      <c r="L165" s="141"/>
      <c r="M165" s="141"/>
      <c r="N165" s="143"/>
      <c r="O165" s="142"/>
      <c r="P165" s="142"/>
      <c r="Q165" s="142"/>
      <c r="R165" s="143"/>
      <c r="S165" s="142"/>
      <c r="T165" s="141"/>
      <c r="U165" s="141"/>
      <c r="V165" s="143"/>
      <c r="W165" s="141"/>
      <c r="X165" s="141"/>
      <c r="Y165" s="11"/>
      <c r="Z165" s="11"/>
    </row>
    <row r="166" spans="1:26" ht="15.75" customHeight="1" x14ac:dyDescent="0.3">
      <c r="A166" s="140"/>
      <c r="B166" s="140"/>
      <c r="L166" s="141"/>
      <c r="M166" s="141"/>
      <c r="N166" s="143"/>
      <c r="O166" s="142"/>
      <c r="P166" s="142"/>
      <c r="Q166" s="142"/>
      <c r="R166" s="143"/>
      <c r="S166" s="142"/>
      <c r="T166" s="141"/>
      <c r="U166" s="141"/>
      <c r="V166" s="143"/>
      <c r="W166" s="141"/>
      <c r="X166" s="141"/>
      <c r="Y166" s="11"/>
      <c r="Z166" s="11"/>
    </row>
    <row r="167" spans="1:26" ht="15.75" customHeight="1" x14ac:dyDescent="0.3">
      <c r="A167" s="140"/>
      <c r="B167" s="140"/>
      <c r="L167" s="141"/>
      <c r="M167" s="141"/>
      <c r="N167" s="143"/>
      <c r="O167" s="142"/>
      <c r="P167" s="142"/>
      <c r="Q167" s="142"/>
      <c r="R167" s="143"/>
      <c r="S167" s="142"/>
      <c r="T167" s="141"/>
      <c r="U167" s="141"/>
      <c r="V167" s="143"/>
      <c r="W167" s="141"/>
      <c r="X167" s="141"/>
      <c r="Y167" s="11"/>
      <c r="Z167" s="11"/>
    </row>
    <row r="168" spans="1:26" ht="15.75" customHeight="1" x14ac:dyDescent="0.3">
      <c r="A168" s="140"/>
      <c r="B168" s="140"/>
      <c r="L168" s="141"/>
      <c r="M168" s="141"/>
      <c r="N168" s="143"/>
      <c r="O168" s="142"/>
      <c r="P168" s="142"/>
      <c r="Q168" s="142"/>
      <c r="R168" s="143"/>
      <c r="S168" s="142"/>
      <c r="T168" s="141"/>
      <c r="U168" s="141"/>
      <c r="V168" s="143"/>
      <c r="W168" s="141"/>
      <c r="X168" s="141"/>
      <c r="Y168" s="11"/>
      <c r="Z168" s="11"/>
    </row>
    <row r="169" spans="1:26" ht="15.75" customHeight="1" x14ac:dyDescent="0.3">
      <c r="A169" s="140"/>
      <c r="B169" s="140"/>
      <c r="L169" s="141"/>
      <c r="M169" s="141"/>
      <c r="N169" s="143"/>
      <c r="O169" s="142"/>
      <c r="P169" s="142"/>
      <c r="Q169" s="142"/>
      <c r="R169" s="143"/>
      <c r="S169" s="142"/>
      <c r="T169" s="141"/>
      <c r="U169" s="141"/>
      <c r="V169" s="143"/>
      <c r="W169" s="141"/>
      <c r="X169" s="141"/>
      <c r="Y169" s="11"/>
      <c r="Z169" s="11"/>
    </row>
    <row r="170" spans="1:26" ht="15.75" customHeight="1" x14ac:dyDescent="0.3">
      <c r="A170" s="140"/>
      <c r="B170" s="140"/>
      <c r="L170" s="141"/>
      <c r="M170" s="141"/>
      <c r="N170" s="143"/>
      <c r="O170" s="142"/>
      <c r="P170" s="142"/>
      <c r="Q170" s="142"/>
      <c r="R170" s="143"/>
      <c r="S170" s="142"/>
      <c r="T170" s="141"/>
      <c r="U170" s="141"/>
      <c r="V170" s="143"/>
      <c r="W170" s="141"/>
      <c r="X170" s="141"/>
      <c r="Y170" s="11"/>
      <c r="Z170" s="11"/>
    </row>
    <row r="171" spans="1:26" ht="15.75" customHeight="1" x14ac:dyDescent="0.3">
      <c r="A171" s="140"/>
      <c r="B171" s="140"/>
      <c r="L171" s="141"/>
      <c r="M171" s="141"/>
      <c r="N171" s="143"/>
      <c r="O171" s="142"/>
      <c r="P171" s="142"/>
      <c r="Q171" s="142"/>
      <c r="R171" s="143"/>
      <c r="S171" s="142"/>
      <c r="T171" s="141"/>
      <c r="U171" s="141"/>
      <c r="V171" s="143"/>
      <c r="W171" s="141"/>
      <c r="X171" s="141"/>
      <c r="Y171" s="11"/>
      <c r="Z171" s="11"/>
    </row>
    <row r="172" spans="1:26" ht="15.75" customHeight="1" x14ac:dyDescent="0.3">
      <c r="A172" s="140"/>
      <c r="B172" s="140"/>
      <c r="L172" s="141"/>
      <c r="M172" s="141"/>
      <c r="N172" s="143"/>
      <c r="O172" s="142"/>
      <c r="P172" s="142"/>
      <c r="Q172" s="142"/>
      <c r="R172" s="143"/>
      <c r="S172" s="142"/>
      <c r="T172" s="141"/>
      <c r="U172" s="141"/>
      <c r="V172" s="143"/>
      <c r="W172" s="141"/>
      <c r="X172" s="141"/>
      <c r="Y172" s="11"/>
      <c r="Z172" s="11"/>
    </row>
    <row r="173" spans="1:26" ht="15.75" customHeight="1" x14ac:dyDescent="0.3">
      <c r="A173" s="140"/>
      <c r="B173" s="140"/>
      <c r="L173" s="141"/>
      <c r="M173" s="141"/>
      <c r="N173" s="143"/>
      <c r="O173" s="142"/>
      <c r="P173" s="142"/>
      <c r="Q173" s="142"/>
      <c r="R173" s="143"/>
      <c r="S173" s="142"/>
      <c r="T173" s="141"/>
      <c r="U173" s="141"/>
      <c r="V173" s="143"/>
      <c r="W173" s="141"/>
      <c r="X173" s="141"/>
      <c r="Y173" s="11"/>
      <c r="Z173" s="11"/>
    </row>
    <row r="174" spans="1:26" ht="15.75" customHeight="1" x14ac:dyDescent="0.3">
      <c r="A174" s="140"/>
      <c r="B174" s="140"/>
      <c r="L174" s="141"/>
      <c r="M174" s="141"/>
      <c r="N174" s="143"/>
      <c r="O174" s="142"/>
      <c r="P174" s="142"/>
      <c r="Q174" s="142"/>
      <c r="R174" s="143"/>
      <c r="S174" s="142"/>
      <c r="T174" s="141"/>
      <c r="U174" s="141"/>
      <c r="V174" s="143"/>
      <c r="W174" s="141"/>
      <c r="X174" s="141"/>
      <c r="Y174" s="11"/>
      <c r="Z174" s="11"/>
    </row>
    <row r="175" spans="1:26" ht="15.75" customHeight="1" x14ac:dyDescent="0.3">
      <c r="A175" s="140"/>
      <c r="B175" s="140"/>
      <c r="L175" s="141"/>
      <c r="M175" s="141"/>
      <c r="N175" s="143"/>
      <c r="O175" s="142"/>
      <c r="P175" s="142"/>
      <c r="Q175" s="142"/>
      <c r="R175" s="143"/>
      <c r="S175" s="142"/>
      <c r="T175" s="141"/>
      <c r="U175" s="141"/>
      <c r="V175" s="143"/>
      <c r="W175" s="141"/>
      <c r="X175" s="141"/>
      <c r="Y175" s="11"/>
      <c r="Z175" s="11"/>
    </row>
    <row r="176" spans="1:26" ht="15.75" customHeight="1" x14ac:dyDescent="0.3">
      <c r="A176" s="140"/>
      <c r="B176" s="140"/>
      <c r="L176" s="141"/>
      <c r="M176" s="141"/>
      <c r="N176" s="143"/>
      <c r="O176" s="142"/>
      <c r="P176" s="142"/>
      <c r="Q176" s="142"/>
      <c r="R176" s="143"/>
      <c r="S176" s="142"/>
      <c r="T176" s="141"/>
      <c r="U176" s="141"/>
      <c r="V176" s="143"/>
      <c r="W176" s="141"/>
      <c r="X176" s="141"/>
      <c r="Y176" s="11"/>
      <c r="Z176" s="11"/>
    </row>
    <row r="177" spans="1:26" ht="15.75" customHeight="1" x14ac:dyDescent="0.3">
      <c r="A177" s="140"/>
      <c r="B177" s="140"/>
      <c r="L177" s="141"/>
      <c r="M177" s="141"/>
      <c r="N177" s="143"/>
      <c r="O177" s="142"/>
      <c r="P177" s="142"/>
      <c r="Q177" s="142"/>
      <c r="R177" s="143"/>
      <c r="S177" s="142"/>
      <c r="T177" s="141"/>
      <c r="U177" s="141"/>
      <c r="V177" s="143"/>
      <c r="W177" s="141"/>
      <c r="X177" s="141"/>
      <c r="Y177" s="11"/>
      <c r="Z177" s="11"/>
    </row>
    <row r="178" spans="1:26" ht="15.75" customHeight="1" x14ac:dyDescent="0.3">
      <c r="A178" s="140"/>
      <c r="B178" s="140"/>
      <c r="L178" s="141"/>
      <c r="M178" s="141"/>
      <c r="N178" s="143"/>
      <c r="O178" s="142"/>
      <c r="P178" s="142"/>
      <c r="Q178" s="142"/>
      <c r="R178" s="143"/>
      <c r="S178" s="142"/>
      <c r="T178" s="141"/>
      <c r="U178" s="141"/>
      <c r="V178" s="143"/>
      <c r="W178" s="141"/>
      <c r="X178" s="141"/>
      <c r="Y178" s="11"/>
      <c r="Z178" s="11"/>
    </row>
    <row r="179" spans="1:26" ht="15.75" customHeight="1" x14ac:dyDescent="0.3">
      <c r="A179" s="140"/>
      <c r="B179" s="140"/>
      <c r="L179" s="141"/>
      <c r="M179" s="141"/>
      <c r="N179" s="143"/>
      <c r="O179" s="142"/>
      <c r="P179" s="142"/>
      <c r="Q179" s="142"/>
      <c r="R179" s="143"/>
      <c r="S179" s="142"/>
      <c r="T179" s="141"/>
      <c r="U179" s="141"/>
      <c r="V179" s="143"/>
      <c r="W179" s="141"/>
      <c r="X179" s="141"/>
      <c r="Y179" s="11"/>
      <c r="Z179" s="11"/>
    </row>
    <row r="180" spans="1:26" ht="15.75" customHeight="1" x14ac:dyDescent="0.3">
      <c r="A180" s="140"/>
      <c r="B180" s="140"/>
      <c r="L180" s="141"/>
      <c r="M180" s="141"/>
      <c r="N180" s="143"/>
      <c r="O180" s="142"/>
      <c r="P180" s="142"/>
      <c r="Q180" s="142"/>
      <c r="R180" s="143"/>
      <c r="S180" s="142"/>
      <c r="T180" s="141"/>
      <c r="U180" s="141"/>
      <c r="V180" s="143"/>
      <c r="W180" s="141"/>
      <c r="X180" s="141"/>
      <c r="Y180" s="11"/>
      <c r="Z180" s="11"/>
    </row>
    <row r="181" spans="1:26" ht="15.75" customHeight="1" x14ac:dyDescent="0.3">
      <c r="A181" s="140"/>
      <c r="B181" s="140"/>
      <c r="L181" s="141"/>
      <c r="M181" s="141"/>
      <c r="N181" s="143"/>
      <c r="O181" s="142"/>
      <c r="P181" s="142"/>
      <c r="Q181" s="142"/>
      <c r="R181" s="143"/>
      <c r="S181" s="142"/>
      <c r="T181" s="141"/>
      <c r="U181" s="141"/>
      <c r="V181" s="143"/>
      <c r="W181" s="141"/>
      <c r="X181" s="141"/>
      <c r="Y181" s="11"/>
      <c r="Z181" s="11"/>
    </row>
    <row r="182" spans="1:26" ht="15.75" customHeight="1" x14ac:dyDescent="0.3">
      <c r="A182" s="140"/>
      <c r="B182" s="140"/>
      <c r="L182" s="141"/>
      <c r="M182" s="141"/>
      <c r="N182" s="143"/>
      <c r="O182" s="142"/>
      <c r="P182" s="142"/>
      <c r="Q182" s="142"/>
      <c r="R182" s="143"/>
      <c r="S182" s="142"/>
      <c r="T182" s="141"/>
      <c r="U182" s="141"/>
      <c r="V182" s="143"/>
      <c r="W182" s="141"/>
      <c r="X182" s="141"/>
      <c r="Y182" s="11"/>
      <c r="Z182" s="11"/>
    </row>
    <row r="183" spans="1:26" ht="15.75" customHeight="1" x14ac:dyDescent="0.3">
      <c r="A183" s="140"/>
      <c r="B183" s="140"/>
      <c r="L183" s="141"/>
      <c r="M183" s="141"/>
      <c r="N183" s="143"/>
      <c r="O183" s="142"/>
      <c r="P183" s="142"/>
      <c r="Q183" s="142"/>
      <c r="R183" s="143"/>
      <c r="S183" s="142"/>
      <c r="T183" s="141"/>
      <c r="U183" s="141"/>
      <c r="V183" s="143"/>
      <c r="W183" s="141"/>
      <c r="X183" s="141"/>
      <c r="Y183" s="11"/>
      <c r="Z183" s="11"/>
    </row>
    <row r="184" spans="1:26" ht="15.75" customHeight="1" x14ac:dyDescent="0.3">
      <c r="A184" s="140"/>
      <c r="B184" s="140"/>
      <c r="L184" s="141"/>
      <c r="M184" s="141"/>
      <c r="N184" s="143"/>
      <c r="O184" s="142"/>
      <c r="P184" s="142"/>
      <c r="Q184" s="142"/>
      <c r="R184" s="143"/>
      <c r="S184" s="142"/>
      <c r="T184" s="141"/>
      <c r="U184" s="141"/>
      <c r="V184" s="143"/>
      <c r="W184" s="141"/>
      <c r="X184" s="141"/>
      <c r="Y184" s="11"/>
      <c r="Z184" s="11"/>
    </row>
    <row r="185" spans="1:26" ht="15.75" customHeight="1" x14ac:dyDescent="0.3">
      <c r="A185" s="140"/>
      <c r="B185" s="140"/>
      <c r="L185" s="141"/>
      <c r="M185" s="141"/>
      <c r="N185" s="143"/>
      <c r="O185" s="142"/>
      <c r="P185" s="142"/>
      <c r="Q185" s="142"/>
      <c r="R185" s="143"/>
      <c r="S185" s="142"/>
      <c r="T185" s="141"/>
      <c r="U185" s="141"/>
      <c r="V185" s="143"/>
      <c r="W185" s="141"/>
      <c r="X185" s="141"/>
      <c r="Y185" s="11"/>
      <c r="Z185" s="11"/>
    </row>
    <row r="186" spans="1:26" ht="15.75" customHeight="1" x14ac:dyDescent="0.3">
      <c r="A186" s="140"/>
      <c r="B186" s="140"/>
      <c r="L186" s="141"/>
      <c r="M186" s="141"/>
      <c r="N186" s="143"/>
      <c r="O186" s="142"/>
      <c r="P186" s="142"/>
      <c r="Q186" s="142"/>
      <c r="R186" s="143"/>
      <c r="S186" s="142"/>
      <c r="T186" s="141"/>
      <c r="U186" s="141"/>
      <c r="V186" s="143"/>
      <c r="W186" s="141"/>
      <c r="X186" s="141"/>
      <c r="Y186" s="11"/>
      <c r="Z186" s="11"/>
    </row>
    <row r="187" spans="1:26" ht="15.75" customHeight="1" x14ac:dyDescent="0.3">
      <c r="A187" s="140"/>
      <c r="B187" s="140"/>
      <c r="L187" s="141"/>
      <c r="M187" s="141"/>
      <c r="N187" s="143"/>
      <c r="O187" s="142"/>
      <c r="P187" s="142"/>
      <c r="Q187" s="142"/>
      <c r="R187" s="143"/>
      <c r="S187" s="142"/>
      <c r="T187" s="141"/>
      <c r="U187" s="141"/>
      <c r="V187" s="143"/>
      <c r="W187" s="141"/>
      <c r="X187" s="141"/>
      <c r="Y187" s="11"/>
      <c r="Z187" s="11"/>
    </row>
    <row r="188" spans="1:26" ht="15.75" customHeight="1" x14ac:dyDescent="0.3">
      <c r="A188" s="140"/>
      <c r="B188" s="140"/>
      <c r="L188" s="141"/>
      <c r="M188" s="141"/>
      <c r="N188" s="143"/>
      <c r="O188" s="142"/>
      <c r="P188" s="142"/>
      <c r="Q188" s="142"/>
      <c r="R188" s="143"/>
      <c r="S188" s="142"/>
      <c r="T188" s="141"/>
      <c r="U188" s="141"/>
      <c r="V188" s="143"/>
      <c r="W188" s="141"/>
      <c r="X188" s="141"/>
      <c r="Y188" s="11"/>
      <c r="Z188" s="11"/>
    </row>
    <row r="189" spans="1:26" ht="15.75" customHeight="1" x14ac:dyDescent="0.3">
      <c r="A189" s="140"/>
      <c r="B189" s="140"/>
      <c r="L189" s="141"/>
      <c r="M189" s="141"/>
      <c r="N189" s="143"/>
      <c r="O189" s="142"/>
      <c r="P189" s="142"/>
      <c r="Q189" s="142"/>
      <c r="R189" s="143"/>
      <c r="S189" s="142"/>
      <c r="T189" s="141"/>
      <c r="U189" s="141"/>
      <c r="V189" s="143"/>
      <c r="W189" s="141"/>
      <c r="X189" s="141"/>
      <c r="Y189" s="11"/>
      <c r="Z189" s="11"/>
    </row>
    <row r="190" spans="1:26" ht="15.75" customHeight="1" x14ac:dyDescent="0.3">
      <c r="A190" s="140"/>
      <c r="B190" s="140"/>
      <c r="L190" s="141"/>
      <c r="M190" s="141"/>
      <c r="N190" s="143"/>
      <c r="O190" s="142"/>
      <c r="P190" s="142"/>
      <c r="Q190" s="142"/>
      <c r="R190" s="143"/>
      <c r="S190" s="142"/>
      <c r="T190" s="141"/>
      <c r="U190" s="141"/>
      <c r="V190" s="143"/>
      <c r="W190" s="141"/>
      <c r="X190" s="141"/>
      <c r="Y190" s="11"/>
      <c r="Z190" s="11"/>
    </row>
    <row r="191" spans="1:26" ht="15.75" customHeight="1" x14ac:dyDescent="0.3">
      <c r="A191" s="140"/>
      <c r="B191" s="140"/>
      <c r="L191" s="141"/>
      <c r="M191" s="141"/>
      <c r="N191" s="143"/>
      <c r="O191" s="142"/>
      <c r="P191" s="142"/>
      <c r="Q191" s="142"/>
      <c r="R191" s="143"/>
      <c r="S191" s="142"/>
      <c r="T191" s="141"/>
      <c r="U191" s="141"/>
      <c r="V191" s="143"/>
      <c r="W191" s="141"/>
      <c r="X191" s="141"/>
      <c r="Y191" s="11"/>
      <c r="Z191" s="11"/>
    </row>
    <row r="192" spans="1:26" ht="15.75" customHeight="1" x14ac:dyDescent="0.3">
      <c r="A192" s="140"/>
      <c r="B192" s="140"/>
      <c r="L192" s="141"/>
      <c r="M192" s="141"/>
      <c r="N192" s="143"/>
      <c r="O192" s="142"/>
      <c r="P192" s="142"/>
      <c r="Q192" s="142"/>
      <c r="R192" s="143"/>
      <c r="S192" s="142"/>
      <c r="T192" s="141"/>
      <c r="U192" s="141"/>
      <c r="V192" s="143"/>
      <c r="W192" s="141"/>
      <c r="X192" s="141"/>
      <c r="Y192" s="11"/>
      <c r="Z192" s="11"/>
    </row>
    <row r="193" spans="1:26" ht="15.75" customHeight="1" x14ac:dyDescent="0.3">
      <c r="A193" s="140"/>
      <c r="B193" s="140"/>
      <c r="L193" s="141"/>
      <c r="M193" s="141"/>
      <c r="N193" s="143"/>
      <c r="O193" s="142"/>
      <c r="P193" s="142"/>
      <c r="Q193" s="142"/>
      <c r="R193" s="143"/>
      <c r="S193" s="142"/>
      <c r="T193" s="141"/>
      <c r="U193" s="141"/>
      <c r="V193" s="143"/>
      <c r="W193" s="141"/>
      <c r="X193" s="141"/>
      <c r="Y193" s="11"/>
      <c r="Z193" s="11"/>
    </row>
    <row r="194" spans="1:26" ht="15.75" customHeight="1" x14ac:dyDescent="0.3">
      <c r="A194" s="140"/>
      <c r="B194" s="140"/>
      <c r="L194" s="141"/>
      <c r="M194" s="141"/>
      <c r="N194" s="143"/>
      <c r="O194" s="142"/>
      <c r="P194" s="142"/>
      <c r="Q194" s="142"/>
      <c r="R194" s="143"/>
      <c r="S194" s="142"/>
      <c r="T194" s="141"/>
      <c r="U194" s="141"/>
      <c r="V194" s="143"/>
      <c r="W194" s="141"/>
      <c r="X194" s="141"/>
      <c r="Y194" s="11"/>
      <c r="Z194" s="11"/>
    </row>
    <row r="195" spans="1:26" ht="15.75" customHeight="1" x14ac:dyDescent="0.3">
      <c r="A195" s="140"/>
      <c r="B195" s="140"/>
      <c r="L195" s="141"/>
      <c r="M195" s="141"/>
      <c r="N195" s="143"/>
      <c r="O195" s="142"/>
      <c r="P195" s="142"/>
      <c r="Q195" s="142"/>
      <c r="R195" s="143"/>
      <c r="S195" s="142"/>
      <c r="T195" s="141"/>
      <c r="U195" s="141"/>
      <c r="V195" s="143"/>
      <c r="W195" s="141"/>
      <c r="X195" s="141"/>
      <c r="Y195" s="11"/>
      <c r="Z195" s="11"/>
    </row>
    <row r="196" spans="1:26" ht="15.75" customHeight="1" x14ac:dyDescent="0.3">
      <c r="A196" s="140"/>
      <c r="B196" s="140"/>
      <c r="L196" s="141"/>
      <c r="M196" s="141"/>
      <c r="N196" s="143"/>
      <c r="O196" s="142"/>
      <c r="P196" s="142"/>
      <c r="Q196" s="142"/>
      <c r="R196" s="143"/>
      <c r="S196" s="142"/>
      <c r="T196" s="141"/>
      <c r="U196" s="141"/>
      <c r="V196" s="143"/>
      <c r="W196" s="141"/>
      <c r="X196" s="141"/>
      <c r="Y196" s="11"/>
      <c r="Z196" s="11"/>
    </row>
    <row r="197" spans="1:26" ht="15.75" customHeight="1" x14ac:dyDescent="0.3">
      <c r="A197" s="140"/>
      <c r="B197" s="140"/>
      <c r="L197" s="141"/>
      <c r="M197" s="141"/>
      <c r="N197" s="143"/>
      <c r="O197" s="142"/>
      <c r="P197" s="142"/>
      <c r="Q197" s="142"/>
      <c r="R197" s="143"/>
      <c r="S197" s="142"/>
      <c r="T197" s="141"/>
      <c r="U197" s="141"/>
      <c r="V197" s="143"/>
      <c r="W197" s="141"/>
      <c r="X197" s="141"/>
      <c r="Y197" s="11"/>
      <c r="Z197" s="11"/>
    </row>
    <row r="198" spans="1:26" ht="15.75" customHeight="1" x14ac:dyDescent="0.3">
      <c r="A198" s="140"/>
      <c r="B198" s="140"/>
      <c r="L198" s="141"/>
      <c r="M198" s="141"/>
      <c r="N198" s="143"/>
      <c r="O198" s="142"/>
      <c r="P198" s="142"/>
      <c r="Q198" s="142"/>
      <c r="R198" s="143"/>
      <c r="S198" s="142"/>
      <c r="T198" s="141"/>
      <c r="U198" s="141"/>
      <c r="V198" s="143"/>
      <c r="W198" s="141"/>
      <c r="X198" s="141"/>
      <c r="Y198" s="11"/>
      <c r="Z198" s="11"/>
    </row>
    <row r="199" spans="1:26" ht="15.75" customHeight="1" x14ac:dyDescent="0.3">
      <c r="A199" s="140"/>
      <c r="B199" s="140"/>
      <c r="L199" s="141"/>
      <c r="M199" s="141"/>
      <c r="N199" s="143"/>
      <c r="O199" s="142"/>
      <c r="P199" s="142"/>
      <c r="Q199" s="142"/>
      <c r="R199" s="143"/>
      <c r="S199" s="142"/>
      <c r="T199" s="141"/>
      <c r="U199" s="141"/>
      <c r="V199" s="143"/>
      <c r="W199" s="141"/>
      <c r="X199" s="141"/>
      <c r="Y199" s="11"/>
      <c r="Z199" s="11"/>
    </row>
    <row r="200" spans="1:26" ht="15.75" customHeight="1" x14ac:dyDescent="0.3">
      <c r="A200" s="140"/>
      <c r="B200" s="140"/>
      <c r="L200" s="141"/>
      <c r="M200" s="141"/>
      <c r="N200" s="143"/>
      <c r="O200" s="142"/>
      <c r="P200" s="142"/>
      <c r="Q200" s="142"/>
      <c r="R200" s="143"/>
      <c r="S200" s="142"/>
      <c r="T200" s="141"/>
      <c r="U200" s="141"/>
      <c r="V200" s="143"/>
      <c r="W200" s="141"/>
      <c r="X200" s="141"/>
      <c r="Y200" s="11"/>
      <c r="Z200" s="11"/>
    </row>
    <row r="201" spans="1:26" ht="15.75" customHeight="1" x14ac:dyDescent="0.3">
      <c r="A201" s="140"/>
      <c r="B201" s="140"/>
      <c r="L201" s="141"/>
      <c r="M201" s="141"/>
      <c r="N201" s="143"/>
      <c r="O201" s="142"/>
      <c r="P201" s="142"/>
      <c r="Q201" s="142"/>
      <c r="R201" s="143"/>
      <c r="S201" s="142"/>
      <c r="T201" s="141"/>
      <c r="U201" s="141"/>
      <c r="V201" s="143"/>
      <c r="W201" s="141"/>
      <c r="X201" s="141"/>
      <c r="Y201" s="11"/>
      <c r="Z201" s="11"/>
    </row>
    <row r="202" spans="1:26" ht="15.75" customHeight="1" x14ac:dyDescent="0.3">
      <c r="A202" s="140"/>
      <c r="B202" s="140"/>
      <c r="L202" s="141"/>
      <c r="M202" s="141"/>
      <c r="N202" s="143"/>
      <c r="O202" s="142"/>
      <c r="P202" s="142"/>
      <c r="Q202" s="142"/>
      <c r="R202" s="143"/>
      <c r="S202" s="142"/>
      <c r="T202" s="141"/>
      <c r="U202" s="141"/>
      <c r="V202" s="143"/>
      <c r="W202" s="141"/>
      <c r="X202" s="141"/>
      <c r="Y202" s="11"/>
      <c r="Z202" s="11"/>
    </row>
    <row r="203" spans="1:26" ht="15.75" customHeight="1" x14ac:dyDescent="0.3">
      <c r="A203" s="140"/>
      <c r="B203" s="140"/>
      <c r="L203" s="141"/>
      <c r="M203" s="141"/>
      <c r="N203" s="143"/>
      <c r="O203" s="142"/>
      <c r="P203" s="142"/>
      <c r="Q203" s="142"/>
      <c r="R203" s="143"/>
      <c r="S203" s="142"/>
      <c r="T203" s="141"/>
      <c r="U203" s="141"/>
      <c r="V203" s="143"/>
      <c r="W203" s="141"/>
      <c r="X203" s="141"/>
      <c r="Y203" s="11"/>
      <c r="Z203" s="11"/>
    </row>
    <row r="204" spans="1:26" ht="15.75" customHeight="1" x14ac:dyDescent="0.3">
      <c r="A204" s="140"/>
      <c r="B204" s="140"/>
      <c r="L204" s="141"/>
      <c r="M204" s="141"/>
      <c r="N204" s="143"/>
      <c r="O204" s="142"/>
      <c r="P204" s="142"/>
      <c r="Q204" s="142"/>
      <c r="R204" s="143"/>
      <c r="S204" s="142"/>
      <c r="T204" s="141"/>
      <c r="U204" s="141"/>
      <c r="V204" s="143"/>
      <c r="W204" s="141"/>
      <c r="X204" s="141"/>
      <c r="Y204" s="11"/>
      <c r="Z204" s="11"/>
    </row>
    <row r="205" spans="1:26" ht="15.75" customHeight="1" x14ac:dyDescent="0.3">
      <c r="A205" s="140"/>
      <c r="B205" s="140"/>
      <c r="L205" s="141"/>
      <c r="M205" s="141"/>
      <c r="N205" s="143"/>
      <c r="O205" s="142"/>
      <c r="P205" s="142"/>
      <c r="Q205" s="142"/>
      <c r="R205" s="143"/>
      <c r="S205" s="142"/>
      <c r="T205" s="141"/>
      <c r="U205" s="141"/>
      <c r="V205" s="143"/>
      <c r="W205" s="141"/>
      <c r="X205" s="141"/>
      <c r="Y205" s="11"/>
      <c r="Z205" s="11"/>
    </row>
    <row r="206" spans="1:26" ht="15.75" customHeight="1" x14ac:dyDescent="0.3">
      <c r="A206" s="140"/>
      <c r="B206" s="140"/>
      <c r="L206" s="141"/>
      <c r="M206" s="141"/>
      <c r="N206" s="143"/>
      <c r="O206" s="142"/>
      <c r="P206" s="142"/>
      <c r="Q206" s="142"/>
      <c r="R206" s="143"/>
      <c r="S206" s="142"/>
      <c r="T206" s="141"/>
      <c r="U206" s="141"/>
      <c r="V206" s="143"/>
      <c r="W206" s="141"/>
      <c r="X206" s="141"/>
      <c r="Y206" s="11"/>
      <c r="Z206" s="11"/>
    </row>
    <row r="207" spans="1:26" ht="15.75" customHeight="1" x14ac:dyDescent="0.3">
      <c r="A207" s="140"/>
      <c r="B207" s="140"/>
      <c r="L207" s="141"/>
      <c r="M207" s="141"/>
      <c r="N207" s="143"/>
      <c r="O207" s="142"/>
      <c r="P207" s="142"/>
      <c r="Q207" s="142"/>
      <c r="R207" s="143"/>
      <c r="S207" s="142"/>
      <c r="T207" s="141"/>
      <c r="U207" s="141"/>
      <c r="V207" s="143"/>
      <c r="W207" s="141"/>
      <c r="X207" s="141"/>
      <c r="Y207" s="11"/>
      <c r="Z207" s="11"/>
    </row>
    <row r="208" spans="1:26" ht="15.75" customHeight="1" x14ac:dyDescent="0.3">
      <c r="A208" s="140"/>
      <c r="B208" s="140"/>
      <c r="L208" s="141"/>
      <c r="M208" s="141"/>
      <c r="N208" s="143"/>
      <c r="O208" s="142"/>
      <c r="P208" s="142"/>
      <c r="Q208" s="142"/>
      <c r="R208" s="143"/>
      <c r="S208" s="142"/>
      <c r="T208" s="141"/>
      <c r="U208" s="141"/>
      <c r="V208" s="143"/>
      <c r="W208" s="141"/>
      <c r="X208" s="141"/>
      <c r="Y208" s="11"/>
      <c r="Z208" s="11"/>
    </row>
    <row r="209" spans="1:26" ht="15.75" customHeight="1" x14ac:dyDescent="0.3">
      <c r="A209" s="140"/>
      <c r="B209" s="140"/>
      <c r="L209" s="141"/>
      <c r="M209" s="141"/>
      <c r="N209" s="143"/>
      <c r="O209" s="142"/>
      <c r="P209" s="142"/>
      <c r="Q209" s="142"/>
      <c r="R209" s="143"/>
      <c r="S209" s="142"/>
      <c r="T209" s="141"/>
      <c r="U209" s="141"/>
      <c r="V209" s="143"/>
      <c r="W209" s="141"/>
      <c r="X209" s="141"/>
      <c r="Y209" s="11"/>
      <c r="Z209" s="11"/>
    </row>
    <row r="210" spans="1:26" ht="15.75" customHeight="1" x14ac:dyDescent="0.3">
      <c r="A210" s="140"/>
      <c r="B210" s="140"/>
      <c r="L210" s="141"/>
      <c r="M210" s="141"/>
      <c r="N210" s="143"/>
      <c r="O210" s="142"/>
      <c r="P210" s="142"/>
      <c r="Q210" s="142"/>
      <c r="R210" s="143"/>
      <c r="S210" s="142"/>
      <c r="T210" s="141"/>
      <c r="U210" s="141"/>
      <c r="V210" s="143"/>
      <c r="W210" s="141"/>
      <c r="X210" s="141"/>
      <c r="Y210" s="11"/>
      <c r="Z210" s="11"/>
    </row>
    <row r="211" spans="1:26" ht="15.75" customHeight="1" x14ac:dyDescent="0.3">
      <c r="A211" s="140"/>
      <c r="B211" s="140"/>
      <c r="L211" s="141"/>
      <c r="M211" s="141"/>
      <c r="N211" s="143"/>
      <c r="O211" s="142"/>
      <c r="P211" s="142"/>
      <c r="Q211" s="142"/>
      <c r="R211" s="143"/>
      <c r="S211" s="142"/>
      <c r="T211" s="141"/>
      <c r="U211" s="141"/>
      <c r="V211" s="143"/>
      <c r="W211" s="141"/>
      <c r="X211" s="141"/>
      <c r="Y211" s="11"/>
      <c r="Z211" s="11"/>
    </row>
    <row r="212" spans="1:26" ht="15.75" customHeight="1" x14ac:dyDescent="0.3">
      <c r="A212" s="140"/>
      <c r="B212" s="140"/>
      <c r="L212" s="141"/>
      <c r="M212" s="141"/>
      <c r="N212" s="143"/>
      <c r="O212" s="142"/>
      <c r="P212" s="142"/>
      <c r="Q212" s="142"/>
      <c r="R212" s="143"/>
      <c r="S212" s="142"/>
      <c r="T212" s="141"/>
      <c r="U212" s="141"/>
      <c r="V212" s="143"/>
      <c r="W212" s="141"/>
      <c r="X212" s="141"/>
      <c r="Y212" s="11"/>
      <c r="Z212" s="11"/>
    </row>
    <row r="213" spans="1:26" ht="15.75" customHeight="1" x14ac:dyDescent="0.3">
      <c r="A213" s="140"/>
      <c r="B213" s="140"/>
      <c r="L213" s="141"/>
      <c r="M213" s="141"/>
      <c r="N213" s="143"/>
      <c r="O213" s="142"/>
      <c r="P213" s="142"/>
      <c r="Q213" s="142"/>
      <c r="R213" s="143"/>
      <c r="S213" s="142"/>
      <c r="T213" s="141"/>
      <c r="U213" s="141"/>
      <c r="V213" s="143"/>
      <c r="W213" s="141"/>
      <c r="X213" s="141"/>
      <c r="Y213" s="11"/>
      <c r="Z213" s="11"/>
    </row>
    <row r="214" spans="1:26" ht="15.75" customHeight="1" x14ac:dyDescent="0.3">
      <c r="A214" s="140"/>
      <c r="B214" s="140"/>
      <c r="L214" s="141"/>
      <c r="M214" s="141"/>
      <c r="N214" s="143"/>
      <c r="O214" s="142"/>
      <c r="P214" s="142"/>
      <c r="Q214" s="142"/>
      <c r="R214" s="143"/>
      <c r="S214" s="142"/>
      <c r="T214" s="141"/>
      <c r="U214" s="141"/>
      <c r="V214" s="143"/>
      <c r="W214" s="141"/>
      <c r="X214" s="141"/>
      <c r="Y214" s="11"/>
      <c r="Z214" s="11"/>
    </row>
    <row r="215" spans="1:26" ht="15.75" customHeight="1" x14ac:dyDescent="0.3">
      <c r="A215" s="140"/>
      <c r="B215" s="140"/>
      <c r="L215" s="141"/>
      <c r="M215" s="141"/>
      <c r="N215" s="143"/>
      <c r="O215" s="142"/>
      <c r="P215" s="142"/>
      <c r="Q215" s="142"/>
      <c r="R215" s="143"/>
      <c r="S215" s="142"/>
      <c r="T215" s="141"/>
      <c r="U215" s="141"/>
      <c r="V215" s="143"/>
      <c r="W215" s="141"/>
      <c r="X215" s="141"/>
      <c r="Y215" s="11"/>
      <c r="Z215" s="11"/>
    </row>
    <row r="216" spans="1:26" ht="15.75" customHeight="1" x14ac:dyDescent="0.3">
      <c r="A216" s="140"/>
      <c r="B216" s="140"/>
      <c r="L216" s="141"/>
      <c r="M216" s="141"/>
      <c r="N216" s="143"/>
      <c r="O216" s="142"/>
      <c r="P216" s="142"/>
      <c r="Q216" s="142"/>
      <c r="R216" s="143"/>
      <c r="S216" s="142"/>
      <c r="T216" s="141"/>
      <c r="U216" s="141"/>
      <c r="V216" s="143"/>
      <c r="W216" s="141"/>
      <c r="X216" s="141"/>
      <c r="Y216" s="11"/>
      <c r="Z216" s="11"/>
    </row>
    <row r="217" spans="1:26" ht="15.75" customHeight="1" x14ac:dyDescent="0.3">
      <c r="A217" s="140"/>
      <c r="B217" s="140"/>
      <c r="L217" s="141"/>
      <c r="M217" s="141"/>
      <c r="N217" s="143"/>
      <c r="O217" s="142"/>
      <c r="P217" s="142"/>
      <c r="Q217" s="142"/>
      <c r="R217" s="143"/>
      <c r="S217" s="142"/>
      <c r="T217" s="141"/>
      <c r="U217" s="141"/>
      <c r="V217" s="143"/>
      <c r="W217" s="141"/>
      <c r="X217" s="141"/>
      <c r="Y217" s="11"/>
      <c r="Z217" s="11"/>
    </row>
    <row r="218" spans="1:26" ht="15.75" customHeight="1" x14ac:dyDescent="0.3">
      <c r="A218" s="140"/>
      <c r="B218" s="140"/>
      <c r="L218" s="141"/>
      <c r="M218" s="141"/>
      <c r="N218" s="143"/>
      <c r="O218" s="142"/>
      <c r="P218" s="142"/>
      <c r="Q218" s="142"/>
      <c r="R218" s="143"/>
      <c r="S218" s="142"/>
      <c r="T218" s="141"/>
      <c r="U218" s="141"/>
      <c r="V218" s="143"/>
      <c r="W218" s="141"/>
      <c r="X218" s="141"/>
      <c r="Y218" s="11"/>
      <c r="Z218" s="11"/>
    </row>
    <row r="219" spans="1:26" ht="15.75" customHeight="1" x14ac:dyDescent="0.3">
      <c r="A219" s="140"/>
      <c r="B219" s="140"/>
      <c r="L219" s="141"/>
      <c r="M219" s="141"/>
      <c r="N219" s="143"/>
      <c r="O219" s="142"/>
      <c r="P219" s="142"/>
      <c r="Q219" s="142"/>
      <c r="R219" s="143"/>
      <c r="S219" s="142"/>
      <c r="T219" s="141"/>
      <c r="U219" s="141"/>
      <c r="V219" s="143"/>
      <c r="W219" s="141"/>
      <c r="X219" s="141"/>
      <c r="Y219" s="11"/>
      <c r="Z219" s="11"/>
    </row>
    <row r="220" spans="1:26" ht="15.75" customHeight="1" x14ac:dyDescent="0.3">
      <c r="A220" s="140"/>
      <c r="B220" s="140"/>
      <c r="L220" s="141"/>
      <c r="M220" s="141"/>
      <c r="N220" s="143"/>
      <c r="O220" s="142"/>
      <c r="P220" s="142"/>
      <c r="Q220" s="142"/>
      <c r="R220" s="143"/>
      <c r="S220" s="142"/>
      <c r="T220" s="141"/>
      <c r="U220" s="141"/>
      <c r="V220" s="143"/>
      <c r="W220" s="141"/>
      <c r="X220" s="141"/>
      <c r="Y220" s="11"/>
      <c r="Z220" s="11"/>
    </row>
    <row r="221" spans="1:26" ht="15.75" customHeight="1" x14ac:dyDescent="0.3">
      <c r="A221" s="140"/>
      <c r="B221" s="140"/>
      <c r="L221" s="141"/>
      <c r="M221" s="141"/>
      <c r="N221" s="143"/>
      <c r="O221" s="142"/>
      <c r="P221" s="142"/>
      <c r="Q221" s="142"/>
      <c r="R221" s="143"/>
      <c r="S221" s="142"/>
      <c r="T221" s="141"/>
      <c r="U221" s="141"/>
      <c r="V221" s="143"/>
      <c r="W221" s="141"/>
      <c r="X221" s="141"/>
      <c r="Y221" s="11"/>
      <c r="Z221" s="11"/>
    </row>
    <row r="222" spans="1:26" ht="15.75" customHeight="1" x14ac:dyDescent="0.3">
      <c r="A222" s="140"/>
      <c r="B222" s="140"/>
      <c r="L222" s="141"/>
      <c r="M222" s="141"/>
      <c r="N222" s="143"/>
      <c r="O222" s="142"/>
      <c r="P222" s="142"/>
      <c r="Q222" s="142"/>
      <c r="R222" s="143"/>
      <c r="S222" s="142"/>
      <c r="T222" s="141"/>
      <c r="U222" s="141"/>
      <c r="V222" s="143"/>
      <c r="W222" s="141"/>
      <c r="X222" s="141"/>
      <c r="Y222" s="11"/>
      <c r="Z222" s="11"/>
    </row>
    <row r="223" spans="1:26" ht="15.75" customHeight="1" x14ac:dyDescent="0.3">
      <c r="A223" s="140"/>
      <c r="B223" s="140"/>
      <c r="L223" s="141"/>
      <c r="M223" s="141"/>
      <c r="N223" s="143"/>
      <c r="O223" s="142"/>
      <c r="P223" s="142"/>
      <c r="Q223" s="142"/>
      <c r="R223" s="143"/>
      <c r="S223" s="142"/>
      <c r="T223" s="141"/>
      <c r="U223" s="141"/>
      <c r="V223" s="143"/>
      <c r="W223" s="141"/>
      <c r="X223" s="141"/>
      <c r="Y223" s="11"/>
      <c r="Z223" s="11"/>
    </row>
    <row r="224" spans="1:26" ht="15.75" customHeight="1" x14ac:dyDescent="0.3">
      <c r="A224" s="140"/>
      <c r="B224" s="140"/>
      <c r="L224" s="141"/>
      <c r="M224" s="141"/>
      <c r="N224" s="143"/>
      <c r="O224" s="142"/>
      <c r="P224" s="142"/>
      <c r="Q224" s="142"/>
      <c r="R224" s="143"/>
      <c r="S224" s="142"/>
      <c r="T224" s="141"/>
      <c r="U224" s="141"/>
      <c r="V224" s="143"/>
      <c r="W224" s="141"/>
      <c r="X224" s="141"/>
      <c r="Y224" s="11"/>
      <c r="Z224" s="11"/>
    </row>
    <row r="225" spans="1:26" ht="15.75" customHeight="1" x14ac:dyDescent="0.3">
      <c r="A225" s="140"/>
      <c r="B225" s="140"/>
      <c r="L225" s="141"/>
      <c r="M225" s="141"/>
      <c r="N225" s="143"/>
      <c r="O225" s="142"/>
      <c r="P225" s="142"/>
      <c r="Q225" s="142"/>
      <c r="R225" s="143"/>
      <c r="S225" s="142"/>
      <c r="T225" s="141"/>
      <c r="U225" s="141"/>
      <c r="V225" s="143"/>
      <c r="W225" s="141"/>
      <c r="X225" s="141"/>
      <c r="Y225" s="11"/>
      <c r="Z225" s="11"/>
    </row>
    <row r="226" spans="1:26" ht="15.75" customHeight="1" x14ac:dyDescent="0.3">
      <c r="A226" s="140"/>
      <c r="B226" s="140"/>
      <c r="L226" s="141"/>
      <c r="M226" s="141"/>
      <c r="N226" s="143"/>
      <c r="O226" s="142"/>
      <c r="P226" s="142"/>
      <c r="Q226" s="142"/>
      <c r="R226" s="143"/>
      <c r="S226" s="142"/>
      <c r="T226" s="141"/>
      <c r="U226" s="141"/>
      <c r="V226" s="143"/>
      <c r="W226" s="141"/>
      <c r="X226" s="141"/>
      <c r="Y226" s="11"/>
      <c r="Z226" s="11"/>
    </row>
    <row r="227" spans="1:26" ht="15.75" customHeight="1" x14ac:dyDescent="0.3">
      <c r="A227" s="140"/>
      <c r="B227" s="140"/>
      <c r="L227" s="141"/>
      <c r="M227" s="141"/>
      <c r="N227" s="143"/>
      <c r="O227" s="142"/>
      <c r="P227" s="142"/>
      <c r="Q227" s="142"/>
      <c r="R227" s="143"/>
      <c r="S227" s="142"/>
      <c r="T227" s="141"/>
      <c r="U227" s="141"/>
      <c r="V227" s="143"/>
      <c r="W227" s="141"/>
      <c r="X227" s="141"/>
      <c r="Y227" s="11"/>
      <c r="Z227" s="11"/>
    </row>
    <row r="228" spans="1:26" ht="15.75" customHeight="1" x14ac:dyDescent="0.3">
      <c r="A228" s="140"/>
      <c r="B228" s="140"/>
      <c r="L228" s="141"/>
      <c r="M228" s="141"/>
      <c r="N228" s="143"/>
      <c r="O228" s="142"/>
      <c r="P228" s="142"/>
      <c r="Q228" s="142"/>
      <c r="R228" s="143"/>
      <c r="S228" s="142"/>
      <c r="T228" s="141"/>
      <c r="U228" s="141"/>
      <c r="V228" s="143"/>
      <c r="W228" s="141"/>
      <c r="X228" s="141"/>
      <c r="Y228" s="11"/>
      <c r="Z228" s="11"/>
    </row>
    <row r="229" spans="1:26" ht="15.75" customHeight="1" x14ac:dyDescent="0.3">
      <c r="A229" s="140"/>
      <c r="B229" s="140"/>
      <c r="L229" s="141"/>
      <c r="M229" s="141"/>
      <c r="N229" s="143"/>
      <c r="O229" s="142"/>
      <c r="P229" s="142"/>
      <c r="Q229" s="142"/>
      <c r="R229" s="143"/>
      <c r="S229" s="142"/>
      <c r="T229" s="141"/>
      <c r="U229" s="141"/>
      <c r="V229" s="143"/>
      <c r="W229" s="141"/>
      <c r="X229" s="141"/>
      <c r="Y229" s="11"/>
      <c r="Z229" s="11"/>
    </row>
    <row r="230" spans="1:26" ht="15.75" customHeight="1" x14ac:dyDescent="0.3">
      <c r="A230" s="140"/>
      <c r="B230" s="140"/>
      <c r="L230" s="141"/>
      <c r="M230" s="141"/>
      <c r="N230" s="143"/>
      <c r="O230" s="142"/>
      <c r="P230" s="142"/>
      <c r="Q230" s="142"/>
      <c r="R230" s="143"/>
      <c r="S230" s="142"/>
      <c r="T230" s="141"/>
      <c r="U230" s="141"/>
      <c r="V230" s="143"/>
      <c r="W230" s="141"/>
      <c r="X230" s="141"/>
      <c r="Y230" s="11"/>
      <c r="Z230" s="11"/>
    </row>
    <row r="231" spans="1:26" ht="15.75" customHeight="1" x14ac:dyDescent="0.3">
      <c r="A231" s="140"/>
      <c r="B231" s="140"/>
      <c r="L231" s="141"/>
      <c r="M231" s="141"/>
      <c r="N231" s="143"/>
      <c r="O231" s="142"/>
      <c r="P231" s="142"/>
      <c r="Q231" s="142"/>
      <c r="R231" s="143"/>
      <c r="S231" s="142"/>
      <c r="T231" s="141"/>
      <c r="U231" s="141"/>
      <c r="V231" s="143"/>
      <c r="W231" s="141"/>
      <c r="X231" s="141"/>
      <c r="Y231" s="11"/>
      <c r="Z231" s="11"/>
    </row>
    <row r="232" spans="1:26" ht="15.75" customHeight="1" x14ac:dyDescent="0.3">
      <c r="A232" s="140"/>
      <c r="B232" s="140"/>
      <c r="L232" s="141"/>
      <c r="M232" s="141"/>
      <c r="N232" s="143"/>
      <c r="O232" s="142"/>
      <c r="P232" s="142"/>
      <c r="Q232" s="142"/>
      <c r="R232" s="143"/>
      <c r="S232" s="142"/>
      <c r="T232" s="141"/>
      <c r="U232" s="141"/>
      <c r="V232" s="143"/>
      <c r="W232" s="141"/>
      <c r="X232" s="141"/>
      <c r="Y232" s="11"/>
      <c r="Z232" s="11"/>
    </row>
    <row r="233" spans="1:26" ht="15.75" customHeight="1" x14ac:dyDescent="0.3">
      <c r="A233" s="140"/>
      <c r="B233" s="140"/>
      <c r="L233" s="141"/>
      <c r="M233" s="141"/>
      <c r="N233" s="143"/>
      <c r="O233" s="142"/>
      <c r="P233" s="142"/>
      <c r="Q233" s="142"/>
      <c r="R233" s="143"/>
      <c r="S233" s="142"/>
      <c r="T233" s="141"/>
      <c r="U233" s="141"/>
      <c r="V233" s="143"/>
      <c r="W233" s="141"/>
      <c r="X233" s="141"/>
      <c r="Y233" s="11"/>
      <c r="Z233" s="11"/>
    </row>
    <row r="234" spans="1:26" ht="15.75" customHeight="1" x14ac:dyDescent="0.3">
      <c r="A234" s="140"/>
      <c r="B234" s="140"/>
      <c r="L234" s="141"/>
      <c r="M234" s="141"/>
      <c r="N234" s="143"/>
      <c r="O234" s="142"/>
      <c r="P234" s="142"/>
      <c r="Q234" s="142"/>
      <c r="R234" s="143"/>
      <c r="S234" s="142"/>
      <c r="T234" s="141"/>
      <c r="U234" s="141"/>
      <c r="V234" s="143"/>
      <c r="W234" s="141"/>
      <c r="X234" s="141"/>
      <c r="Y234" s="11"/>
      <c r="Z234" s="11"/>
    </row>
    <row r="235" spans="1:26" ht="15.75" customHeight="1" x14ac:dyDescent="0.3">
      <c r="A235" s="140"/>
      <c r="B235" s="140"/>
      <c r="L235" s="141"/>
      <c r="M235" s="141"/>
      <c r="N235" s="143"/>
      <c r="O235" s="142"/>
      <c r="P235" s="142"/>
      <c r="Q235" s="142"/>
      <c r="R235" s="143"/>
      <c r="S235" s="142"/>
      <c r="T235" s="141"/>
      <c r="U235" s="141"/>
      <c r="V235" s="143"/>
      <c r="W235" s="141"/>
      <c r="X235" s="141"/>
      <c r="Y235" s="11"/>
      <c r="Z235" s="11"/>
    </row>
    <row r="236" spans="1:26" ht="15.75" customHeight="1" x14ac:dyDescent="0.3">
      <c r="A236" s="140"/>
      <c r="B236" s="140"/>
      <c r="L236" s="141"/>
      <c r="M236" s="141"/>
      <c r="N236" s="143"/>
      <c r="O236" s="142"/>
      <c r="P236" s="142"/>
      <c r="Q236" s="142"/>
      <c r="R236" s="143"/>
      <c r="S236" s="142"/>
      <c r="T236" s="141"/>
      <c r="U236" s="141"/>
      <c r="V236" s="143"/>
      <c r="W236" s="141"/>
      <c r="X236" s="141"/>
      <c r="Y236" s="11"/>
      <c r="Z236" s="11"/>
    </row>
    <row r="237" spans="1:26" ht="15.75" customHeight="1" x14ac:dyDescent="0.3">
      <c r="A237" s="140"/>
      <c r="B237" s="140"/>
      <c r="L237" s="141"/>
      <c r="M237" s="141"/>
      <c r="N237" s="143"/>
      <c r="O237" s="142"/>
      <c r="P237" s="142"/>
      <c r="Q237" s="142"/>
      <c r="R237" s="143"/>
      <c r="S237" s="142"/>
      <c r="T237" s="141"/>
      <c r="U237" s="141"/>
      <c r="V237" s="143"/>
      <c r="W237" s="141"/>
      <c r="X237" s="141"/>
      <c r="Y237" s="11"/>
      <c r="Z237" s="11"/>
    </row>
    <row r="238" spans="1:26" ht="15.75" customHeight="1" x14ac:dyDescent="0.3">
      <c r="A238" s="140"/>
      <c r="B238" s="140"/>
      <c r="L238" s="141"/>
      <c r="M238" s="141"/>
      <c r="N238" s="143"/>
      <c r="O238" s="142"/>
      <c r="P238" s="142"/>
      <c r="Q238" s="142"/>
      <c r="R238" s="143"/>
      <c r="S238" s="142"/>
      <c r="T238" s="141"/>
      <c r="U238" s="141"/>
      <c r="V238" s="143"/>
      <c r="W238" s="141"/>
      <c r="X238" s="141"/>
      <c r="Y238" s="11"/>
      <c r="Z238" s="11"/>
    </row>
    <row r="239" spans="1:26" ht="15.75" customHeight="1" x14ac:dyDescent="0.3">
      <c r="A239" s="140"/>
      <c r="B239" s="140"/>
      <c r="L239" s="141"/>
      <c r="M239" s="141"/>
      <c r="N239" s="143"/>
      <c r="O239" s="142"/>
      <c r="P239" s="142"/>
      <c r="Q239" s="142"/>
      <c r="R239" s="143"/>
      <c r="S239" s="142"/>
      <c r="T239" s="141"/>
      <c r="U239" s="141"/>
      <c r="V239" s="143"/>
      <c r="W239" s="141"/>
      <c r="X239" s="141"/>
      <c r="Y239" s="11"/>
      <c r="Z239" s="11"/>
    </row>
    <row r="240" spans="1:26" ht="15.75" customHeight="1" x14ac:dyDescent="0.3">
      <c r="A240" s="140"/>
      <c r="B240" s="140"/>
      <c r="L240" s="141"/>
      <c r="M240" s="141"/>
      <c r="N240" s="143"/>
      <c r="O240" s="142"/>
      <c r="P240" s="142"/>
      <c r="Q240" s="142"/>
      <c r="R240" s="143"/>
      <c r="S240" s="142"/>
      <c r="T240" s="141"/>
      <c r="U240" s="141"/>
      <c r="V240" s="143"/>
      <c r="W240" s="141"/>
      <c r="X240" s="141"/>
      <c r="Y240" s="11"/>
      <c r="Z240" s="11"/>
    </row>
    <row r="241" spans="1:26" ht="15.75" customHeight="1" x14ac:dyDescent="0.3">
      <c r="A241" s="140"/>
      <c r="B241" s="140"/>
      <c r="L241" s="141"/>
      <c r="M241" s="141"/>
      <c r="N241" s="143"/>
      <c r="O241" s="142"/>
      <c r="P241" s="142"/>
      <c r="Q241" s="142"/>
      <c r="R241" s="143"/>
      <c r="S241" s="142"/>
      <c r="T241" s="141"/>
      <c r="U241" s="141"/>
      <c r="V241" s="143"/>
      <c r="W241" s="141"/>
      <c r="X241" s="141"/>
      <c r="Y241" s="11"/>
      <c r="Z241" s="11"/>
    </row>
    <row r="242" spans="1:26" ht="15.75" customHeight="1" x14ac:dyDescent="0.3">
      <c r="A242" s="140"/>
      <c r="B242" s="140"/>
      <c r="L242" s="141"/>
      <c r="M242" s="141"/>
      <c r="N242" s="143"/>
      <c r="O242" s="142"/>
      <c r="P242" s="142"/>
      <c r="Q242" s="142"/>
      <c r="R242" s="143"/>
      <c r="S242" s="142"/>
      <c r="T242" s="141"/>
      <c r="U242" s="141"/>
      <c r="V242" s="143"/>
      <c r="W242" s="141"/>
      <c r="X242" s="141"/>
      <c r="Y242" s="11"/>
      <c r="Z242" s="11"/>
    </row>
    <row r="243" spans="1:26" ht="15.75" customHeight="1" x14ac:dyDescent="0.3">
      <c r="A243" s="140"/>
      <c r="B243" s="140"/>
      <c r="L243" s="141"/>
      <c r="M243" s="141"/>
      <c r="N243" s="143"/>
      <c r="O243" s="142"/>
      <c r="P243" s="142"/>
      <c r="Q243" s="142"/>
      <c r="R243" s="143"/>
      <c r="S243" s="142"/>
      <c r="T243" s="141"/>
      <c r="U243" s="141"/>
      <c r="V243" s="143"/>
      <c r="W243" s="141"/>
      <c r="X243" s="141"/>
      <c r="Y243" s="11"/>
      <c r="Z243" s="11"/>
    </row>
    <row r="244" spans="1:26" ht="15.75" customHeight="1" x14ac:dyDescent="0.3">
      <c r="A244" s="140"/>
      <c r="B244" s="140"/>
      <c r="L244" s="141"/>
      <c r="M244" s="141"/>
      <c r="N244" s="143"/>
      <c r="O244" s="142"/>
      <c r="P244" s="142"/>
      <c r="Q244" s="142"/>
      <c r="R244" s="143"/>
      <c r="S244" s="142"/>
      <c r="T244" s="141"/>
      <c r="U244" s="141"/>
      <c r="V244" s="143"/>
      <c r="W244" s="141"/>
      <c r="X244" s="141"/>
      <c r="Y244" s="11"/>
      <c r="Z244" s="11"/>
    </row>
    <row r="245" spans="1:26" ht="15.75" customHeight="1" x14ac:dyDescent="0.3">
      <c r="A245" s="140"/>
      <c r="B245" s="140"/>
      <c r="L245" s="141"/>
      <c r="M245" s="141"/>
      <c r="N245" s="143"/>
      <c r="O245" s="142"/>
      <c r="P245" s="142"/>
      <c r="Q245" s="142"/>
      <c r="R245" s="143"/>
      <c r="S245" s="142"/>
      <c r="T245" s="141"/>
      <c r="U245" s="141"/>
      <c r="V245" s="143"/>
      <c r="W245" s="141"/>
      <c r="X245" s="141"/>
      <c r="Y245" s="11"/>
      <c r="Z245" s="11"/>
    </row>
    <row r="246" spans="1:26" ht="15.75" customHeight="1" x14ac:dyDescent="0.3">
      <c r="A246" s="140"/>
      <c r="B246" s="140"/>
      <c r="L246" s="141"/>
      <c r="M246" s="141"/>
      <c r="N246" s="143"/>
      <c r="O246" s="142"/>
      <c r="P246" s="142"/>
      <c r="Q246" s="142"/>
      <c r="R246" s="143"/>
      <c r="S246" s="142"/>
      <c r="T246" s="141"/>
      <c r="U246" s="141"/>
      <c r="V246" s="143"/>
      <c r="W246" s="141"/>
      <c r="X246" s="141"/>
      <c r="Y246" s="11"/>
      <c r="Z246" s="11"/>
    </row>
    <row r="247" spans="1:26" ht="15.75" customHeight="1" x14ac:dyDescent="0.3">
      <c r="A247" s="140"/>
      <c r="B247" s="140"/>
      <c r="L247" s="141"/>
      <c r="M247" s="141"/>
      <c r="N247" s="143"/>
      <c r="O247" s="142"/>
      <c r="P247" s="142"/>
      <c r="Q247" s="142"/>
      <c r="R247" s="143"/>
      <c r="S247" s="142"/>
      <c r="T247" s="141"/>
      <c r="U247" s="141"/>
      <c r="V247" s="143"/>
      <c r="W247" s="141"/>
      <c r="X247" s="141"/>
      <c r="Y247" s="11"/>
      <c r="Z247" s="11"/>
    </row>
    <row r="248" spans="1:26" ht="15.75" customHeight="1" x14ac:dyDescent="0.3">
      <c r="A248" s="140"/>
      <c r="B248" s="140"/>
      <c r="L248" s="141"/>
      <c r="M248" s="141"/>
      <c r="N248" s="143"/>
      <c r="O248" s="142"/>
      <c r="P248" s="142"/>
      <c r="Q248" s="142"/>
      <c r="R248" s="143"/>
      <c r="S248" s="142"/>
      <c r="T248" s="141"/>
      <c r="U248" s="141"/>
      <c r="V248" s="143"/>
      <c r="W248" s="141"/>
      <c r="X248" s="141"/>
      <c r="Y248" s="11"/>
      <c r="Z248" s="11"/>
    </row>
    <row r="249" spans="1:26" ht="15.75" customHeight="1" x14ac:dyDescent="0.3">
      <c r="A249" s="140"/>
      <c r="B249" s="140"/>
      <c r="L249" s="141"/>
      <c r="M249" s="141"/>
      <c r="N249" s="143"/>
      <c r="O249" s="142"/>
      <c r="P249" s="142"/>
      <c r="Q249" s="142"/>
      <c r="R249" s="143"/>
      <c r="S249" s="142"/>
      <c r="T249" s="141"/>
      <c r="U249" s="141"/>
      <c r="V249" s="143"/>
      <c r="W249" s="141"/>
      <c r="X249" s="141"/>
      <c r="Y249" s="11"/>
      <c r="Z249" s="11"/>
    </row>
    <row r="250" spans="1:26" ht="15.75" customHeight="1" x14ac:dyDescent="0.3">
      <c r="A250" s="140"/>
      <c r="B250" s="140"/>
      <c r="L250" s="141"/>
      <c r="M250" s="141"/>
      <c r="N250" s="143"/>
      <c r="O250" s="142"/>
      <c r="P250" s="142"/>
      <c r="Q250" s="142"/>
      <c r="R250" s="143"/>
      <c r="S250" s="142"/>
      <c r="T250" s="141"/>
      <c r="U250" s="141"/>
      <c r="V250" s="143"/>
      <c r="W250" s="141"/>
      <c r="X250" s="141"/>
      <c r="Y250" s="11"/>
      <c r="Z250" s="11"/>
    </row>
    <row r="251" spans="1:26" ht="15.75" customHeight="1" x14ac:dyDescent="0.3">
      <c r="A251" s="140"/>
      <c r="B251" s="140"/>
      <c r="L251" s="141"/>
      <c r="M251" s="141"/>
      <c r="N251" s="143"/>
      <c r="O251" s="142"/>
      <c r="P251" s="142"/>
      <c r="Q251" s="142"/>
      <c r="R251" s="143"/>
      <c r="S251" s="142"/>
      <c r="T251" s="141"/>
      <c r="U251" s="141"/>
      <c r="V251" s="143"/>
      <c r="W251" s="141"/>
      <c r="X251" s="141"/>
      <c r="Y251" s="11"/>
      <c r="Z251" s="11"/>
    </row>
    <row r="252" spans="1:26" ht="15.75" customHeight="1" x14ac:dyDescent="0.3">
      <c r="A252" s="140"/>
      <c r="B252" s="140"/>
      <c r="L252" s="141"/>
      <c r="M252" s="141"/>
      <c r="N252" s="143"/>
      <c r="O252" s="142"/>
      <c r="P252" s="142"/>
      <c r="Q252" s="142"/>
      <c r="R252" s="143"/>
      <c r="S252" s="142"/>
      <c r="T252" s="141"/>
      <c r="U252" s="141"/>
      <c r="V252" s="143"/>
      <c r="W252" s="141"/>
      <c r="X252" s="141"/>
      <c r="Y252" s="11"/>
      <c r="Z252" s="11"/>
    </row>
    <row r="253" spans="1:26" ht="15.75" customHeight="1" x14ac:dyDescent="0.3">
      <c r="A253" s="140"/>
      <c r="B253" s="140"/>
      <c r="L253" s="141"/>
      <c r="M253" s="141"/>
      <c r="N253" s="143"/>
      <c r="O253" s="142"/>
      <c r="P253" s="142"/>
      <c r="Q253" s="142"/>
      <c r="R253" s="143"/>
      <c r="S253" s="142"/>
      <c r="T253" s="141"/>
      <c r="U253" s="141"/>
      <c r="V253" s="143"/>
      <c r="W253" s="141"/>
      <c r="X253" s="141"/>
      <c r="Y253" s="11"/>
      <c r="Z253" s="11"/>
    </row>
    <row r="254" spans="1:26" ht="15.75" customHeight="1" x14ac:dyDescent="0.3">
      <c r="A254" s="140"/>
      <c r="B254" s="140"/>
      <c r="L254" s="141"/>
      <c r="M254" s="141"/>
      <c r="N254" s="143"/>
      <c r="O254" s="142"/>
      <c r="P254" s="142"/>
      <c r="Q254" s="142"/>
      <c r="R254" s="143"/>
      <c r="S254" s="142"/>
      <c r="T254" s="141"/>
      <c r="U254" s="141"/>
      <c r="V254" s="143"/>
      <c r="W254" s="141"/>
      <c r="X254" s="141"/>
      <c r="Y254" s="11"/>
      <c r="Z254" s="11"/>
    </row>
    <row r="255" spans="1:26" ht="15.75" customHeight="1" x14ac:dyDescent="0.3">
      <c r="A255" s="140"/>
      <c r="B255" s="140"/>
      <c r="L255" s="141"/>
      <c r="M255" s="141"/>
      <c r="N255" s="143"/>
      <c r="O255" s="142"/>
      <c r="P255" s="142"/>
      <c r="Q255" s="142"/>
      <c r="R255" s="143"/>
      <c r="S255" s="142"/>
      <c r="T255" s="141"/>
      <c r="U255" s="141"/>
      <c r="V255" s="143"/>
      <c r="W255" s="141"/>
      <c r="X255" s="141"/>
      <c r="Y255" s="11"/>
      <c r="Z255" s="11"/>
    </row>
    <row r="256" spans="1:26" ht="15.75" customHeight="1" x14ac:dyDescent="0.3">
      <c r="A256" s="140"/>
      <c r="B256" s="140"/>
      <c r="L256" s="141"/>
      <c r="M256" s="141"/>
      <c r="N256" s="143"/>
      <c r="O256" s="142"/>
      <c r="P256" s="142"/>
      <c r="Q256" s="142"/>
      <c r="R256" s="143"/>
      <c r="S256" s="142"/>
      <c r="T256" s="141"/>
      <c r="U256" s="141"/>
      <c r="V256" s="143"/>
      <c r="W256" s="141"/>
      <c r="X256" s="141"/>
      <c r="Y256" s="11"/>
      <c r="Z256" s="11"/>
    </row>
    <row r="257" spans="1:26" ht="15.75" customHeight="1" x14ac:dyDescent="0.3">
      <c r="A257" s="140"/>
      <c r="B257" s="140"/>
      <c r="L257" s="141"/>
      <c r="M257" s="141"/>
      <c r="N257" s="143"/>
      <c r="O257" s="142"/>
      <c r="P257" s="142"/>
      <c r="Q257" s="142"/>
      <c r="R257" s="143"/>
      <c r="S257" s="142"/>
      <c r="T257" s="141"/>
      <c r="U257" s="141"/>
      <c r="V257" s="143"/>
      <c r="W257" s="141"/>
      <c r="X257" s="141"/>
      <c r="Y257" s="11"/>
      <c r="Z257" s="11"/>
    </row>
    <row r="258" spans="1:26" ht="15.75" customHeight="1" x14ac:dyDescent="0.3">
      <c r="A258" s="140"/>
      <c r="B258" s="140"/>
      <c r="L258" s="141"/>
      <c r="M258" s="141"/>
      <c r="N258" s="143"/>
      <c r="O258" s="142"/>
      <c r="P258" s="142"/>
      <c r="Q258" s="142"/>
      <c r="R258" s="143"/>
      <c r="S258" s="142"/>
      <c r="T258" s="141"/>
      <c r="U258" s="141"/>
      <c r="V258" s="143"/>
      <c r="W258" s="141"/>
      <c r="X258" s="141"/>
      <c r="Y258" s="11"/>
      <c r="Z258" s="11"/>
    </row>
    <row r="259" spans="1:26" ht="15.75" customHeight="1" x14ac:dyDescent="0.25">
      <c r="O259" s="144"/>
      <c r="P259" s="144"/>
      <c r="Q259" s="144"/>
    </row>
    <row r="260" spans="1:26" ht="15.75" customHeight="1" x14ac:dyDescent="0.25">
      <c r="O260" s="144"/>
      <c r="P260" s="144"/>
      <c r="Q260" s="144"/>
    </row>
    <row r="261" spans="1:26" ht="15.75" customHeight="1" x14ac:dyDescent="0.25">
      <c r="O261" s="144"/>
      <c r="P261" s="144"/>
      <c r="Q261" s="144"/>
    </row>
    <row r="262" spans="1:26" ht="15.75" customHeight="1" x14ac:dyDescent="0.25">
      <c r="O262" s="144"/>
      <c r="P262" s="144"/>
      <c r="Q262" s="144"/>
    </row>
    <row r="263" spans="1:26" ht="15.75" customHeight="1" x14ac:dyDescent="0.25">
      <c r="O263" s="144"/>
      <c r="P263" s="144"/>
      <c r="Q263" s="144"/>
    </row>
    <row r="264" spans="1:26" ht="15.75" customHeight="1" x14ac:dyDescent="0.25">
      <c r="O264" s="144"/>
      <c r="P264" s="144"/>
      <c r="Q264" s="144"/>
    </row>
    <row r="265" spans="1:26" ht="15.75" customHeight="1" x14ac:dyDescent="0.25">
      <c r="O265" s="144"/>
      <c r="P265" s="144"/>
      <c r="Q265" s="144"/>
    </row>
    <row r="266" spans="1:26" ht="15.75" customHeight="1" x14ac:dyDescent="0.25">
      <c r="O266" s="144"/>
      <c r="P266" s="144"/>
      <c r="Q266" s="144"/>
    </row>
    <row r="267" spans="1:26" ht="15.75" customHeight="1" x14ac:dyDescent="0.25">
      <c r="O267" s="144"/>
      <c r="P267" s="144"/>
      <c r="Q267" s="144"/>
    </row>
    <row r="268" spans="1:26" ht="15.75" customHeight="1" x14ac:dyDescent="0.25">
      <c r="O268" s="144"/>
      <c r="P268" s="144"/>
      <c r="Q268" s="144"/>
    </row>
    <row r="269" spans="1:26" ht="15.75" customHeight="1" x14ac:dyDescent="0.25">
      <c r="O269" s="144"/>
      <c r="P269" s="144"/>
      <c r="Q269" s="144"/>
    </row>
    <row r="270" spans="1:26" ht="15.75" customHeight="1" x14ac:dyDescent="0.25">
      <c r="O270" s="144"/>
      <c r="P270" s="144"/>
      <c r="Q270" s="144"/>
    </row>
    <row r="271" spans="1:26" ht="15.75" customHeight="1" x14ac:dyDescent="0.25">
      <c r="O271" s="144"/>
      <c r="P271" s="144"/>
      <c r="Q271" s="144"/>
    </row>
    <row r="272" spans="1:26" ht="15.75" customHeight="1" x14ac:dyDescent="0.25">
      <c r="O272" s="144"/>
      <c r="P272" s="144"/>
      <c r="Q272" s="144"/>
    </row>
    <row r="273" spans="15:17" ht="15.75" customHeight="1" x14ac:dyDescent="0.25">
      <c r="O273" s="144"/>
      <c r="P273" s="144"/>
      <c r="Q273" s="144"/>
    </row>
    <row r="274" spans="15:17" ht="15.75" customHeight="1" x14ac:dyDescent="0.25">
      <c r="O274" s="144"/>
      <c r="P274" s="144"/>
      <c r="Q274" s="144"/>
    </row>
    <row r="275" spans="15:17" ht="15.75" customHeight="1" x14ac:dyDescent="0.25">
      <c r="O275" s="144"/>
      <c r="P275" s="144"/>
      <c r="Q275" s="144"/>
    </row>
    <row r="276" spans="15:17" ht="15.75" customHeight="1" x14ac:dyDescent="0.25">
      <c r="O276" s="144"/>
      <c r="P276" s="144"/>
      <c r="Q276" s="144"/>
    </row>
    <row r="277" spans="15:17" ht="15.75" customHeight="1" x14ac:dyDescent="0.25">
      <c r="O277" s="144"/>
      <c r="P277" s="144"/>
      <c r="Q277" s="144"/>
    </row>
    <row r="278" spans="15:17" ht="15.75" customHeight="1" x14ac:dyDescent="0.25">
      <c r="O278" s="144"/>
      <c r="P278" s="144"/>
      <c r="Q278" s="144"/>
    </row>
    <row r="279" spans="15:17" ht="15.75" customHeight="1" x14ac:dyDescent="0.25">
      <c r="O279" s="144"/>
      <c r="P279" s="144"/>
      <c r="Q279" s="144"/>
    </row>
    <row r="280" spans="15:17" ht="15.75" customHeight="1" x14ac:dyDescent="0.25">
      <c r="O280" s="144"/>
      <c r="P280" s="144"/>
      <c r="Q280" s="144"/>
    </row>
    <row r="281" spans="15:17" ht="15.75" customHeight="1" x14ac:dyDescent="0.25">
      <c r="O281" s="144"/>
      <c r="P281" s="144"/>
      <c r="Q281" s="144"/>
    </row>
    <row r="282" spans="15:17" ht="15.75" customHeight="1" x14ac:dyDescent="0.25">
      <c r="O282" s="144"/>
      <c r="P282" s="144"/>
      <c r="Q282" s="144"/>
    </row>
    <row r="283" spans="15:17" ht="15.75" customHeight="1" x14ac:dyDescent="0.25">
      <c r="O283" s="144"/>
      <c r="P283" s="144"/>
      <c r="Q283" s="144"/>
    </row>
    <row r="284" spans="15:17" ht="15.75" customHeight="1" x14ac:dyDescent="0.25">
      <c r="O284" s="144"/>
      <c r="P284" s="144"/>
      <c r="Q284" s="144"/>
    </row>
    <row r="285" spans="15:17" ht="15.75" customHeight="1" x14ac:dyDescent="0.25">
      <c r="O285" s="144"/>
      <c r="P285" s="144"/>
      <c r="Q285" s="144"/>
    </row>
    <row r="286" spans="15:17" ht="15.75" customHeight="1" x14ac:dyDescent="0.25">
      <c r="O286" s="144"/>
      <c r="P286" s="144"/>
      <c r="Q286" s="144"/>
    </row>
    <row r="287" spans="15:17" ht="15.75" customHeight="1" x14ac:dyDescent="0.25">
      <c r="O287" s="144"/>
      <c r="P287" s="144"/>
      <c r="Q287" s="144"/>
    </row>
    <row r="288" spans="15:17" ht="15.75" customHeight="1" x14ac:dyDescent="0.25">
      <c r="O288" s="144"/>
      <c r="P288" s="144"/>
      <c r="Q288" s="144"/>
    </row>
    <row r="289" spans="15:17" ht="15.75" customHeight="1" x14ac:dyDescent="0.25">
      <c r="O289" s="144"/>
      <c r="P289" s="144"/>
      <c r="Q289" s="144"/>
    </row>
    <row r="290" spans="15:17" ht="15.75" customHeight="1" x14ac:dyDescent="0.25">
      <c r="O290" s="144"/>
      <c r="P290" s="144"/>
      <c r="Q290" s="144"/>
    </row>
    <row r="291" spans="15:17" ht="15.75" customHeight="1" x14ac:dyDescent="0.25">
      <c r="O291" s="144"/>
      <c r="P291" s="144"/>
      <c r="Q291" s="144"/>
    </row>
    <row r="292" spans="15:17" ht="15.75" customHeight="1" x14ac:dyDescent="0.25">
      <c r="O292" s="144"/>
      <c r="P292" s="144"/>
      <c r="Q292" s="144"/>
    </row>
    <row r="293" spans="15:17" ht="15.75" customHeight="1" x14ac:dyDescent="0.25">
      <c r="O293" s="144"/>
      <c r="P293" s="144"/>
      <c r="Q293" s="144"/>
    </row>
    <row r="294" spans="15:17" ht="15.75" customHeight="1" x14ac:dyDescent="0.25">
      <c r="O294" s="144"/>
      <c r="P294" s="144"/>
      <c r="Q294" s="144"/>
    </row>
    <row r="295" spans="15:17" ht="15.75" customHeight="1" x14ac:dyDescent="0.25">
      <c r="O295" s="144"/>
      <c r="P295" s="144"/>
      <c r="Q295" s="144"/>
    </row>
    <row r="296" spans="15:17" ht="15.75" customHeight="1" x14ac:dyDescent="0.25">
      <c r="O296" s="144"/>
      <c r="P296" s="144"/>
      <c r="Q296" s="144"/>
    </row>
    <row r="297" spans="15:17" ht="15.75" customHeight="1" x14ac:dyDescent="0.25">
      <c r="O297" s="144"/>
      <c r="P297" s="144"/>
      <c r="Q297" s="144"/>
    </row>
    <row r="298" spans="15:17" ht="15.75" customHeight="1" x14ac:dyDescent="0.25">
      <c r="O298" s="144"/>
      <c r="P298" s="144"/>
      <c r="Q298" s="144"/>
    </row>
    <row r="299" spans="15:17" ht="15.75" customHeight="1" x14ac:dyDescent="0.25">
      <c r="O299" s="144"/>
      <c r="P299" s="144"/>
      <c r="Q299" s="144"/>
    </row>
    <row r="300" spans="15:17" ht="15.75" customHeight="1" x14ac:dyDescent="0.25">
      <c r="O300" s="144"/>
      <c r="P300" s="144"/>
      <c r="Q300" s="144"/>
    </row>
    <row r="301" spans="15:17" ht="15.75" customHeight="1" x14ac:dyDescent="0.25">
      <c r="O301" s="144"/>
      <c r="P301" s="144"/>
      <c r="Q301" s="144"/>
    </row>
    <row r="302" spans="15:17" ht="15.75" customHeight="1" x14ac:dyDescent="0.25">
      <c r="O302" s="144"/>
      <c r="P302" s="144"/>
      <c r="Q302" s="144"/>
    </row>
    <row r="303" spans="15:17" ht="15.75" customHeight="1" x14ac:dyDescent="0.25">
      <c r="O303" s="144"/>
      <c r="P303" s="144"/>
      <c r="Q303" s="144"/>
    </row>
    <row r="304" spans="15:17" ht="15.75" customHeight="1" x14ac:dyDescent="0.25">
      <c r="O304" s="144"/>
      <c r="P304" s="144"/>
      <c r="Q304" s="144"/>
    </row>
    <row r="305" spans="15:17" ht="15.75" customHeight="1" x14ac:dyDescent="0.25">
      <c r="O305" s="144"/>
      <c r="P305" s="144"/>
      <c r="Q305" s="144"/>
    </row>
    <row r="306" spans="15:17" ht="15.75" customHeight="1" x14ac:dyDescent="0.25">
      <c r="O306" s="144"/>
      <c r="P306" s="144"/>
      <c r="Q306" s="144"/>
    </row>
    <row r="307" spans="15:17" ht="15.75" customHeight="1" x14ac:dyDescent="0.25">
      <c r="O307" s="144"/>
      <c r="P307" s="144"/>
      <c r="Q307" s="144"/>
    </row>
    <row r="308" spans="15:17" ht="15.75" customHeight="1" x14ac:dyDescent="0.25">
      <c r="O308" s="144"/>
      <c r="P308" s="144"/>
      <c r="Q308" s="144"/>
    </row>
    <row r="309" spans="15:17" ht="15.75" customHeight="1" x14ac:dyDescent="0.25">
      <c r="O309" s="144"/>
      <c r="P309" s="144"/>
      <c r="Q309" s="144"/>
    </row>
    <row r="310" spans="15:17" ht="15.75" customHeight="1" x14ac:dyDescent="0.25">
      <c r="O310" s="144"/>
      <c r="P310" s="144"/>
      <c r="Q310" s="144"/>
    </row>
    <row r="311" spans="15:17" ht="15.75" customHeight="1" x14ac:dyDescent="0.25">
      <c r="O311" s="144"/>
      <c r="P311" s="144"/>
      <c r="Q311" s="144"/>
    </row>
    <row r="312" spans="15:17" ht="15.75" customHeight="1" x14ac:dyDescent="0.25">
      <c r="O312" s="144"/>
      <c r="P312" s="144"/>
      <c r="Q312" s="144"/>
    </row>
    <row r="313" spans="15:17" ht="15.75" customHeight="1" x14ac:dyDescent="0.25">
      <c r="O313" s="144"/>
      <c r="P313" s="144"/>
      <c r="Q313" s="144"/>
    </row>
    <row r="314" spans="15:17" ht="15.75" customHeight="1" x14ac:dyDescent="0.25">
      <c r="O314" s="144"/>
      <c r="P314" s="144"/>
      <c r="Q314" s="144"/>
    </row>
    <row r="315" spans="15:17" ht="15.75" customHeight="1" x14ac:dyDescent="0.25">
      <c r="O315" s="144"/>
      <c r="P315" s="144"/>
      <c r="Q315" s="144"/>
    </row>
    <row r="316" spans="15:17" ht="15.75" customHeight="1" x14ac:dyDescent="0.25">
      <c r="O316" s="144"/>
      <c r="P316" s="144"/>
      <c r="Q316" s="144"/>
    </row>
    <row r="317" spans="15:17" ht="15.75" customHeight="1" x14ac:dyDescent="0.25">
      <c r="O317" s="144"/>
      <c r="P317" s="144"/>
      <c r="Q317" s="144"/>
    </row>
    <row r="318" spans="15:17" ht="15.75" customHeight="1" x14ac:dyDescent="0.25">
      <c r="O318" s="144"/>
      <c r="P318" s="144"/>
      <c r="Q318" s="144"/>
    </row>
    <row r="319" spans="15:17" ht="15.75" customHeight="1" x14ac:dyDescent="0.25">
      <c r="O319" s="144"/>
      <c r="P319" s="144"/>
      <c r="Q319" s="144"/>
    </row>
    <row r="320" spans="15:17" ht="15.75" customHeight="1" x14ac:dyDescent="0.25">
      <c r="O320" s="144"/>
      <c r="P320" s="144"/>
      <c r="Q320" s="144"/>
    </row>
    <row r="321" spans="15:17" ht="15.75" customHeight="1" x14ac:dyDescent="0.25">
      <c r="O321" s="144"/>
      <c r="P321" s="144"/>
      <c r="Q321" s="144"/>
    </row>
    <row r="322" spans="15:17" ht="15.75" customHeight="1" x14ac:dyDescent="0.25">
      <c r="O322" s="144"/>
      <c r="P322" s="144"/>
      <c r="Q322" s="144"/>
    </row>
    <row r="323" spans="15:17" ht="15.75" customHeight="1" x14ac:dyDescent="0.25">
      <c r="O323" s="144"/>
      <c r="P323" s="144"/>
      <c r="Q323" s="144"/>
    </row>
    <row r="324" spans="15:17" ht="15.75" customHeight="1" x14ac:dyDescent="0.25">
      <c r="O324" s="144"/>
      <c r="P324" s="144"/>
      <c r="Q324" s="144"/>
    </row>
    <row r="325" spans="15:17" ht="15.75" customHeight="1" x14ac:dyDescent="0.25">
      <c r="O325" s="144"/>
      <c r="P325" s="144"/>
      <c r="Q325" s="144"/>
    </row>
    <row r="326" spans="15:17" ht="15.75" customHeight="1" x14ac:dyDescent="0.25">
      <c r="O326" s="144"/>
      <c r="P326" s="144"/>
      <c r="Q326" s="144"/>
    </row>
    <row r="327" spans="15:17" ht="15.75" customHeight="1" x14ac:dyDescent="0.25">
      <c r="O327" s="144"/>
      <c r="P327" s="144"/>
      <c r="Q327" s="144"/>
    </row>
    <row r="328" spans="15:17" ht="15.75" customHeight="1" x14ac:dyDescent="0.25">
      <c r="O328" s="144"/>
      <c r="P328" s="144"/>
      <c r="Q328" s="144"/>
    </row>
    <row r="329" spans="15:17" ht="15.75" customHeight="1" x14ac:dyDescent="0.25">
      <c r="O329" s="144"/>
      <c r="P329" s="144"/>
      <c r="Q329" s="144"/>
    </row>
    <row r="330" spans="15:17" ht="15.75" customHeight="1" x14ac:dyDescent="0.25">
      <c r="O330" s="144"/>
      <c r="P330" s="144"/>
      <c r="Q330" s="144"/>
    </row>
    <row r="331" spans="15:17" ht="15.75" customHeight="1" x14ac:dyDescent="0.25">
      <c r="O331" s="144"/>
      <c r="P331" s="144"/>
      <c r="Q331" s="144"/>
    </row>
    <row r="332" spans="15:17" ht="15.75" customHeight="1" x14ac:dyDescent="0.25">
      <c r="O332" s="144"/>
      <c r="P332" s="144"/>
      <c r="Q332" s="144"/>
    </row>
    <row r="333" spans="15:17" ht="15.75" customHeight="1" x14ac:dyDescent="0.25">
      <c r="O333" s="144"/>
      <c r="P333" s="144"/>
      <c r="Q333" s="144"/>
    </row>
    <row r="334" spans="15:17" ht="15.75" customHeight="1" x14ac:dyDescent="0.25">
      <c r="O334" s="144"/>
      <c r="P334" s="144"/>
      <c r="Q334" s="144"/>
    </row>
    <row r="335" spans="15:17" ht="15.75" customHeight="1" x14ac:dyDescent="0.25">
      <c r="O335" s="144"/>
      <c r="P335" s="144"/>
      <c r="Q335" s="144"/>
    </row>
    <row r="336" spans="15:17" ht="15.75" customHeight="1" x14ac:dyDescent="0.25">
      <c r="O336" s="144"/>
      <c r="P336" s="144"/>
      <c r="Q336" s="144"/>
    </row>
    <row r="337" spans="15:17" ht="15.75" customHeight="1" x14ac:dyDescent="0.25">
      <c r="O337" s="144"/>
      <c r="P337" s="144"/>
      <c r="Q337" s="144"/>
    </row>
    <row r="338" spans="15:17" ht="15.75" customHeight="1" x14ac:dyDescent="0.25">
      <c r="O338" s="144"/>
      <c r="P338" s="144"/>
      <c r="Q338" s="144"/>
    </row>
    <row r="339" spans="15:17" ht="15.75" customHeight="1" x14ac:dyDescent="0.25">
      <c r="O339" s="144"/>
      <c r="P339" s="144"/>
      <c r="Q339" s="144"/>
    </row>
    <row r="340" spans="15:17" ht="15.75" customHeight="1" x14ac:dyDescent="0.25">
      <c r="O340" s="144"/>
      <c r="P340" s="144"/>
      <c r="Q340" s="144"/>
    </row>
    <row r="341" spans="15:17" ht="15.75" customHeight="1" x14ac:dyDescent="0.25">
      <c r="O341" s="144"/>
      <c r="P341" s="144"/>
      <c r="Q341" s="144"/>
    </row>
    <row r="342" spans="15:17" ht="15.75" customHeight="1" x14ac:dyDescent="0.25">
      <c r="O342" s="144"/>
      <c r="P342" s="144"/>
      <c r="Q342" s="144"/>
    </row>
    <row r="343" spans="15:17" ht="15.75" customHeight="1" x14ac:dyDescent="0.25">
      <c r="O343" s="144"/>
      <c r="P343" s="144"/>
      <c r="Q343" s="144"/>
    </row>
    <row r="344" spans="15:17" ht="15.75" customHeight="1" x14ac:dyDescent="0.25">
      <c r="O344" s="144"/>
      <c r="P344" s="144"/>
      <c r="Q344" s="144"/>
    </row>
    <row r="345" spans="15:17" ht="15.75" customHeight="1" x14ac:dyDescent="0.25">
      <c r="O345" s="144"/>
      <c r="P345" s="144"/>
      <c r="Q345" s="144"/>
    </row>
    <row r="346" spans="15:17" ht="15.75" customHeight="1" x14ac:dyDescent="0.25">
      <c r="O346" s="144"/>
      <c r="P346" s="144"/>
      <c r="Q346" s="144"/>
    </row>
    <row r="347" spans="15:17" ht="15.75" customHeight="1" x14ac:dyDescent="0.25">
      <c r="O347" s="144"/>
      <c r="P347" s="144"/>
      <c r="Q347" s="144"/>
    </row>
    <row r="348" spans="15:17" ht="15.75" customHeight="1" x14ac:dyDescent="0.25">
      <c r="O348" s="144"/>
      <c r="P348" s="144"/>
      <c r="Q348" s="144"/>
    </row>
    <row r="349" spans="15:17" ht="15.75" customHeight="1" x14ac:dyDescent="0.25">
      <c r="O349" s="144"/>
      <c r="P349" s="144"/>
      <c r="Q349" s="144"/>
    </row>
    <row r="350" spans="15:17" ht="15.75" customHeight="1" x14ac:dyDescent="0.25">
      <c r="O350" s="144"/>
      <c r="P350" s="144"/>
      <c r="Q350" s="144"/>
    </row>
    <row r="351" spans="15:17" ht="15.75" customHeight="1" x14ac:dyDescent="0.25">
      <c r="O351" s="144"/>
      <c r="P351" s="144"/>
      <c r="Q351" s="144"/>
    </row>
    <row r="352" spans="15:17" ht="15.75" customHeight="1" x14ac:dyDescent="0.25">
      <c r="O352" s="144"/>
      <c r="P352" s="144"/>
      <c r="Q352" s="144"/>
    </row>
    <row r="353" spans="15:17" ht="15.75" customHeight="1" x14ac:dyDescent="0.25">
      <c r="O353" s="144"/>
      <c r="P353" s="144"/>
      <c r="Q353" s="144"/>
    </row>
    <row r="354" spans="15:17" ht="15.75" customHeight="1" x14ac:dyDescent="0.25">
      <c r="O354" s="144"/>
      <c r="P354" s="144"/>
      <c r="Q354" s="144"/>
    </row>
    <row r="355" spans="15:17" ht="15.75" customHeight="1" x14ac:dyDescent="0.25">
      <c r="O355" s="144"/>
      <c r="P355" s="144"/>
      <c r="Q355" s="144"/>
    </row>
    <row r="356" spans="15:17" ht="15.75" customHeight="1" x14ac:dyDescent="0.25">
      <c r="O356" s="144"/>
      <c r="P356" s="144"/>
      <c r="Q356" s="144"/>
    </row>
    <row r="357" spans="15:17" ht="15.75" customHeight="1" x14ac:dyDescent="0.25">
      <c r="O357" s="144"/>
      <c r="P357" s="144"/>
      <c r="Q357" s="144"/>
    </row>
    <row r="358" spans="15:17" ht="15.75" customHeight="1" x14ac:dyDescent="0.25">
      <c r="O358" s="144"/>
      <c r="P358" s="144"/>
      <c r="Q358" s="144"/>
    </row>
    <row r="359" spans="15:17" ht="15.75" customHeight="1" x14ac:dyDescent="0.25">
      <c r="O359" s="144"/>
      <c r="P359" s="144"/>
      <c r="Q359" s="144"/>
    </row>
    <row r="360" spans="15:17" ht="15.75" customHeight="1" x14ac:dyDescent="0.25">
      <c r="O360" s="144"/>
      <c r="P360" s="144"/>
      <c r="Q360" s="144"/>
    </row>
    <row r="361" spans="15:17" ht="15.75" customHeight="1" x14ac:dyDescent="0.25">
      <c r="O361" s="144"/>
      <c r="P361" s="144"/>
      <c r="Q361" s="144"/>
    </row>
    <row r="362" spans="15:17" ht="15.75" customHeight="1" x14ac:dyDescent="0.25">
      <c r="O362" s="144"/>
      <c r="P362" s="144"/>
      <c r="Q362" s="144"/>
    </row>
    <row r="363" spans="15:17" ht="15.75" customHeight="1" x14ac:dyDescent="0.25">
      <c r="O363" s="144"/>
      <c r="P363" s="144"/>
      <c r="Q363" s="144"/>
    </row>
    <row r="364" spans="15:17" ht="15.75" customHeight="1" x14ac:dyDescent="0.25">
      <c r="O364" s="144"/>
      <c r="P364" s="144"/>
      <c r="Q364" s="144"/>
    </row>
    <row r="365" spans="15:17" ht="15.75" customHeight="1" x14ac:dyDescent="0.25">
      <c r="O365" s="144"/>
      <c r="P365" s="144"/>
      <c r="Q365" s="144"/>
    </row>
    <row r="366" spans="15:17" ht="15.75" customHeight="1" x14ac:dyDescent="0.25">
      <c r="O366" s="144"/>
      <c r="P366" s="144"/>
      <c r="Q366" s="144"/>
    </row>
    <row r="367" spans="15:17" ht="15.75" customHeight="1" x14ac:dyDescent="0.25">
      <c r="O367" s="144"/>
      <c r="P367" s="144"/>
      <c r="Q367" s="144"/>
    </row>
    <row r="368" spans="15:17" ht="15.75" customHeight="1" x14ac:dyDescent="0.25">
      <c r="O368" s="144"/>
      <c r="P368" s="144"/>
      <c r="Q368" s="144"/>
    </row>
    <row r="369" spans="15:17" ht="15.75" customHeight="1" x14ac:dyDescent="0.25">
      <c r="O369" s="144"/>
      <c r="P369" s="144"/>
      <c r="Q369" s="144"/>
    </row>
    <row r="370" spans="15:17" ht="15.75" customHeight="1" x14ac:dyDescent="0.25">
      <c r="O370" s="144"/>
      <c r="P370" s="144"/>
      <c r="Q370" s="144"/>
    </row>
    <row r="371" spans="15:17" ht="15.75" customHeight="1" x14ac:dyDescent="0.25">
      <c r="O371" s="144"/>
      <c r="P371" s="144"/>
      <c r="Q371" s="144"/>
    </row>
    <row r="372" spans="15:17" ht="15.75" customHeight="1" x14ac:dyDescent="0.25">
      <c r="O372" s="144"/>
      <c r="P372" s="144"/>
      <c r="Q372" s="144"/>
    </row>
    <row r="373" spans="15:17" ht="15.75" customHeight="1" x14ac:dyDescent="0.25">
      <c r="O373" s="144"/>
      <c r="P373" s="144"/>
      <c r="Q373" s="144"/>
    </row>
    <row r="374" spans="15:17" ht="15.75" customHeight="1" x14ac:dyDescent="0.25">
      <c r="O374" s="144"/>
      <c r="P374" s="144"/>
      <c r="Q374" s="144"/>
    </row>
    <row r="375" spans="15:17" ht="15.75" customHeight="1" x14ac:dyDescent="0.25">
      <c r="O375" s="144"/>
      <c r="P375" s="144"/>
      <c r="Q375" s="144"/>
    </row>
    <row r="376" spans="15:17" ht="15.75" customHeight="1" x14ac:dyDescent="0.25">
      <c r="O376" s="144"/>
      <c r="P376" s="144"/>
      <c r="Q376" s="144"/>
    </row>
    <row r="377" spans="15:17" ht="15.75" customHeight="1" x14ac:dyDescent="0.25">
      <c r="O377" s="144"/>
      <c r="P377" s="144"/>
      <c r="Q377" s="144"/>
    </row>
    <row r="378" spans="15:17" ht="15.75" customHeight="1" x14ac:dyDescent="0.25">
      <c r="O378" s="144"/>
      <c r="P378" s="144"/>
      <c r="Q378" s="144"/>
    </row>
    <row r="379" spans="15:17" ht="15.75" customHeight="1" x14ac:dyDescent="0.25">
      <c r="O379" s="144"/>
      <c r="P379" s="144"/>
      <c r="Q379" s="144"/>
    </row>
    <row r="380" spans="15:17" ht="15.75" customHeight="1" x14ac:dyDescent="0.25">
      <c r="O380" s="144"/>
      <c r="P380" s="144"/>
      <c r="Q380" s="144"/>
    </row>
    <row r="381" spans="15:17" ht="15.75" customHeight="1" x14ac:dyDescent="0.25">
      <c r="O381" s="144"/>
      <c r="P381" s="144"/>
      <c r="Q381" s="144"/>
    </row>
    <row r="382" spans="15:17" ht="15.75" customHeight="1" x14ac:dyDescent="0.25">
      <c r="O382" s="144"/>
      <c r="P382" s="144"/>
      <c r="Q382" s="144"/>
    </row>
    <row r="383" spans="15:17" ht="15.75" customHeight="1" x14ac:dyDescent="0.25">
      <c r="O383" s="144"/>
      <c r="P383" s="144"/>
      <c r="Q383" s="144"/>
    </row>
    <row r="384" spans="15:17" ht="15.75" customHeight="1" x14ac:dyDescent="0.25">
      <c r="O384" s="144"/>
      <c r="P384" s="144"/>
      <c r="Q384" s="144"/>
    </row>
    <row r="385" spans="15:17" ht="15.75" customHeight="1" x14ac:dyDescent="0.25">
      <c r="O385" s="144"/>
      <c r="P385" s="144"/>
      <c r="Q385" s="144"/>
    </row>
    <row r="386" spans="15:17" ht="15.75" customHeight="1" x14ac:dyDescent="0.25">
      <c r="O386" s="144"/>
      <c r="P386" s="144"/>
      <c r="Q386" s="144"/>
    </row>
    <row r="387" spans="15:17" ht="15.75" customHeight="1" x14ac:dyDescent="0.25">
      <c r="O387" s="144"/>
      <c r="P387" s="144"/>
      <c r="Q387" s="144"/>
    </row>
    <row r="388" spans="15:17" ht="15.75" customHeight="1" x14ac:dyDescent="0.25">
      <c r="O388" s="144"/>
      <c r="P388" s="144"/>
      <c r="Q388" s="144"/>
    </row>
    <row r="389" spans="15:17" ht="15.75" customHeight="1" x14ac:dyDescent="0.25">
      <c r="O389" s="144"/>
      <c r="P389" s="144"/>
      <c r="Q389" s="144"/>
    </row>
    <row r="390" spans="15:17" ht="15.75" customHeight="1" x14ac:dyDescent="0.25">
      <c r="O390" s="144"/>
      <c r="P390" s="144"/>
      <c r="Q390" s="144"/>
    </row>
    <row r="391" spans="15:17" ht="15.75" customHeight="1" x14ac:dyDescent="0.25">
      <c r="O391" s="144"/>
      <c r="P391" s="144"/>
      <c r="Q391" s="144"/>
    </row>
    <row r="392" spans="15:17" ht="15.75" customHeight="1" x14ac:dyDescent="0.25">
      <c r="O392" s="144"/>
      <c r="P392" s="144"/>
      <c r="Q392" s="144"/>
    </row>
    <row r="393" spans="15:17" ht="15.75" customHeight="1" x14ac:dyDescent="0.25">
      <c r="O393" s="144"/>
      <c r="P393" s="144"/>
      <c r="Q393" s="144"/>
    </row>
    <row r="394" spans="15:17" ht="15.75" customHeight="1" x14ac:dyDescent="0.25">
      <c r="O394" s="144"/>
      <c r="P394" s="144"/>
      <c r="Q394" s="144"/>
    </row>
    <row r="395" spans="15:17" ht="15.75" customHeight="1" x14ac:dyDescent="0.25">
      <c r="O395" s="144"/>
      <c r="P395" s="144"/>
      <c r="Q395" s="144"/>
    </row>
    <row r="396" spans="15:17" ht="15.75" customHeight="1" x14ac:dyDescent="0.25">
      <c r="O396" s="144"/>
      <c r="P396" s="144"/>
      <c r="Q396" s="144"/>
    </row>
    <row r="397" spans="15:17" ht="15.75" customHeight="1" x14ac:dyDescent="0.25">
      <c r="O397" s="144"/>
      <c r="P397" s="144"/>
      <c r="Q397" s="144"/>
    </row>
    <row r="398" spans="15:17" ht="15.75" customHeight="1" x14ac:dyDescent="0.25">
      <c r="O398" s="144"/>
      <c r="P398" s="144"/>
      <c r="Q398" s="144"/>
    </row>
    <row r="399" spans="15:17" ht="15.75" customHeight="1" x14ac:dyDescent="0.25">
      <c r="O399" s="144"/>
      <c r="P399" s="144"/>
      <c r="Q399" s="144"/>
    </row>
    <row r="400" spans="15:17" ht="15.75" customHeight="1" x14ac:dyDescent="0.25">
      <c r="O400" s="144"/>
      <c r="P400" s="144"/>
      <c r="Q400" s="144"/>
    </row>
    <row r="401" spans="15:17" ht="15.75" customHeight="1" x14ac:dyDescent="0.25">
      <c r="O401" s="144"/>
      <c r="P401" s="144"/>
      <c r="Q401" s="144"/>
    </row>
    <row r="402" spans="15:17" ht="15.75" customHeight="1" x14ac:dyDescent="0.25">
      <c r="O402" s="144"/>
      <c r="P402" s="144"/>
      <c r="Q402" s="144"/>
    </row>
    <row r="403" spans="15:17" ht="15.75" customHeight="1" x14ac:dyDescent="0.25">
      <c r="O403" s="144"/>
      <c r="P403" s="144"/>
      <c r="Q403" s="144"/>
    </row>
    <row r="404" spans="15:17" ht="15.75" customHeight="1" x14ac:dyDescent="0.25">
      <c r="O404" s="144"/>
      <c r="P404" s="144"/>
      <c r="Q404" s="144"/>
    </row>
    <row r="405" spans="15:17" ht="15.75" customHeight="1" x14ac:dyDescent="0.25">
      <c r="O405" s="144"/>
      <c r="P405" s="144"/>
      <c r="Q405" s="144"/>
    </row>
    <row r="406" spans="15:17" ht="15.75" customHeight="1" x14ac:dyDescent="0.25">
      <c r="O406" s="144"/>
      <c r="P406" s="144"/>
      <c r="Q406" s="144"/>
    </row>
    <row r="407" spans="15:17" ht="15.75" customHeight="1" x14ac:dyDescent="0.25">
      <c r="O407" s="144"/>
      <c r="P407" s="144"/>
      <c r="Q407" s="144"/>
    </row>
    <row r="408" spans="15:17" ht="15.75" customHeight="1" x14ac:dyDescent="0.25">
      <c r="O408" s="144"/>
      <c r="P408" s="144"/>
      <c r="Q408" s="144"/>
    </row>
    <row r="409" spans="15:17" ht="15.75" customHeight="1" x14ac:dyDescent="0.25">
      <c r="O409" s="144"/>
      <c r="P409" s="144"/>
      <c r="Q409" s="144"/>
    </row>
    <row r="410" spans="15:17" ht="15.75" customHeight="1" x14ac:dyDescent="0.25">
      <c r="O410" s="144"/>
      <c r="P410" s="144"/>
      <c r="Q410" s="144"/>
    </row>
    <row r="411" spans="15:17" ht="15.75" customHeight="1" x14ac:dyDescent="0.25">
      <c r="O411" s="144"/>
      <c r="P411" s="144"/>
      <c r="Q411" s="144"/>
    </row>
    <row r="412" spans="15:17" ht="15.75" customHeight="1" x14ac:dyDescent="0.25">
      <c r="O412" s="144"/>
      <c r="P412" s="144"/>
      <c r="Q412" s="144"/>
    </row>
    <row r="413" spans="15:17" ht="15.75" customHeight="1" x14ac:dyDescent="0.25">
      <c r="O413" s="144"/>
      <c r="P413" s="144"/>
      <c r="Q413" s="144"/>
    </row>
    <row r="414" spans="15:17" ht="15.75" customHeight="1" x14ac:dyDescent="0.25">
      <c r="O414" s="144"/>
      <c r="P414" s="144"/>
      <c r="Q414" s="144"/>
    </row>
    <row r="415" spans="15:17" ht="15.75" customHeight="1" x14ac:dyDescent="0.25">
      <c r="O415" s="144"/>
      <c r="P415" s="144"/>
      <c r="Q415" s="144"/>
    </row>
    <row r="416" spans="15:17" ht="15.75" customHeight="1" x14ac:dyDescent="0.25">
      <c r="O416" s="144"/>
      <c r="P416" s="144"/>
      <c r="Q416" s="144"/>
    </row>
    <row r="417" spans="15:17" ht="15.75" customHeight="1" x14ac:dyDescent="0.25">
      <c r="O417" s="144"/>
      <c r="P417" s="144"/>
      <c r="Q417" s="144"/>
    </row>
    <row r="418" spans="15:17" ht="15.75" customHeight="1" x14ac:dyDescent="0.25">
      <c r="O418" s="144"/>
      <c r="P418" s="144"/>
      <c r="Q418" s="144"/>
    </row>
    <row r="419" spans="15:17" ht="15.75" customHeight="1" x14ac:dyDescent="0.25">
      <c r="O419" s="144"/>
      <c r="P419" s="144"/>
      <c r="Q419" s="144"/>
    </row>
    <row r="420" spans="15:17" ht="15.75" customHeight="1" x14ac:dyDescent="0.25">
      <c r="O420" s="144"/>
      <c r="P420" s="144"/>
      <c r="Q420" s="144"/>
    </row>
    <row r="421" spans="15:17" ht="15.75" customHeight="1" x14ac:dyDescent="0.25">
      <c r="O421" s="144"/>
      <c r="P421" s="144"/>
      <c r="Q421" s="144"/>
    </row>
    <row r="422" spans="15:17" ht="15.75" customHeight="1" x14ac:dyDescent="0.25">
      <c r="O422" s="144"/>
      <c r="P422" s="144"/>
      <c r="Q422" s="144"/>
    </row>
    <row r="423" spans="15:17" ht="15.75" customHeight="1" x14ac:dyDescent="0.25">
      <c r="O423" s="144"/>
      <c r="P423" s="144"/>
      <c r="Q423" s="144"/>
    </row>
    <row r="424" spans="15:17" ht="15.75" customHeight="1" x14ac:dyDescent="0.25">
      <c r="O424" s="144"/>
      <c r="P424" s="144"/>
      <c r="Q424" s="144"/>
    </row>
    <row r="425" spans="15:17" ht="15.75" customHeight="1" x14ac:dyDescent="0.25">
      <c r="O425" s="144"/>
      <c r="P425" s="144"/>
      <c r="Q425" s="144"/>
    </row>
    <row r="426" spans="15:17" ht="15.75" customHeight="1" x14ac:dyDescent="0.25">
      <c r="O426" s="144"/>
      <c r="P426" s="144"/>
      <c r="Q426" s="144"/>
    </row>
    <row r="427" spans="15:17" ht="15.75" customHeight="1" x14ac:dyDescent="0.25">
      <c r="O427" s="144"/>
      <c r="P427" s="144"/>
      <c r="Q427" s="144"/>
    </row>
    <row r="428" spans="15:17" ht="15.75" customHeight="1" x14ac:dyDescent="0.25">
      <c r="O428" s="144"/>
      <c r="P428" s="144"/>
      <c r="Q428" s="144"/>
    </row>
    <row r="429" spans="15:17" ht="15.75" customHeight="1" x14ac:dyDescent="0.25">
      <c r="O429" s="144"/>
      <c r="P429" s="144"/>
      <c r="Q429" s="144"/>
    </row>
    <row r="430" spans="15:17" ht="15.75" customHeight="1" x14ac:dyDescent="0.25">
      <c r="O430" s="144"/>
      <c r="P430" s="144"/>
      <c r="Q430" s="144"/>
    </row>
    <row r="431" spans="15:17" ht="15.75" customHeight="1" x14ac:dyDescent="0.25">
      <c r="O431" s="144"/>
      <c r="P431" s="144"/>
      <c r="Q431" s="144"/>
    </row>
    <row r="432" spans="15:17" ht="15.75" customHeight="1" x14ac:dyDescent="0.25">
      <c r="O432" s="144"/>
      <c r="P432" s="144"/>
      <c r="Q432" s="144"/>
    </row>
    <row r="433" spans="15:17" ht="15.75" customHeight="1" x14ac:dyDescent="0.25">
      <c r="O433" s="144"/>
      <c r="P433" s="144"/>
      <c r="Q433" s="144"/>
    </row>
    <row r="434" spans="15:17" ht="15.75" customHeight="1" x14ac:dyDescent="0.25">
      <c r="O434" s="144"/>
      <c r="P434" s="144"/>
      <c r="Q434" s="144"/>
    </row>
    <row r="435" spans="15:17" ht="15.75" customHeight="1" x14ac:dyDescent="0.25">
      <c r="O435" s="144"/>
      <c r="P435" s="144"/>
      <c r="Q435" s="144"/>
    </row>
    <row r="436" spans="15:17" ht="15.75" customHeight="1" x14ac:dyDescent="0.25">
      <c r="O436" s="144"/>
      <c r="P436" s="144"/>
      <c r="Q436" s="144"/>
    </row>
    <row r="437" spans="15:17" ht="15.75" customHeight="1" x14ac:dyDescent="0.25">
      <c r="O437" s="144"/>
      <c r="P437" s="144"/>
      <c r="Q437" s="144"/>
    </row>
    <row r="438" spans="15:17" ht="15.75" customHeight="1" x14ac:dyDescent="0.25">
      <c r="O438" s="144"/>
      <c r="P438" s="144"/>
      <c r="Q438" s="144"/>
    </row>
    <row r="439" spans="15:17" ht="15.75" customHeight="1" x14ac:dyDescent="0.25">
      <c r="O439" s="144"/>
      <c r="P439" s="144"/>
      <c r="Q439" s="144"/>
    </row>
    <row r="440" spans="15:17" ht="15.75" customHeight="1" x14ac:dyDescent="0.25">
      <c r="O440" s="144"/>
      <c r="P440" s="144"/>
      <c r="Q440" s="144"/>
    </row>
    <row r="441" spans="15:17" ht="15.75" customHeight="1" x14ac:dyDescent="0.25">
      <c r="O441" s="144"/>
      <c r="P441" s="144"/>
      <c r="Q441" s="144"/>
    </row>
    <row r="442" spans="15:17" ht="15.75" customHeight="1" x14ac:dyDescent="0.25">
      <c r="O442" s="144"/>
      <c r="P442" s="144"/>
      <c r="Q442" s="144"/>
    </row>
    <row r="443" spans="15:17" ht="15.75" customHeight="1" x14ac:dyDescent="0.25">
      <c r="O443" s="144"/>
      <c r="P443" s="144"/>
      <c r="Q443" s="144"/>
    </row>
    <row r="444" spans="15:17" ht="15.75" customHeight="1" x14ac:dyDescent="0.25">
      <c r="O444" s="144"/>
      <c r="P444" s="144"/>
      <c r="Q444" s="144"/>
    </row>
    <row r="445" spans="15:17" ht="15.75" customHeight="1" x14ac:dyDescent="0.25">
      <c r="O445" s="144"/>
      <c r="P445" s="144"/>
      <c r="Q445" s="144"/>
    </row>
    <row r="446" spans="15:17" ht="15.75" customHeight="1" x14ac:dyDescent="0.25">
      <c r="O446" s="144"/>
      <c r="P446" s="144"/>
      <c r="Q446" s="144"/>
    </row>
    <row r="447" spans="15:17" ht="15.75" customHeight="1" x14ac:dyDescent="0.25">
      <c r="O447" s="144"/>
      <c r="P447" s="144"/>
      <c r="Q447" s="144"/>
    </row>
    <row r="448" spans="15:17" ht="15.75" customHeight="1" x14ac:dyDescent="0.25">
      <c r="O448" s="144"/>
      <c r="P448" s="144"/>
      <c r="Q448" s="144"/>
    </row>
    <row r="449" spans="15:17" ht="15.75" customHeight="1" x14ac:dyDescent="0.25">
      <c r="O449" s="144"/>
      <c r="P449" s="144"/>
      <c r="Q449" s="144"/>
    </row>
    <row r="450" spans="15:17" ht="15.75" customHeight="1" x14ac:dyDescent="0.25">
      <c r="O450" s="144"/>
      <c r="P450" s="144"/>
      <c r="Q450" s="144"/>
    </row>
    <row r="451" spans="15:17" ht="15.75" customHeight="1" x14ac:dyDescent="0.25">
      <c r="O451" s="144"/>
      <c r="P451" s="144"/>
      <c r="Q451" s="144"/>
    </row>
    <row r="452" spans="15:17" ht="15.75" customHeight="1" x14ac:dyDescent="0.25">
      <c r="O452" s="144"/>
      <c r="P452" s="144"/>
      <c r="Q452" s="144"/>
    </row>
    <row r="453" spans="15:17" ht="15.75" customHeight="1" x14ac:dyDescent="0.25">
      <c r="O453" s="144"/>
      <c r="P453" s="144"/>
      <c r="Q453" s="144"/>
    </row>
    <row r="454" spans="15:17" ht="15.75" customHeight="1" x14ac:dyDescent="0.25">
      <c r="O454" s="144"/>
      <c r="P454" s="144"/>
      <c r="Q454" s="144"/>
    </row>
    <row r="455" spans="15:17" ht="15.75" customHeight="1" x14ac:dyDescent="0.25">
      <c r="O455" s="144"/>
      <c r="P455" s="144"/>
      <c r="Q455" s="144"/>
    </row>
    <row r="456" spans="15:17" ht="15.75" customHeight="1" x14ac:dyDescent="0.25">
      <c r="O456" s="144"/>
      <c r="P456" s="144"/>
      <c r="Q456" s="144"/>
    </row>
    <row r="457" spans="15:17" ht="15.75" customHeight="1" x14ac:dyDescent="0.25">
      <c r="O457" s="144"/>
      <c r="P457" s="144"/>
      <c r="Q457" s="144"/>
    </row>
    <row r="458" spans="15:17" ht="15.75" customHeight="1" x14ac:dyDescent="0.25">
      <c r="O458" s="144"/>
      <c r="P458" s="144"/>
      <c r="Q458" s="144"/>
    </row>
    <row r="459" spans="15:17" ht="15.75" customHeight="1" x14ac:dyDescent="0.25">
      <c r="O459" s="144"/>
      <c r="P459" s="144"/>
      <c r="Q459" s="144"/>
    </row>
    <row r="460" spans="15:17" ht="15.75" customHeight="1" x14ac:dyDescent="0.25">
      <c r="O460" s="144"/>
      <c r="P460" s="144"/>
      <c r="Q460" s="144"/>
    </row>
    <row r="461" spans="15:17" ht="15.75" customHeight="1" x14ac:dyDescent="0.25">
      <c r="O461" s="144"/>
      <c r="P461" s="144"/>
      <c r="Q461" s="144"/>
    </row>
    <row r="462" spans="15:17" ht="15.75" customHeight="1" x14ac:dyDescent="0.25">
      <c r="O462" s="144"/>
      <c r="P462" s="144"/>
      <c r="Q462" s="144"/>
    </row>
    <row r="463" spans="15:17" ht="15.75" customHeight="1" x14ac:dyDescent="0.25">
      <c r="O463" s="144"/>
      <c r="P463" s="144"/>
      <c r="Q463" s="144"/>
    </row>
    <row r="464" spans="15:17" ht="15.75" customHeight="1" x14ac:dyDescent="0.25">
      <c r="O464" s="144"/>
      <c r="P464" s="144"/>
      <c r="Q464" s="144"/>
    </row>
    <row r="465" spans="15:17" ht="15.75" customHeight="1" x14ac:dyDescent="0.25">
      <c r="O465" s="144"/>
      <c r="P465" s="144"/>
      <c r="Q465" s="144"/>
    </row>
    <row r="466" spans="15:17" ht="15.75" customHeight="1" x14ac:dyDescent="0.25">
      <c r="O466" s="144"/>
      <c r="P466" s="144"/>
      <c r="Q466" s="144"/>
    </row>
    <row r="467" spans="15:17" ht="15.75" customHeight="1" x14ac:dyDescent="0.25">
      <c r="O467" s="144"/>
      <c r="P467" s="144"/>
      <c r="Q467" s="144"/>
    </row>
    <row r="468" spans="15:17" ht="15.75" customHeight="1" x14ac:dyDescent="0.25">
      <c r="O468" s="144"/>
      <c r="P468" s="144"/>
      <c r="Q468" s="144"/>
    </row>
    <row r="469" spans="15:17" ht="15.75" customHeight="1" x14ac:dyDescent="0.25">
      <c r="O469" s="144"/>
      <c r="P469" s="144"/>
      <c r="Q469" s="144"/>
    </row>
    <row r="470" spans="15:17" ht="15.75" customHeight="1" x14ac:dyDescent="0.25">
      <c r="O470" s="144"/>
      <c r="P470" s="144"/>
      <c r="Q470" s="144"/>
    </row>
    <row r="471" spans="15:17" ht="15.75" customHeight="1" x14ac:dyDescent="0.25">
      <c r="O471" s="144"/>
      <c r="P471" s="144"/>
      <c r="Q471" s="144"/>
    </row>
    <row r="472" spans="15:17" ht="15.75" customHeight="1" x14ac:dyDescent="0.25">
      <c r="O472" s="144"/>
      <c r="P472" s="144"/>
      <c r="Q472" s="144"/>
    </row>
    <row r="473" spans="15:17" ht="15.75" customHeight="1" x14ac:dyDescent="0.25">
      <c r="O473" s="144"/>
      <c r="P473" s="144"/>
      <c r="Q473" s="144"/>
    </row>
    <row r="474" spans="15:17" ht="15.75" customHeight="1" x14ac:dyDescent="0.25">
      <c r="O474" s="144"/>
      <c r="P474" s="144"/>
      <c r="Q474" s="144"/>
    </row>
    <row r="475" spans="15:17" ht="15.75" customHeight="1" x14ac:dyDescent="0.25">
      <c r="O475" s="144"/>
      <c r="P475" s="144"/>
      <c r="Q475" s="144"/>
    </row>
    <row r="476" spans="15:17" ht="15.75" customHeight="1" x14ac:dyDescent="0.25">
      <c r="O476" s="144"/>
      <c r="P476" s="144"/>
      <c r="Q476" s="144"/>
    </row>
    <row r="477" spans="15:17" ht="15.75" customHeight="1" x14ac:dyDescent="0.25">
      <c r="O477" s="144"/>
      <c r="P477" s="144"/>
      <c r="Q477" s="144"/>
    </row>
    <row r="478" spans="15:17" ht="15.75" customHeight="1" x14ac:dyDescent="0.25">
      <c r="O478" s="144"/>
      <c r="P478" s="144"/>
      <c r="Q478" s="144"/>
    </row>
    <row r="479" spans="15:17" ht="15.75" customHeight="1" x14ac:dyDescent="0.25">
      <c r="O479" s="144"/>
      <c r="P479" s="144"/>
      <c r="Q479" s="144"/>
    </row>
    <row r="480" spans="15:17" ht="15.75" customHeight="1" x14ac:dyDescent="0.25">
      <c r="O480" s="144"/>
      <c r="P480" s="144"/>
      <c r="Q480" s="144"/>
    </row>
    <row r="481" spans="15:17" ht="15.75" customHeight="1" x14ac:dyDescent="0.25">
      <c r="O481" s="144"/>
      <c r="P481" s="144"/>
      <c r="Q481" s="144"/>
    </row>
    <row r="482" spans="15:17" ht="15.75" customHeight="1" x14ac:dyDescent="0.25">
      <c r="O482" s="144"/>
      <c r="P482" s="144"/>
      <c r="Q482" s="144"/>
    </row>
    <row r="483" spans="15:17" ht="15.75" customHeight="1" x14ac:dyDescent="0.25">
      <c r="O483" s="144"/>
      <c r="P483" s="144"/>
      <c r="Q483" s="144"/>
    </row>
    <row r="484" spans="15:17" ht="15.75" customHeight="1" x14ac:dyDescent="0.25">
      <c r="O484" s="144"/>
      <c r="P484" s="144"/>
      <c r="Q484" s="144"/>
    </row>
    <row r="485" spans="15:17" ht="15.75" customHeight="1" x14ac:dyDescent="0.25">
      <c r="O485" s="144"/>
      <c r="P485" s="144"/>
      <c r="Q485" s="144"/>
    </row>
    <row r="486" spans="15:17" ht="15.75" customHeight="1" x14ac:dyDescent="0.25">
      <c r="O486" s="144"/>
      <c r="P486" s="144"/>
      <c r="Q486" s="144"/>
    </row>
    <row r="487" spans="15:17" ht="15.75" customHeight="1" x14ac:dyDescent="0.25">
      <c r="O487" s="144"/>
      <c r="P487" s="144"/>
      <c r="Q487" s="144"/>
    </row>
    <row r="488" spans="15:17" ht="15.75" customHeight="1" x14ac:dyDescent="0.25">
      <c r="O488" s="144"/>
      <c r="P488" s="144"/>
      <c r="Q488" s="144"/>
    </row>
    <row r="489" spans="15:17" ht="15.75" customHeight="1" x14ac:dyDescent="0.25">
      <c r="O489" s="144"/>
      <c r="P489" s="144"/>
      <c r="Q489" s="144"/>
    </row>
    <row r="490" spans="15:17" ht="15.75" customHeight="1" x14ac:dyDescent="0.25">
      <c r="O490" s="144"/>
      <c r="P490" s="144"/>
      <c r="Q490" s="144"/>
    </row>
    <row r="491" spans="15:17" ht="15.75" customHeight="1" x14ac:dyDescent="0.25">
      <c r="O491" s="144"/>
      <c r="P491" s="144"/>
      <c r="Q491" s="144"/>
    </row>
    <row r="492" spans="15:17" ht="15.75" customHeight="1" x14ac:dyDescent="0.25">
      <c r="O492" s="144"/>
      <c r="P492" s="144"/>
      <c r="Q492" s="144"/>
    </row>
    <row r="493" spans="15:17" ht="15.75" customHeight="1" x14ac:dyDescent="0.25">
      <c r="O493" s="144"/>
      <c r="P493" s="144"/>
      <c r="Q493" s="144"/>
    </row>
    <row r="494" spans="15:17" ht="15.75" customHeight="1" x14ac:dyDescent="0.25">
      <c r="O494" s="144"/>
      <c r="P494" s="144"/>
      <c r="Q494" s="144"/>
    </row>
    <row r="495" spans="15:17" ht="15.75" customHeight="1" x14ac:dyDescent="0.25">
      <c r="O495" s="144"/>
      <c r="P495" s="144"/>
      <c r="Q495" s="144"/>
    </row>
    <row r="496" spans="15:17" ht="15.75" customHeight="1" x14ac:dyDescent="0.25">
      <c r="O496" s="144"/>
      <c r="P496" s="144"/>
      <c r="Q496" s="144"/>
    </row>
    <row r="497" spans="15:17" ht="15.75" customHeight="1" x14ac:dyDescent="0.25">
      <c r="O497" s="144"/>
      <c r="P497" s="144"/>
      <c r="Q497" s="144"/>
    </row>
    <row r="498" spans="15:17" ht="15.75" customHeight="1" x14ac:dyDescent="0.25">
      <c r="O498" s="144"/>
      <c r="P498" s="144"/>
      <c r="Q498" s="144"/>
    </row>
    <row r="499" spans="15:17" ht="15.75" customHeight="1" x14ac:dyDescent="0.25">
      <c r="O499" s="144"/>
      <c r="P499" s="144"/>
      <c r="Q499" s="144"/>
    </row>
    <row r="500" spans="15:17" ht="15.75" customHeight="1" x14ac:dyDescent="0.25">
      <c r="O500" s="144"/>
      <c r="P500" s="144"/>
      <c r="Q500" s="144"/>
    </row>
    <row r="501" spans="15:17" ht="15.75" customHeight="1" x14ac:dyDescent="0.25">
      <c r="O501" s="144"/>
      <c r="P501" s="144"/>
      <c r="Q501" s="144"/>
    </row>
    <row r="502" spans="15:17" ht="15.75" customHeight="1" x14ac:dyDescent="0.25">
      <c r="O502" s="144"/>
      <c r="P502" s="144"/>
      <c r="Q502" s="144"/>
    </row>
    <row r="503" spans="15:17" ht="15.75" customHeight="1" x14ac:dyDescent="0.25">
      <c r="O503" s="144"/>
      <c r="P503" s="144"/>
      <c r="Q503" s="144"/>
    </row>
    <row r="504" spans="15:17" ht="15.75" customHeight="1" x14ac:dyDescent="0.25">
      <c r="O504" s="144"/>
      <c r="P504" s="144"/>
      <c r="Q504" s="144"/>
    </row>
    <row r="505" spans="15:17" ht="15.75" customHeight="1" x14ac:dyDescent="0.25">
      <c r="O505" s="144"/>
      <c r="P505" s="144"/>
      <c r="Q505" s="144"/>
    </row>
    <row r="506" spans="15:17" ht="15.75" customHeight="1" x14ac:dyDescent="0.25">
      <c r="O506" s="144"/>
      <c r="P506" s="144"/>
      <c r="Q506" s="144"/>
    </row>
    <row r="507" spans="15:17" ht="15.75" customHeight="1" x14ac:dyDescent="0.25">
      <c r="O507" s="144"/>
      <c r="P507" s="144"/>
      <c r="Q507" s="144"/>
    </row>
    <row r="508" spans="15:17" ht="15.75" customHeight="1" x14ac:dyDescent="0.25">
      <c r="O508" s="144"/>
      <c r="P508" s="144"/>
      <c r="Q508" s="144"/>
    </row>
    <row r="509" spans="15:17" ht="15.75" customHeight="1" x14ac:dyDescent="0.25">
      <c r="O509" s="144"/>
      <c r="P509" s="144"/>
      <c r="Q509" s="144"/>
    </row>
    <row r="510" spans="15:17" ht="15.75" customHeight="1" x14ac:dyDescent="0.25">
      <c r="O510" s="144"/>
      <c r="P510" s="144"/>
      <c r="Q510" s="144"/>
    </row>
    <row r="511" spans="15:17" ht="15.75" customHeight="1" x14ac:dyDescent="0.25">
      <c r="O511" s="144"/>
      <c r="P511" s="144"/>
      <c r="Q511" s="144"/>
    </row>
    <row r="512" spans="15:17" ht="15.75" customHeight="1" x14ac:dyDescent="0.25">
      <c r="O512" s="144"/>
      <c r="P512" s="144"/>
      <c r="Q512" s="144"/>
    </row>
    <row r="513" spans="15:17" ht="15.75" customHeight="1" x14ac:dyDescent="0.25">
      <c r="O513" s="144"/>
      <c r="P513" s="144"/>
      <c r="Q513" s="144"/>
    </row>
    <row r="514" spans="15:17" ht="15.75" customHeight="1" x14ac:dyDescent="0.25">
      <c r="O514" s="144"/>
      <c r="P514" s="144"/>
      <c r="Q514" s="144"/>
    </row>
    <row r="515" spans="15:17" ht="15.75" customHeight="1" x14ac:dyDescent="0.25">
      <c r="O515" s="144"/>
      <c r="P515" s="144"/>
      <c r="Q515" s="144"/>
    </row>
    <row r="516" spans="15:17" ht="15.75" customHeight="1" x14ac:dyDescent="0.25">
      <c r="O516" s="144"/>
      <c r="P516" s="144"/>
      <c r="Q516" s="144"/>
    </row>
    <row r="517" spans="15:17" ht="15.75" customHeight="1" x14ac:dyDescent="0.25">
      <c r="O517" s="144"/>
      <c r="P517" s="144"/>
      <c r="Q517" s="144"/>
    </row>
    <row r="518" spans="15:17" ht="15.75" customHeight="1" x14ac:dyDescent="0.25">
      <c r="O518" s="144"/>
      <c r="P518" s="144"/>
      <c r="Q518" s="144"/>
    </row>
    <row r="519" spans="15:17" ht="15.75" customHeight="1" x14ac:dyDescent="0.25">
      <c r="O519" s="144"/>
      <c r="P519" s="144"/>
      <c r="Q519" s="144"/>
    </row>
    <row r="520" spans="15:17" ht="15.75" customHeight="1" x14ac:dyDescent="0.25">
      <c r="O520" s="144"/>
      <c r="P520" s="144"/>
      <c r="Q520" s="144"/>
    </row>
    <row r="521" spans="15:17" ht="15.75" customHeight="1" x14ac:dyDescent="0.25">
      <c r="O521" s="144"/>
      <c r="P521" s="144"/>
      <c r="Q521" s="144"/>
    </row>
    <row r="522" spans="15:17" ht="15.75" customHeight="1" x14ac:dyDescent="0.25">
      <c r="O522" s="144"/>
      <c r="P522" s="144"/>
      <c r="Q522" s="144"/>
    </row>
    <row r="523" spans="15:17" ht="15.75" customHeight="1" x14ac:dyDescent="0.25">
      <c r="O523" s="144"/>
      <c r="P523" s="144"/>
      <c r="Q523" s="144"/>
    </row>
    <row r="524" spans="15:17" ht="15.75" customHeight="1" x14ac:dyDescent="0.25">
      <c r="O524" s="144"/>
      <c r="P524" s="144"/>
      <c r="Q524" s="144"/>
    </row>
    <row r="525" spans="15:17" ht="15.75" customHeight="1" x14ac:dyDescent="0.25">
      <c r="O525" s="144"/>
      <c r="P525" s="144"/>
      <c r="Q525" s="144"/>
    </row>
    <row r="526" spans="15:17" ht="15.75" customHeight="1" x14ac:dyDescent="0.25">
      <c r="O526" s="144"/>
      <c r="P526" s="144"/>
      <c r="Q526" s="144"/>
    </row>
    <row r="527" spans="15:17" ht="15.75" customHeight="1" x14ac:dyDescent="0.25">
      <c r="O527" s="144"/>
      <c r="P527" s="144"/>
      <c r="Q527" s="144"/>
    </row>
    <row r="528" spans="15:17" ht="15.75" customHeight="1" x14ac:dyDescent="0.25">
      <c r="O528" s="144"/>
      <c r="P528" s="144"/>
      <c r="Q528" s="144"/>
    </row>
    <row r="529" spans="15:17" ht="15.75" customHeight="1" x14ac:dyDescent="0.25">
      <c r="O529" s="144"/>
      <c r="P529" s="144"/>
      <c r="Q529" s="144"/>
    </row>
    <row r="530" spans="15:17" ht="15.75" customHeight="1" x14ac:dyDescent="0.25">
      <c r="O530" s="144"/>
      <c r="P530" s="144"/>
      <c r="Q530" s="144"/>
    </row>
    <row r="531" spans="15:17" ht="15.75" customHeight="1" x14ac:dyDescent="0.25">
      <c r="O531" s="144"/>
      <c r="P531" s="144"/>
      <c r="Q531" s="144"/>
    </row>
    <row r="532" spans="15:17" ht="15.75" customHeight="1" x14ac:dyDescent="0.25">
      <c r="O532" s="144"/>
      <c r="P532" s="144"/>
      <c r="Q532" s="144"/>
    </row>
    <row r="533" spans="15:17" ht="15.75" customHeight="1" x14ac:dyDescent="0.25">
      <c r="O533" s="144"/>
      <c r="P533" s="144"/>
      <c r="Q533" s="144"/>
    </row>
    <row r="534" spans="15:17" ht="15.75" customHeight="1" x14ac:dyDescent="0.25">
      <c r="O534" s="144"/>
      <c r="P534" s="144"/>
      <c r="Q534" s="144"/>
    </row>
    <row r="535" spans="15:17" ht="15.75" customHeight="1" x14ac:dyDescent="0.25">
      <c r="O535" s="144"/>
      <c r="P535" s="144"/>
      <c r="Q535" s="144"/>
    </row>
    <row r="536" spans="15:17" ht="15.75" customHeight="1" x14ac:dyDescent="0.25">
      <c r="O536" s="144"/>
      <c r="P536" s="144"/>
      <c r="Q536" s="144"/>
    </row>
    <row r="537" spans="15:17" ht="15.75" customHeight="1" x14ac:dyDescent="0.25">
      <c r="O537" s="144"/>
      <c r="P537" s="144"/>
      <c r="Q537" s="144"/>
    </row>
    <row r="538" spans="15:17" ht="15.75" customHeight="1" x14ac:dyDescent="0.25">
      <c r="O538" s="144"/>
      <c r="P538" s="144"/>
      <c r="Q538" s="144"/>
    </row>
    <row r="539" spans="15:17" ht="15.75" customHeight="1" x14ac:dyDescent="0.25">
      <c r="O539" s="144"/>
      <c r="P539" s="144"/>
      <c r="Q539" s="144"/>
    </row>
    <row r="540" spans="15:17" ht="15.75" customHeight="1" x14ac:dyDescent="0.25">
      <c r="O540" s="144"/>
      <c r="P540" s="144"/>
      <c r="Q540" s="144"/>
    </row>
    <row r="541" spans="15:17" ht="15.75" customHeight="1" x14ac:dyDescent="0.25">
      <c r="O541" s="144"/>
      <c r="P541" s="144"/>
      <c r="Q541" s="144"/>
    </row>
    <row r="542" spans="15:17" ht="15.75" customHeight="1" x14ac:dyDescent="0.25">
      <c r="O542" s="144"/>
      <c r="P542" s="144"/>
      <c r="Q542" s="144"/>
    </row>
    <row r="543" spans="15:17" ht="15.75" customHeight="1" x14ac:dyDescent="0.25">
      <c r="O543" s="144"/>
      <c r="P543" s="144"/>
      <c r="Q543" s="144"/>
    </row>
    <row r="544" spans="15:17" ht="15.75" customHeight="1" x14ac:dyDescent="0.25">
      <c r="O544" s="144"/>
      <c r="P544" s="144"/>
      <c r="Q544" s="144"/>
    </row>
    <row r="545" spans="15:17" ht="15.75" customHeight="1" x14ac:dyDescent="0.25">
      <c r="O545" s="144"/>
      <c r="P545" s="144"/>
      <c r="Q545" s="144"/>
    </row>
    <row r="546" spans="15:17" ht="15.75" customHeight="1" x14ac:dyDescent="0.25">
      <c r="O546" s="144"/>
      <c r="P546" s="144"/>
      <c r="Q546" s="144"/>
    </row>
    <row r="547" spans="15:17" ht="15.75" customHeight="1" x14ac:dyDescent="0.25">
      <c r="O547" s="144"/>
      <c r="P547" s="144"/>
      <c r="Q547" s="144"/>
    </row>
    <row r="548" spans="15:17" ht="15.75" customHeight="1" x14ac:dyDescent="0.25">
      <c r="O548" s="144"/>
      <c r="P548" s="144"/>
      <c r="Q548" s="144"/>
    </row>
    <row r="549" spans="15:17" ht="15.75" customHeight="1" x14ac:dyDescent="0.25">
      <c r="O549" s="144"/>
      <c r="P549" s="144"/>
      <c r="Q549" s="144"/>
    </row>
    <row r="550" spans="15:17" ht="15.75" customHeight="1" x14ac:dyDescent="0.25">
      <c r="O550" s="144"/>
      <c r="P550" s="144"/>
      <c r="Q550" s="144"/>
    </row>
    <row r="551" spans="15:17" ht="15.75" customHeight="1" x14ac:dyDescent="0.25">
      <c r="O551" s="144"/>
      <c r="P551" s="144"/>
      <c r="Q551" s="144"/>
    </row>
    <row r="552" spans="15:17" ht="15.75" customHeight="1" x14ac:dyDescent="0.25">
      <c r="O552" s="144"/>
      <c r="P552" s="144"/>
      <c r="Q552" s="144"/>
    </row>
    <row r="553" spans="15:17" ht="15.75" customHeight="1" x14ac:dyDescent="0.25">
      <c r="O553" s="144"/>
      <c r="P553" s="144"/>
      <c r="Q553" s="144"/>
    </row>
    <row r="554" spans="15:17" ht="15.75" customHeight="1" x14ac:dyDescent="0.25">
      <c r="O554" s="144"/>
      <c r="P554" s="144"/>
      <c r="Q554" s="144"/>
    </row>
    <row r="555" spans="15:17" ht="15.75" customHeight="1" x14ac:dyDescent="0.25">
      <c r="O555" s="144"/>
      <c r="P555" s="144"/>
      <c r="Q555" s="144"/>
    </row>
    <row r="556" spans="15:17" ht="15.75" customHeight="1" x14ac:dyDescent="0.25">
      <c r="O556" s="144"/>
      <c r="P556" s="144"/>
      <c r="Q556" s="144"/>
    </row>
    <row r="557" spans="15:17" ht="15.75" customHeight="1" x14ac:dyDescent="0.25">
      <c r="O557" s="144"/>
      <c r="P557" s="144"/>
      <c r="Q557" s="144"/>
    </row>
    <row r="558" spans="15:17" ht="15.75" customHeight="1" x14ac:dyDescent="0.25">
      <c r="O558" s="144"/>
      <c r="P558" s="144"/>
      <c r="Q558" s="144"/>
    </row>
    <row r="559" spans="15:17" ht="15.75" customHeight="1" x14ac:dyDescent="0.25">
      <c r="O559" s="144"/>
      <c r="P559" s="144"/>
      <c r="Q559" s="144"/>
    </row>
    <row r="560" spans="15:17" ht="15.75" customHeight="1" x14ac:dyDescent="0.25">
      <c r="O560" s="144"/>
      <c r="P560" s="144"/>
      <c r="Q560" s="144"/>
    </row>
    <row r="561" spans="15:17" ht="15.75" customHeight="1" x14ac:dyDescent="0.25">
      <c r="O561" s="144"/>
      <c r="P561" s="144"/>
      <c r="Q561" s="144"/>
    </row>
    <row r="562" spans="15:17" ht="15.75" customHeight="1" x14ac:dyDescent="0.25">
      <c r="O562" s="144"/>
      <c r="P562" s="144"/>
      <c r="Q562" s="144"/>
    </row>
    <row r="563" spans="15:17" ht="15.75" customHeight="1" x14ac:dyDescent="0.25">
      <c r="O563" s="144"/>
      <c r="P563" s="144"/>
      <c r="Q563" s="144"/>
    </row>
    <row r="564" spans="15:17" ht="15.75" customHeight="1" x14ac:dyDescent="0.25">
      <c r="O564" s="144"/>
      <c r="P564" s="144"/>
      <c r="Q564" s="144"/>
    </row>
    <row r="565" spans="15:17" ht="15.75" customHeight="1" x14ac:dyDescent="0.25">
      <c r="O565" s="144"/>
      <c r="P565" s="144"/>
      <c r="Q565" s="144"/>
    </row>
    <row r="566" spans="15:17" ht="15.75" customHeight="1" x14ac:dyDescent="0.25">
      <c r="O566" s="144"/>
      <c r="P566" s="144"/>
      <c r="Q566" s="144"/>
    </row>
    <row r="567" spans="15:17" ht="15.75" customHeight="1" x14ac:dyDescent="0.25">
      <c r="O567" s="144"/>
      <c r="P567" s="144"/>
      <c r="Q567" s="144"/>
    </row>
    <row r="568" spans="15:17" ht="15.75" customHeight="1" x14ac:dyDescent="0.25">
      <c r="O568" s="144"/>
      <c r="P568" s="144"/>
      <c r="Q568" s="144"/>
    </row>
    <row r="569" spans="15:17" ht="15.75" customHeight="1" x14ac:dyDescent="0.25">
      <c r="O569" s="144"/>
      <c r="P569" s="144"/>
      <c r="Q569" s="144"/>
    </row>
    <row r="570" spans="15:17" ht="15.75" customHeight="1" x14ac:dyDescent="0.25">
      <c r="O570" s="144"/>
      <c r="P570" s="144"/>
      <c r="Q570" s="144"/>
    </row>
    <row r="571" spans="15:17" ht="15.75" customHeight="1" x14ac:dyDescent="0.25">
      <c r="O571" s="144"/>
      <c r="P571" s="144"/>
      <c r="Q571" s="144"/>
    </row>
    <row r="572" spans="15:17" ht="15.75" customHeight="1" x14ac:dyDescent="0.25">
      <c r="O572" s="144"/>
      <c r="P572" s="144"/>
      <c r="Q572" s="144"/>
    </row>
    <row r="573" spans="15:17" ht="15.75" customHeight="1" x14ac:dyDescent="0.25">
      <c r="O573" s="144"/>
      <c r="P573" s="144"/>
      <c r="Q573" s="144"/>
    </row>
    <row r="574" spans="15:17" ht="15.75" customHeight="1" x14ac:dyDescent="0.25">
      <c r="O574" s="144"/>
      <c r="P574" s="144"/>
      <c r="Q574" s="144"/>
    </row>
    <row r="575" spans="15:17" ht="15.75" customHeight="1" x14ac:dyDescent="0.25">
      <c r="O575" s="144"/>
      <c r="P575" s="144"/>
      <c r="Q575" s="144"/>
    </row>
    <row r="576" spans="15:17" ht="15.75" customHeight="1" x14ac:dyDescent="0.25">
      <c r="O576" s="144"/>
      <c r="P576" s="144"/>
      <c r="Q576" s="144"/>
    </row>
    <row r="577" spans="15:17" ht="15.75" customHeight="1" x14ac:dyDescent="0.25">
      <c r="O577" s="144"/>
      <c r="P577" s="144"/>
      <c r="Q577" s="144"/>
    </row>
    <row r="578" spans="15:17" ht="15.75" customHeight="1" x14ac:dyDescent="0.25">
      <c r="O578" s="144"/>
      <c r="P578" s="144"/>
      <c r="Q578" s="144"/>
    </row>
    <row r="579" spans="15:17" ht="15.75" customHeight="1" x14ac:dyDescent="0.25">
      <c r="O579" s="144"/>
      <c r="P579" s="144"/>
      <c r="Q579" s="144"/>
    </row>
    <row r="580" spans="15:17" ht="15.75" customHeight="1" x14ac:dyDescent="0.25">
      <c r="O580" s="144"/>
      <c r="P580" s="144"/>
      <c r="Q580" s="144"/>
    </row>
    <row r="581" spans="15:17" ht="15.75" customHeight="1" x14ac:dyDescent="0.25">
      <c r="O581" s="144"/>
      <c r="P581" s="144"/>
      <c r="Q581" s="144"/>
    </row>
    <row r="582" spans="15:17" ht="15.75" customHeight="1" x14ac:dyDescent="0.25">
      <c r="O582" s="144"/>
      <c r="P582" s="144"/>
      <c r="Q582" s="144"/>
    </row>
    <row r="583" spans="15:17" ht="15.75" customHeight="1" x14ac:dyDescent="0.25">
      <c r="O583" s="144"/>
      <c r="P583" s="144"/>
      <c r="Q583" s="144"/>
    </row>
    <row r="584" spans="15:17" ht="15.75" customHeight="1" x14ac:dyDescent="0.25">
      <c r="O584" s="144"/>
      <c r="P584" s="144"/>
      <c r="Q584" s="144"/>
    </row>
    <row r="585" spans="15:17" ht="15.75" customHeight="1" x14ac:dyDescent="0.25">
      <c r="O585" s="144"/>
      <c r="P585" s="144"/>
      <c r="Q585" s="144"/>
    </row>
    <row r="586" spans="15:17" ht="15.75" customHeight="1" x14ac:dyDescent="0.25">
      <c r="O586" s="144"/>
      <c r="P586" s="144"/>
      <c r="Q586" s="144"/>
    </row>
    <row r="587" spans="15:17" ht="15.75" customHeight="1" x14ac:dyDescent="0.25">
      <c r="O587" s="144"/>
      <c r="P587" s="144"/>
      <c r="Q587" s="144"/>
    </row>
    <row r="588" spans="15:17" ht="15.75" customHeight="1" x14ac:dyDescent="0.25">
      <c r="O588" s="144"/>
      <c r="P588" s="144"/>
      <c r="Q588" s="144"/>
    </row>
    <row r="589" spans="15:17" ht="15.75" customHeight="1" x14ac:dyDescent="0.25">
      <c r="O589" s="144"/>
      <c r="P589" s="144"/>
      <c r="Q589" s="144"/>
    </row>
    <row r="590" spans="15:17" ht="15.75" customHeight="1" x14ac:dyDescent="0.25">
      <c r="O590" s="144"/>
      <c r="P590" s="144"/>
      <c r="Q590" s="144"/>
    </row>
    <row r="591" spans="15:17" ht="15.75" customHeight="1" x14ac:dyDescent="0.25">
      <c r="O591" s="144"/>
      <c r="P591" s="144"/>
      <c r="Q591" s="144"/>
    </row>
    <row r="592" spans="15:17" ht="15.75" customHeight="1" x14ac:dyDescent="0.25">
      <c r="O592" s="144"/>
      <c r="P592" s="144"/>
      <c r="Q592" s="144"/>
    </row>
    <row r="593" spans="15:17" ht="15.75" customHeight="1" x14ac:dyDescent="0.25">
      <c r="O593" s="144"/>
      <c r="P593" s="144"/>
      <c r="Q593" s="144"/>
    </row>
    <row r="594" spans="15:17" ht="15.75" customHeight="1" x14ac:dyDescent="0.25">
      <c r="O594" s="144"/>
      <c r="P594" s="144"/>
      <c r="Q594" s="144"/>
    </row>
    <row r="595" spans="15:17" ht="15.75" customHeight="1" x14ac:dyDescent="0.25">
      <c r="O595" s="144"/>
      <c r="P595" s="144"/>
      <c r="Q595" s="144"/>
    </row>
    <row r="596" spans="15:17" ht="15.75" customHeight="1" x14ac:dyDescent="0.25">
      <c r="O596" s="144"/>
      <c r="P596" s="144"/>
      <c r="Q596" s="144"/>
    </row>
    <row r="597" spans="15:17" ht="15.75" customHeight="1" x14ac:dyDescent="0.25">
      <c r="O597" s="144"/>
      <c r="P597" s="144"/>
      <c r="Q597" s="144"/>
    </row>
    <row r="598" spans="15:17" ht="15.75" customHeight="1" x14ac:dyDescent="0.25">
      <c r="O598" s="144"/>
      <c r="P598" s="144"/>
      <c r="Q598" s="144"/>
    </row>
    <row r="599" spans="15:17" ht="15.75" customHeight="1" x14ac:dyDescent="0.25">
      <c r="O599" s="144"/>
      <c r="P599" s="144"/>
      <c r="Q599" s="144"/>
    </row>
    <row r="600" spans="15:17" ht="15.75" customHeight="1" x14ac:dyDescent="0.25">
      <c r="O600" s="144"/>
      <c r="P600" s="144"/>
      <c r="Q600" s="144"/>
    </row>
    <row r="601" spans="15:17" ht="15.75" customHeight="1" x14ac:dyDescent="0.25">
      <c r="O601" s="144"/>
      <c r="P601" s="144"/>
      <c r="Q601" s="144"/>
    </row>
    <row r="602" spans="15:17" ht="15.75" customHeight="1" x14ac:dyDescent="0.25">
      <c r="O602" s="144"/>
      <c r="P602" s="144"/>
      <c r="Q602" s="144"/>
    </row>
    <row r="603" spans="15:17" ht="15.75" customHeight="1" x14ac:dyDescent="0.25">
      <c r="O603" s="144"/>
      <c r="P603" s="144"/>
      <c r="Q603" s="144"/>
    </row>
    <row r="604" spans="15:17" ht="15.75" customHeight="1" x14ac:dyDescent="0.25">
      <c r="O604" s="144"/>
      <c r="P604" s="144"/>
      <c r="Q604" s="144"/>
    </row>
    <row r="605" spans="15:17" ht="15.75" customHeight="1" x14ac:dyDescent="0.25">
      <c r="O605" s="144"/>
      <c r="P605" s="144"/>
      <c r="Q605" s="144"/>
    </row>
    <row r="606" spans="15:17" ht="15.75" customHeight="1" x14ac:dyDescent="0.25">
      <c r="O606" s="144"/>
      <c r="P606" s="144"/>
      <c r="Q606" s="144"/>
    </row>
    <row r="607" spans="15:17" ht="15.75" customHeight="1" x14ac:dyDescent="0.25">
      <c r="O607" s="144"/>
      <c r="P607" s="144"/>
      <c r="Q607" s="144"/>
    </row>
    <row r="608" spans="15:17" ht="15.75" customHeight="1" x14ac:dyDescent="0.25">
      <c r="O608" s="144"/>
      <c r="P608" s="144"/>
      <c r="Q608" s="144"/>
    </row>
    <row r="609" spans="15:17" ht="15.75" customHeight="1" x14ac:dyDescent="0.25">
      <c r="O609" s="144"/>
      <c r="P609" s="144"/>
      <c r="Q609" s="144"/>
    </row>
    <row r="610" spans="15:17" ht="15.75" customHeight="1" x14ac:dyDescent="0.25">
      <c r="O610" s="144"/>
      <c r="P610" s="144"/>
      <c r="Q610" s="144"/>
    </row>
    <row r="611" spans="15:17" ht="15.75" customHeight="1" x14ac:dyDescent="0.25">
      <c r="O611" s="144"/>
      <c r="P611" s="144"/>
      <c r="Q611" s="144"/>
    </row>
    <row r="612" spans="15:17" ht="15.75" customHeight="1" x14ac:dyDescent="0.25">
      <c r="O612" s="144"/>
      <c r="P612" s="144"/>
      <c r="Q612" s="144"/>
    </row>
    <row r="613" spans="15:17" ht="15.75" customHeight="1" x14ac:dyDescent="0.25">
      <c r="O613" s="144"/>
      <c r="P613" s="144"/>
      <c r="Q613" s="144"/>
    </row>
    <row r="614" spans="15:17" ht="15.75" customHeight="1" x14ac:dyDescent="0.25">
      <c r="O614" s="144"/>
      <c r="P614" s="144"/>
      <c r="Q614" s="144"/>
    </row>
    <row r="615" spans="15:17" ht="15.75" customHeight="1" x14ac:dyDescent="0.25">
      <c r="O615" s="144"/>
      <c r="P615" s="144"/>
      <c r="Q615" s="144"/>
    </row>
    <row r="616" spans="15:17" ht="15.75" customHeight="1" x14ac:dyDescent="0.25">
      <c r="O616" s="144"/>
      <c r="P616" s="144"/>
      <c r="Q616" s="144"/>
    </row>
    <row r="617" spans="15:17" ht="15.75" customHeight="1" x14ac:dyDescent="0.25">
      <c r="O617" s="144"/>
      <c r="P617" s="144"/>
      <c r="Q617" s="144"/>
    </row>
    <row r="618" spans="15:17" ht="15.75" customHeight="1" x14ac:dyDescent="0.25">
      <c r="O618" s="144"/>
      <c r="P618" s="144"/>
      <c r="Q618" s="144"/>
    </row>
    <row r="619" spans="15:17" ht="15.75" customHeight="1" x14ac:dyDescent="0.25">
      <c r="O619" s="144"/>
      <c r="P619" s="144"/>
      <c r="Q619" s="144"/>
    </row>
    <row r="620" spans="15:17" ht="15.75" customHeight="1" x14ac:dyDescent="0.25">
      <c r="O620" s="144"/>
      <c r="P620" s="144"/>
      <c r="Q620" s="144"/>
    </row>
    <row r="621" spans="15:17" ht="15.75" customHeight="1" x14ac:dyDescent="0.25">
      <c r="O621" s="144"/>
      <c r="P621" s="144"/>
      <c r="Q621" s="144"/>
    </row>
    <row r="622" spans="15:17" ht="15.75" customHeight="1" x14ac:dyDescent="0.25">
      <c r="O622" s="144"/>
      <c r="P622" s="144"/>
      <c r="Q622" s="144"/>
    </row>
    <row r="623" spans="15:17" ht="15.75" customHeight="1" x14ac:dyDescent="0.25">
      <c r="O623" s="144"/>
      <c r="P623" s="144"/>
      <c r="Q623" s="144"/>
    </row>
    <row r="624" spans="15:17" ht="15.75" customHeight="1" x14ac:dyDescent="0.25">
      <c r="O624" s="144"/>
      <c r="P624" s="144"/>
      <c r="Q624" s="144"/>
    </row>
    <row r="625" spans="15:17" ht="15.75" customHeight="1" x14ac:dyDescent="0.25">
      <c r="O625" s="144"/>
      <c r="P625" s="144"/>
      <c r="Q625" s="144"/>
    </row>
    <row r="626" spans="15:17" ht="15.75" customHeight="1" x14ac:dyDescent="0.25">
      <c r="O626" s="144"/>
      <c r="P626" s="144"/>
      <c r="Q626" s="144"/>
    </row>
    <row r="627" spans="15:17" ht="15.75" customHeight="1" x14ac:dyDescent="0.25">
      <c r="O627" s="144"/>
      <c r="P627" s="144"/>
      <c r="Q627" s="144"/>
    </row>
    <row r="628" spans="15:17" ht="15.75" customHeight="1" x14ac:dyDescent="0.25">
      <c r="O628" s="144"/>
      <c r="P628" s="144"/>
      <c r="Q628" s="144"/>
    </row>
    <row r="629" spans="15:17" ht="15.75" customHeight="1" x14ac:dyDescent="0.25">
      <c r="O629" s="144"/>
      <c r="P629" s="144"/>
      <c r="Q629" s="144"/>
    </row>
    <row r="630" spans="15:17" ht="15.75" customHeight="1" x14ac:dyDescent="0.25">
      <c r="O630" s="144"/>
      <c r="P630" s="144"/>
      <c r="Q630" s="144"/>
    </row>
    <row r="631" spans="15:17" ht="15.75" customHeight="1" x14ac:dyDescent="0.25">
      <c r="O631" s="144"/>
      <c r="P631" s="144"/>
      <c r="Q631" s="144"/>
    </row>
    <row r="632" spans="15:17" ht="15.75" customHeight="1" x14ac:dyDescent="0.25">
      <c r="O632" s="144"/>
      <c r="P632" s="144"/>
      <c r="Q632" s="144"/>
    </row>
    <row r="633" spans="15:17" ht="15.75" customHeight="1" x14ac:dyDescent="0.25">
      <c r="O633" s="144"/>
      <c r="P633" s="144"/>
      <c r="Q633" s="144"/>
    </row>
    <row r="634" spans="15:17" ht="15.75" customHeight="1" x14ac:dyDescent="0.25">
      <c r="O634" s="144"/>
      <c r="P634" s="144"/>
      <c r="Q634" s="144"/>
    </row>
    <row r="635" spans="15:17" ht="15.75" customHeight="1" x14ac:dyDescent="0.25">
      <c r="O635" s="144"/>
      <c r="P635" s="144"/>
      <c r="Q635" s="144"/>
    </row>
    <row r="636" spans="15:17" ht="15.75" customHeight="1" x14ac:dyDescent="0.25">
      <c r="O636" s="144"/>
      <c r="P636" s="144"/>
      <c r="Q636" s="144"/>
    </row>
    <row r="637" spans="15:17" ht="15.75" customHeight="1" x14ac:dyDescent="0.25">
      <c r="O637" s="144"/>
      <c r="P637" s="144"/>
      <c r="Q637" s="144"/>
    </row>
    <row r="638" spans="15:17" ht="15.75" customHeight="1" x14ac:dyDescent="0.25">
      <c r="O638" s="144"/>
      <c r="P638" s="144"/>
      <c r="Q638" s="144"/>
    </row>
    <row r="639" spans="15:17" ht="15.75" customHeight="1" x14ac:dyDescent="0.25">
      <c r="O639" s="144"/>
      <c r="P639" s="144"/>
      <c r="Q639" s="144"/>
    </row>
    <row r="640" spans="15:17" ht="15.75" customHeight="1" x14ac:dyDescent="0.25">
      <c r="O640" s="144"/>
      <c r="P640" s="144"/>
      <c r="Q640" s="144"/>
    </row>
    <row r="641" spans="15:17" ht="15.75" customHeight="1" x14ac:dyDescent="0.25">
      <c r="O641" s="144"/>
      <c r="P641" s="144"/>
      <c r="Q641" s="144"/>
    </row>
    <row r="642" spans="15:17" ht="15.75" customHeight="1" x14ac:dyDescent="0.25">
      <c r="O642" s="144"/>
      <c r="P642" s="144"/>
      <c r="Q642" s="144"/>
    </row>
    <row r="643" spans="15:17" ht="15.75" customHeight="1" x14ac:dyDescent="0.25">
      <c r="O643" s="144"/>
      <c r="P643" s="144"/>
      <c r="Q643" s="144"/>
    </row>
    <row r="644" spans="15:17" ht="15.75" customHeight="1" x14ac:dyDescent="0.25">
      <c r="O644" s="144"/>
      <c r="P644" s="144"/>
      <c r="Q644" s="144"/>
    </row>
    <row r="645" spans="15:17" ht="15.75" customHeight="1" x14ac:dyDescent="0.25">
      <c r="O645" s="144"/>
      <c r="P645" s="144"/>
      <c r="Q645" s="144"/>
    </row>
    <row r="646" spans="15:17" ht="15.75" customHeight="1" x14ac:dyDescent="0.25">
      <c r="O646" s="144"/>
      <c r="P646" s="144"/>
      <c r="Q646" s="144"/>
    </row>
    <row r="647" spans="15:17" ht="15.75" customHeight="1" x14ac:dyDescent="0.25">
      <c r="O647" s="144"/>
      <c r="P647" s="144"/>
      <c r="Q647" s="144"/>
    </row>
    <row r="648" spans="15:17" ht="15.75" customHeight="1" x14ac:dyDescent="0.25">
      <c r="O648" s="144"/>
      <c r="P648" s="144"/>
      <c r="Q648" s="144"/>
    </row>
    <row r="649" spans="15:17" ht="15.75" customHeight="1" x14ac:dyDescent="0.25">
      <c r="O649" s="144"/>
      <c r="P649" s="144"/>
      <c r="Q649" s="144"/>
    </row>
    <row r="650" spans="15:17" ht="15.75" customHeight="1" x14ac:dyDescent="0.25">
      <c r="O650" s="144"/>
      <c r="P650" s="144"/>
      <c r="Q650" s="144"/>
    </row>
    <row r="651" spans="15:17" ht="15.75" customHeight="1" x14ac:dyDescent="0.25">
      <c r="O651" s="144"/>
      <c r="P651" s="144"/>
      <c r="Q651" s="144"/>
    </row>
    <row r="652" spans="15:17" ht="15.75" customHeight="1" x14ac:dyDescent="0.25">
      <c r="O652" s="144"/>
      <c r="P652" s="144"/>
      <c r="Q652" s="144"/>
    </row>
    <row r="653" spans="15:17" ht="15.75" customHeight="1" x14ac:dyDescent="0.25">
      <c r="O653" s="144"/>
      <c r="P653" s="144"/>
      <c r="Q653" s="144"/>
    </row>
    <row r="654" spans="15:17" ht="15.75" customHeight="1" x14ac:dyDescent="0.25">
      <c r="O654" s="144"/>
      <c r="P654" s="144"/>
      <c r="Q654" s="144"/>
    </row>
    <row r="655" spans="15:17" ht="15.75" customHeight="1" x14ac:dyDescent="0.25">
      <c r="O655" s="144"/>
      <c r="P655" s="144"/>
      <c r="Q655" s="144"/>
    </row>
    <row r="656" spans="15:17" ht="15.75" customHeight="1" x14ac:dyDescent="0.25">
      <c r="O656" s="144"/>
      <c r="P656" s="144"/>
      <c r="Q656" s="144"/>
    </row>
    <row r="657" spans="15:17" ht="15.75" customHeight="1" x14ac:dyDescent="0.25">
      <c r="O657" s="144"/>
      <c r="P657" s="144"/>
      <c r="Q657" s="144"/>
    </row>
    <row r="658" spans="15:17" ht="15.75" customHeight="1" x14ac:dyDescent="0.25">
      <c r="O658" s="144"/>
      <c r="P658" s="144"/>
      <c r="Q658" s="144"/>
    </row>
    <row r="659" spans="15:17" ht="15.75" customHeight="1" x14ac:dyDescent="0.25">
      <c r="O659" s="144"/>
      <c r="P659" s="144"/>
      <c r="Q659" s="144"/>
    </row>
    <row r="660" spans="15:17" ht="15.75" customHeight="1" x14ac:dyDescent="0.25">
      <c r="O660" s="144"/>
      <c r="P660" s="144"/>
      <c r="Q660" s="144"/>
    </row>
    <row r="661" spans="15:17" ht="15.75" customHeight="1" x14ac:dyDescent="0.25">
      <c r="O661" s="144"/>
      <c r="P661" s="144"/>
      <c r="Q661" s="144"/>
    </row>
    <row r="662" spans="15:17" ht="15.75" customHeight="1" x14ac:dyDescent="0.25">
      <c r="O662" s="144"/>
      <c r="P662" s="144"/>
      <c r="Q662" s="144"/>
    </row>
    <row r="663" spans="15:17" ht="15.75" customHeight="1" x14ac:dyDescent="0.25">
      <c r="O663" s="144"/>
      <c r="P663" s="144"/>
      <c r="Q663" s="144"/>
    </row>
    <row r="664" spans="15:17" ht="15.75" customHeight="1" x14ac:dyDescent="0.25">
      <c r="O664" s="144"/>
      <c r="P664" s="144"/>
      <c r="Q664" s="144"/>
    </row>
    <row r="665" spans="15:17" ht="15.75" customHeight="1" x14ac:dyDescent="0.25">
      <c r="O665" s="144"/>
      <c r="P665" s="144"/>
      <c r="Q665" s="144"/>
    </row>
    <row r="666" spans="15:17" ht="15.75" customHeight="1" x14ac:dyDescent="0.25">
      <c r="O666" s="144"/>
      <c r="P666" s="144"/>
      <c r="Q666" s="144"/>
    </row>
    <row r="667" spans="15:17" ht="15.75" customHeight="1" x14ac:dyDescent="0.25">
      <c r="O667" s="144"/>
      <c r="P667" s="144"/>
      <c r="Q667" s="144"/>
    </row>
    <row r="668" spans="15:17" ht="15.75" customHeight="1" x14ac:dyDescent="0.25">
      <c r="O668" s="144"/>
      <c r="P668" s="144"/>
      <c r="Q668" s="144"/>
    </row>
    <row r="669" spans="15:17" ht="15.75" customHeight="1" x14ac:dyDescent="0.25">
      <c r="O669" s="144"/>
      <c r="P669" s="144"/>
      <c r="Q669" s="144"/>
    </row>
    <row r="670" spans="15:17" ht="15.75" customHeight="1" x14ac:dyDescent="0.25">
      <c r="O670" s="144"/>
      <c r="P670" s="144"/>
      <c r="Q670" s="144"/>
    </row>
    <row r="671" spans="15:17" ht="15.75" customHeight="1" x14ac:dyDescent="0.25">
      <c r="O671" s="144"/>
      <c r="P671" s="144"/>
      <c r="Q671" s="144"/>
    </row>
    <row r="672" spans="15:17" ht="15.75" customHeight="1" x14ac:dyDescent="0.25">
      <c r="O672" s="144"/>
      <c r="P672" s="144"/>
      <c r="Q672" s="144"/>
    </row>
    <row r="673" spans="15:17" ht="15.75" customHeight="1" x14ac:dyDescent="0.25">
      <c r="O673" s="144"/>
      <c r="P673" s="144"/>
      <c r="Q673" s="144"/>
    </row>
    <row r="674" spans="15:17" ht="15.75" customHeight="1" x14ac:dyDescent="0.25">
      <c r="O674" s="144"/>
      <c r="P674" s="144"/>
      <c r="Q674" s="144"/>
    </row>
    <row r="675" spans="15:17" ht="15.75" customHeight="1" x14ac:dyDescent="0.25">
      <c r="O675" s="144"/>
      <c r="P675" s="144"/>
      <c r="Q675" s="144"/>
    </row>
    <row r="676" spans="15:17" ht="15.75" customHeight="1" x14ac:dyDescent="0.25">
      <c r="O676" s="144"/>
      <c r="P676" s="144"/>
      <c r="Q676" s="144"/>
    </row>
    <row r="677" spans="15:17" ht="15.75" customHeight="1" x14ac:dyDescent="0.25">
      <c r="O677" s="144"/>
      <c r="P677" s="144"/>
      <c r="Q677" s="144"/>
    </row>
    <row r="678" spans="15:17" ht="15.75" customHeight="1" x14ac:dyDescent="0.25">
      <c r="O678" s="144"/>
      <c r="P678" s="144"/>
      <c r="Q678" s="144"/>
    </row>
    <row r="679" spans="15:17" ht="15.75" customHeight="1" x14ac:dyDescent="0.25">
      <c r="O679" s="144"/>
      <c r="P679" s="144"/>
      <c r="Q679" s="144"/>
    </row>
    <row r="680" spans="15:17" ht="15.75" customHeight="1" x14ac:dyDescent="0.25">
      <c r="O680" s="144"/>
      <c r="P680" s="144"/>
      <c r="Q680" s="144"/>
    </row>
    <row r="681" spans="15:17" ht="15.75" customHeight="1" x14ac:dyDescent="0.25">
      <c r="O681" s="144"/>
      <c r="P681" s="144"/>
      <c r="Q681" s="144"/>
    </row>
    <row r="682" spans="15:17" ht="15.75" customHeight="1" x14ac:dyDescent="0.25">
      <c r="O682" s="144"/>
      <c r="P682" s="144"/>
      <c r="Q682" s="144"/>
    </row>
    <row r="683" spans="15:17" ht="15.75" customHeight="1" x14ac:dyDescent="0.25">
      <c r="O683" s="144"/>
      <c r="P683" s="144"/>
      <c r="Q683" s="144"/>
    </row>
    <row r="684" spans="15:17" ht="15.75" customHeight="1" x14ac:dyDescent="0.25">
      <c r="O684" s="144"/>
      <c r="P684" s="144"/>
      <c r="Q684" s="144"/>
    </row>
    <row r="685" spans="15:17" ht="15.75" customHeight="1" x14ac:dyDescent="0.25">
      <c r="O685" s="144"/>
      <c r="P685" s="144"/>
      <c r="Q685" s="144"/>
    </row>
    <row r="686" spans="15:17" ht="15.75" customHeight="1" x14ac:dyDescent="0.25">
      <c r="O686" s="144"/>
      <c r="P686" s="144"/>
      <c r="Q686" s="144"/>
    </row>
    <row r="687" spans="15:17" ht="15.75" customHeight="1" x14ac:dyDescent="0.25">
      <c r="O687" s="144"/>
      <c r="P687" s="144"/>
      <c r="Q687" s="144"/>
    </row>
    <row r="688" spans="15:17" ht="15.75" customHeight="1" x14ac:dyDescent="0.25">
      <c r="O688" s="144"/>
      <c r="P688" s="144"/>
      <c r="Q688" s="144"/>
    </row>
    <row r="689" spans="15:17" ht="15.75" customHeight="1" x14ac:dyDescent="0.25">
      <c r="O689" s="144"/>
      <c r="P689" s="144"/>
      <c r="Q689" s="144"/>
    </row>
    <row r="690" spans="15:17" ht="15.75" customHeight="1" x14ac:dyDescent="0.25">
      <c r="O690" s="144"/>
      <c r="P690" s="144"/>
      <c r="Q690" s="144"/>
    </row>
    <row r="691" spans="15:17" ht="15.75" customHeight="1" x14ac:dyDescent="0.25">
      <c r="O691" s="144"/>
      <c r="P691" s="144"/>
      <c r="Q691" s="144"/>
    </row>
    <row r="692" spans="15:17" ht="15.75" customHeight="1" x14ac:dyDescent="0.25">
      <c r="O692" s="144"/>
      <c r="P692" s="144"/>
      <c r="Q692" s="144"/>
    </row>
    <row r="693" spans="15:17" ht="15.75" customHeight="1" x14ac:dyDescent="0.25">
      <c r="O693" s="144"/>
      <c r="P693" s="144"/>
      <c r="Q693" s="144"/>
    </row>
    <row r="694" spans="15:17" ht="15.75" customHeight="1" x14ac:dyDescent="0.25">
      <c r="O694" s="144"/>
      <c r="P694" s="144"/>
      <c r="Q694" s="144"/>
    </row>
    <row r="695" spans="15:17" ht="15.75" customHeight="1" x14ac:dyDescent="0.25">
      <c r="O695" s="144"/>
      <c r="P695" s="144"/>
      <c r="Q695" s="144"/>
    </row>
    <row r="696" spans="15:17" ht="15.75" customHeight="1" x14ac:dyDescent="0.25">
      <c r="O696" s="144"/>
      <c r="P696" s="144"/>
      <c r="Q696" s="144"/>
    </row>
    <row r="697" spans="15:17" ht="15.75" customHeight="1" x14ac:dyDescent="0.25">
      <c r="O697" s="144"/>
      <c r="P697" s="144"/>
      <c r="Q697" s="144"/>
    </row>
    <row r="698" spans="15:17" ht="15.75" customHeight="1" x14ac:dyDescent="0.25">
      <c r="O698" s="144"/>
      <c r="P698" s="144"/>
      <c r="Q698" s="144"/>
    </row>
    <row r="699" spans="15:17" ht="15.75" customHeight="1" x14ac:dyDescent="0.25">
      <c r="O699" s="144"/>
      <c r="P699" s="144"/>
      <c r="Q699" s="144"/>
    </row>
    <row r="700" spans="15:17" ht="15.75" customHeight="1" x14ac:dyDescent="0.25">
      <c r="O700" s="144"/>
      <c r="P700" s="144"/>
      <c r="Q700" s="144"/>
    </row>
    <row r="701" spans="15:17" ht="15.75" customHeight="1" x14ac:dyDescent="0.25">
      <c r="O701" s="144"/>
      <c r="P701" s="144"/>
      <c r="Q701" s="144"/>
    </row>
    <row r="702" spans="15:17" ht="15.75" customHeight="1" x14ac:dyDescent="0.25">
      <c r="O702" s="144"/>
      <c r="P702" s="144"/>
      <c r="Q702" s="144"/>
    </row>
    <row r="703" spans="15:17" ht="15.75" customHeight="1" x14ac:dyDescent="0.25">
      <c r="O703" s="144"/>
      <c r="P703" s="144"/>
      <c r="Q703" s="144"/>
    </row>
    <row r="704" spans="15:17" ht="15.75" customHeight="1" x14ac:dyDescent="0.25">
      <c r="O704" s="144"/>
      <c r="P704" s="144"/>
      <c r="Q704" s="144"/>
    </row>
    <row r="705" spans="15:17" ht="15.75" customHeight="1" x14ac:dyDescent="0.25">
      <c r="O705" s="144"/>
      <c r="P705" s="144"/>
      <c r="Q705" s="144"/>
    </row>
    <row r="706" spans="15:17" ht="15.75" customHeight="1" x14ac:dyDescent="0.25">
      <c r="O706" s="144"/>
      <c r="P706" s="144"/>
      <c r="Q706" s="144"/>
    </row>
    <row r="707" spans="15:17" ht="15.75" customHeight="1" x14ac:dyDescent="0.25">
      <c r="O707" s="144"/>
      <c r="P707" s="144"/>
      <c r="Q707" s="144"/>
    </row>
    <row r="708" spans="15:17" ht="15.75" customHeight="1" x14ac:dyDescent="0.25">
      <c r="O708" s="144"/>
      <c r="P708" s="144"/>
      <c r="Q708" s="144"/>
    </row>
    <row r="709" spans="15:17" ht="15.75" customHeight="1" x14ac:dyDescent="0.25">
      <c r="O709" s="144"/>
      <c r="P709" s="144"/>
      <c r="Q709" s="144"/>
    </row>
    <row r="710" spans="15:17" ht="15.75" customHeight="1" x14ac:dyDescent="0.25">
      <c r="O710" s="144"/>
      <c r="P710" s="144"/>
      <c r="Q710" s="144"/>
    </row>
    <row r="711" spans="15:17" ht="15.75" customHeight="1" x14ac:dyDescent="0.25">
      <c r="O711" s="144"/>
      <c r="P711" s="144"/>
      <c r="Q711" s="144"/>
    </row>
    <row r="712" spans="15:17" ht="15.75" customHeight="1" x14ac:dyDescent="0.25">
      <c r="O712" s="144"/>
      <c r="P712" s="144"/>
      <c r="Q712" s="144"/>
    </row>
    <row r="713" spans="15:17" ht="15.75" customHeight="1" x14ac:dyDescent="0.25">
      <c r="O713" s="144"/>
      <c r="P713" s="144"/>
      <c r="Q713" s="144"/>
    </row>
    <row r="714" spans="15:17" ht="15.75" customHeight="1" x14ac:dyDescent="0.25">
      <c r="O714" s="144"/>
      <c r="P714" s="144"/>
      <c r="Q714" s="144"/>
    </row>
    <row r="715" spans="15:17" ht="15.75" customHeight="1" x14ac:dyDescent="0.25">
      <c r="O715" s="144"/>
      <c r="P715" s="144"/>
      <c r="Q715" s="144"/>
    </row>
    <row r="716" spans="15:17" ht="15.75" customHeight="1" x14ac:dyDescent="0.25">
      <c r="O716" s="144"/>
      <c r="P716" s="144"/>
      <c r="Q716" s="144"/>
    </row>
    <row r="717" spans="15:17" ht="15.75" customHeight="1" x14ac:dyDescent="0.25">
      <c r="O717" s="144"/>
      <c r="P717" s="144"/>
      <c r="Q717" s="144"/>
    </row>
    <row r="718" spans="15:17" ht="15.75" customHeight="1" x14ac:dyDescent="0.25">
      <c r="O718" s="144"/>
      <c r="P718" s="144"/>
      <c r="Q718" s="144"/>
    </row>
    <row r="719" spans="15:17" ht="15.75" customHeight="1" x14ac:dyDescent="0.25">
      <c r="O719" s="144"/>
      <c r="P719" s="144"/>
      <c r="Q719" s="144"/>
    </row>
    <row r="720" spans="15:17" ht="15.75" customHeight="1" x14ac:dyDescent="0.25">
      <c r="O720" s="144"/>
      <c r="P720" s="144"/>
      <c r="Q720" s="144"/>
    </row>
    <row r="721" spans="15:17" ht="15.75" customHeight="1" x14ac:dyDescent="0.25">
      <c r="O721" s="144"/>
      <c r="P721" s="144"/>
      <c r="Q721" s="144"/>
    </row>
    <row r="722" spans="15:17" ht="15.75" customHeight="1" x14ac:dyDescent="0.25">
      <c r="O722" s="144"/>
      <c r="P722" s="144"/>
      <c r="Q722" s="144"/>
    </row>
    <row r="723" spans="15:17" ht="15.75" customHeight="1" x14ac:dyDescent="0.25">
      <c r="O723" s="144"/>
      <c r="P723" s="144"/>
      <c r="Q723" s="144"/>
    </row>
    <row r="724" spans="15:17" ht="15.75" customHeight="1" x14ac:dyDescent="0.25">
      <c r="O724" s="144"/>
      <c r="P724" s="144"/>
      <c r="Q724" s="144"/>
    </row>
    <row r="725" spans="15:17" ht="15.75" customHeight="1" x14ac:dyDescent="0.25">
      <c r="O725" s="144"/>
      <c r="P725" s="144"/>
      <c r="Q725" s="144"/>
    </row>
    <row r="726" spans="15:17" ht="15.75" customHeight="1" x14ac:dyDescent="0.25">
      <c r="O726" s="144"/>
      <c r="P726" s="144"/>
      <c r="Q726" s="144"/>
    </row>
    <row r="727" spans="15:17" ht="15.75" customHeight="1" x14ac:dyDescent="0.25">
      <c r="O727" s="144"/>
      <c r="P727" s="144"/>
      <c r="Q727" s="144"/>
    </row>
    <row r="728" spans="15:17" ht="15.75" customHeight="1" x14ac:dyDescent="0.25">
      <c r="O728" s="144"/>
      <c r="P728" s="144"/>
      <c r="Q728" s="144"/>
    </row>
    <row r="729" spans="15:17" ht="15.75" customHeight="1" x14ac:dyDescent="0.25">
      <c r="O729" s="144"/>
      <c r="P729" s="144"/>
      <c r="Q729" s="144"/>
    </row>
    <row r="730" spans="15:17" ht="15.75" customHeight="1" x14ac:dyDescent="0.25">
      <c r="O730" s="144"/>
      <c r="P730" s="144"/>
      <c r="Q730" s="144"/>
    </row>
    <row r="731" spans="15:17" ht="15.75" customHeight="1" x14ac:dyDescent="0.25">
      <c r="O731" s="144"/>
      <c r="P731" s="144"/>
      <c r="Q731" s="144"/>
    </row>
    <row r="732" spans="15:17" ht="15.75" customHeight="1" x14ac:dyDescent="0.25">
      <c r="O732" s="144"/>
      <c r="P732" s="144"/>
      <c r="Q732" s="144"/>
    </row>
    <row r="733" spans="15:17" ht="15.75" customHeight="1" x14ac:dyDescent="0.25">
      <c r="O733" s="144"/>
      <c r="P733" s="144"/>
      <c r="Q733" s="144"/>
    </row>
    <row r="734" spans="15:17" ht="15.75" customHeight="1" x14ac:dyDescent="0.25">
      <c r="O734" s="144"/>
      <c r="P734" s="144"/>
      <c r="Q734" s="144"/>
    </row>
    <row r="735" spans="15:17" ht="15.75" customHeight="1" x14ac:dyDescent="0.25">
      <c r="O735" s="144"/>
      <c r="P735" s="144"/>
      <c r="Q735" s="144"/>
    </row>
    <row r="736" spans="15:17" ht="15.75" customHeight="1" x14ac:dyDescent="0.25">
      <c r="O736" s="144"/>
      <c r="P736" s="144"/>
      <c r="Q736" s="144"/>
    </row>
    <row r="737" spans="15:17" ht="15.75" customHeight="1" x14ac:dyDescent="0.25">
      <c r="O737" s="144"/>
      <c r="P737" s="144"/>
      <c r="Q737" s="144"/>
    </row>
    <row r="738" spans="15:17" ht="15.75" customHeight="1" x14ac:dyDescent="0.25">
      <c r="O738" s="144"/>
      <c r="P738" s="144"/>
      <c r="Q738" s="144"/>
    </row>
    <row r="739" spans="15:17" ht="15.75" customHeight="1" x14ac:dyDescent="0.25">
      <c r="O739" s="144"/>
      <c r="P739" s="144"/>
      <c r="Q739" s="144"/>
    </row>
    <row r="740" spans="15:17" ht="15.75" customHeight="1" x14ac:dyDescent="0.25">
      <c r="O740" s="144"/>
      <c r="P740" s="144"/>
      <c r="Q740" s="144"/>
    </row>
    <row r="741" spans="15:17" ht="15.75" customHeight="1" x14ac:dyDescent="0.25">
      <c r="O741" s="144"/>
      <c r="P741" s="144"/>
      <c r="Q741" s="144"/>
    </row>
    <row r="742" spans="15:17" ht="15.75" customHeight="1" x14ac:dyDescent="0.25">
      <c r="O742" s="144"/>
      <c r="P742" s="144"/>
      <c r="Q742" s="144"/>
    </row>
    <row r="743" spans="15:17" ht="15.75" customHeight="1" x14ac:dyDescent="0.25">
      <c r="O743" s="144"/>
      <c r="P743" s="144"/>
      <c r="Q743" s="144"/>
    </row>
    <row r="744" spans="15:17" ht="15.75" customHeight="1" x14ac:dyDescent="0.25">
      <c r="O744" s="144"/>
      <c r="P744" s="144"/>
      <c r="Q744" s="144"/>
    </row>
    <row r="745" spans="15:17" ht="15.75" customHeight="1" x14ac:dyDescent="0.25">
      <c r="O745" s="144"/>
      <c r="P745" s="144"/>
      <c r="Q745" s="144"/>
    </row>
    <row r="746" spans="15:17" ht="15.75" customHeight="1" x14ac:dyDescent="0.25">
      <c r="O746" s="144"/>
      <c r="P746" s="144"/>
      <c r="Q746" s="144"/>
    </row>
    <row r="747" spans="15:17" ht="15.75" customHeight="1" x14ac:dyDescent="0.25">
      <c r="O747" s="144"/>
      <c r="P747" s="144"/>
      <c r="Q747" s="144"/>
    </row>
    <row r="748" spans="15:17" ht="15.75" customHeight="1" x14ac:dyDescent="0.25">
      <c r="O748" s="144"/>
      <c r="P748" s="144"/>
      <c r="Q748" s="144"/>
    </row>
    <row r="749" spans="15:17" ht="15.75" customHeight="1" x14ac:dyDescent="0.25">
      <c r="O749" s="144"/>
      <c r="P749" s="144"/>
      <c r="Q749" s="144"/>
    </row>
    <row r="750" spans="15:17" ht="15.75" customHeight="1" x14ac:dyDescent="0.25">
      <c r="O750" s="144"/>
      <c r="P750" s="144"/>
      <c r="Q750" s="144"/>
    </row>
    <row r="751" spans="15:17" ht="15.75" customHeight="1" x14ac:dyDescent="0.25">
      <c r="O751" s="144"/>
      <c r="P751" s="144"/>
      <c r="Q751" s="144"/>
    </row>
    <row r="752" spans="15:17" ht="15.75" customHeight="1" x14ac:dyDescent="0.25">
      <c r="O752" s="144"/>
      <c r="P752" s="144"/>
      <c r="Q752" s="144"/>
    </row>
    <row r="753" spans="15:17" ht="15.75" customHeight="1" x14ac:dyDescent="0.25">
      <c r="O753" s="144"/>
      <c r="P753" s="144"/>
      <c r="Q753" s="144"/>
    </row>
    <row r="754" spans="15:17" ht="15.75" customHeight="1" x14ac:dyDescent="0.25">
      <c r="O754" s="144"/>
      <c r="P754" s="144"/>
      <c r="Q754" s="144"/>
    </row>
    <row r="755" spans="15:17" ht="15.75" customHeight="1" x14ac:dyDescent="0.25">
      <c r="O755" s="144"/>
      <c r="P755" s="144"/>
      <c r="Q755" s="144"/>
    </row>
    <row r="756" spans="15:17" ht="15.75" customHeight="1" x14ac:dyDescent="0.25">
      <c r="O756" s="144"/>
      <c r="P756" s="144"/>
      <c r="Q756" s="144"/>
    </row>
    <row r="757" spans="15:17" ht="15.75" customHeight="1" x14ac:dyDescent="0.25">
      <c r="O757" s="144"/>
      <c r="P757" s="144"/>
      <c r="Q757" s="144"/>
    </row>
    <row r="758" spans="15:17" ht="15.75" customHeight="1" x14ac:dyDescent="0.25">
      <c r="O758" s="144"/>
      <c r="P758" s="144"/>
      <c r="Q758" s="144"/>
    </row>
    <row r="759" spans="15:17" ht="15.75" customHeight="1" x14ac:dyDescent="0.25">
      <c r="O759" s="144"/>
      <c r="P759" s="144"/>
      <c r="Q759" s="144"/>
    </row>
    <row r="760" spans="15:17" ht="15.75" customHeight="1" x14ac:dyDescent="0.25">
      <c r="O760" s="144"/>
      <c r="P760" s="144"/>
      <c r="Q760" s="144"/>
    </row>
    <row r="761" spans="15:17" ht="15.75" customHeight="1" x14ac:dyDescent="0.25">
      <c r="O761" s="144"/>
      <c r="P761" s="144"/>
      <c r="Q761" s="144"/>
    </row>
    <row r="762" spans="15:17" ht="15.75" customHeight="1" x14ac:dyDescent="0.25">
      <c r="O762" s="144"/>
      <c r="P762" s="144"/>
      <c r="Q762" s="144"/>
    </row>
    <row r="763" spans="15:17" ht="15.75" customHeight="1" x14ac:dyDescent="0.25">
      <c r="O763" s="144"/>
      <c r="P763" s="144"/>
      <c r="Q763" s="144"/>
    </row>
    <row r="764" spans="15:17" ht="15.75" customHeight="1" x14ac:dyDescent="0.25">
      <c r="O764" s="144"/>
      <c r="P764" s="144"/>
      <c r="Q764" s="144"/>
    </row>
    <row r="765" spans="15:17" ht="15.75" customHeight="1" x14ac:dyDescent="0.25">
      <c r="O765" s="144"/>
      <c r="P765" s="144"/>
      <c r="Q765" s="144"/>
    </row>
    <row r="766" spans="15:17" ht="15.75" customHeight="1" x14ac:dyDescent="0.25">
      <c r="O766" s="144"/>
      <c r="P766" s="144"/>
      <c r="Q766" s="144"/>
    </row>
    <row r="767" spans="15:17" ht="15.75" customHeight="1" x14ac:dyDescent="0.25">
      <c r="O767" s="144"/>
      <c r="P767" s="144"/>
      <c r="Q767" s="144"/>
    </row>
    <row r="768" spans="15:17" ht="15.75" customHeight="1" x14ac:dyDescent="0.25">
      <c r="O768" s="144"/>
      <c r="P768" s="144"/>
      <c r="Q768" s="144"/>
    </row>
    <row r="769" spans="15:17" ht="15.75" customHeight="1" x14ac:dyDescent="0.25">
      <c r="O769" s="144"/>
      <c r="P769" s="144"/>
      <c r="Q769" s="144"/>
    </row>
    <row r="770" spans="15:17" ht="15.75" customHeight="1" x14ac:dyDescent="0.25">
      <c r="O770" s="144"/>
      <c r="P770" s="144"/>
      <c r="Q770" s="144"/>
    </row>
    <row r="771" spans="15:17" ht="15.75" customHeight="1" x14ac:dyDescent="0.25">
      <c r="O771" s="144"/>
      <c r="P771" s="144"/>
      <c r="Q771" s="144"/>
    </row>
    <row r="772" spans="15:17" ht="15.75" customHeight="1" x14ac:dyDescent="0.25">
      <c r="O772" s="144"/>
      <c r="P772" s="144"/>
      <c r="Q772" s="144"/>
    </row>
    <row r="773" spans="15:17" ht="15.75" customHeight="1" x14ac:dyDescent="0.25">
      <c r="O773" s="144"/>
      <c r="P773" s="144"/>
      <c r="Q773" s="144"/>
    </row>
    <row r="774" spans="15:17" ht="15.75" customHeight="1" x14ac:dyDescent="0.25">
      <c r="O774" s="144"/>
      <c r="P774" s="144"/>
      <c r="Q774" s="144"/>
    </row>
    <row r="775" spans="15:17" ht="15.75" customHeight="1" x14ac:dyDescent="0.25">
      <c r="O775" s="144"/>
      <c r="P775" s="144"/>
      <c r="Q775" s="144"/>
    </row>
    <row r="776" spans="15:17" ht="15.75" customHeight="1" x14ac:dyDescent="0.25">
      <c r="O776" s="144"/>
      <c r="P776" s="144"/>
      <c r="Q776" s="144"/>
    </row>
    <row r="777" spans="15:17" ht="15.75" customHeight="1" x14ac:dyDescent="0.25">
      <c r="O777" s="144"/>
      <c r="P777" s="144"/>
      <c r="Q777" s="144"/>
    </row>
    <row r="778" spans="15:17" ht="15.75" customHeight="1" x14ac:dyDescent="0.25">
      <c r="O778" s="144"/>
      <c r="P778" s="144"/>
      <c r="Q778" s="144"/>
    </row>
    <row r="779" spans="15:17" ht="15.75" customHeight="1" x14ac:dyDescent="0.25">
      <c r="O779" s="144"/>
      <c r="P779" s="144"/>
      <c r="Q779" s="144"/>
    </row>
    <row r="780" spans="15:17" ht="15.75" customHeight="1" x14ac:dyDescent="0.25">
      <c r="O780" s="144"/>
      <c r="P780" s="144"/>
      <c r="Q780" s="144"/>
    </row>
    <row r="781" spans="15:17" ht="15.75" customHeight="1" x14ac:dyDescent="0.25">
      <c r="O781" s="144"/>
      <c r="P781" s="144"/>
      <c r="Q781" s="144"/>
    </row>
    <row r="782" spans="15:17" ht="15.75" customHeight="1" x14ac:dyDescent="0.25">
      <c r="O782" s="144"/>
      <c r="P782" s="144"/>
      <c r="Q782" s="144"/>
    </row>
    <row r="783" spans="15:17" ht="15.75" customHeight="1" x14ac:dyDescent="0.25">
      <c r="O783" s="144"/>
      <c r="P783" s="144"/>
      <c r="Q783" s="144"/>
    </row>
    <row r="784" spans="15:17" ht="15.75" customHeight="1" x14ac:dyDescent="0.25">
      <c r="O784" s="144"/>
      <c r="P784" s="144"/>
      <c r="Q784" s="144"/>
    </row>
    <row r="785" spans="15:17" ht="15.75" customHeight="1" x14ac:dyDescent="0.25">
      <c r="O785" s="144"/>
      <c r="P785" s="144"/>
      <c r="Q785" s="144"/>
    </row>
    <row r="786" spans="15:17" ht="15.75" customHeight="1" x14ac:dyDescent="0.25">
      <c r="O786" s="144"/>
      <c r="P786" s="144"/>
      <c r="Q786" s="144"/>
    </row>
    <row r="787" spans="15:17" ht="15.75" customHeight="1" x14ac:dyDescent="0.25">
      <c r="O787" s="144"/>
      <c r="P787" s="144"/>
      <c r="Q787" s="144"/>
    </row>
    <row r="788" spans="15:17" ht="15.75" customHeight="1" x14ac:dyDescent="0.25">
      <c r="O788" s="144"/>
      <c r="P788" s="144"/>
      <c r="Q788" s="144"/>
    </row>
    <row r="789" spans="15:17" ht="15.75" customHeight="1" x14ac:dyDescent="0.25">
      <c r="O789" s="144"/>
      <c r="P789" s="144"/>
      <c r="Q789" s="144"/>
    </row>
    <row r="790" spans="15:17" ht="15.75" customHeight="1" x14ac:dyDescent="0.25">
      <c r="O790" s="144"/>
      <c r="P790" s="144"/>
      <c r="Q790" s="144"/>
    </row>
    <row r="791" spans="15:17" ht="15.75" customHeight="1" x14ac:dyDescent="0.25">
      <c r="O791" s="144"/>
      <c r="P791" s="144"/>
      <c r="Q791" s="144"/>
    </row>
    <row r="792" spans="15:17" ht="15.75" customHeight="1" x14ac:dyDescent="0.25">
      <c r="O792" s="144"/>
      <c r="P792" s="144"/>
      <c r="Q792" s="144"/>
    </row>
    <row r="793" spans="15:17" ht="15.75" customHeight="1" x14ac:dyDescent="0.25">
      <c r="O793" s="144"/>
      <c r="P793" s="144"/>
      <c r="Q793" s="144"/>
    </row>
    <row r="794" spans="15:17" ht="15.75" customHeight="1" x14ac:dyDescent="0.25">
      <c r="O794" s="144"/>
      <c r="P794" s="144"/>
      <c r="Q794" s="144"/>
    </row>
    <row r="795" spans="15:17" ht="15.75" customHeight="1" x14ac:dyDescent="0.25">
      <c r="O795" s="144"/>
      <c r="P795" s="144"/>
      <c r="Q795" s="144"/>
    </row>
    <row r="796" spans="15:17" ht="15.75" customHeight="1" x14ac:dyDescent="0.25">
      <c r="O796" s="144"/>
      <c r="P796" s="144"/>
      <c r="Q796" s="144"/>
    </row>
    <row r="797" spans="15:17" ht="15.75" customHeight="1" x14ac:dyDescent="0.25">
      <c r="O797" s="144"/>
      <c r="P797" s="144"/>
      <c r="Q797" s="144"/>
    </row>
    <row r="798" spans="15:17" ht="15.75" customHeight="1" x14ac:dyDescent="0.25">
      <c r="O798" s="144"/>
      <c r="P798" s="144"/>
      <c r="Q798" s="144"/>
    </row>
    <row r="799" spans="15:17" ht="15.75" customHeight="1" x14ac:dyDescent="0.25">
      <c r="O799" s="144"/>
      <c r="P799" s="144"/>
      <c r="Q799" s="144"/>
    </row>
    <row r="800" spans="15:17" ht="15.75" customHeight="1" x14ac:dyDescent="0.25">
      <c r="O800" s="144"/>
      <c r="P800" s="144"/>
      <c r="Q800" s="144"/>
    </row>
    <row r="801" spans="15:17" ht="15.75" customHeight="1" x14ac:dyDescent="0.25">
      <c r="O801" s="144"/>
      <c r="P801" s="144"/>
      <c r="Q801" s="144"/>
    </row>
    <row r="802" spans="15:17" ht="15.75" customHeight="1" x14ac:dyDescent="0.25">
      <c r="O802" s="144"/>
      <c r="P802" s="144"/>
      <c r="Q802" s="144"/>
    </row>
    <row r="803" spans="15:17" ht="15.75" customHeight="1" x14ac:dyDescent="0.25">
      <c r="O803" s="144"/>
      <c r="P803" s="144"/>
      <c r="Q803" s="144"/>
    </row>
    <row r="804" spans="15:17" ht="15.75" customHeight="1" x14ac:dyDescent="0.25">
      <c r="O804" s="144"/>
      <c r="P804" s="144"/>
      <c r="Q804" s="144"/>
    </row>
    <row r="805" spans="15:17" ht="15.75" customHeight="1" x14ac:dyDescent="0.25">
      <c r="O805" s="144"/>
      <c r="P805" s="144"/>
      <c r="Q805" s="144"/>
    </row>
    <row r="806" spans="15:17" ht="15.75" customHeight="1" x14ac:dyDescent="0.25">
      <c r="O806" s="144"/>
      <c r="P806" s="144"/>
      <c r="Q806" s="144"/>
    </row>
    <row r="807" spans="15:17" ht="15.75" customHeight="1" x14ac:dyDescent="0.25">
      <c r="O807" s="144"/>
      <c r="P807" s="144"/>
      <c r="Q807" s="144"/>
    </row>
    <row r="808" spans="15:17" ht="15.75" customHeight="1" x14ac:dyDescent="0.25">
      <c r="O808" s="144"/>
      <c r="P808" s="144"/>
      <c r="Q808" s="144"/>
    </row>
    <row r="809" spans="15:17" ht="15.75" customHeight="1" x14ac:dyDescent="0.25">
      <c r="O809" s="144"/>
      <c r="P809" s="144"/>
      <c r="Q809" s="144"/>
    </row>
    <row r="810" spans="15:17" ht="15.75" customHeight="1" x14ac:dyDescent="0.25">
      <c r="O810" s="144"/>
      <c r="P810" s="144"/>
      <c r="Q810" s="144"/>
    </row>
    <row r="811" spans="15:17" ht="15.75" customHeight="1" x14ac:dyDescent="0.25">
      <c r="O811" s="144"/>
      <c r="P811" s="144"/>
      <c r="Q811" s="144"/>
    </row>
    <row r="812" spans="15:17" ht="15.75" customHeight="1" x14ac:dyDescent="0.25">
      <c r="O812" s="144"/>
      <c r="P812" s="144"/>
      <c r="Q812" s="144"/>
    </row>
    <row r="813" spans="15:17" ht="15.75" customHeight="1" x14ac:dyDescent="0.25">
      <c r="O813" s="144"/>
      <c r="P813" s="144"/>
      <c r="Q813" s="144"/>
    </row>
    <row r="814" spans="15:17" ht="15.75" customHeight="1" x14ac:dyDescent="0.25">
      <c r="O814" s="144"/>
      <c r="P814" s="144"/>
      <c r="Q814" s="144"/>
    </row>
    <row r="815" spans="15:17" ht="15.75" customHeight="1" x14ac:dyDescent="0.25">
      <c r="O815" s="144"/>
      <c r="P815" s="144"/>
      <c r="Q815" s="144"/>
    </row>
    <row r="816" spans="15:17" ht="15.75" customHeight="1" x14ac:dyDescent="0.25">
      <c r="O816" s="144"/>
      <c r="P816" s="144"/>
      <c r="Q816" s="144"/>
    </row>
    <row r="817" spans="15:17" ht="15.75" customHeight="1" x14ac:dyDescent="0.25">
      <c r="O817" s="144"/>
      <c r="P817" s="144"/>
      <c r="Q817" s="144"/>
    </row>
    <row r="818" spans="15:17" ht="15.75" customHeight="1" x14ac:dyDescent="0.25">
      <c r="O818" s="144"/>
      <c r="P818" s="144"/>
      <c r="Q818" s="144"/>
    </row>
    <row r="819" spans="15:17" ht="15.75" customHeight="1" x14ac:dyDescent="0.25">
      <c r="O819" s="144"/>
      <c r="P819" s="144"/>
      <c r="Q819" s="144"/>
    </row>
    <row r="820" spans="15:17" ht="15.75" customHeight="1" x14ac:dyDescent="0.25">
      <c r="O820" s="144"/>
      <c r="P820" s="144"/>
      <c r="Q820" s="144"/>
    </row>
    <row r="821" spans="15:17" ht="15.75" customHeight="1" x14ac:dyDescent="0.25">
      <c r="O821" s="144"/>
      <c r="P821" s="144"/>
      <c r="Q821" s="144"/>
    </row>
    <row r="822" spans="15:17" ht="15.75" customHeight="1" x14ac:dyDescent="0.25">
      <c r="O822" s="144"/>
      <c r="P822" s="144"/>
      <c r="Q822" s="144"/>
    </row>
    <row r="823" spans="15:17" ht="15.75" customHeight="1" x14ac:dyDescent="0.25">
      <c r="O823" s="144"/>
      <c r="P823" s="144"/>
      <c r="Q823" s="144"/>
    </row>
    <row r="824" spans="15:17" ht="15.75" customHeight="1" x14ac:dyDescent="0.25">
      <c r="O824" s="144"/>
      <c r="P824" s="144"/>
      <c r="Q824" s="144"/>
    </row>
    <row r="825" spans="15:17" ht="15.75" customHeight="1" x14ac:dyDescent="0.25">
      <c r="O825" s="144"/>
      <c r="P825" s="144"/>
      <c r="Q825" s="144"/>
    </row>
    <row r="826" spans="15:17" ht="15.75" customHeight="1" x14ac:dyDescent="0.25">
      <c r="O826" s="144"/>
      <c r="P826" s="144"/>
      <c r="Q826" s="144"/>
    </row>
    <row r="827" spans="15:17" ht="15.75" customHeight="1" x14ac:dyDescent="0.25">
      <c r="O827" s="144"/>
      <c r="P827" s="144"/>
      <c r="Q827" s="144"/>
    </row>
    <row r="828" spans="15:17" ht="15.75" customHeight="1" x14ac:dyDescent="0.25">
      <c r="O828" s="144"/>
      <c r="P828" s="144"/>
      <c r="Q828" s="144"/>
    </row>
    <row r="829" spans="15:17" ht="15.75" customHeight="1" x14ac:dyDescent="0.25">
      <c r="O829" s="144"/>
      <c r="P829" s="144"/>
      <c r="Q829" s="144"/>
    </row>
    <row r="830" spans="15:17" ht="15.75" customHeight="1" x14ac:dyDescent="0.25">
      <c r="O830" s="144"/>
      <c r="P830" s="144"/>
      <c r="Q830" s="144"/>
    </row>
    <row r="831" spans="15:17" ht="15.75" customHeight="1" x14ac:dyDescent="0.25">
      <c r="O831" s="144"/>
      <c r="P831" s="144"/>
      <c r="Q831" s="144"/>
    </row>
    <row r="832" spans="15:17" ht="15.75" customHeight="1" x14ac:dyDescent="0.25">
      <c r="O832" s="144"/>
      <c r="P832" s="144"/>
      <c r="Q832" s="144"/>
    </row>
    <row r="833" spans="15:17" ht="15.75" customHeight="1" x14ac:dyDescent="0.25">
      <c r="O833" s="144"/>
      <c r="P833" s="144"/>
      <c r="Q833" s="144"/>
    </row>
    <row r="834" spans="15:17" ht="15.75" customHeight="1" x14ac:dyDescent="0.25">
      <c r="O834" s="144"/>
      <c r="P834" s="144"/>
      <c r="Q834" s="144"/>
    </row>
    <row r="835" spans="15:17" ht="15.75" customHeight="1" x14ac:dyDescent="0.25">
      <c r="O835" s="144"/>
      <c r="P835" s="144"/>
      <c r="Q835" s="144"/>
    </row>
    <row r="836" spans="15:17" ht="15.75" customHeight="1" x14ac:dyDescent="0.25">
      <c r="O836" s="144"/>
      <c r="P836" s="144"/>
      <c r="Q836" s="144"/>
    </row>
    <row r="837" spans="15:17" ht="15.75" customHeight="1" x14ac:dyDescent="0.25">
      <c r="O837" s="144"/>
      <c r="P837" s="144"/>
      <c r="Q837" s="144"/>
    </row>
    <row r="838" spans="15:17" ht="15.75" customHeight="1" x14ac:dyDescent="0.25">
      <c r="O838" s="144"/>
      <c r="P838" s="144"/>
      <c r="Q838" s="144"/>
    </row>
    <row r="839" spans="15:17" ht="15.75" customHeight="1" x14ac:dyDescent="0.25">
      <c r="O839" s="144"/>
      <c r="P839" s="144"/>
      <c r="Q839" s="144"/>
    </row>
    <row r="840" spans="15:17" ht="15.75" customHeight="1" x14ac:dyDescent="0.25">
      <c r="O840" s="144"/>
      <c r="P840" s="144"/>
      <c r="Q840" s="144"/>
    </row>
    <row r="841" spans="15:17" ht="15.75" customHeight="1" x14ac:dyDescent="0.25">
      <c r="O841" s="144"/>
      <c r="P841" s="144"/>
      <c r="Q841" s="144"/>
    </row>
    <row r="842" spans="15:17" ht="15.75" customHeight="1" x14ac:dyDescent="0.25">
      <c r="O842" s="144"/>
      <c r="P842" s="144"/>
      <c r="Q842" s="144"/>
    </row>
    <row r="843" spans="15:17" ht="15.75" customHeight="1" x14ac:dyDescent="0.25">
      <c r="O843" s="144"/>
      <c r="P843" s="144"/>
      <c r="Q843" s="144"/>
    </row>
    <row r="844" spans="15:17" ht="15.75" customHeight="1" x14ac:dyDescent="0.25">
      <c r="O844" s="144"/>
      <c r="P844" s="144"/>
      <c r="Q844" s="144"/>
    </row>
    <row r="845" spans="15:17" ht="15.75" customHeight="1" x14ac:dyDescent="0.25">
      <c r="O845" s="144"/>
      <c r="P845" s="144"/>
      <c r="Q845" s="144"/>
    </row>
    <row r="846" spans="15:17" ht="15.75" customHeight="1" x14ac:dyDescent="0.25">
      <c r="O846" s="144"/>
      <c r="P846" s="144"/>
      <c r="Q846" s="144"/>
    </row>
    <row r="847" spans="15:17" ht="15.75" customHeight="1" x14ac:dyDescent="0.25">
      <c r="O847" s="144"/>
      <c r="P847" s="144"/>
      <c r="Q847" s="144"/>
    </row>
    <row r="848" spans="15:17" ht="15.75" customHeight="1" x14ac:dyDescent="0.25">
      <c r="O848" s="144"/>
      <c r="P848" s="144"/>
      <c r="Q848" s="144"/>
    </row>
    <row r="849" spans="15:17" ht="15.75" customHeight="1" x14ac:dyDescent="0.25">
      <c r="O849" s="144"/>
      <c r="P849" s="144"/>
      <c r="Q849" s="144"/>
    </row>
    <row r="850" spans="15:17" ht="15.75" customHeight="1" x14ac:dyDescent="0.25">
      <c r="O850" s="144"/>
      <c r="P850" s="144"/>
      <c r="Q850" s="144"/>
    </row>
    <row r="851" spans="15:17" ht="15.75" customHeight="1" x14ac:dyDescent="0.25">
      <c r="O851" s="144"/>
      <c r="P851" s="144"/>
      <c r="Q851" s="144"/>
    </row>
    <row r="852" spans="15:17" ht="15.75" customHeight="1" x14ac:dyDescent="0.25">
      <c r="O852" s="144"/>
      <c r="P852" s="144"/>
      <c r="Q852" s="144"/>
    </row>
    <row r="853" spans="15:17" ht="15.75" customHeight="1" x14ac:dyDescent="0.25">
      <c r="O853" s="144"/>
      <c r="P853" s="144"/>
      <c r="Q853" s="144"/>
    </row>
    <row r="854" spans="15:17" ht="15.75" customHeight="1" x14ac:dyDescent="0.25">
      <c r="O854" s="144"/>
      <c r="P854" s="144"/>
      <c r="Q854" s="144"/>
    </row>
    <row r="855" spans="15:17" ht="15.75" customHeight="1" x14ac:dyDescent="0.25">
      <c r="O855" s="144"/>
      <c r="P855" s="144"/>
      <c r="Q855" s="144"/>
    </row>
    <row r="856" spans="15:17" ht="15.75" customHeight="1" x14ac:dyDescent="0.25">
      <c r="O856" s="144"/>
      <c r="P856" s="144"/>
      <c r="Q856" s="144"/>
    </row>
    <row r="857" spans="15:17" ht="15.75" customHeight="1" x14ac:dyDescent="0.25">
      <c r="O857" s="144"/>
      <c r="P857" s="144"/>
      <c r="Q857" s="144"/>
    </row>
    <row r="858" spans="15:17" ht="15.75" customHeight="1" x14ac:dyDescent="0.25">
      <c r="O858" s="144"/>
      <c r="P858" s="144"/>
      <c r="Q858" s="144"/>
    </row>
    <row r="859" spans="15:17" ht="15.75" customHeight="1" x14ac:dyDescent="0.25">
      <c r="O859" s="144"/>
      <c r="P859" s="144"/>
      <c r="Q859" s="144"/>
    </row>
    <row r="860" spans="15:17" ht="15.75" customHeight="1" x14ac:dyDescent="0.25">
      <c r="O860" s="144"/>
      <c r="P860" s="144"/>
      <c r="Q860" s="144"/>
    </row>
    <row r="861" spans="15:17" ht="15.75" customHeight="1" x14ac:dyDescent="0.25">
      <c r="O861" s="144"/>
      <c r="P861" s="144"/>
      <c r="Q861" s="144"/>
    </row>
    <row r="862" spans="15:17" ht="15.75" customHeight="1" x14ac:dyDescent="0.25">
      <c r="O862" s="144"/>
      <c r="P862" s="144"/>
      <c r="Q862" s="144"/>
    </row>
    <row r="863" spans="15:17" ht="15.75" customHeight="1" x14ac:dyDescent="0.25">
      <c r="O863" s="144"/>
      <c r="P863" s="144"/>
      <c r="Q863" s="144"/>
    </row>
    <row r="864" spans="15:17" ht="15.75" customHeight="1" x14ac:dyDescent="0.25">
      <c r="O864" s="144"/>
      <c r="P864" s="144"/>
      <c r="Q864" s="144"/>
    </row>
    <row r="865" spans="15:17" ht="15.75" customHeight="1" x14ac:dyDescent="0.25">
      <c r="O865" s="144"/>
      <c r="P865" s="144"/>
      <c r="Q865" s="144"/>
    </row>
    <row r="866" spans="15:17" ht="15.75" customHeight="1" x14ac:dyDescent="0.25">
      <c r="O866" s="144"/>
      <c r="P866" s="144"/>
      <c r="Q866" s="144"/>
    </row>
    <row r="867" spans="15:17" ht="15.75" customHeight="1" x14ac:dyDescent="0.25">
      <c r="O867" s="144"/>
      <c r="P867" s="144"/>
      <c r="Q867" s="144"/>
    </row>
    <row r="868" spans="15:17" ht="15.75" customHeight="1" x14ac:dyDescent="0.25">
      <c r="O868" s="144"/>
      <c r="P868" s="144"/>
      <c r="Q868" s="144"/>
    </row>
    <row r="869" spans="15:17" ht="15.75" customHeight="1" x14ac:dyDescent="0.25">
      <c r="O869" s="144"/>
      <c r="P869" s="144"/>
      <c r="Q869" s="144"/>
    </row>
    <row r="870" spans="15:17" ht="15.75" customHeight="1" x14ac:dyDescent="0.25">
      <c r="O870" s="144"/>
      <c r="P870" s="144"/>
      <c r="Q870" s="144"/>
    </row>
    <row r="871" spans="15:17" ht="15.75" customHeight="1" x14ac:dyDescent="0.25">
      <c r="O871" s="144"/>
      <c r="P871" s="144"/>
      <c r="Q871" s="144"/>
    </row>
    <row r="872" spans="15:17" ht="15.75" customHeight="1" x14ac:dyDescent="0.25">
      <c r="O872" s="144"/>
      <c r="P872" s="144"/>
      <c r="Q872" s="144"/>
    </row>
    <row r="873" spans="15:17" ht="15.75" customHeight="1" x14ac:dyDescent="0.25">
      <c r="O873" s="144"/>
      <c r="P873" s="144"/>
      <c r="Q873" s="144"/>
    </row>
    <row r="874" spans="15:17" ht="15.75" customHeight="1" x14ac:dyDescent="0.25">
      <c r="O874" s="144"/>
      <c r="P874" s="144"/>
      <c r="Q874" s="144"/>
    </row>
    <row r="875" spans="15:17" ht="15.75" customHeight="1" x14ac:dyDescent="0.25">
      <c r="O875" s="144"/>
      <c r="P875" s="144"/>
      <c r="Q875" s="144"/>
    </row>
    <row r="876" spans="15:17" ht="15.75" customHeight="1" x14ac:dyDescent="0.25">
      <c r="O876" s="144"/>
      <c r="P876" s="144"/>
      <c r="Q876" s="144"/>
    </row>
    <row r="877" spans="15:17" ht="15.75" customHeight="1" x14ac:dyDescent="0.25">
      <c r="O877" s="144"/>
      <c r="P877" s="144"/>
      <c r="Q877" s="144"/>
    </row>
    <row r="878" spans="15:17" ht="15.75" customHeight="1" x14ac:dyDescent="0.25">
      <c r="O878" s="144"/>
      <c r="P878" s="144"/>
      <c r="Q878" s="144"/>
    </row>
    <row r="879" spans="15:17" ht="15.75" customHeight="1" x14ac:dyDescent="0.25">
      <c r="O879" s="144"/>
      <c r="P879" s="144"/>
      <c r="Q879" s="144"/>
    </row>
    <row r="880" spans="15:17" ht="15.75" customHeight="1" x14ac:dyDescent="0.25">
      <c r="O880" s="144"/>
      <c r="P880" s="144"/>
      <c r="Q880" s="144"/>
    </row>
    <row r="881" spans="15:17" ht="15.75" customHeight="1" x14ac:dyDescent="0.25">
      <c r="O881" s="144"/>
      <c r="P881" s="144"/>
      <c r="Q881" s="144"/>
    </row>
    <row r="882" spans="15:17" ht="15.75" customHeight="1" x14ac:dyDescent="0.25">
      <c r="O882" s="144"/>
      <c r="P882" s="144"/>
      <c r="Q882" s="144"/>
    </row>
    <row r="883" spans="15:17" ht="15.75" customHeight="1" x14ac:dyDescent="0.25">
      <c r="O883" s="144"/>
      <c r="P883" s="144"/>
      <c r="Q883" s="144"/>
    </row>
    <row r="884" spans="15:17" ht="15.75" customHeight="1" x14ac:dyDescent="0.25">
      <c r="O884" s="144"/>
      <c r="P884" s="144"/>
      <c r="Q884" s="144"/>
    </row>
    <row r="885" spans="15:17" ht="15.75" customHeight="1" x14ac:dyDescent="0.25">
      <c r="O885" s="144"/>
      <c r="P885" s="144"/>
      <c r="Q885" s="144"/>
    </row>
    <row r="886" spans="15:17" ht="15.75" customHeight="1" x14ac:dyDescent="0.25">
      <c r="O886" s="144"/>
      <c r="P886" s="144"/>
      <c r="Q886" s="144"/>
    </row>
    <row r="887" spans="15:17" ht="15.75" customHeight="1" x14ac:dyDescent="0.25">
      <c r="O887" s="144"/>
      <c r="P887" s="144"/>
      <c r="Q887" s="144"/>
    </row>
    <row r="888" spans="15:17" ht="15.75" customHeight="1" x14ac:dyDescent="0.25">
      <c r="O888" s="144"/>
      <c r="P888" s="144"/>
      <c r="Q888" s="144"/>
    </row>
    <row r="889" spans="15:17" ht="15.75" customHeight="1" x14ac:dyDescent="0.25">
      <c r="O889" s="144"/>
      <c r="P889" s="144"/>
      <c r="Q889" s="144"/>
    </row>
    <row r="890" spans="15:17" ht="15.75" customHeight="1" x14ac:dyDescent="0.25">
      <c r="O890" s="144"/>
      <c r="P890" s="144"/>
      <c r="Q890" s="144"/>
    </row>
    <row r="891" spans="15:17" ht="15.75" customHeight="1" x14ac:dyDescent="0.25">
      <c r="O891" s="144"/>
      <c r="P891" s="144"/>
      <c r="Q891" s="144"/>
    </row>
    <row r="892" spans="15:17" ht="15.75" customHeight="1" x14ac:dyDescent="0.25">
      <c r="O892" s="144"/>
      <c r="P892" s="144"/>
      <c r="Q892" s="144"/>
    </row>
    <row r="893" spans="15:17" ht="15.75" customHeight="1" x14ac:dyDescent="0.25">
      <c r="O893" s="144"/>
      <c r="P893" s="144"/>
      <c r="Q893" s="144"/>
    </row>
    <row r="894" spans="15:17" ht="15.75" customHeight="1" x14ac:dyDescent="0.25">
      <c r="O894" s="144"/>
      <c r="P894" s="144"/>
      <c r="Q894" s="144"/>
    </row>
    <row r="895" spans="15:17" ht="15.75" customHeight="1" x14ac:dyDescent="0.25">
      <c r="O895" s="144"/>
      <c r="P895" s="144"/>
      <c r="Q895" s="144"/>
    </row>
    <row r="896" spans="15:17" ht="15.75" customHeight="1" x14ac:dyDescent="0.25">
      <c r="O896" s="144"/>
      <c r="P896" s="144"/>
      <c r="Q896" s="144"/>
    </row>
    <row r="897" spans="15:17" ht="15.75" customHeight="1" x14ac:dyDescent="0.25">
      <c r="O897" s="144"/>
      <c r="P897" s="144"/>
      <c r="Q897" s="144"/>
    </row>
    <row r="898" spans="15:17" ht="15.75" customHeight="1" x14ac:dyDescent="0.25">
      <c r="O898" s="144"/>
      <c r="P898" s="144"/>
      <c r="Q898" s="144"/>
    </row>
    <row r="899" spans="15:17" ht="15.75" customHeight="1" x14ac:dyDescent="0.25">
      <c r="O899" s="144"/>
      <c r="P899" s="144"/>
      <c r="Q899" s="144"/>
    </row>
    <row r="900" spans="15:17" ht="15.75" customHeight="1" x14ac:dyDescent="0.25">
      <c r="O900" s="144"/>
      <c r="P900" s="144"/>
      <c r="Q900" s="144"/>
    </row>
    <row r="901" spans="15:17" ht="15.75" customHeight="1" x14ac:dyDescent="0.25">
      <c r="O901" s="144"/>
      <c r="P901" s="144"/>
      <c r="Q901" s="144"/>
    </row>
    <row r="902" spans="15:17" ht="15.75" customHeight="1" x14ac:dyDescent="0.25">
      <c r="O902" s="144"/>
      <c r="P902" s="144"/>
      <c r="Q902" s="144"/>
    </row>
    <row r="903" spans="15:17" ht="15.75" customHeight="1" x14ac:dyDescent="0.25">
      <c r="O903" s="144"/>
      <c r="P903" s="144"/>
      <c r="Q903" s="144"/>
    </row>
    <row r="904" spans="15:17" ht="15.75" customHeight="1" x14ac:dyDescent="0.25">
      <c r="O904" s="144"/>
      <c r="P904" s="144"/>
      <c r="Q904" s="144"/>
    </row>
    <row r="905" spans="15:17" ht="15.75" customHeight="1" x14ac:dyDescent="0.25">
      <c r="O905" s="144"/>
      <c r="P905" s="144"/>
      <c r="Q905" s="144"/>
    </row>
    <row r="906" spans="15:17" ht="15.75" customHeight="1" x14ac:dyDescent="0.25">
      <c r="O906" s="144"/>
      <c r="P906" s="144"/>
      <c r="Q906" s="144"/>
    </row>
    <row r="907" spans="15:17" ht="15.75" customHeight="1" x14ac:dyDescent="0.25">
      <c r="O907" s="144"/>
      <c r="P907" s="144"/>
      <c r="Q907" s="144"/>
    </row>
    <row r="908" spans="15:17" ht="15.75" customHeight="1" x14ac:dyDescent="0.25">
      <c r="O908" s="144"/>
      <c r="P908" s="144"/>
      <c r="Q908" s="144"/>
    </row>
    <row r="909" spans="15:17" ht="15.75" customHeight="1" x14ac:dyDescent="0.25">
      <c r="O909" s="144"/>
      <c r="P909" s="144"/>
      <c r="Q909" s="144"/>
    </row>
    <row r="910" spans="15:17" ht="15.75" customHeight="1" x14ac:dyDescent="0.25">
      <c r="O910" s="144"/>
      <c r="P910" s="144"/>
      <c r="Q910" s="144"/>
    </row>
    <row r="911" spans="15:17" ht="15.75" customHeight="1" x14ac:dyDescent="0.25">
      <c r="O911" s="144"/>
      <c r="P911" s="144"/>
      <c r="Q911" s="144"/>
    </row>
    <row r="912" spans="15:17" ht="15.75" customHeight="1" x14ac:dyDescent="0.25">
      <c r="O912" s="144"/>
      <c r="P912" s="144"/>
      <c r="Q912" s="144"/>
    </row>
    <row r="913" spans="15:17" ht="15.75" customHeight="1" x14ac:dyDescent="0.25">
      <c r="O913" s="144"/>
      <c r="P913" s="144"/>
      <c r="Q913" s="144"/>
    </row>
    <row r="914" spans="15:17" ht="15.75" customHeight="1" x14ac:dyDescent="0.25">
      <c r="O914" s="144"/>
      <c r="P914" s="144"/>
      <c r="Q914" s="144"/>
    </row>
    <row r="915" spans="15:17" ht="15.75" customHeight="1" x14ac:dyDescent="0.25">
      <c r="O915" s="144"/>
      <c r="P915" s="144"/>
      <c r="Q915" s="144"/>
    </row>
    <row r="916" spans="15:17" ht="15.75" customHeight="1" x14ac:dyDescent="0.25">
      <c r="O916" s="144"/>
      <c r="P916" s="144"/>
      <c r="Q916" s="144"/>
    </row>
    <row r="917" spans="15:17" ht="15.75" customHeight="1" x14ac:dyDescent="0.25">
      <c r="O917" s="144"/>
      <c r="P917" s="144"/>
      <c r="Q917" s="144"/>
    </row>
    <row r="918" spans="15:17" ht="15.75" customHeight="1" x14ac:dyDescent="0.25">
      <c r="O918" s="144"/>
      <c r="P918" s="144"/>
      <c r="Q918" s="144"/>
    </row>
    <row r="919" spans="15:17" ht="15.75" customHeight="1" x14ac:dyDescent="0.25">
      <c r="O919" s="144"/>
      <c r="P919" s="144"/>
      <c r="Q919" s="144"/>
    </row>
    <row r="920" spans="15:17" ht="15.75" customHeight="1" x14ac:dyDescent="0.25">
      <c r="O920" s="144"/>
      <c r="P920" s="144"/>
      <c r="Q920" s="144"/>
    </row>
    <row r="921" spans="15:17" ht="15.75" customHeight="1" x14ac:dyDescent="0.25">
      <c r="O921" s="144"/>
      <c r="P921" s="144"/>
      <c r="Q921" s="144"/>
    </row>
    <row r="922" spans="15:17" ht="15.75" customHeight="1" x14ac:dyDescent="0.25">
      <c r="O922" s="144"/>
      <c r="P922" s="144"/>
      <c r="Q922" s="144"/>
    </row>
    <row r="923" spans="15:17" ht="15.75" customHeight="1" x14ac:dyDescent="0.25">
      <c r="O923" s="144"/>
      <c r="P923" s="144"/>
      <c r="Q923" s="144"/>
    </row>
    <row r="924" spans="15:17" ht="15.75" customHeight="1" x14ac:dyDescent="0.25">
      <c r="O924" s="144"/>
      <c r="P924" s="144"/>
      <c r="Q924" s="144"/>
    </row>
    <row r="925" spans="15:17" ht="15.75" customHeight="1" x14ac:dyDescent="0.25">
      <c r="O925" s="144"/>
      <c r="P925" s="144"/>
      <c r="Q925" s="144"/>
    </row>
    <row r="926" spans="15:17" ht="15.75" customHeight="1" x14ac:dyDescent="0.25">
      <c r="O926" s="144"/>
      <c r="P926" s="144"/>
      <c r="Q926" s="144"/>
    </row>
    <row r="927" spans="15:17" ht="15.75" customHeight="1" x14ac:dyDescent="0.25">
      <c r="O927" s="144"/>
      <c r="P927" s="144"/>
      <c r="Q927" s="144"/>
    </row>
    <row r="928" spans="15:17" ht="15.75" customHeight="1" x14ac:dyDescent="0.25">
      <c r="O928" s="144"/>
      <c r="P928" s="144"/>
      <c r="Q928" s="144"/>
    </row>
    <row r="929" spans="15:17" ht="15.75" customHeight="1" x14ac:dyDescent="0.25">
      <c r="O929" s="144"/>
      <c r="P929" s="144"/>
      <c r="Q929" s="144"/>
    </row>
    <row r="930" spans="15:17" ht="15.75" customHeight="1" x14ac:dyDescent="0.25">
      <c r="O930" s="144"/>
      <c r="P930" s="144"/>
      <c r="Q930" s="144"/>
    </row>
    <row r="931" spans="15:17" ht="15.75" customHeight="1" x14ac:dyDescent="0.25">
      <c r="O931" s="144"/>
      <c r="P931" s="144"/>
      <c r="Q931" s="144"/>
    </row>
    <row r="932" spans="15:17" ht="15.75" customHeight="1" x14ac:dyDescent="0.25">
      <c r="O932" s="144"/>
      <c r="P932" s="144"/>
      <c r="Q932" s="144"/>
    </row>
    <row r="933" spans="15:17" ht="15.75" customHeight="1" x14ac:dyDescent="0.25">
      <c r="O933" s="144"/>
      <c r="P933" s="144"/>
      <c r="Q933" s="144"/>
    </row>
    <row r="934" spans="15:17" ht="15.75" customHeight="1" x14ac:dyDescent="0.25">
      <c r="O934" s="144"/>
      <c r="P934" s="144"/>
      <c r="Q934" s="144"/>
    </row>
    <row r="935" spans="15:17" ht="15.75" customHeight="1" x14ac:dyDescent="0.25">
      <c r="O935" s="144"/>
      <c r="P935" s="144"/>
      <c r="Q935" s="144"/>
    </row>
    <row r="936" spans="15:17" ht="15.75" customHeight="1" x14ac:dyDescent="0.25">
      <c r="O936" s="144"/>
      <c r="P936" s="144"/>
      <c r="Q936" s="144"/>
    </row>
    <row r="937" spans="15:17" ht="15.75" customHeight="1" x14ac:dyDescent="0.25">
      <c r="O937" s="144"/>
      <c r="P937" s="144"/>
      <c r="Q937" s="144"/>
    </row>
    <row r="938" spans="15:17" ht="15.75" customHeight="1" x14ac:dyDescent="0.25">
      <c r="O938" s="144"/>
      <c r="P938" s="144"/>
      <c r="Q938" s="144"/>
    </row>
    <row r="939" spans="15:17" ht="15.75" customHeight="1" x14ac:dyDescent="0.25">
      <c r="O939" s="144"/>
      <c r="P939" s="144"/>
      <c r="Q939" s="144"/>
    </row>
    <row r="940" spans="15:17" ht="15.75" customHeight="1" x14ac:dyDescent="0.25">
      <c r="O940" s="144"/>
      <c r="P940" s="144"/>
      <c r="Q940" s="144"/>
    </row>
    <row r="941" spans="15:17" ht="15.75" customHeight="1" x14ac:dyDescent="0.25">
      <c r="O941" s="144"/>
      <c r="P941" s="144"/>
      <c r="Q941" s="144"/>
    </row>
    <row r="942" spans="15:17" ht="15.75" customHeight="1" x14ac:dyDescent="0.25">
      <c r="O942" s="144"/>
      <c r="P942" s="144"/>
      <c r="Q942" s="144"/>
    </row>
    <row r="943" spans="15:17" ht="15.75" customHeight="1" x14ac:dyDescent="0.25">
      <c r="O943" s="144"/>
      <c r="P943" s="144"/>
      <c r="Q943" s="144"/>
    </row>
    <row r="944" spans="15:17" ht="15.75" customHeight="1" x14ac:dyDescent="0.25">
      <c r="O944" s="144"/>
      <c r="P944" s="144"/>
      <c r="Q944" s="144"/>
    </row>
    <row r="945" spans="15:17" ht="15.75" customHeight="1" x14ac:dyDescent="0.25">
      <c r="O945" s="144"/>
      <c r="P945" s="144"/>
      <c r="Q945" s="144"/>
    </row>
    <row r="946" spans="15:17" ht="15.75" customHeight="1" x14ac:dyDescent="0.25">
      <c r="O946" s="144"/>
      <c r="P946" s="144"/>
      <c r="Q946" s="144"/>
    </row>
    <row r="947" spans="15:17" ht="15.75" customHeight="1" x14ac:dyDescent="0.25">
      <c r="O947" s="144"/>
      <c r="P947" s="144"/>
      <c r="Q947" s="144"/>
    </row>
    <row r="948" spans="15:17" ht="15.75" customHeight="1" x14ac:dyDescent="0.25">
      <c r="O948" s="144"/>
      <c r="P948" s="144"/>
      <c r="Q948" s="144"/>
    </row>
    <row r="949" spans="15:17" ht="15.75" customHeight="1" x14ac:dyDescent="0.25">
      <c r="O949" s="144"/>
      <c r="P949" s="144"/>
      <c r="Q949" s="144"/>
    </row>
    <row r="950" spans="15:17" ht="15.75" customHeight="1" x14ac:dyDescent="0.25">
      <c r="O950" s="144"/>
      <c r="P950" s="144"/>
      <c r="Q950" s="144"/>
    </row>
    <row r="951" spans="15:17" ht="15.75" customHeight="1" x14ac:dyDescent="0.25">
      <c r="O951" s="144"/>
      <c r="P951" s="144"/>
      <c r="Q951" s="144"/>
    </row>
    <row r="952" spans="15:17" ht="15.75" customHeight="1" x14ac:dyDescent="0.25">
      <c r="O952" s="144"/>
      <c r="P952" s="144"/>
      <c r="Q952" s="144"/>
    </row>
    <row r="953" spans="15:17" ht="15.75" customHeight="1" x14ac:dyDescent="0.25">
      <c r="O953" s="144"/>
      <c r="P953" s="144"/>
      <c r="Q953" s="144"/>
    </row>
    <row r="954" spans="15:17" ht="15.75" customHeight="1" x14ac:dyDescent="0.25">
      <c r="O954" s="144"/>
      <c r="P954" s="144"/>
      <c r="Q954" s="144"/>
    </row>
    <row r="955" spans="15:17" ht="15.75" customHeight="1" x14ac:dyDescent="0.25">
      <c r="O955" s="144"/>
      <c r="P955" s="144"/>
      <c r="Q955" s="144"/>
    </row>
    <row r="956" spans="15:17" ht="15.75" customHeight="1" x14ac:dyDescent="0.25">
      <c r="O956" s="144"/>
      <c r="P956" s="144"/>
      <c r="Q956" s="144"/>
    </row>
    <row r="957" spans="15:17" ht="15.75" customHeight="1" x14ac:dyDescent="0.25">
      <c r="O957" s="144"/>
      <c r="P957" s="144"/>
      <c r="Q957" s="144"/>
    </row>
    <row r="958" spans="15:17" ht="15.75" customHeight="1" x14ac:dyDescent="0.25">
      <c r="O958" s="144"/>
      <c r="P958" s="144"/>
      <c r="Q958" s="144"/>
    </row>
    <row r="959" spans="15:17" ht="15.75" customHeight="1" x14ac:dyDescent="0.25">
      <c r="O959" s="144"/>
      <c r="P959" s="144"/>
      <c r="Q959" s="144"/>
    </row>
    <row r="960" spans="15:17" ht="15.75" customHeight="1" x14ac:dyDescent="0.25">
      <c r="O960" s="144"/>
      <c r="P960" s="144"/>
      <c r="Q960" s="144"/>
    </row>
    <row r="961" spans="15:17" ht="15.75" customHeight="1" x14ac:dyDescent="0.25">
      <c r="O961" s="144"/>
      <c r="P961" s="144"/>
      <c r="Q961" s="144"/>
    </row>
    <row r="962" spans="15:17" ht="15.75" customHeight="1" x14ac:dyDescent="0.25">
      <c r="O962" s="144"/>
      <c r="P962" s="144"/>
      <c r="Q962" s="144"/>
    </row>
    <row r="963" spans="15:17" ht="15.75" customHeight="1" x14ac:dyDescent="0.25">
      <c r="O963" s="144"/>
      <c r="P963" s="144"/>
      <c r="Q963" s="144"/>
    </row>
    <row r="964" spans="15:17" ht="15.75" customHeight="1" x14ac:dyDescent="0.25">
      <c r="O964" s="144"/>
      <c r="P964" s="144"/>
      <c r="Q964" s="144"/>
    </row>
    <row r="965" spans="15:17" ht="15.75" customHeight="1" x14ac:dyDescent="0.25">
      <c r="O965" s="144"/>
      <c r="P965" s="144"/>
      <c r="Q965" s="144"/>
    </row>
    <row r="966" spans="15:17" ht="15.75" customHeight="1" x14ac:dyDescent="0.25">
      <c r="O966" s="144"/>
      <c r="P966" s="144"/>
      <c r="Q966" s="144"/>
    </row>
    <row r="967" spans="15:17" ht="15.75" customHeight="1" x14ac:dyDescent="0.25">
      <c r="O967" s="144"/>
      <c r="P967" s="144"/>
      <c r="Q967" s="144"/>
    </row>
    <row r="968" spans="15:17" ht="15.75" customHeight="1" x14ac:dyDescent="0.25">
      <c r="O968" s="144"/>
      <c r="P968" s="144"/>
      <c r="Q968" s="144"/>
    </row>
    <row r="969" spans="15:17" ht="15.75" customHeight="1" x14ac:dyDescent="0.25">
      <c r="O969" s="144"/>
      <c r="P969" s="144"/>
      <c r="Q969" s="144"/>
    </row>
    <row r="970" spans="15:17" ht="15.75" customHeight="1" x14ac:dyDescent="0.25">
      <c r="O970" s="144"/>
      <c r="P970" s="144"/>
      <c r="Q970" s="144"/>
    </row>
    <row r="971" spans="15:17" ht="15.75" customHeight="1" x14ac:dyDescent="0.25">
      <c r="O971" s="144"/>
      <c r="P971" s="144"/>
      <c r="Q971" s="144"/>
    </row>
    <row r="972" spans="15:17" ht="15.75" customHeight="1" x14ac:dyDescent="0.25">
      <c r="O972" s="144"/>
      <c r="P972" s="144"/>
      <c r="Q972" s="144"/>
    </row>
    <row r="973" spans="15:17" ht="15.75" customHeight="1" x14ac:dyDescent="0.25">
      <c r="O973" s="144"/>
      <c r="P973" s="144"/>
      <c r="Q973" s="144"/>
    </row>
    <row r="974" spans="15:17" ht="15.75" customHeight="1" x14ac:dyDescent="0.25">
      <c r="O974" s="144"/>
      <c r="P974" s="144"/>
      <c r="Q974" s="144"/>
    </row>
    <row r="975" spans="15:17" ht="15.75" customHeight="1" x14ac:dyDescent="0.25">
      <c r="O975" s="144"/>
      <c r="P975" s="144"/>
      <c r="Q975" s="144"/>
    </row>
    <row r="976" spans="15:17" ht="15.75" customHeight="1" x14ac:dyDescent="0.25">
      <c r="O976" s="144"/>
      <c r="P976" s="144"/>
      <c r="Q976" s="144"/>
    </row>
    <row r="977" spans="15:17" ht="15.75" customHeight="1" x14ac:dyDescent="0.25">
      <c r="O977" s="144"/>
      <c r="P977" s="144"/>
      <c r="Q977" s="144"/>
    </row>
    <row r="978" spans="15:17" ht="15.75" customHeight="1" x14ac:dyDescent="0.25">
      <c r="O978" s="144"/>
      <c r="P978" s="144"/>
      <c r="Q978" s="144"/>
    </row>
    <row r="979" spans="15:17" ht="15.75" customHeight="1" x14ac:dyDescent="0.25">
      <c r="O979" s="144"/>
      <c r="P979" s="144"/>
      <c r="Q979" s="144"/>
    </row>
    <row r="980" spans="15:17" ht="15.75" customHeight="1" x14ac:dyDescent="0.25">
      <c r="O980" s="144"/>
      <c r="P980" s="144"/>
      <c r="Q980" s="144"/>
    </row>
    <row r="981" spans="15:17" ht="15.75" customHeight="1" x14ac:dyDescent="0.25">
      <c r="O981" s="144"/>
      <c r="P981" s="144"/>
      <c r="Q981" s="144"/>
    </row>
    <row r="982" spans="15:17" ht="15.75" customHeight="1" x14ac:dyDescent="0.25">
      <c r="O982" s="144"/>
      <c r="P982" s="144"/>
      <c r="Q982" s="144"/>
    </row>
    <row r="983" spans="15:17" ht="15.75" customHeight="1" x14ac:dyDescent="0.25">
      <c r="O983" s="144"/>
      <c r="P983" s="144"/>
      <c r="Q983" s="144"/>
    </row>
    <row r="984" spans="15:17" ht="15.75" customHeight="1" x14ac:dyDescent="0.25">
      <c r="O984" s="144"/>
      <c r="P984" s="144"/>
      <c r="Q984" s="144"/>
    </row>
    <row r="985" spans="15:17" ht="15.75" customHeight="1" x14ac:dyDescent="0.25">
      <c r="O985" s="144"/>
      <c r="P985" s="144"/>
      <c r="Q985" s="144"/>
    </row>
    <row r="986" spans="15:17" ht="15.75" customHeight="1" x14ac:dyDescent="0.25">
      <c r="O986" s="144"/>
      <c r="P986" s="144"/>
      <c r="Q986" s="144"/>
    </row>
    <row r="987" spans="15:17" ht="15.75" customHeight="1" x14ac:dyDescent="0.25">
      <c r="O987" s="144"/>
      <c r="P987" s="144"/>
      <c r="Q987" s="144"/>
    </row>
    <row r="988" spans="15:17" ht="15.75" customHeight="1" x14ac:dyDescent="0.25">
      <c r="O988" s="144"/>
      <c r="P988" s="144"/>
      <c r="Q988" s="144"/>
    </row>
    <row r="989" spans="15:17" ht="15.75" customHeight="1" x14ac:dyDescent="0.25">
      <c r="O989" s="144"/>
      <c r="P989" s="144"/>
      <c r="Q989" s="144"/>
    </row>
    <row r="990" spans="15:17" ht="15.75" customHeight="1" x14ac:dyDescent="0.25">
      <c r="O990" s="144"/>
      <c r="P990" s="144"/>
      <c r="Q990" s="144"/>
    </row>
    <row r="991" spans="15:17" ht="15.75" customHeight="1" x14ac:dyDescent="0.25">
      <c r="O991" s="144"/>
      <c r="P991" s="144"/>
      <c r="Q991" s="144"/>
    </row>
    <row r="992" spans="15:17" ht="15.75" customHeight="1" x14ac:dyDescent="0.25">
      <c r="O992" s="144"/>
      <c r="P992" s="144"/>
      <c r="Q992" s="144"/>
    </row>
    <row r="993" spans="15:17" ht="15.75" customHeight="1" x14ac:dyDescent="0.25">
      <c r="O993" s="144"/>
      <c r="P993" s="144"/>
      <c r="Q993" s="144"/>
    </row>
    <row r="994" spans="15:17" ht="15.75" customHeight="1" x14ac:dyDescent="0.25">
      <c r="O994" s="144"/>
      <c r="P994" s="144"/>
      <c r="Q994" s="144"/>
    </row>
    <row r="995" spans="15:17" ht="15.75" customHeight="1" x14ac:dyDescent="0.25">
      <c r="O995" s="144"/>
      <c r="P995" s="144"/>
      <c r="Q995" s="144"/>
    </row>
    <row r="996" spans="15:17" ht="15.75" customHeight="1" x14ac:dyDescent="0.25">
      <c r="O996" s="144"/>
      <c r="P996" s="144"/>
      <c r="Q996" s="144"/>
    </row>
    <row r="997" spans="15:17" ht="15.75" customHeight="1" x14ac:dyDescent="0.25">
      <c r="O997" s="144"/>
      <c r="P997" s="144"/>
      <c r="Q997" s="144"/>
    </row>
    <row r="998" spans="15:17" ht="15.75" customHeight="1" x14ac:dyDescent="0.25">
      <c r="O998" s="144"/>
      <c r="P998" s="144"/>
      <c r="Q998" s="144"/>
    </row>
    <row r="999" spans="15:17" ht="15.75" customHeight="1" x14ac:dyDescent="0.25">
      <c r="O999" s="144"/>
      <c r="P999" s="144"/>
      <c r="Q999" s="144"/>
    </row>
    <row r="1000" spans="15:17" ht="15.75" customHeight="1" x14ac:dyDescent="0.25">
      <c r="O1000" s="144"/>
      <c r="P1000" s="144"/>
      <c r="Q1000" s="14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5"/>
  <sheetViews>
    <sheetView workbookViewId="0"/>
  </sheetViews>
  <sheetFormatPr defaultColWidth="12.59765625" defaultRowHeight="15" customHeight="1" x14ac:dyDescent="0.25"/>
  <cols>
    <col min="1" max="1" width="11.09765625" customWidth="1"/>
    <col min="2" max="2" width="10.5" customWidth="1"/>
    <col min="3" max="3" width="15.69921875" customWidth="1"/>
    <col min="4" max="4" width="10.19921875" customWidth="1"/>
    <col min="5" max="5" width="45.09765625" customWidth="1"/>
    <col min="6" max="6" width="18.3984375" customWidth="1"/>
    <col min="7" max="7" width="11" customWidth="1"/>
    <col min="8" max="8" width="26.69921875" customWidth="1"/>
    <col min="9" max="9" width="12.3984375" customWidth="1"/>
    <col min="10" max="10" width="23.59765625" customWidth="1"/>
    <col min="11" max="11" width="12.59765625" customWidth="1"/>
    <col min="12" max="12" width="7.69921875" customWidth="1"/>
    <col min="13" max="13" width="19.3984375" customWidth="1"/>
    <col min="14" max="14" width="18.09765625" customWidth="1"/>
    <col min="15" max="15" width="8.19921875" customWidth="1"/>
    <col min="16" max="16" width="16.09765625" customWidth="1"/>
    <col min="17" max="17" width="31.8984375" customWidth="1"/>
    <col min="18" max="18" width="35.09765625" customWidth="1"/>
    <col min="19" max="19" width="19.8984375" customWidth="1"/>
    <col min="20" max="20" width="18.69921875" customWidth="1"/>
    <col min="21" max="21" width="20.5" customWidth="1"/>
    <col min="22" max="22" width="26.69921875" customWidth="1"/>
    <col min="23" max="23" width="22.8984375" customWidth="1"/>
    <col min="24" max="24" width="24.09765625" customWidth="1"/>
    <col min="25" max="25" width="20.3984375" customWidth="1"/>
  </cols>
  <sheetData>
    <row r="1" spans="1:25" ht="15" customHeight="1" x14ac:dyDescent="0.3">
      <c r="A1" s="146" t="s">
        <v>0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7</v>
      </c>
      <c r="I1" s="147" t="s">
        <v>8</v>
      </c>
      <c r="J1" s="147" t="s">
        <v>9</v>
      </c>
      <c r="K1" s="147" t="s">
        <v>10</v>
      </c>
      <c r="L1" s="147" t="s">
        <v>11</v>
      </c>
      <c r="M1" s="147" t="s">
        <v>12</v>
      </c>
      <c r="N1" s="147" t="s">
        <v>13</v>
      </c>
      <c r="O1" s="147" t="s">
        <v>14</v>
      </c>
      <c r="P1" s="147" t="s">
        <v>15</v>
      </c>
      <c r="Q1" s="147" t="s">
        <v>16</v>
      </c>
      <c r="R1" s="147" t="s">
        <v>17</v>
      </c>
      <c r="S1" s="147" t="s">
        <v>18</v>
      </c>
      <c r="T1" s="147" t="s">
        <v>19</v>
      </c>
      <c r="U1" s="147" t="s">
        <v>20</v>
      </c>
      <c r="V1" s="147" t="s">
        <v>21</v>
      </c>
      <c r="W1" s="147" t="s">
        <v>22</v>
      </c>
      <c r="X1" s="147" t="s">
        <v>23</v>
      </c>
      <c r="Y1" s="149" t="s">
        <v>24</v>
      </c>
    </row>
    <row r="2" spans="1:25" ht="15" customHeight="1" x14ac:dyDescent="0.3">
      <c r="A2" s="19">
        <v>45948</v>
      </c>
      <c r="B2" s="20">
        <v>45948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30</v>
      </c>
      <c r="I2" s="21" t="s">
        <v>32</v>
      </c>
      <c r="J2" s="21" t="s">
        <v>278</v>
      </c>
      <c r="K2" s="22">
        <v>3</v>
      </c>
      <c r="L2" s="22">
        <v>1</v>
      </c>
      <c r="M2" s="23">
        <v>0.33333299999999999</v>
      </c>
      <c r="N2" s="22" t="s">
        <v>120</v>
      </c>
      <c r="O2" s="22">
        <v>3.1</v>
      </c>
      <c r="P2" s="22">
        <v>24.94</v>
      </c>
      <c r="Q2" s="22">
        <v>12.43</v>
      </c>
      <c r="R2" s="22">
        <v>8.0500000000000007</v>
      </c>
      <c r="S2" s="22">
        <v>1</v>
      </c>
      <c r="T2" s="22">
        <v>1</v>
      </c>
      <c r="U2" s="23">
        <v>1</v>
      </c>
      <c r="V2" s="22">
        <v>1</v>
      </c>
      <c r="W2" s="22">
        <v>0</v>
      </c>
      <c r="X2" s="22" t="s">
        <v>35</v>
      </c>
      <c r="Y2" s="24" t="s">
        <v>36</v>
      </c>
    </row>
    <row r="3" spans="1:25" ht="15" customHeight="1" x14ac:dyDescent="0.3">
      <c r="A3" s="19">
        <v>45948</v>
      </c>
      <c r="B3" s="20">
        <v>45948</v>
      </c>
      <c r="C3" s="21" t="s">
        <v>27</v>
      </c>
      <c r="D3" s="21" t="s">
        <v>28</v>
      </c>
      <c r="E3" s="21" t="s">
        <v>71</v>
      </c>
      <c r="F3" s="21" t="s">
        <v>72</v>
      </c>
      <c r="G3" s="21" t="s">
        <v>31</v>
      </c>
      <c r="H3" s="21" t="s">
        <v>51</v>
      </c>
      <c r="I3" s="21" t="s">
        <v>52</v>
      </c>
      <c r="J3" s="21" t="s">
        <v>279</v>
      </c>
      <c r="K3" s="22">
        <v>2</v>
      </c>
      <c r="L3" s="22">
        <v>1</v>
      </c>
      <c r="M3" s="23">
        <v>0.5</v>
      </c>
      <c r="N3" s="22" t="s">
        <v>198</v>
      </c>
      <c r="O3" s="22">
        <v>3.66</v>
      </c>
      <c r="P3" s="22">
        <v>24.94</v>
      </c>
      <c r="Q3" s="22">
        <v>14.68</v>
      </c>
      <c r="R3" s="22">
        <v>6.81</v>
      </c>
      <c r="S3" s="22">
        <v>1</v>
      </c>
      <c r="T3" s="22">
        <v>1</v>
      </c>
      <c r="U3" s="23">
        <v>1</v>
      </c>
      <c r="V3" s="22">
        <v>1</v>
      </c>
      <c r="W3" s="22">
        <v>0</v>
      </c>
      <c r="X3" s="22" t="s">
        <v>35</v>
      </c>
      <c r="Y3" s="24" t="s">
        <v>36</v>
      </c>
    </row>
    <row r="4" spans="1:25" ht="15" customHeight="1" x14ac:dyDescent="0.3">
      <c r="A4" s="19">
        <v>45947</v>
      </c>
      <c r="B4" s="20">
        <v>45947</v>
      </c>
      <c r="C4" s="21" t="s">
        <v>143</v>
      </c>
      <c r="D4" s="21" t="s">
        <v>28</v>
      </c>
      <c r="E4" s="21" t="s">
        <v>144</v>
      </c>
      <c r="F4" s="21" t="s">
        <v>32</v>
      </c>
      <c r="G4" s="21" t="s">
        <v>31</v>
      </c>
      <c r="H4" s="21" t="s">
        <v>30</v>
      </c>
      <c r="I4" s="21" t="s">
        <v>44</v>
      </c>
      <c r="J4" s="21" t="s">
        <v>30</v>
      </c>
      <c r="K4" s="22">
        <v>99</v>
      </c>
      <c r="L4" s="22">
        <v>2</v>
      </c>
      <c r="M4" s="23">
        <v>2.0202000000000001E-2</v>
      </c>
      <c r="N4" s="22" t="s">
        <v>280</v>
      </c>
      <c r="O4" s="22">
        <v>0.83</v>
      </c>
      <c r="P4" s="22">
        <v>49.88</v>
      </c>
      <c r="Q4" s="22">
        <v>1.66</v>
      </c>
      <c r="R4" s="22">
        <v>60.1</v>
      </c>
      <c r="S4" s="22">
        <v>2</v>
      </c>
      <c r="T4" s="22">
        <v>2</v>
      </c>
      <c r="U4" s="23">
        <v>1</v>
      </c>
      <c r="V4" s="22">
        <v>2</v>
      </c>
      <c r="W4" s="22">
        <v>0</v>
      </c>
      <c r="X4" s="22" t="s">
        <v>78</v>
      </c>
      <c r="Y4" s="24" t="s">
        <v>36</v>
      </c>
    </row>
    <row r="5" spans="1:25" ht="15" customHeight="1" x14ac:dyDescent="0.3">
      <c r="A5" s="19">
        <v>45947</v>
      </c>
      <c r="B5" s="20">
        <v>45948</v>
      </c>
      <c r="C5" s="21" t="s">
        <v>27</v>
      </c>
      <c r="D5" s="21" t="s">
        <v>28</v>
      </c>
      <c r="E5" s="21" t="s">
        <v>71</v>
      </c>
      <c r="F5" s="21" t="s">
        <v>72</v>
      </c>
      <c r="G5" s="21" t="s">
        <v>31</v>
      </c>
      <c r="H5" s="21" t="s">
        <v>51</v>
      </c>
      <c r="I5" s="21" t="s">
        <v>52</v>
      </c>
      <c r="J5" s="21" t="s">
        <v>281</v>
      </c>
      <c r="K5" s="22">
        <v>39</v>
      </c>
      <c r="L5" s="22">
        <v>3</v>
      </c>
      <c r="M5" s="23">
        <v>7.6923000000000005E-2</v>
      </c>
      <c r="N5" s="22" t="s">
        <v>282</v>
      </c>
      <c r="O5" s="22">
        <v>9.9</v>
      </c>
      <c r="P5" s="22">
        <v>24.94</v>
      </c>
      <c r="Q5" s="22">
        <v>39.700000000000003</v>
      </c>
      <c r="R5" s="22">
        <v>2.52</v>
      </c>
      <c r="S5" s="22">
        <v>1</v>
      </c>
      <c r="T5" s="22">
        <v>1</v>
      </c>
      <c r="U5" s="23">
        <v>0.33333299999999999</v>
      </c>
      <c r="V5" s="22">
        <v>1</v>
      </c>
      <c r="W5" s="22">
        <v>0</v>
      </c>
      <c r="X5" s="22" t="s">
        <v>35</v>
      </c>
      <c r="Y5" s="24" t="s">
        <v>36</v>
      </c>
    </row>
    <row r="6" spans="1:25" ht="15" customHeight="1" x14ac:dyDescent="0.3">
      <c r="A6" s="19">
        <v>45946</v>
      </c>
      <c r="B6" s="20">
        <v>45946</v>
      </c>
      <c r="C6" s="21" t="s">
        <v>143</v>
      </c>
      <c r="D6" s="21" t="s">
        <v>28</v>
      </c>
      <c r="E6" s="21" t="s">
        <v>144</v>
      </c>
      <c r="F6" s="21" t="s">
        <v>32</v>
      </c>
      <c r="G6" s="21" t="s">
        <v>31</v>
      </c>
      <c r="H6" s="21" t="s">
        <v>30</v>
      </c>
      <c r="I6" s="21" t="s">
        <v>44</v>
      </c>
      <c r="J6" s="21" t="s">
        <v>159</v>
      </c>
      <c r="K6" s="22">
        <v>4</v>
      </c>
      <c r="L6" s="22">
        <v>1</v>
      </c>
      <c r="M6" s="23">
        <v>0.25</v>
      </c>
      <c r="N6" s="22" t="s">
        <v>217</v>
      </c>
      <c r="O6" s="22">
        <v>1.82</v>
      </c>
      <c r="P6" s="22">
        <v>24.94</v>
      </c>
      <c r="Q6" s="22">
        <v>7.3</v>
      </c>
      <c r="R6" s="22">
        <v>13.7</v>
      </c>
      <c r="S6" s="22">
        <v>1</v>
      </c>
      <c r="T6" s="22">
        <v>1</v>
      </c>
      <c r="U6" s="23">
        <v>1</v>
      </c>
      <c r="V6" s="22">
        <v>1</v>
      </c>
      <c r="W6" s="22">
        <v>0</v>
      </c>
      <c r="X6" s="22" t="s">
        <v>35</v>
      </c>
      <c r="Y6" s="24" t="s">
        <v>36</v>
      </c>
    </row>
    <row r="7" spans="1:25" ht="15" customHeight="1" x14ac:dyDescent="0.3">
      <c r="A7" s="19">
        <v>45946</v>
      </c>
      <c r="B7" s="20">
        <v>45946</v>
      </c>
      <c r="C7" s="21" t="s">
        <v>27</v>
      </c>
      <c r="D7" s="21" t="s">
        <v>28</v>
      </c>
      <c r="E7" s="21" t="s">
        <v>71</v>
      </c>
      <c r="F7" s="21" t="s">
        <v>72</v>
      </c>
      <c r="G7" s="21" t="s">
        <v>31</v>
      </c>
      <c r="H7" s="21" t="s">
        <v>51</v>
      </c>
      <c r="I7" s="21" t="s">
        <v>52</v>
      </c>
      <c r="J7" s="21" t="s">
        <v>283</v>
      </c>
      <c r="K7" s="22">
        <v>1</v>
      </c>
      <c r="L7" s="22">
        <v>1</v>
      </c>
      <c r="M7" s="23">
        <v>1</v>
      </c>
      <c r="N7" s="22" t="s">
        <v>284</v>
      </c>
      <c r="O7" s="22">
        <v>1.88</v>
      </c>
      <c r="P7" s="22">
        <v>24.94</v>
      </c>
      <c r="Q7" s="22">
        <v>7.54</v>
      </c>
      <c r="R7" s="22">
        <v>13.27</v>
      </c>
      <c r="S7" s="22">
        <v>1</v>
      </c>
      <c r="T7" s="22">
        <v>1</v>
      </c>
      <c r="U7" s="23">
        <v>1</v>
      </c>
      <c r="V7" s="22">
        <v>1</v>
      </c>
      <c r="W7" s="22">
        <v>0</v>
      </c>
      <c r="X7" s="22" t="s">
        <v>35</v>
      </c>
      <c r="Y7" s="24" t="s">
        <v>36</v>
      </c>
    </row>
    <row r="8" spans="1:25" ht="15" customHeight="1" x14ac:dyDescent="0.3">
      <c r="A8" s="19">
        <v>45946</v>
      </c>
      <c r="B8" s="20">
        <v>45946</v>
      </c>
      <c r="C8" s="21" t="s">
        <v>27</v>
      </c>
      <c r="D8" s="21" t="s">
        <v>28</v>
      </c>
      <c r="E8" s="21" t="s">
        <v>29</v>
      </c>
      <c r="F8" s="21" t="s">
        <v>30</v>
      </c>
      <c r="G8" s="21" t="s">
        <v>31</v>
      </c>
      <c r="H8" s="21" t="s">
        <v>30</v>
      </c>
      <c r="I8" s="21" t="s">
        <v>32</v>
      </c>
      <c r="J8" s="21" t="s">
        <v>285</v>
      </c>
      <c r="K8" s="22">
        <v>3</v>
      </c>
      <c r="L8" s="22">
        <v>1</v>
      </c>
      <c r="M8" s="23">
        <v>0.33333299999999999</v>
      </c>
      <c r="N8" s="22" t="s">
        <v>286</v>
      </c>
      <c r="O8" s="22">
        <v>2.5099999999999998</v>
      </c>
      <c r="P8" s="22">
        <v>24.94</v>
      </c>
      <c r="Q8" s="22">
        <v>10.06</v>
      </c>
      <c r="R8" s="22">
        <v>9.94</v>
      </c>
      <c r="S8" s="22">
        <v>1</v>
      </c>
      <c r="T8" s="22">
        <v>1</v>
      </c>
      <c r="U8" s="23">
        <v>1</v>
      </c>
      <c r="V8" s="22">
        <v>1</v>
      </c>
      <c r="W8" s="22">
        <v>0</v>
      </c>
      <c r="X8" s="22" t="s">
        <v>35</v>
      </c>
      <c r="Y8" s="24" t="s">
        <v>36</v>
      </c>
    </row>
    <row r="9" spans="1:25" ht="15" customHeight="1" x14ac:dyDescent="0.3">
      <c r="A9" s="19">
        <v>45946</v>
      </c>
      <c r="B9" s="20">
        <v>45948</v>
      </c>
      <c r="C9" s="21" t="s">
        <v>27</v>
      </c>
      <c r="D9" s="21" t="s">
        <v>28</v>
      </c>
      <c r="E9" s="21" t="s">
        <v>29</v>
      </c>
      <c r="F9" s="21" t="s">
        <v>30</v>
      </c>
      <c r="G9" s="21" t="s">
        <v>31</v>
      </c>
      <c r="H9" s="21" t="s">
        <v>287</v>
      </c>
      <c r="I9" s="21" t="s">
        <v>32</v>
      </c>
      <c r="J9" s="21" t="s">
        <v>119</v>
      </c>
      <c r="K9" s="22">
        <v>35</v>
      </c>
      <c r="L9" s="22">
        <v>3</v>
      </c>
      <c r="M9" s="23">
        <v>8.5713999999999999E-2</v>
      </c>
      <c r="N9" s="22" t="s">
        <v>288</v>
      </c>
      <c r="O9" s="22">
        <v>13.13</v>
      </c>
      <c r="P9" s="22">
        <v>49.88</v>
      </c>
      <c r="Q9" s="22">
        <v>26.32</v>
      </c>
      <c r="R9" s="22">
        <v>3.8</v>
      </c>
      <c r="S9" s="22">
        <v>2</v>
      </c>
      <c r="T9" s="22">
        <v>2</v>
      </c>
      <c r="U9" s="23">
        <v>0.66666700000000001</v>
      </c>
      <c r="V9" s="22">
        <v>2</v>
      </c>
      <c r="W9" s="22">
        <v>0</v>
      </c>
      <c r="X9" s="22" t="s">
        <v>78</v>
      </c>
      <c r="Y9" s="24" t="s">
        <v>36</v>
      </c>
    </row>
    <row r="10" spans="1:25" ht="15" customHeight="1" x14ac:dyDescent="0.3">
      <c r="A10" s="19">
        <v>45946</v>
      </c>
      <c r="B10" s="20">
        <v>45946</v>
      </c>
      <c r="C10" s="21" t="s">
        <v>27</v>
      </c>
      <c r="D10" s="21" t="s">
        <v>28</v>
      </c>
      <c r="E10" s="21" t="s">
        <v>71</v>
      </c>
      <c r="F10" s="21" t="s">
        <v>72</v>
      </c>
      <c r="G10" s="21" t="s">
        <v>31</v>
      </c>
      <c r="H10" s="21" t="s">
        <v>73</v>
      </c>
      <c r="I10" s="21" t="s">
        <v>52</v>
      </c>
      <c r="J10" s="21" t="s">
        <v>289</v>
      </c>
      <c r="K10" s="22">
        <v>1</v>
      </c>
      <c r="L10" s="22">
        <v>1</v>
      </c>
      <c r="M10" s="23">
        <v>1</v>
      </c>
      <c r="N10" s="22" t="s">
        <v>190</v>
      </c>
      <c r="O10" s="22">
        <v>4.7</v>
      </c>
      <c r="P10" s="22">
        <v>24.94</v>
      </c>
      <c r="Q10" s="22">
        <v>18.850000000000001</v>
      </c>
      <c r="R10" s="22">
        <v>5.31</v>
      </c>
      <c r="S10" s="22">
        <v>1</v>
      </c>
      <c r="T10" s="22">
        <v>1</v>
      </c>
      <c r="U10" s="23">
        <v>1</v>
      </c>
      <c r="V10" s="22">
        <v>1</v>
      </c>
      <c r="W10" s="22">
        <v>0</v>
      </c>
      <c r="X10" s="22" t="s">
        <v>35</v>
      </c>
      <c r="Y10" s="24" t="s">
        <v>36</v>
      </c>
    </row>
    <row r="11" spans="1:25" ht="15" customHeight="1" x14ac:dyDescent="0.3">
      <c r="A11" s="19">
        <v>45945</v>
      </c>
      <c r="B11" s="20">
        <v>45945</v>
      </c>
      <c r="C11" s="21" t="s">
        <v>27</v>
      </c>
      <c r="D11" s="21" t="s">
        <v>28</v>
      </c>
      <c r="E11" s="21" t="s">
        <v>29</v>
      </c>
      <c r="F11" s="21" t="s">
        <v>30</v>
      </c>
      <c r="G11" s="21" t="s">
        <v>31</v>
      </c>
      <c r="H11" s="21" t="s">
        <v>30</v>
      </c>
      <c r="I11" s="21" t="s">
        <v>32</v>
      </c>
      <c r="J11" s="21" t="s">
        <v>290</v>
      </c>
      <c r="K11" s="22">
        <v>1</v>
      </c>
      <c r="L11" s="22">
        <v>1</v>
      </c>
      <c r="M11" s="23">
        <v>1</v>
      </c>
      <c r="N11" s="22" t="s">
        <v>179</v>
      </c>
      <c r="O11" s="22">
        <v>4.34</v>
      </c>
      <c r="P11" s="22">
        <v>24.94</v>
      </c>
      <c r="Q11" s="22">
        <v>17.399999999999999</v>
      </c>
      <c r="R11" s="22">
        <v>5.75</v>
      </c>
      <c r="S11" s="22">
        <v>1</v>
      </c>
      <c r="T11" s="22">
        <v>1</v>
      </c>
      <c r="U11" s="23">
        <v>1</v>
      </c>
      <c r="V11" s="22">
        <v>1</v>
      </c>
      <c r="W11" s="22">
        <v>0</v>
      </c>
      <c r="X11" s="22" t="s">
        <v>35</v>
      </c>
      <c r="Y11" s="24" t="s">
        <v>36</v>
      </c>
    </row>
    <row r="12" spans="1:25" ht="15" customHeight="1" x14ac:dyDescent="0.3">
      <c r="A12" s="19">
        <v>45945</v>
      </c>
      <c r="B12" s="20">
        <v>45945</v>
      </c>
      <c r="C12" s="21" t="s">
        <v>143</v>
      </c>
      <c r="D12" s="21" t="s">
        <v>28</v>
      </c>
      <c r="E12" s="21" t="s">
        <v>144</v>
      </c>
      <c r="F12" s="21" t="s">
        <v>32</v>
      </c>
      <c r="G12" s="21" t="s">
        <v>31</v>
      </c>
      <c r="H12" s="21" t="s">
        <v>119</v>
      </c>
      <c r="I12" s="21" t="s">
        <v>44</v>
      </c>
      <c r="J12" s="21" t="s">
        <v>119</v>
      </c>
      <c r="K12" s="22">
        <v>1</v>
      </c>
      <c r="L12" s="22">
        <v>1</v>
      </c>
      <c r="M12" s="23">
        <v>1</v>
      </c>
      <c r="N12" s="22" t="s">
        <v>263</v>
      </c>
      <c r="O12" s="22">
        <v>1.02</v>
      </c>
      <c r="P12" s="22">
        <v>24.94</v>
      </c>
      <c r="Q12" s="22">
        <v>4.09</v>
      </c>
      <c r="R12" s="22">
        <v>24.45</v>
      </c>
      <c r="S12" s="22">
        <v>1</v>
      </c>
      <c r="T12" s="22">
        <v>1</v>
      </c>
      <c r="U12" s="23">
        <v>1</v>
      </c>
      <c r="V12" s="22">
        <v>1</v>
      </c>
      <c r="W12" s="22">
        <v>0</v>
      </c>
      <c r="X12" s="22" t="s">
        <v>35</v>
      </c>
      <c r="Y12" s="24" t="s">
        <v>36</v>
      </c>
    </row>
    <row r="13" spans="1:25" ht="15" customHeight="1" x14ac:dyDescent="0.3">
      <c r="A13" s="19">
        <v>45945</v>
      </c>
      <c r="B13" s="20">
        <v>45945</v>
      </c>
      <c r="C13" s="21" t="s">
        <v>27</v>
      </c>
      <c r="D13" s="21" t="s">
        <v>28</v>
      </c>
      <c r="E13" s="21" t="s">
        <v>71</v>
      </c>
      <c r="F13" s="21" t="s">
        <v>72</v>
      </c>
      <c r="G13" s="21" t="s">
        <v>31</v>
      </c>
      <c r="H13" s="21" t="s">
        <v>51</v>
      </c>
      <c r="I13" s="21" t="s">
        <v>52</v>
      </c>
      <c r="J13" s="21" t="s">
        <v>291</v>
      </c>
      <c r="K13" s="22">
        <v>1</v>
      </c>
      <c r="L13" s="22">
        <v>1</v>
      </c>
      <c r="M13" s="23">
        <v>1</v>
      </c>
      <c r="N13" s="22" t="s">
        <v>157</v>
      </c>
      <c r="O13" s="22">
        <v>2.62</v>
      </c>
      <c r="P13" s="22">
        <v>24.94</v>
      </c>
      <c r="Q13" s="22">
        <v>10.51</v>
      </c>
      <c r="R13" s="22">
        <v>9.52</v>
      </c>
      <c r="S13" s="22">
        <v>1</v>
      </c>
      <c r="T13" s="22">
        <v>1</v>
      </c>
      <c r="U13" s="23">
        <v>1</v>
      </c>
      <c r="V13" s="22">
        <v>1</v>
      </c>
      <c r="W13" s="22">
        <v>0</v>
      </c>
      <c r="X13" s="22" t="s">
        <v>35</v>
      </c>
      <c r="Y13" s="24" t="s">
        <v>36</v>
      </c>
    </row>
    <row r="14" spans="1:25" ht="15" customHeight="1" x14ac:dyDescent="0.3">
      <c r="A14" s="19">
        <v>45945</v>
      </c>
      <c r="B14" s="20">
        <v>45945</v>
      </c>
      <c r="C14" s="21" t="s">
        <v>27</v>
      </c>
      <c r="D14" s="21" t="s">
        <v>28</v>
      </c>
      <c r="E14" s="21" t="s">
        <v>71</v>
      </c>
      <c r="F14" s="21" t="s">
        <v>72</v>
      </c>
      <c r="G14" s="21" t="s">
        <v>31</v>
      </c>
      <c r="H14" s="21" t="s">
        <v>51</v>
      </c>
      <c r="I14" s="21" t="s">
        <v>52</v>
      </c>
      <c r="J14" s="21" t="s">
        <v>292</v>
      </c>
      <c r="K14" s="22">
        <v>2</v>
      </c>
      <c r="L14" s="22">
        <v>1</v>
      </c>
      <c r="M14" s="23">
        <v>0.5</v>
      </c>
      <c r="N14" s="22" t="s">
        <v>284</v>
      </c>
      <c r="O14" s="22">
        <v>1.88</v>
      </c>
      <c r="P14" s="22">
        <v>24.94</v>
      </c>
      <c r="Q14" s="22">
        <v>7.54</v>
      </c>
      <c r="R14" s="22">
        <v>13.27</v>
      </c>
      <c r="S14" s="22">
        <v>1</v>
      </c>
      <c r="T14" s="22">
        <v>1</v>
      </c>
      <c r="U14" s="23">
        <v>1</v>
      </c>
      <c r="V14" s="22">
        <v>1</v>
      </c>
      <c r="W14" s="22">
        <v>0</v>
      </c>
      <c r="X14" s="22" t="s">
        <v>35</v>
      </c>
      <c r="Y14" s="24" t="s">
        <v>36</v>
      </c>
    </row>
    <row r="15" spans="1:25" ht="15" customHeight="1" x14ac:dyDescent="0.3">
      <c r="A15" s="19">
        <v>45945</v>
      </c>
      <c r="B15" s="20">
        <v>45948</v>
      </c>
      <c r="C15" s="21" t="s">
        <v>48</v>
      </c>
      <c r="D15" s="21" t="s">
        <v>28</v>
      </c>
      <c r="E15" s="21" t="s">
        <v>62</v>
      </c>
      <c r="F15" s="21" t="s">
        <v>63</v>
      </c>
      <c r="G15" s="21" t="s">
        <v>31</v>
      </c>
      <c r="H15" s="21" t="s">
        <v>88</v>
      </c>
      <c r="I15" s="21" t="s">
        <v>65</v>
      </c>
      <c r="J15" s="21" t="s">
        <v>89</v>
      </c>
      <c r="K15" s="22">
        <v>50</v>
      </c>
      <c r="L15" s="22">
        <v>4</v>
      </c>
      <c r="M15" s="23">
        <v>0.08</v>
      </c>
      <c r="N15" s="22" t="s">
        <v>293</v>
      </c>
      <c r="O15" s="22">
        <v>14.29</v>
      </c>
      <c r="P15" s="22">
        <v>21.9</v>
      </c>
      <c r="Q15" s="22">
        <v>65.25</v>
      </c>
      <c r="R15" s="22">
        <v>1.53</v>
      </c>
      <c r="S15" s="22">
        <v>1</v>
      </c>
      <c r="T15" s="22">
        <v>1</v>
      </c>
      <c r="U15" s="23">
        <v>0.25</v>
      </c>
      <c r="V15" s="22">
        <v>1</v>
      </c>
      <c r="W15" s="22">
        <v>0</v>
      </c>
      <c r="X15" s="22" t="s">
        <v>55</v>
      </c>
      <c r="Y15" s="24" t="s">
        <v>36</v>
      </c>
    </row>
    <row r="16" spans="1:25" ht="15" customHeight="1" x14ac:dyDescent="0.3">
      <c r="A16" s="19">
        <v>45944</v>
      </c>
      <c r="B16" s="20">
        <v>45948</v>
      </c>
      <c r="C16" s="21" t="s">
        <v>105</v>
      </c>
      <c r="D16" s="21" t="s">
        <v>28</v>
      </c>
      <c r="E16" s="21" t="s">
        <v>106</v>
      </c>
      <c r="F16" s="21" t="s">
        <v>30</v>
      </c>
      <c r="G16" s="21" t="s">
        <v>31</v>
      </c>
      <c r="H16" s="21" t="s">
        <v>30</v>
      </c>
      <c r="I16" s="21" t="s">
        <v>65</v>
      </c>
      <c r="J16" s="21" t="s">
        <v>30</v>
      </c>
      <c r="K16" s="22">
        <v>3202</v>
      </c>
      <c r="L16" s="22">
        <v>17</v>
      </c>
      <c r="M16" s="23">
        <v>5.3090000000000004E-3</v>
      </c>
      <c r="N16" s="22" t="s">
        <v>294</v>
      </c>
      <c r="O16" s="22">
        <v>49</v>
      </c>
      <c r="P16" s="22">
        <v>99.76</v>
      </c>
      <c r="Q16" s="22">
        <v>49.12</v>
      </c>
      <c r="R16" s="22">
        <v>2.04</v>
      </c>
      <c r="S16" s="22">
        <v>4</v>
      </c>
      <c r="T16" s="22">
        <v>4</v>
      </c>
      <c r="U16" s="23">
        <v>0.235294</v>
      </c>
      <c r="V16" s="22">
        <v>4</v>
      </c>
      <c r="W16" s="22">
        <v>0</v>
      </c>
      <c r="X16" s="22" t="s">
        <v>47</v>
      </c>
      <c r="Y16" s="24" t="s">
        <v>36</v>
      </c>
    </row>
    <row r="17" spans="1:25" ht="15" customHeight="1" x14ac:dyDescent="0.3">
      <c r="A17" s="19">
        <v>45944</v>
      </c>
      <c r="B17" s="20">
        <v>45945</v>
      </c>
      <c r="C17" s="21" t="s">
        <v>48</v>
      </c>
      <c r="D17" s="21" t="s">
        <v>28</v>
      </c>
      <c r="E17" s="21" t="s">
        <v>233</v>
      </c>
      <c r="F17" s="21" t="s">
        <v>234</v>
      </c>
      <c r="G17" s="21" t="s">
        <v>31</v>
      </c>
      <c r="H17" s="21" t="s">
        <v>153</v>
      </c>
      <c r="I17" s="21" t="s">
        <v>32</v>
      </c>
      <c r="J17" s="21" t="s">
        <v>130</v>
      </c>
      <c r="K17" s="22">
        <v>6</v>
      </c>
      <c r="L17" s="22">
        <v>2</v>
      </c>
      <c r="M17" s="23">
        <v>0.33333299999999999</v>
      </c>
      <c r="N17" s="22" t="s">
        <v>295</v>
      </c>
      <c r="O17" s="22">
        <v>6.13</v>
      </c>
      <c r="P17" s="22">
        <v>21.9</v>
      </c>
      <c r="Q17" s="22">
        <v>27.99</v>
      </c>
      <c r="R17" s="22">
        <v>3.57</v>
      </c>
      <c r="S17" s="22">
        <v>1</v>
      </c>
      <c r="T17" s="22">
        <v>1</v>
      </c>
      <c r="U17" s="23">
        <v>0.5</v>
      </c>
      <c r="V17" s="22">
        <v>1</v>
      </c>
      <c r="W17" s="22">
        <v>0</v>
      </c>
      <c r="X17" s="22" t="s">
        <v>55</v>
      </c>
      <c r="Y17" s="24" t="s">
        <v>36</v>
      </c>
    </row>
    <row r="18" spans="1:25" ht="15" customHeight="1" x14ac:dyDescent="0.3">
      <c r="A18" s="19">
        <v>45944</v>
      </c>
      <c r="B18" s="20">
        <v>45944</v>
      </c>
      <c r="C18" s="21" t="s">
        <v>27</v>
      </c>
      <c r="D18" s="21" t="s">
        <v>28</v>
      </c>
      <c r="E18" s="21" t="s">
        <v>71</v>
      </c>
      <c r="F18" s="21" t="s">
        <v>72</v>
      </c>
      <c r="G18" s="21" t="s">
        <v>31</v>
      </c>
      <c r="H18" s="21" t="s">
        <v>51</v>
      </c>
      <c r="I18" s="21" t="s">
        <v>52</v>
      </c>
      <c r="J18" s="21" t="s">
        <v>296</v>
      </c>
      <c r="K18" s="22">
        <v>1</v>
      </c>
      <c r="L18" s="22">
        <v>1</v>
      </c>
      <c r="M18" s="23">
        <v>1</v>
      </c>
      <c r="N18" s="22" t="s">
        <v>297</v>
      </c>
      <c r="O18" s="22">
        <v>2.1800000000000002</v>
      </c>
      <c r="P18" s="22">
        <v>24.94</v>
      </c>
      <c r="Q18" s="22">
        <v>8.74</v>
      </c>
      <c r="R18" s="22">
        <v>11.44</v>
      </c>
      <c r="S18" s="22">
        <v>1</v>
      </c>
      <c r="T18" s="22">
        <v>1</v>
      </c>
      <c r="U18" s="23">
        <v>1</v>
      </c>
      <c r="V18" s="22">
        <v>1</v>
      </c>
      <c r="W18" s="22">
        <v>0</v>
      </c>
      <c r="X18" s="22" t="s">
        <v>35</v>
      </c>
      <c r="Y18" s="24" t="s">
        <v>36</v>
      </c>
    </row>
    <row r="19" spans="1:25" ht="15" customHeight="1" x14ac:dyDescent="0.3">
      <c r="A19" s="19">
        <v>45944</v>
      </c>
      <c r="B19" s="20">
        <v>45944</v>
      </c>
      <c r="C19" s="21" t="s">
        <v>27</v>
      </c>
      <c r="D19" s="21" t="s">
        <v>28</v>
      </c>
      <c r="E19" s="21" t="s">
        <v>71</v>
      </c>
      <c r="F19" s="21" t="s">
        <v>72</v>
      </c>
      <c r="G19" s="21" t="s">
        <v>31</v>
      </c>
      <c r="H19" s="21" t="s">
        <v>73</v>
      </c>
      <c r="I19" s="21" t="s">
        <v>52</v>
      </c>
      <c r="J19" s="21" t="s">
        <v>298</v>
      </c>
      <c r="K19" s="22">
        <v>3</v>
      </c>
      <c r="L19" s="22">
        <v>1</v>
      </c>
      <c r="M19" s="23">
        <v>0.33333299999999999</v>
      </c>
      <c r="N19" s="22" t="s">
        <v>152</v>
      </c>
      <c r="O19" s="22">
        <v>3.09</v>
      </c>
      <c r="P19" s="22">
        <v>24.94</v>
      </c>
      <c r="Q19" s="22">
        <v>12.39</v>
      </c>
      <c r="R19" s="22">
        <v>8.07</v>
      </c>
      <c r="S19" s="22">
        <v>1</v>
      </c>
      <c r="T19" s="22">
        <v>1</v>
      </c>
      <c r="U19" s="23">
        <v>1</v>
      </c>
      <c r="V19" s="22">
        <v>1</v>
      </c>
      <c r="W19" s="22">
        <v>0</v>
      </c>
      <c r="X19" s="22" t="s">
        <v>35</v>
      </c>
      <c r="Y19" s="24" t="s">
        <v>36</v>
      </c>
    </row>
    <row r="20" spans="1:25" ht="15" customHeight="1" x14ac:dyDescent="0.3">
      <c r="A20" s="19">
        <v>45944</v>
      </c>
      <c r="B20" s="20">
        <v>45945</v>
      </c>
      <c r="C20" s="21" t="s">
        <v>48</v>
      </c>
      <c r="D20" s="21" t="s">
        <v>28</v>
      </c>
      <c r="E20" s="21" t="s">
        <v>233</v>
      </c>
      <c r="F20" s="21" t="s">
        <v>234</v>
      </c>
      <c r="G20" s="21" t="s">
        <v>31</v>
      </c>
      <c r="H20" s="21" t="s">
        <v>153</v>
      </c>
      <c r="I20" s="21" t="s">
        <v>32</v>
      </c>
      <c r="J20" s="21" t="s">
        <v>299</v>
      </c>
      <c r="K20" s="22">
        <v>48</v>
      </c>
      <c r="L20" s="22">
        <v>2</v>
      </c>
      <c r="M20" s="23">
        <v>4.1667000000000003E-2</v>
      </c>
      <c r="N20" s="22" t="s">
        <v>271</v>
      </c>
      <c r="O20" s="22">
        <v>5.72</v>
      </c>
      <c r="P20" s="22">
        <v>21.9</v>
      </c>
      <c r="Q20" s="22">
        <v>26.12</v>
      </c>
      <c r="R20" s="22">
        <v>3.83</v>
      </c>
      <c r="S20" s="22">
        <v>1</v>
      </c>
      <c r="T20" s="22">
        <v>1</v>
      </c>
      <c r="U20" s="23">
        <v>0.5</v>
      </c>
      <c r="V20" s="22">
        <v>1</v>
      </c>
      <c r="W20" s="22">
        <v>0</v>
      </c>
      <c r="X20" s="22" t="s">
        <v>55</v>
      </c>
      <c r="Y20" s="24" t="s">
        <v>36</v>
      </c>
    </row>
    <row r="21" spans="1:25" ht="15" customHeight="1" x14ac:dyDescent="0.3">
      <c r="A21" s="19">
        <v>45943</v>
      </c>
      <c r="B21" s="20">
        <v>45943</v>
      </c>
      <c r="C21" s="21" t="s">
        <v>27</v>
      </c>
      <c r="D21" s="21" t="s">
        <v>28</v>
      </c>
      <c r="E21" s="21" t="s">
        <v>29</v>
      </c>
      <c r="F21" s="21" t="s">
        <v>30</v>
      </c>
      <c r="G21" s="21" t="s">
        <v>31</v>
      </c>
      <c r="H21" s="21" t="s">
        <v>30</v>
      </c>
      <c r="I21" s="21" t="s">
        <v>32</v>
      </c>
      <c r="J21" s="21" t="s">
        <v>300</v>
      </c>
      <c r="K21" s="22">
        <v>2</v>
      </c>
      <c r="L21" s="22">
        <v>1</v>
      </c>
      <c r="M21" s="23">
        <v>0.5</v>
      </c>
      <c r="N21" s="22" t="s">
        <v>301</v>
      </c>
      <c r="O21" s="22">
        <v>4.21</v>
      </c>
      <c r="P21" s="22">
        <v>24.94</v>
      </c>
      <c r="Q21" s="22">
        <v>16.88</v>
      </c>
      <c r="R21" s="22">
        <v>5.92</v>
      </c>
      <c r="S21" s="22">
        <v>1</v>
      </c>
      <c r="T21" s="22">
        <v>1</v>
      </c>
      <c r="U21" s="23">
        <v>1</v>
      </c>
      <c r="V21" s="22">
        <v>1</v>
      </c>
      <c r="W21" s="22">
        <v>0</v>
      </c>
      <c r="X21" s="22" t="s">
        <v>35</v>
      </c>
      <c r="Y21" s="24" t="s">
        <v>36</v>
      </c>
    </row>
    <row r="22" spans="1:25" ht="15" customHeight="1" x14ac:dyDescent="0.3">
      <c r="A22" s="19">
        <v>45943</v>
      </c>
      <c r="B22" s="20">
        <v>45943</v>
      </c>
      <c r="C22" s="21" t="s">
        <v>27</v>
      </c>
      <c r="D22" s="21" t="s">
        <v>28</v>
      </c>
      <c r="E22" s="21" t="s">
        <v>29</v>
      </c>
      <c r="F22" s="21" t="s">
        <v>30</v>
      </c>
      <c r="G22" s="21" t="s">
        <v>31</v>
      </c>
      <c r="H22" s="21" t="s">
        <v>30</v>
      </c>
      <c r="I22" s="21" t="s">
        <v>32</v>
      </c>
      <c r="J22" s="21" t="s">
        <v>302</v>
      </c>
      <c r="K22" s="22">
        <v>2</v>
      </c>
      <c r="L22" s="22">
        <v>1</v>
      </c>
      <c r="M22" s="23">
        <v>0.5</v>
      </c>
      <c r="N22" s="22" t="s">
        <v>34</v>
      </c>
      <c r="O22" s="22">
        <v>2.83</v>
      </c>
      <c r="P22" s="22">
        <v>24.94</v>
      </c>
      <c r="Q22" s="22">
        <v>11.35</v>
      </c>
      <c r="R22" s="22">
        <v>8.81</v>
      </c>
      <c r="S22" s="22">
        <v>1</v>
      </c>
      <c r="T22" s="22">
        <v>1</v>
      </c>
      <c r="U22" s="23">
        <v>1</v>
      </c>
      <c r="V22" s="22">
        <v>1</v>
      </c>
      <c r="W22" s="22">
        <v>0</v>
      </c>
      <c r="X22" s="22" t="s">
        <v>35</v>
      </c>
      <c r="Y22" s="24" t="s">
        <v>36</v>
      </c>
    </row>
    <row r="23" spans="1:25" ht="15" customHeight="1" x14ac:dyDescent="0.3">
      <c r="A23" s="19">
        <v>45943</v>
      </c>
      <c r="B23" s="20">
        <v>45943</v>
      </c>
      <c r="C23" s="21" t="s">
        <v>27</v>
      </c>
      <c r="D23" s="21" t="s">
        <v>28</v>
      </c>
      <c r="E23" s="21" t="s">
        <v>71</v>
      </c>
      <c r="F23" s="21" t="s">
        <v>72</v>
      </c>
      <c r="G23" s="21" t="s">
        <v>31</v>
      </c>
      <c r="H23" s="21" t="s">
        <v>51</v>
      </c>
      <c r="I23" s="21" t="s">
        <v>52</v>
      </c>
      <c r="J23" s="21" t="s">
        <v>303</v>
      </c>
      <c r="K23" s="22">
        <v>1</v>
      </c>
      <c r="L23" s="22">
        <v>1</v>
      </c>
      <c r="M23" s="23">
        <v>1</v>
      </c>
      <c r="N23" s="22" t="s">
        <v>157</v>
      </c>
      <c r="O23" s="22">
        <v>2.62</v>
      </c>
      <c r="P23" s="22">
        <v>49.88</v>
      </c>
      <c r="Q23" s="22">
        <v>5.25</v>
      </c>
      <c r="R23" s="22">
        <v>19.04</v>
      </c>
      <c r="S23" s="22">
        <v>1</v>
      </c>
      <c r="T23" s="22">
        <v>2</v>
      </c>
      <c r="U23" s="23">
        <v>1</v>
      </c>
      <c r="V23" s="22">
        <v>2</v>
      </c>
      <c r="W23" s="22">
        <v>0</v>
      </c>
      <c r="X23" s="22" t="s">
        <v>78</v>
      </c>
      <c r="Y23" s="24" t="s">
        <v>36</v>
      </c>
    </row>
    <row r="24" spans="1:25" ht="15" customHeight="1" x14ac:dyDescent="0.3">
      <c r="A24" s="19">
        <v>45943</v>
      </c>
      <c r="B24" s="20">
        <v>45948</v>
      </c>
      <c r="C24" s="21" t="s">
        <v>85</v>
      </c>
      <c r="D24" s="21" t="s">
        <v>28</v>
      </c>
      <c r="E24" s="21" t="s">
        <v>108</v>
      </c>
      <c r="F24" s="21" t="s">
        <v>109</v>
      </c>
      <c r="G24" s="21" t="s">
        <v>31</v>
      </c>
      <c r="H24" s="21" t="s">
        <v>110</v>
      </c>
      <c r="I24" s="21" t="s">
        <v>44</v>
      </c>
      <c r="J24" s="21" t="s">
        <v>304</v>
      </c>
      <c r="K24" s="22">
        <v>7</v>
      </c>
      <c r="L24" s="22">
        <v>2</v>
      </c>
      <c r="M24" s="23">
        <v>0.28571400000000002</v>
      </c>
      <c r="N24" s="22" t="s">
        <v>305</v>
      </c>
      <c r="O24" s="22">
        <v>9.1199999999999992</v>
      </c>
      <c r="P24" s="22">
        <v>24.94</v>
      </c>
      <c r="Q24" s="22">
        <v>36.57</v>
      </c>
      <c r="R24" s="22">
        <v>2.73</v>
      </c>
      <c r="S24" s="22">
        <v>1</v>
      </c>
      <c r="T24" s="22">
        <v>1</v>
      </c>
      <c r="U24" s="23">
        <v>0.5</v>
      </c>
      <c r="V24" s="22">
        <v>1</v>
      </c>
      <c r="W24" s="22">
        <v>0</v>
      </c>
      <c r="X24" s="22" t="s">
        <v>35</v>
      </c>
      <c r="Y24" s="24" t="s">
        <v>36</v>
      </c>
    </row>
    <row r="25" spans="1:25" ht="15" customHeight="1" x14ac:dyDescent="0.3">
      <c r="A25" s="19">
        <v>45943</v>
      </c>
      <c r="B25" s="20">
        <v>45945</v>
      </c>
      <c r="C25" s="21" t="s">
        <v>27</v>
      </c>
      <c r="D25" s="21" t="s">
        <v>28</v>
      </c>
      <c r="E25" s="21" t="s">
        <v>71</v>
      </c>
      <c r="F25" s="21" t="s">
        <v>72</v>
      </c>
      <c r="G25" s="21" t="s">
        <v>31</v>
      </c>
      <c r="H25" s="21" t="s">
        <v>51</v>
      </c>
      <c r="I25" s="21" t="s">
        <v>52</v>
      </c>
      <c r="J25" s="21" t="s">
        <v>306</v>
      </c>
      <c r="K25" s="22">
        <v>5</v>
      </c>
      <c r="L25" s="22">
        <v>3</v>
      </c>
      <c r="M25" s="23">
        <v>0.6</v>
      </c>
      <c r="N25" s="22" t="s">
        <v>307</v>
      </c>
      <c r="O25" s="22">
        <v>6.39</v>
      </c>
      <c r="P25" s="22">
        <v>49.88</v>
      </c>
      <c r="Q25" s="22">
        <v>12.81</v>
      </c>
      <c r="R25" s="22">
        <v>7.81</v>
      </c>
      <c r="S25" s="22">
        <v>2</v>
      </c>
      <c r="T25" s="22">
        <v>2</v>
      </c>
      <c r="U25" s="23">
        <v>0.66666700000000001</v>
      </c>
      <c r="V25" s="22">
        <v>2</v>
      </c>
      <c r="W25" s="22">
        <v>0</v>
      </c>
      <c r="X25" s="22" t="s">
        <v>78</v>
      </c>
      <c r="Y25" s="24" t="s">
        <v>36</v>
      </c>
    </row>
    <row r="26" spans="1:25" ht="15" customHeight="1" x14ac:dyDescent="0.3">
      <c r="A26" s="19">
        <v>45943</v>
      </c>
      <c r="B26" s="20">
        <v>45946</v>
      </c>
      <c r="C26" s="21" t="s">
        <v>85</v>
      </c>
      <c r="D26" s="21" t="s">
        <v>28</v>
      </c>
      <c r="E26" s="21" t="s">
        <v>86</v>
      </c>
      <c r="F26" s="21" t="s">
        <v>87</v>
      </c>
      <c r="G26" s="21" t="s">
        <v>31</v>
      </c>
      <c r="H26" s="21" t="s">
        <v>87</v>
      </c>
      <c r="I26" s="21" t="s">
        <v>44</v>
      </c>
      <c r="J26" s="21" t="s">
        <v>308</v>
      </c>
      <c r="K26" s="22">
        <v>30</v>
      </c>
      <c r="L26" s="22">
        <v>4</v>
      </c>
      <c r="M26" s="23">
        <v>0.13333300000000001</v>
      </c>
      <c r="N26" s="22" t="s">
        <v>309</v>
      </c>
      <c r="O26" s="22">
        <v>14.8</v>
      </c>
      <c r="P26" s="22">
        <v>65.7</v>
      </c>
      <c r="Q26" s="22">
        <v>22.53</v>
      </c>
      <c r="R26" s="22">
        <v>4.4400000000000004</v>
      </c>
      <c r="S26" s="22">
        <v>3</v>
      </c>
      <c r="T26" s="22">
        <v>3</v>
      </c>
      <c r="U26" s="23">
        <v>0.75</v>
      </c>
      <c r="V26" s="22">
        <v>3</v>
      </c>
      <c r="W26" s="22">
        <v>0</v>
      </c>
      <c r="X26" s="22" t="s">
        <v>260</v>
      </c>
      <c r="Y26" s="24" t="s">
        <v>36</v>
      </c>
    </row>
    <row r="27" spans="1:25" ht="15" customHeight="1" x14ac:dyDescent="0.3">
      <c r="A27" s="19">
        <v>45942</v>
      </c>
      <c r="B27" s="20">
        <v>45948</v>
      </c>
      <c r="C27" s="21" t="s">
        <v>27</v>
      </c>
      <c r="D27" s="21" t="s">
        <v>28</v>
      </c>
      <c r="E27" s="21" t="s">
        <v>29</v>
      </c>
      <c r="F27" s="21" t="s">
        <v>30</v>
      </c>
      <c r="G27" s="21" t="s">
        <v>31</v>
      </c>
      <c r="H27" s="21" t="s">
        <v>30</v>
      </c>
      <c r="I27" s="21" t="s">
        <v>32</v>
      </c>
      <c r="J27" s="21" t="s">
        <v>30</v>
      </c>
      <c r="K27" s="22">
        <v>629</v>
      </c>
      <c r="L27" s="22">
        <v>12</v>
      </c>
      <c r="M27" s="23">
        <v>1.9078000000000001E-2</v>
      </c>
      <c r="N27" s="22" t="s">
        <v>310</v>
      </c>
      <c r="O27" s="22">
        <v>33.18</v>
      </c>
      <c r="P27" s="22">
        <v>99.76</v>
      </c>
      <c r="Q27" s="22">
        <v>33.26</v>
      </c>
      <c r="R27" s="22">
        <v>3.01</v>
      </c>
      <c r="S27" s="22">
        <v>4</v>
      </c>
      <c r="T27" s="22">
        <v>4</v>
      </c>
      <c r="U27" s="23">
        <v>0.33333299999999999</v>
      </c>
      <c r="V27" s="22">
        <v>4</v>
      </c>
      <c r="W27" s="22">
        <v>0</v>
      </c>
      <c r="X27" s="22" t="s">
        <v>47</v>
      </c>
      <c r="Y27" s="24" t="s">
        <v>36</v>
      </c>
    </row>
    <row r="28" spans="1:25" ht="14.4" x14ac:dyDescent="0.3">
      <c r="A28" s="19">
        <v>45942</v>
      </c>
      <c r="B28" s="20">
        <v>45947</v>
      </c>
      <c r="C28" s="21" t="s">
        <v>48</v>
      </c>
      <c r="D28" s="21" t="s">
        <v>28</v>
      </c>
      <c r="E28" s="21" t="s">
        <v>62</v>
      </c>
      <c r="F28" s="21" t="s">
        <v>63</v>
      </c>
      <c r="G28" s="21" t="s">
        <v>31</v>
      </c>
      <c r="H28" s="21" t="s">
        <v>68</v>
      </c>
      <c r="I28" s="21" t="s">
        <v>65</v>
      </c>
      <c r="J28" s="21" t="s">
        <v>68</v>
      </c>
      <c r="K28" s="22">
        <v>246</v>
      </c>
      <c r="L28" s="22">
        <v>8</v>
      </c>
      <c r="M28" s="23">
        <v>3.252E-2</v>
      </c>
      <c r="N28" s="22" t="s">
        <v>311</v>
      </c>
      <c r="O28" s="22">
        <v>32.25</v>
      </c>
      <c r="P28" s="22">
        <v>65.7</v>
      </c>
      <c r="Q28" s="22">
        <v>49.09</v>
      </c>
      <c r="R28" s="22">
        <v>2.04</v>
      </c>
      <c r="S28" s="22">
        <v>3</v>
      </c>
      <c r="T28" s="22">
        <v>3</v>
      </c>
      <c r="U28" s="23">
        <v>0.375</v>
      </c>
      <c r="V28" s="22">
        <v>3</v>
      </c>
      <c r="W28" s="22">
        <v>0</v>
      </c>
      <c r="X28" s="22" t="s">
        <v>260</v>
      </c>
      <c r="Y28" s="24" t="s">
        <v>36</v>
      </c>
    </row>
    <row r="29" spans="1:25" ht="14.4" x14ac:dyDescent="0.3">
      <c r="A29" s="19">
        <v>45942</v>
      </c>
      <c r="B29" s="20">
        <v>45942</v>
      </c>
      <c r="C29" s="21" t="s">
        <v>27</v>
      </c>
      <c r="D29" s="21" t="s">
        <v>28</v>
      </c>
      <c r="E29" s="21" t="s">
        <v>29</v>
      </c>
      <c r="F29" s="21" t="s">
        <v>30</v>
      </c>
      <c r="G29" s="21" t="s">
        <v>31</v>
      </c>
      <c r="H29" s="21" t="s">
        <v>145</v>
      </c>
      <c r="I29" s="21" t="s">
        <v>32</v>
      </c>
      <c r="J29" s="21" t="s">
        <v>178</v>
      </c>
      <c r="K29" s="22">
        <v>2</v>
      </c>
      <c r="L29" s="22">
        <v>1</v>
      </c>
      <c r="M29" s="23">
        <v>0.5</v>
      </c>
      <c r="N29" s="22" t="s">
        <v>312</v>
      </c>
      <c r="O29" s="22">
        <v>3.77</v>
      </c>
      <c r="P29" s="22">
        <v>24.94</v>
      </c>
      <c r="Q29" s="22">
        <v>15.12</v>
      </c>
      <c r="R29" s="22">
        <v>6.62</v>
      </c>
      <c r="S29" s="22">
        <v>1</v>
      </c>
      <c r="T29" s="22">
        <v>1</v>
      </c>
      <c r="U29" s="23">
        <v>1</v>
      </c>
      <c r="V29" s="22">
        <v>1</v>
      </c>
      <c r="W29" s="22">
        <v>0</v>
      </c>
      <c r="X29" s="22" t="s">
        <v>35</v>
      </c>
      <c r="Y29" s="24" t="s">
        <v>36</v>
      </c>
    </row>
    <row r="30" spans="1:25" ht="14.4" x14ac:dyDescent="0.3">
      <c r="A30" s="19">
        <v>45942</v>
      </c>
      <c r="B30" s="20">
        <v>45944</v>
      </c>
      <c r="C30" s="21" t="s">
        <v>27</v>
      </c>
      <c r="D30" s="21" t="s">
        <v>28</v>
      </c>
      <c r="E30" s="21" t="s">
        <v>71</v>
      </c>
      <c r="F30" s="21" t="s">
        <v>72</v>
      </c>
      <c r="G30" s="21" t="s">
        <v>31</v>
      </c>
      <c r="H30" s="21" t="s">
        <v>73</v>
      </c>
      <c r="I30" s="21" t="s">
        <v>52</v>
      </c>
      <c r="J30" s="21" t="s">
        <v>199</v>
      </c>
      <c r="K30" s="22">
        <v>10</v>
      </c>
      <c r="L30" s="22">
        <v>2</v>
      </c>
      <c r="M30" s="23">
        <v>0.2</v>
      </c>
      <c r="N30" s="22" t="s">
        <v>313</v>
      </c>
      <c r="O30" s="22">
        <v>7.1</v>
      </c>
      <c r="P30" s="22">
        <v>24.94</v>
      </c>
      <c r="Q30" s="22">
        <v>28.47</v>
      </c>
      <c r="R30" s="22">
        <v>3.51</v>
      </c>
      <c r="S30" s="22">
        <v>1</v>
      </c>
      <c r="T30" s="22">
        <v>1</v>
      </c>
      <c r="U30" s="23">
        <v>0.5</v>
      </c>
      <c r="V30" s="22">
        <v>1</v>
      </c>
      <c r="W30" s="22">
        <v>0</v>
      </c>
      <c r="X30" s="22" t="s">
        <v>35</v>
      </c>
      <c r="Y30" s="24" t="s">
        <v>36</v>
      </c>
    </row>
    <row r="31" spans="1:25" ht="14.4" x14ac:dyDescent="0.3">
      <c r="A31" s="19">
        <v>45942</v>
      </c>
      <c r="B31" s="20">
        <v>45945</v>
      </c>
      <c r="C31" s="21" t="s">
        <v>27</v>
      </c>
      <c r="D31" s="21" t="s">
        <v>28</v>
      </c>
      <c r="E31" s="21" t="s">
        <v>29</v>
      </c>
      <c r="F31" s="21" t="s">
        <v>30</v>
      </c>
      <c r="G31" s="21" t="s">
        <v>31</v>
      </c>
      <c r="H31" s="21" t="s">
        <v>30</v>
      </c>
      <c r="I31" s="21" t="s">
        <v>32</v>
      </c>
      <c r="J31" s="21" t="s">
        <v>183</v>
      </c>
      <c r="K31" s="22">
        <v>28</v>
      </c>
      <c r="L31" s="22">
        <v>3</v>
      </c>
      <c r="M31" s="23">
        <v>0.107143</v>
      </c>
      <c r="N31" s="22" t="s">
        <v>314</v>
      </c>
      <c r="O31" s="22">
        <v>10.14</v>
      </c>
      <c r="P31" s="22">
        <v>24.94</v>
      </c>
      <c r="Q31" s="22">
        <v>40.659999999999997</v>
      </c>
      <c r="R31" s="22">
        <v>2.46</v>
      </c>
      <c r="S31" s="22">
        <v>1</v>
      </c>
      <c r="T31" s="22">
        <v>1</v>
      </c>
      <c r="U31" s="23">
        <v>0.33333299999999999</v>
      </c>
      <c r="V31" s="22">
        <v>1</v>
      </c>
      <c r="W31" s="22">
        <v>0</v>
      </c>
      <c r="X31" s="22" t="s">
        <v>35</v>
      </c>
      <c r="Y31" s="24" t="s">
        <v>36</v>
      </c>
    </row>
    <row r="32" spans="1:25" ht="14.4" x14ac:dyDescent="0.3">
      <c r="A32" s="19">
        <v>45942</v>
      </c>
      <c r="B32" s="20">
        <v>45948</v>
      </c>
      <c r="C32" s="21" t="s">
        <v>27</v>
      </c>
      <c r="D32" s="21" t="s">
        <v>28</v>
      </c>
      <c r="E32" s="21" t="s">
        <v>56</v>
      </c>
      <c r="F32" s="21" t="s">
        <v>57</v>
      </c>
      <c r="G32" s="21" t="s">
        <v>31</v>
      </c>
      <c r="H32" s="25" t="e">
        <f>+maca +root</f>
        <v>#NAME?</v>
      </c>
      <c r="I32" s="21" t="s">
        <v>32</v>
      </c>
      <c r="J32" s="21" t="s">
        <v>119</v>
      </c>
      <c r="K32" s="22">
        <v>4189</v>
      </c>
      <c r="L32" s="22">
        <v>67</v>
      </c>
      <c r="M32" s="23">
        <v>1.5994000000000001E-2</v>
      </c>
      <c r="N32" s="22" t="s">
        <v>219</v>
      </c>
      <c r="O32" s="22">
        <v>195.56</v>
      </c>
      <c r="P32" s="22">
        <v>224.46</v>
      </c>
      <c r="Q32" s="22">
        <v>87.12</v>
      </c>
      <c r="R32" s="22">
        <v>1.1499999999999999</v>
      </c>
      <c r="S32" s="22">
        <v>9</v>
      </c>
      <c r="T32" s="22">
        <v>9</v>
      </c>
      <c r="U32" s="23">
        <v>0.134328</v>
      </c>
      <c r="V32" s="22">
        <v>9</v>
      </c>
      <c r="W32" s="22">
        <v>0</v>
      </c>
      <c r="X32" s="22" t="s">
        <v>315</v>
      </c>
      <c r="Y32" s="24" t="s">
        <v>36</v>
      </c>
    </row>
    <row r="33" spans="1:25" ht="14.4" x14ac:dyDescent="0.3">
      <c r="A33" s="19">
        <v>45942</v>
      </c>
      <c r="B33" s="20">
        <v>45948</v>
      </c>
      <c r="C33" s="21" t="s">
        <v>40</v>
      </c>
      <c r="D33" s="21" t="s">
        <v>28</v>
      </c>
      <c r="E33" s="21" t="s">
        <v>41</v>
      </c>
      <c r="F33" s="21" t="s">
        <v>42</v>
      </c>
      <c r="G33" s="21" t="s">
        <v>31</v>
      </c>
      <c r="H33" s="21" t="s">
        <v>43</v>
      </c>
      <c r="I33" s="21" t="s">
        <v>44</v>
      </c>
      <c r="J33" s="21" t="s">
        <v>43</v>
      </c>
      <c r="K33" s="22">
        <v>344</v>
      </c>
      <c r="L33" s="22">
        <v>15</v>
      </c>
      <c r="M33" s="23">
        <v>4.3604999999999998E-2</v>
      </c>
      <c r="N33" s="22" t="s">
        <v>316</v>
      </c>
      <c r="O33" s="22">
        <v>42.66</v>
      </c>
      <c r="P33" s="22">
        <v>99.76</v>
      </c>
      <c r="Q33" s="22">
        <v>42.76</v>
      </c>
      <c r="R33" s="22">
        <v>2.34</v>
      </c>
      <c r="S33" s="22">
        <v>4</v>
      </c>
      <c r="T33" s="22">
        <v>4</v>
      </c>
      <c r="U33" s="23">
        <v>0.26666699999999999</v>
      </c>
      <c r="V33" s="22">
        <v>4</v>
      </c>
      <c r="W33" s="22">
        <v>0</v>
      </c>
      <c r="X33" s="22" t="s">
        <v>47</v>
      </c>
      <c r="Y33" s="24" t="s">
        <v>36</v>
      </c>
    </row>
    <row r="34" spans="1:25" ht="14.4" x14ac:dyDescent="0.3">
      <c r="A34" s="19">
        <v>45942</v>
      </c>
      <c r="B34" s="20">
        <v>45945</v>
      </c>
      <c r="C34" s="21" t="s">
        <v>27</v>
      </c>
      <c r="D34" s="21" t="s">
        <v>28</v>
      </c>
      <c r="E34" s="21" t="s">
        <v>71</v>
      </c>
      <c r="F34" s="21" t="s">
        <v>72</v>
      </c>
      <c r="G34" s="21" t="s">
        <v>31</v>
      </c>
      <c r="H34" s="21" t="s">
        <v>73</v>
      </c>
      <c r="I34" s="21" t="s">
        <v>52</v>
      </c>
      <c r="J34" s="21" t="s">
        <v>76</v>
      </c>
      <c r="K34" s="22">
        <v>242</v>
      </c>
      <c r="L34" s="22">
        <v>4</v>
      </c>
      <c r="M34" s="23">
        <v>1.6528999999999999E-2</v>
      </c>
      <c r="N34" s="22" t="s">
        <v>317</v>
      </c>
      <c r="O34" s="22">
        <v>16.079999999999998</v>
      </c>
      <c r="P34" s="22">
        <v>24.94</v>
      </c>
      <c r="Q34" s="22">
        <v>64.47</v>
      </c>
      <c r="R34" s="22">
        <v>1.55</v>
      </c>
      <c r="S34" s="22">
        <v>1</v>
      </c>
      <c r="T34" s="22">
        <v>1</v>
      </c>
      <c r="U34" s="23">
        <v>0.25</v>
      </c>
      <c r="V34" s="22">
        <v>1</v>
      </c>
      <c r="W34" s="22">
        <v>0</v>
      </c>
      <c r="X34" s="22" t="s">
        <v>35</v>
      </c>
      <c r="Y34" s="24" t="s">
        <v>36</v>
      </c>
    </row>
    <row r="35" spans="1:25" ht="14.4" x14ac:dyDescent="0.3">
      <c r="A35" s="19">
        <v>45942</v>
      </c>
      <c r="B35" s="20">
        <v>45942</v>
      </c>
      <c r="C35" s="21" t="s">
        <v>48</v>
      </c>
      <c r="D35" s="21" t="s">
        <v>28</v>
      </c>
      <c r="E35" s="21" t="s">
        <v>233</v>
      </c>
      <c r="F35" s="21" t="s">
        <v>234</v>
      </c>
      <c r="G35" s="21" t="s">
        <v>31</v>
      </c>
      <c r="H35" s="21" t="s">
        <v>153</v>
      </c>
      <c r="I35" s="21" t="s">
        <v>32</v>
      </c>
      <c r="J35" s="21" t="s">
        <v>318</v>
      </c>
      <c r="K35" s="22">
        <v>1</v>
      </c>
      <c r="L35" s="22">
        <v>1</v>
      </c>
      <c r="M35" s="23">
        <v>1</v>
      </c>
      <c r="N35" s="22" t="s">
        <v>319</v>
      </c>
      <c r="O35" s="22">
        <v>3.51</v>
      </c>
      <c r="P35" s="22">
        <v>21.9</v>
      </c>
      <c r="Q35" s="22">
        <v>16.03</v>
      </c>
      <c r="R35" s="22">
        <v>6.24</v>
      </c>
      <c r="S35" s="22">
        <v>1</v>
      </c>
      <c r="T35" s="22">
        <v>1</v>
      </c>
      <c r="U35" s="23">
        <v>1</v>
      </c>
      <c r="V35" s="22">
        <v>1</v>
      </c>
      <c r="W35" s="22">
        <v>0</v>
      </c>
      <c r="X35" s="22" t="s">
        <v>55</v>
      </c>
      <c r="Y35" s="24" t="s">
        <v>36</v>
      </c>
    </row>
  </sheetData>
  <autoFilter ref="A1:Y3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48"/>
  <sheetViews>
    <sheetView workbookViewId="0"/>
  </sheetViews>
  <sheetFormatPr defaultColWidth="12.59765625" defaultRowHeight="15" customHeight="1" x14ac:dyDescent="0.25"/>
  <cols>
    <col min="1" max="1" width="11.09765625" customWidth="1"/>
    <col min="2" max="2" width="10.5" customWidth="1"/>
    <col min="3" max="3" width="15.69921875" customWidth="1"/>
    <col min="4" max="4" width="10.19921875" customWidth="1"/>
    <col min="5" max="5" width="45.09765625" customWidth="1"/>
    <col min="6" max="6" width="18.3984375" customWidth="1"/>
    <col min="7" max="7" width="11" customWidth="1"/>
    <col min="8" max="8" width="25.19921875" customWidth="1"/>
    <col min="9" max="9" width="12.3984375" customWidth="1"/>
    <col min="10" max="10" width="29.59765625" customWidth="1"/>
    <col min="11" max="11" width="12.59765625" customWidth="1"/>
    <col min="12" max="12" width="7.69921875" customWidth="1"/>
    <col min="13" max="13" width="19.3984375" customWidth="1"/>
    <col min="14" max="14" width="18.09765625" customWidth="1"/>
    <col min="15" max="15" width="8.19921875" customWidth="1"/>
    <col min="16" max="16" width="16.09765625" customWidth="1"/>
    <col min="17" max="17" width="31.8984375" customWidth="1"/>
    <col min="18" max="18" width="35.09765625" customWidth="1"/>
    <col min="19" max="19" width="19.8984375" customWidth="1"/>
    <col min="20" max="20" width="18.69921875" hidden="1" customWidth="1"/>
    <col min="21" max="21" width="20.5" hidden="1" customWidth="1"/>
    <col min="22" max="22" width="26.69921875" hidden="1" customWidth="1"/>
    <col min="23" max="23" width="22.8984375" hidden="1" customWidth="1"/>
    <col min="24" max="24" width="24.09765625" hidden="1" customWidth="1"/>
    <col min="25" max="25" width="20.3984375" hidden="1" customWidth="1"/>
  </cols>
  <sheetData>
    <row r="1" spans="1:25" ht="14.25" customHeight="1" x14ac:dyDescent="0.3">
      <c r="A1" s="150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7</v>
      </c>
      <c r="I1" s="151" t="s">
        <v>8</v>
      </c>
      <c r="J1" s="151" t="s">
        <v>9</v>
      </c>
      <c r="K1" s="151" t="s">
        <v>10</v>
      </c>
      <c r="L1" s="151" t="s">
        <v>11</v>
      </c>
      <c r="M1" s="151" t="s">
        <v>12</v>
      </c>
      <c r="N1" s="151" t="s">
        <v>13</v>
      </c>
      <c r="O1" s="151" t="s">
        <v>14</v>
      </c>
      <c r="P1" s="152" t="s">
        <v>15</v>
      </c>
      <c r="Q1" s="152" t="s">
        <v>16</v>
      </c>
      <c r="R1" s="151" t="s">
        <v>17</v>
      </c>
      <c r="S1" s="151" t="s">
        <v>18</v>
      </c>
      <c r="T1" s="151" t="s">
        <v>19</v>
      </c>
      <c r="U1" s="151" t="s">
        <v>20</v>
      </c>
      <c r="V1" s="151" t="s">
        <v>21</v>
      </c>
      <c r="W1" s="151" t="s">
        <v>22</v>
      </c>
      <c r="X1" s="151" t="s">
        <v>23</v>
      </c>
      <c r="Y1" s="153" t="s">
        <v>24</v>
      </c>
    </row>
    <row r="2" spans="1:25" ht="14.4" x14ac:dyDescent="0.3">
      <c r="A2" s="154">
        <v>45935</v>
      </c>
      <c r="B2" s="155">
        <v>45941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30</v>
      </c>
      <c r="I2" s="5" t="s">
        <v>32</v>
      </c>
      <c r="J2" s="5" t="s">
        <v>30</v>
      </c>
      <c r="K2" s="6">
        <v>545</v>
      </c>
      <c r="L2" s="6">
        <v>11</v>
      </c>
      <c r="M2" s="8">
        <v>2.0183E-2</v>
      </c>
      <c r="N2" s="6" t="s">
        <v>114</v>
      </c>
      <c r="O2" s="6">
        <v>36.65</v>
      </c>
      <c r="P2" s="6">
        <v>74.819999999999993</v>
      </c>
      <c r="Q2" s="6">
        <v>48.98</v>
      </c>
      <c r="R2" s="6">
        <v>2.04</v>
      </c>
      <c r="S2" s="6">
        <v>3</v>
      </c>
      <c r="T2" s="6">
        <v>3</v>
      </c>
      <c r="U2" s="8">
        <v>0.272727</v>
      </c>
      <c r="V2" s="6">
        <v>3</v>
      </c>
      <c r="W2" s="6">
        <v>0</v>
      </c>
      <c r="X2" s="6" t="s">
        <v>93</v>
      </c>
      <c r="Y2" s="6" t="s">
        <v>36</v>
      </c>
    </row>
    <row r="3" spans="1:25" ht="14.4" x14ac:dyDescent="0.3">
      <c r="A3" s="154">
        <v>45935</v>
      </c>
      <c r="B3" s="155">
        <v>45941</v>
      </c>
      <c r="C3" s="5" t="s">
        <v>27</v>
      </c>
      <c r="D3" s="5" t="s">
        <v>28</v>
      </c>
      <c r="E3" s="5" t="s">
        <v>71</v>
      </c>
      <c r="F3" s="5" t="s">
        <v>72</v>
      </c>
      <c r="G3" s="5" t="s">
        <v>31</v>
      </c>
      <c r="H3" s="5" t="s">
        <v>73</v>
      </c>
      <c r="I3" s="5" t="s">
        <v>52</v>
      </c>
      <c r="J3" s="5" t="s">
        <v>159</v>
      </c>
      <c r="K3" s="6">
        <v>59</v>
      </c>
      <c r="L3" s="6">
        <v>4</v>
      </c>
      <c r="M3" s="8">
        <v>6.7796999999999996E-2</v>
      </c>
      <c r="N3" s="6" t="s">
        <v>309</v>
      </c>
      <c r="O3" s="6">
        <v>14.8</v>
      </c>
      <c r="P3" s="6">
        <v>24.94</v>
      </c>
      <c r="Q3" s="6">
        <v>59.34</v>
      </c>
      <c r="R3" s="6">
        <v>1.69</v>
      </c>
      <c r="S3" s="6">
        <v>1</v>
      </c>
      <c r="T3" s="6">
        <v>1</v>
      </c>
      <c r="U3" s="8">
        <v>0.25</v>
      </c>
      <c r="V3" s="6">
        <v>1</v>
      </c>
      <c r="W3" s="6">
        <v>0</v>
      </c>
      <c r="X3" s="6" t="s">
        <v>35</v>
      </c>
      <c r="Y3" s="6" t="s">
        <v>36</v>
      </c>
    </row>
    <row r="4" spans="1:25" ht="14.4" x14ac:dyDescent="0.3">
      <c r="A4" s="154">
        <v>45935</v>
      </c>
      <c r="B4" s="154">
        <v>45935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30</v>
      </c>
      <c r="I4" s="5" t="s">
        <v>32</v>
      </c>
      <c r="J4" s="5" t="s">
        <v>366</v>
      </c>
      <c r="K4" s="6">
        <v>2</v>
      </c>
      <c r="L4" s="6">
        <v>1</v>
      </c>
      <c r="M4" s="8">
        <v>0.5</v>
      </c>
      <c r="N4" s="6" t="s">
        <v>120</v>
      </c>
      <c r="O4" s="6">
        <v>3.1</v>
      </c>
      <c r="P4" s="6">
        <v>24.94</v>
      </c>
      <c r="Q4" s="6">
        <v>12.43</v>
      </c>
      <c r="R4" s="6">
        <v>8.0500000000000007</v>
      </c>
      <c r="S4" s="6">
        <v>1</v>
      </c>
      <c r="T4" s="6">
        <v>1</v>
      </c>
      <c r="U4" s="8">
        <v>1</v>
      </c>
      <c r="V4" s="6">
        <v>1</v>
      </c>
      <c r="W4" s="6">
        <v>0</v>
      </c>
      <c r="X4" s="6" t="s">
        <v>35</v>
      </c>
      <c r="Y4" s="6" t="s">
        <v>36</v>
      </c>
    </row>
    <row r="5" spans="1:25" ht="14.4" x14ac:dyDescent="0.3">
      <c r="A5" s="154">
        <v>45935</v>
      </c>
      <c r="B5" s="155">
        <v>45941</v>
      </c>
      <c r="C5" s="5" t="s">
        <v>27</v>
      </c>
      <c r="D5" s="5" t="s">
        <v>28</v>
      </c>
      <c r="E5" s="5" t="s">
        <v>56</v>
      </c>
      <c r="F5" s="5" t="s">
        <v>57</v>
      </c>
      <c r="G5" s="5" t="s">
        <v>31</v>
      </c>
      <c r="H5" s="12" t="e">
        <f>+maca +root</f>
        <v>#NAME?</v>
      </c>
      <c r="I5" s="5" t="s">
        <v>32</v>
      </c>
      <c r="J5" s="5" t="s">
        <v>119</v>
      </c>
      <c r="K5" s="6">
        <v>3068</v>
      </c>
      <c r="L5" s="6">
        <v>53</v>
      </c>
      <c r="M5" s="8">
        <v>1.7274999999999999E-2</v>
      </c>
      <c r="N5" s="6" t="s">
        <v>367</v>
      </c>
      <c r="O5" s="6">
        <v>170.31</v>
      </c>
      <c r="P5" s="6">
        <v>164.6</v>
      </c>
      <c r="Q5" s="6">
        <v>103.47</v>
      </c>
      <c r="R5" s="6">
        <v>0.97</v>
      </c>
      <c r="S5" s="6">
        <v>7</v>
      </c>
      <c r="T5" s="6">
        <v>7</v>
      </c>
      <c r="U5" s="8">
        <v>0.132075</v>
      </c>
      <c r="V5" s="6">
        <v>7</v>
      </c>
      <c r="W5" s="6">
        <v>0</v>
      </c>
      <c r="X5" s="6" t="s">
        <v>368</v>
      </c>
      <c r="Y5" s="6" t="s">
        <v>36</v>
      </c>
    </row>
    <row r="6" spans="1:25" ht="14.4" x14ac:dyDescent="0.3">
      <c r="A6" s="154">
        <v>45935</v>
      </c>
      <c r="B6" s="155">
        <v>45940</v>
      </c>
      <c r="C6" s="5" t="s">
        <v>27</v>
      </c>
      <c r="D6" s="5" t="s">
        <v>28</v>
      </c>
      <c r="E6" s="5" t="s">
        <v>71</v>
      </c>
      <c r="F6" s="5" t="s">
        <v>72</v>
      </c>
      <c r="G6" s="5" t="s">
        <v>31</v>
      </c>
      <c r="H6" s="5" t="s">
        <v>73</v>
      </c>
      <c r="I6" s="5" t="s">
        <v>52</v>
      </c>
      <c r="J6" s="5" t="s">
        <v>43</v>
      </c>
      <c r="K6" s="6">
        <v>67</v>
      </c>
      <c r="L6" s="6">
        <v>4</v>
      </c>
      <c r="M6" s="8">
        <v>5.9700999999999997E-2</v>
      </c>
      <c r="N6" s="6" t="s">
        <v>369</v>
      </c>
      <c r="O6" s="6">
        <v>13.57</v>
      </c>
      <c r="P6" s="6">
        <v>49.88</v>
      </c>
      <c r="Q6" s="6">
        <v>27.21</v>
      </c>
      <c r="R6" s="6">
        <v>3.68</v>
      </c>
      <c r="S6" s="6">
        <v>2</v>
      </c>
      <c r="T6" s="6">
        <v>2</v>
      </c>
      <c r="U6" s="8">
        <v>0.5</v>
      </c>
      <c r="V6" s="6">
        <v>2</v>
      </c>
      <c r="W6" s="6">
        <v>0</v>
      </c>
      <c r="X6" s="6" t="s">
        <v>78</v>
      </c>
      <c r="Y6" s="6" t="s">
        <v>36</v>
      </c>
    </row>
    <row r="7" spans="1:25" ht="14.4" x14ac:dyDescent="0.3">
      <c r="A7" s="154">
        <v>45935</v>
      </c>
      <c r="B7" s="155">
        <v>45941</v>
      </c>
      <c r="C7" s="5" t="s">
        <v>40</v>
      </c>
      <c r="D7" s="5" t="s">
        <v>28</v>
      </c>
      <c r="E7" s="5" t="s">
        <v>41</v>
      </c>
      <c r="F7" s="5" t="s">
        <v>42</v>
      </c>
      <c r="G7" s="5" t="s">
        <v>31</v>
      </c>
      <c r="H7" s="5" t="s">
        <v>43</v>
      </c>
      <c r="I7" s="5" t="s">
        <v>44</v>
      </c>
      <c r="J7" s="5" t="s">
        <v>43</v>
      </c>
      <c r="K7" s="6">
        <v>349</v>
      </c>
      <c r="L7" s="6">
        <v>13</v>
      </c>
      <c r="M7" s="8">
        <v>3.7248999999999997E-2</v>
      </c>
      <c r="N7" s="6" t="s">
        <v>316</v>
      </c>
      <c r="O7" s="6">
        <v>36.92</v>
      </c>
      <c r="P7" s="6">
        <v>74.819999999999993</v>
      </c>
      <c r="Q7" s="6">
        <v>49.35</v>
      </c>
      <c r="R7" s="6">
        <v>2.0299999999999998</v>
      </c>
      <c r="S7" s="6">
        <v>3</v>
      </c>
      <c r="T7" s="6">
        <v>3</v>
      </c>
      <c r="U7" s="8">
        <v>0.230769</v>
      </c>
      <c r="V7" s="6">
        <v>3</v>
      </c>
      <c r="W7" s="6">
        <v>0</v>
      </c>
      <c r="X7" s="6" t="s">
        <v>93</v>
      </c>
      <c r="Y7" s="6" t="s">
        <v>36</v>
      </c>
    </row>
    <row r="8" spans="1:25" ht="14.4" x14ac:dyDescent="0.3">
      <c r="A8" s="154">
        <v>45935</v>
      </c>
      <c r="B8" s="154">
        <v>45935</v>
      </c>
      <c r="C8" s="5" t="s">
        <v>27</v>
      </c>
      <c r="D8" s="5" t="s">
        <v>28</v>
      </c>
      <c r="E8" s="5" t="s">
        <v>71</v>
      </c>
      <c r="F8" s="5" t="s">
        <v>72</v>
      </c>
      <c r="G8" s="5" t="s">
        <v>31</v>
      </c>
      <c r="H8" s="5" t="s">
        <v>51</v>
      </c>
      <c r="I8" s="5" t="s">
        <v>52</v>
      </c>
      <c r="J8" s="5" t="s">
        <v>370</v>
      </c>
      <c r="K8" s="6">
        <v>1</v>
      </c>
      <c r="L8" s="6">
        <v>1</v>
      </c>
      <c r="M8" s="8">
        <v>1</v>
      </c>
      <c r="N8" s="6" t="s">
        <v>371</v>
      </c>
      <c r="O8" s="6">
        <v>3.16</v>
      </c>
      <c r="P8" s="6">
        <v>24.94</v>
      </c>
      <c r="Q8" s="6">
        <v>12.67</v>
      </c>
      <c r="R8" s="6">
        <v>7.89</v>
      </c>
      <c r="S8" s="6">
        <v>1</v>
      </c>
      <c r="T8" s="6">
        <v>1</v>
      </c>
      <c r="U8" s="8">
        <v>1</v>
      </c>
      <c r="V8" s="6">
        <v>1</v>
      </c>
      <c r="W8" s="6">
        <v>0</v>
      </c>
      <c r="X8" s="6" t="s">
        <v>35</v>
      </c>
      <c r="Y8" s="6" t="s">
        <v>36</v>
      </c>
    </row>
    <row r="9" spans="1:25" ht="14.4" x14ac:dyDescent="0.3">
      <c r="A9" s="154">
        <v>45935</v>
      </c>
      <c r="B9" s="154">
        <v>45935</v>
      </c>
      <c r="C9" s="5" t="s">
        <v>48</v>
      </c>
      <c r="D9" s="5" t="s">
        <v>28</v>
      </c>
      <c r="E9" s="5" t="s">
        <v>225</v>
      </c>
      <c r="F9" s="5" t="s">
        <v>226</v>
      </c>
      <c r="G9" s="5" t="s">
        <v>31</v>
      </c>
      <c r="H9" s="5" t="s">
        <v>372</v>
      </c>
      <c r="I9" s="5" t="s">
        <v>32</v>
      </c>
      <c r="J9" s="5" t="s">
        <v>373</v>
      </c>
      <c r="K9" s="6">
        <v>1</v>
      </c>
      <c r="L9" s="6">
        <v>1</v>
      </c>
      <c r="M9" s="8">
        <v>1</v>
      </c>
      <c r="N9" s="6" t="s">
        <v>374</v>
      </c>
      <c r="O9" s="6">
        <v>3.13</v>
      </c>
      <c r="P9" s="6">
        <v>21.9</v>
      </c>
      <c r="Q9" s="6">
        <v>14.29</v>
      </c>
      <c r="R9" s="6">
        <v>7</v>
      </c>
      <c r="S9" s="6">
        <v>1</v>
      </c>
      <c r="T9" s="6">
        <v>1</v>
      </c>
      <c r="U9" s="8">
        <v>1</v>
      </c>
      <c r="V9" s="6">
        <v>1</v>
      </c>
      <c r="W9" s="6">
        <v>0</v>
      </c>
      <c r="X9" s="6" t="s">
        <v>55</v>
      </c>
      <c r="Y9" s="6" t="s">
        <v>36</v>
      </c>
    </row>
    <row r="10" spans="1:25" ht="14.4" x14ac:dyDescent="0.3">
      <c r="A10" s="154">
        <v>45935</v>
      </c>
      <c r="B10" s="154">
        <v>45935</v>
      </c>
      <c r="C10" s="5" t="s">
        <v>48</v>
      </c>
      <c r="D10" s="5" t="s">
        <v>28</v>
      </c>
      <c r="E10" s="5" t="s">
        <v>225</v>
      </c>
      <c r="F10" s="5" t="s">
        <v>226</v>
      </c>
      <c r="G10" s="5" t="s">
        <v>31</v>
      </c>
      <c r="H10" s="5" t="s">
        <v>168</v>
      </c>
      <c r="I10" s="5" t="s">
        <v>32</v>
      </c>
      <c r="J10" s="5" t="s">
        <v>171</v>
      </c>
      <c r="K10" s="6">
        <v>3</v>
      </c>
      <c r="L10" s="6">
        <v>1</v>
      </c>
      <c r="M10" s="8">
        <v>0.33333299999999999</v>
      </c>
      <c r="N10" s="6" t="s">
        <v>198</v>
      </c>
      <c r="O10" s="6">
        <v>3.66</v>
      </c>
      <c r="P10" s="6">
        <v>21.9</v>
      </c>
      <c r="Q10" s="6">
        <v>16.71</v>
      </c>
      <c r="R10" s="6">
        <v>5.98</v>
      </c>
      <c r="S10" s="6">
        <v>1</v>
      </c>
      <c r="T10" s="6">
        <v>1</v>
      </c>
      <c r="U10" s="8">
        <v>1</v>
      </c>
      <c r="V10" s="6">
        <v>1</v>
      </c>
      <c r="W10" s="6">
        <v>0</v>
      </c>
      <c r="X10" s="6" t="s">
        <v>55</v>
      </c>
      <c r="Y10" s="6" t="s">
        <v>36</v>
      </c>
    </row>
    <row r="11" spans="1:25" ht="14.4" x14ac:dyDescent="0.3">
      <c r="A11" s="154">
        <v>45936</v>
      </c>
      <c r="B11" s="154">
        <v>45936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30</v>
      </c>
      <c r="I11" s="5" t="s">
        <v>32</v>
      </c>
      <c r="J11" s="5" t="s">
        <v>360</v>
      </c>
      <c r="K11" s="6">
        <v>3</v>
      </c>
      <c r="L11" s="6">
        <v>1</v>
      </c>
      <c r="M11" s="8">
        <v>0.33333299999999999</v>
      </c>
      <c r="N11" s="6" t="s">
        <v>120</v>
      </c>
      <c r="O11" s="6">
        <v>3.1</v>
      </c>
      <c r="P11" s="6">
        <v>24.94</v>
      </c>
      <c r="Q11" s="6">
        <v>12.43</v>
      </c>
      <c r="R11" s="6">
        <v>8.0500000000000007</v>
      </c>
      <c r="S11" s="6">
        <v>1</v>
      </c>
      <c r="T11" s="6">
        <v>1</v>
      </c>
      <c r="U11" s="8">
        <v>1</v>
      </c>
      <c r="V11" s="6">
        <v>1</v>
      </c>
      <c r="W11" s="6">
        <v>0</v>
      </c>
      <c r="X11" s="6" t="s">
        <v>35</v>
      </c>
      <c r="Y11" s="6" t="s">
        <v>36</v>
      </c>
    </row>
    <row r="12" spans="1:25" ht="14.4" x14ac:dyDescent="0.3">
      <c r="A12" s="154">
        <v>45936</v>
      </c>
      <c r="B12" s="155">
        <v>45940</v>
      </c>
      <c r="C12" s="5" t="s">
        <v>27</v>
      </c>
      <c r="D12" s="5" t="s">
        <v>28</v>
      </c>
      <c r="E12" s="5" t="s">
        <v>71</v>
      </c>
      <c r="F12" s="5" t="s">
        <v>72</v>
      </c>
      <c r="G12" s="5" t="s">
        <v>31</v>
      </c>
      <c r="H12" s="5" t="s">
        <v>73</v>
      </c>
      <c r="I12" s="5" t="s">
        <v>52</v>
      </c>
      <c r="J12" s="5" t="s">
        <v>162</v>
      </c>
      <c r="K12" s="6">
        <v>203</v>
      </c>
      <c r="L12" s="6">
        <v>5</v>
      </c>
      <c r="M12" s="8">
        <v>2.4631E-2</v>
      </c>
      <c r="N12" s="6" t="s">
        <v>309</v>
      </c>
      <c r="O12" s="6">
        <v>18.48</v>
      </c>
      <c r="P12" s="6">
        <v>44.89</v>
      </c>
      <c r="Q12" s="6">
        <v>41.17</v>
      </c>
      <c r="R12" s="6">
        <v>2.4300000000000002</v>
      </c>
      <c r="S12" s="6">
        <v>2</v>
      </c>
      <c r="T12" s="6">
        <v>2</v>
      </c>
      <c r="U12" s="8">
        <v>0.4</v>
      </c>
      <c r="V12" s="6">
        <v>2</v>
      </c>
      <c r="W12" s="6">
        <v>0</v>
      </c>
      <c r="X12" s="6" t="s">
        <v>361</v>
      </c>
      <c r="Y12" s="6" t="s">
        <v>36</v>
      </c>
    </row>
    <row r="13" spans="1:25" ht="14.4" x14ac:dyDescent="0.3">
      <c r="A13" s="154">
        <v>45936</v>
      </c>
      <c r="B13" s="154">
        <v>45939</v>
      </c>
      <c r="C13" s="5" t="s">
        <v>48</v>
      </c>
      <c r="D13" s="5" t="s">
        <v>28</v>
      </c>
      <c r="E13" s="5" t="s">
        <v>62</v>
      </c>
      <c r="F13" s="5" t="s">
        <v>63</v>
      </c>
      <c r="G13" s="5" t="s">
        <v>31</v>
      </c>
      <c r="H13" s="5" t="s">
        <v>68</v>
      </c>
      <c r="I13" s="5" t="s">
        <v>65</v>
      </c>
      <c r="J13" s="5" t="s">
        <v>68</v>
      </c>
      <c r="K13" s="6">
        <v>291</v>
      </c>
      <c r="L13" s="6">
        <v>5</v>
      </c>
      <c r="M13" s="8">
        <v>1.7181999999999999E-2</v>
      </c>
      <c r="N13" s="6" t="s">
        <v>122</v>
      </c>
      <c r="O13" s="6">
        <v>18.260000000000002</v>
      </c>
      <c r="P13" s="6">
        <v>17.52</v>
      </c>
      <c r="Q13" s="6">
        <v>104.22</v>
      </c>
      <c r="R13" s="6">
        <v>0.96</v>
      </c>
      <c r="S13" s="6">
        <v>1</v>
      </c>
      <c r="T13" s="6">
        <v>1</v>
      </c>
      <c r="U13" s="8">
        <v>0.2</v>
      </c>
      <c r="V13" s="6">
        <v>1</v>
      </c>
      <c r="W13" s="6">
        <v>0</v>
      </c>
      <c r="X13" s="6" t="s">
        <v>343</v>
      </c>
      <c r="Y13" s="6" t="s">
        <v>36</v>
      </c>
    </row>
    <row r="14" spans="1:25" ht="14.4" x14ac:dyDescent="0.3">
      <c r="A14" s="154">
        <v>45936</v>
      </c>
      <c r="B14" s="154">
        <v>45936</v>
      </c>
      <c r="C14" s="5" t="s">
        <v>27</v>
      </c>
      <c r="D14" s="5" t="s">
        <v>28</v>
      </c>
      <c r="E14" s="5" t="s">
        <v>71</v>
      </c>
      <c r="F14" s="5" t="s">
        <v>72</v>
      </c>
      <c r="G14" s="5" t="s">
        <v>31</v>
      </c>
      <c r="H14" s="5" t="s">
        <v>51</v>
      </c>
      <c r="I14" s="5" t="s">
        <v>52</v>
      </c>
      <c r="J14" s="5" t="s">
        <v>362</v>
      </c>
      <c r="K14" s="6">
        <v>2</v>
      </c>
      <c r="L14" s="6">
        <v>1</v>
      </c>
      <c r="M14" s="8">
        <v>0.5</v>
      </c>
      <c r="N14" s="6" t="s">
        <v>237</v>
      </c>
      <c r="O14" s="6">
        <v>4.42</v>
      </c>
      <c r="P14" s="6">
        <v>49.88</v>
      </c>
      <c r="Q14" s="6">
        <v>8.86</v>
      </c>
      <c r="R14" s="6">
        <v>11.29</v>
      </c>
      <c r="S14" s="6">
        <v>1</v>
      </c>
      <c r="T14" s="6">
        <v>2</v>
      </c>
      <c r="U14" s="8">
        <v>1</v>
      </c>
      <c r="V14" s="6">
        <v>2</v>
      </c>
      <c r="W14" s="6">
        <v>0</v>
      </c>
      <c r="X14" s="6" t="s">
        <v>78</v>
      </c>
      <c r="Y14" s="6" t="s">
        <v>36</v>
      </c>
    </row>
    <row r="15" spans="1:25" ht="14.4" x14ac:dyDescent="0.3">
      <c r="A15" s="154">
        <v>45936</v>
      </c>
      <c r="B15" s="154">
        <v>45939</v>
      </c>
      <c r="C15" s="5" t="s">
        <v>27</v>
      </c>
      <c r="D15" s="5" t="s">
        <v>28</v>
      </c>
      <c r="E15" s="5" t="s">
        <v>71</v>
      </c>
      <c r="F15" s="5" t="s">
        <v>72</v>
      </c>
      <c r="G15" s="5" t="s">
        <v>31</v>
      </c>
      <c r="H15" s="5" t="s">
        <v>51</v>
      </c>
      <c r="I15" s="5" t="s">
        <v>52</v>
      </c>
      <c r="J15" s="5" t="s">
        <v>145</v>
      </c>
      <c r="K15" s="6">
        <v>216</v>
      </c>
      <c r="L15" s="6">
        <v>9</v>
      </c>
      <c r="M15" s="8">
        <v>4.1667000000000003E-2</v>
      </c>
      <c r="N15" s="6" t="s">
        <v>363</v>
      </c>
      <c r="O15" s="6">
        <v>22.77</v>
      </c>
      <c r="P15" s="6">
        <v>49.88</v>
      </c>
      <c r="Q15" s="6">
        <v>45.65</v>
      </c>
      <c r="R15" s="6">
        <v>2.19</v>
      </c>
      <c r="S15" s="6">
        <v>2</v>
      </c>
      <c r="T15" s="6">
        <v>2</v>
      </c>
      <c r="U15" s="8">
        <v>0.222222</v>
      </c>
      <c r="V15" s="6">
        <v>2</v>
      </c>
      <c r="W15" s="6">
        <v>0</v>
      </c>
      <c r="X15" s="6" t="s">
        <v>78</v>
      </c>
      <c r="Y15" s="6" t="s">
        <v>36</v>
      </c>
    </row>
    <row r="16" spans="1:25" ht="14.4" x14ac:dyDescent="0.3">
      <c r="A16" s="154">
        <v>45936</v>
      </c>
      <c r="B16" s="155">
        <v>45941</v>
      </c>
      <c r="C16" s="5" t="s">
        <v>85</v>
      </c>
      <c r="D16" s="5" t="s">
        <v>28</v>
      </c>
      <c r="E16" s="5" t="s">
        <v>108</v>
      </c>
      <c r="F16" s="5" t="s">
        <v>109</v>
      </c>
      <c r="G16" s="5" t="s">
        <v>31</v>
      </c>
      <c r="H16" s="5" t="s">
        <v>110</v>
      </c>
      <c r="I16" s="5" t="s">
        <v>44</v>
      </c>
      <c r="J16" s="5" t="s">
        <v>111</v>
      </c>
      <c r="K16" s="6">
        <v>4</v>
      </c>
      <c r="L16" s="6">
        <v>2</v>
      </c>
      <c r="M16" s="8">
        <v>0.5</v>
      </c>
      <c r="N16" s="6" t="s">
        <v>222</v>
      </c>
      <c r="O16" s="6">
        <v>5.07</v>
      </c>
      <c r="P16" s="6">
        <v>43.8</v>
      </c>
      <c r="Q16" s="6">
        <v>11.58</v>
      </c>
      <c r="R16" s="6">
        <v>8.64</v>
      </c>
      <c r="S16" s="6">
        <v>2</v>
      </c>
      <c r="T16" s="6">
        <v>2</v>
      </c>
      <c r="U16" s="8">
        <v>1</v>
      </c>
      <c r="V16" s="6">
        <v>2</v>
      </c>
      <c r="W16" s="6">
        <v>0</v>
      </c>
      <c r="X16" s="6" t="s">
        <v>67</v>
      </c>
      <c r="Y16" s="6" t="s">
        <v>36</v>
      </c>
    </row>
    <row r="17" spans="1:25" ht="14.4" x14ac:dyDescent="0.3">
      <c r="A17" s="154">
        <v>45936</v>
      </c>
      <c r="B17" s="155">
        <v>45940</v>
      </c>
      <c r="C17" s="5" t="s">
        <v>27</v>
      </c>
      <c r="D17" s="5" t="s">
        <v>28</v>
      </c>
      <c r="E17" s="5" t="s">
        <v>56</v>
      </c>
      <c r="F17" s="5" t="s">
        <v>57</v>
      </c>
      <c r="G17" s="5" t="s">
        <v>31</v>
      </c>
      <c r="H17" s="12" t="e">
        <f>+maca +root</f>
        <v>#NAME?</v>
      </c>
      <c r="I17" s="5" t="s">
        <v>32</v>
      </c>
      <c r="J17" s="5" t="s">
        <v>76</v>
      </c>
      <c r="K17" s="6">
        <v>75</v>
      </c>
      <c r="L17" s="6">
        <v>3</v>
      </c>
      <c r="M17" s="8">
        <v>0.04</v>
      </c>
      <c r="N17" s="6" t="s">
        <v>206</v>
      </c>
      <c r="O17" s="6">
        <v>8.15</v>
      </c>
      <c r="P17" s="6">
        <v>24.94</v>
      </c>
      <c r="Q17" s="6">
        <v>32.68</v>
      </c>
      <c r="R17" s="6">
        <v>3.06</v>
      </c>
      <c r="S17" s="6">
        <v>1</v>
      </c>
      <c r="T17" s="6">
        <v>1</v>
      </c>
      <c r="U17" s="8">
        <v>0.33333299999999999</v>
      </c>
      <c r="V17" s="6">
        <v>1</v>
      </c>
      <c r="W17" s="6">
        <v>0</v>
      </c>
      <c r="X17" s="6" t="s">
        <v>35</v>
      </c>
      <c r="Y17" s="6" t="s">
        <v>36</v>
      </c>
    </row>
    <row r="18" spans="1:25" ht="14.4" x14ac:dyDescent="0.3">
      <c r="A18" s="154">
        <v>45936</v>
      </c>
      <c r="B18" s="154">
        <v>45936</v>
      </c>
      <c r="C18" s="5" t="s">
        <v>48</v>
      </c>
      <c r="D18" s="5" t="s">
        <v>28</v>
      </c>
      <c r="E18" s="5" t="s">
        <v>225</v>
      </c>
      <c r="F18" s="5" t="s">
        <v>226</v>
      </c>
      <c r="G18" s="5" t="s">
        <v>31</v>
      </c>
      <c r="H18" s="5" t="s">
        <v>68</v>
      </c>
      <c r="I18" s="5" t="s">
        <v>32</v>
      </c>
      <c r="J18" s="5" t="s">
        <v>364</v>
      </c>
      <c r="K18" s="6">
        <v>6</v>
      </c>
      <c r="L18" s="6">
        <v>1</v>
      </c>
      <c r="M18" s="8">
        <v>0.16666700000000001</v>
      </c>
      <c r="N18" s="6" t="s">
        <v>114</v>
      </c>
      <c r="O18" s="6">
        <v>3.33</v>
      </c>
      <c r="P18" s="6">
        <v>21.9</v>
      </c>
      <c r="Q18" s="6">
        <v>15.21</v>
      </c>
      <c r="R18" s="6">
        <v>6.58</v>
      </c>
      <c r="S18" s="6">
        <v>1</v>
      </c>
      <c r="T18" s="6">
        <v>1</v>
      </c>
      <c r="U18" s="8">
        <v>1</v>
      </c>
      <c r="V18" s="6">
        <v>1</v>
      </c>
      <c r="W18" s="6">
        <v>0</v>
      </c>
      <c r="X18" s="6" t="s">
        <v>55</v>
      </c>
      <c r="Y18" s="6" t="s">
        <v>36</v>
      </c>
    </row>
    <row r="19" spans="1:25" ht="14.4" x14ac:dyDescent="0.3">
      <c r="A19" s="154">
        <v>45936</v>
      </c>
      <c r="B19" s="154">
        <v>45936</v>
      </c>
      <c r="C19" s="5" t="s">
        <v>27</v>
      </c>
      <c r="D19" s="5" t="s">
        <v>28</v>
      </c>
      <c r="E19" s="5" t="s">
        <v>71</v>
      </c>
      <c r="F19" s="5" t="s">
        <v>72</v>
      </c>
      <c r="G19" s="5" t="s">
        <v>31</v>
      </c>
      <c r="H19" s="5" t="s">
        <v>51</v>
      </c>
      <c r="I19" s="5" t="s">
        <v>52</v>
      </c>
      <c r="J19" s="5" t="s">
        <v>365</v>
      </c>
      <c r="K19" s="6">
        <v>4</v>
      </c>
      <c r="L19" s="6">
        <v>1</v>
      </c>
      <c r="M19" s="8">
        <v>0.25</v>
      </c>
      <c r="N19" s="6" t="s">
        <v>237</v>
      </c>
      <c r="O19" s="6">
        <v>4.42</v>
      </c>
      <c r="P19" s="6">
        <v>19.95</v>
      </c>
      <c r="Q19" s="6">
        <v>22.16</v>
      </c>
      <c r="R19" s="6">
        <v>4.51</v>
      </c>
      <c r="S19" s="6">
        <v>1</v>
      </c>
      <c r="T19" s="6">
        <v>1</v>
      </c>
      <c r="U19" s="8">
        <v>1</v>
      </c>
      <c r="V19" s="6">
        <v>1</v>
      </c>
      <c r="W19" s="6">
        <v>0</v>
      </c>
      <c r="X19" s="6" t="s">
        <v>340</v>
      </c>
      <c r="Y19" s="6" t="s">
        <v>36</v>
      </c>
    </row>
    <row r="20" spans="1:25" ht="14.4" x14ac:dyDescent="0.3">
      <c r="A20" s="154">
        <v>45937</v>
      </c>
      <c r="B20" s="154">
        <v>45937</v>
      </c>
      <c r="C20" s="5" t="s">
        <v>27</v>
      </c>
      <c r="D20" s="5" t="s">
        <v>28</v>
      </c>
      <c r="E20" s="5" t="s">
        <v>71</v>
      </c>
      <c r="F20" s="5" t="s">
        <v>72</v>
      </c>
      <c r="G20" s="5" t="s">
        <v>31</v>
      </c>
      <c r="H20" s="5" t="s">
        <v>73</v>
      </c>
      <c r="I20" s="5" t="s">
        <v>52</v>
      </c>
      <c r="J20" s="5" t="s">
        <v>344</v>
      </c>
      <c r="K20" s="6">
        <v>2</v>
      </c>
      <c r="L20" s="6">
        <v>1</v>
      </c>
      <c r="M20" s="8">
        <v>0.5</v>
      </c>
      <c r="N20" s="6" t="s">
        <v>336</v>
      </c>
      <c r="O20" s="6">
        <v>3.35</v>
      </c>
      <c r="P20" s="6">
        <v>19.95</v>
      </c>
      <c r="Q20" s="6">
        <v>16.79</v>
      </c>
      <c r="R20" s="6">
        <v>5.96</v>
      </c>
      <c r="S20" s="6">
        <v>1</v>
      </c>
      <c r="T20" s="6">
        <v>1</v>
      </c>
      <c r="U20" s="8">
        <v>1</v>
      </c>
      <c r="V20" s="6">
        <v>1</v>
      </c>
      <c r="W20" s="6">
        <v>0</v>
      </c>
      <c r="X20" s="6" t="s">
        <v>340</v>
      </c>
      <c r="Y20" s="6" t="s">
        <v>36</v>
      </c>
    </row>
    <row r="21" spans="1:25" ht="14.4" x14ac:dyDescent="0.3">
      <c r="A21" s="154">
        <v>45937</v>
      </c>
      <c r="B21" s="154">
        <v>45937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30</v>
      </c>
      <c r="I21" s="5" t="s">
        <v>32</v>
      </c>
      <c r="J21" s="5" t="s">
        <v>345</v>
      </c>
      <c r="K21" s="6">
        <v>6</v>
      </c>
      <c r="L21" s="6">
        <v>1</v>
      </c>
      <c r="M21" s="8">
        <v>0.16666700000000001</v>
      </c>
      <c r="N21" s="6" t="s">
        <v>120</v>
      </c>
      <c r="O21" s="6">
        <v>3.1</v>
      </c>
      <c r="P21" s="6">
        <v>19.95</v>
      </c>
      <c r="Q21" s="6">
        <v>15.54</v>
      </c>
      <c r="R21" s="6">
        <v>6.44</v>
      </c>
      <c r="S21" s="6">
        <v>1</v>
      </c>
      <c r="T21" s="6">
        <v>1</v>
      </c>
      <c r="U21" s="8">
        <v>1</v>
      </c>
      <c r="V21" s="6">
        <v>1</v>
      </c>
      <c r="W21" s="6">
        <v>0</v>
      </c>
      <c r="X21" s="6" t="s">
        <v>340</v>
      </c>
      <c r="Y21" s="6" t="s">
        <v>36</v>
      </c>
    </row>
    <row r="22" spans="1:25" ht="14.4" x14ac:dyDescent="0.3">
      <c r="A22" s="154">
        <v>45937</v>
      </c>
      <c r="B22" s="154">
        <v>45937</v>
      </c>
      <c r="C22" s="5" t="s">
        <v>143</v>
      </c>
      <c r="D22" s="5" t="s">
        <v>28</v>
      </c>
      <c r="E22" s="5" t="s">
        <v>144</v>
      </c>
      <c r="F22" s="5" t="s">
        <v>32</v>
      </c>
      <c r="G22" s="5" t="s">
        <v>31</v>
      </c>
      <c r="H22" s="5" t="s">
        <v>30</v>
      </c>
      <c r="I22" s="5" t="s">
        <v>44</v>
      </c>
      <c r="J22" s="5" t="s">
        <v>216</v>
      </c>
      <c r="K22" s="6">
        <v>1</v>
      </c>
      <c r="L22" s="6">
        <v>1</v>
      </c>
      <c r="M22" s="8">
        <v>1</v>
      </c>
      <c r="N22" s="6" t="s">
        <v>217</v>
      </c>
      <c r="O22" s="6">
        <v>1.82</v>
      </c>
      <c r="P22" s="6">
        <v>19.95</v>
      </c>
      <c r="Q22" s="6">
        <v>9.1199999999999992</v>
      </c>
      <c r="R22" s="6">
        <v>10.96</v>
      </c>
      <c r="S22" s="6">
        <v>1</v>
      </c>
      <c r="T22" s="6">
        <v>1</v>
      </c>
      <c r="U22" s="8">
        <v>1</v>
      </c>
      <c r="V22" s="6">
        <v>1</v>
      </c>
      <c r="W22" s="6">
        <v>0</v>
      </c>
      <c r="X22" s="6" t="s">
        <v>340</v>
      </c>
      <c r="Y22" s="6" t="s">
        <v>36</v>
      </c>
    </row>
    <row r="23" spans="1:25" ht="14.4" x14ac:dyDescent="0.3">
      <c r="A23" s="154">
        <v>45937</v>
      </c>
      <c r="B23" s="154">
        <v>45937</v>
      </c>
      <c r="C23" s="5" t="s">
        <v>27</v>
      </c>
      <c r="D23" s="5" t="s">
        <v>28</v>
      </c>
      <c r="E23" s="5" t="s">
        <v>71</v>
      </c>
      <c r="F23" s="5" t="s">
        <v>72</v>
      </c>
      <c r="G23" s="5" t="s">
        <v>31</v>
      </c>
      <c r="H23" s="5" t="s">
        <v>73</v>
      </c>
      <c r="I23" s="5" t="s">
        <v>52</v>
      </c>
      <c r="J23" s="5" t="s">
        <v>346</v>
      </c>
      <c r="K23" s="6">
        <v>11</v>
      </c>
      <c r="L23" s="6">
        <v>2</v>
      </c>
      <c r="M23" s="8">
        <v>0.18181800000000001</v>
      </c>
      <c r="N23" s="6" t="s">
        <v>311</v>
      </c>
      <c r="O23" s="6">
        <v>8.0500000000000007</v>
      </c>
      <c r="P23" s="6">
        <v>19.95</v>
      </c>
      <c r="Q23" s="6">
        <v>40.35</v>
      </c>
      <c r="R23" s="6">
        <v>2.48</v>
      </c>
      <c r="S23" s="6">
        <v>1</v>
      </c>
      <c r="T23" s="6">
        <v>1</v>
      </c>
      <c r="U23" s="8">
        <v>0.5</v>
      </c>
      <c r="V23" s="6">
        <v>1</v>
      </c>
      <c r="W23" s="6">
        <v>0</v>
      </c>
      <c r="X23" s="6" t="s">
        <v>340</v>
      </c>
      <c r="Y23" s="6" t="s">
        <v>36</v>
      </c>
    </row>
    <row r="24" spans="1:25" ht="14.4" x14ac:dyDescent="0.3">
      <c r="A24" s="154">
        <v>45937</v>
      </c>
      <c r="B24" s="154">
        <v>45937</v>
      </c>
      <c r="C24" s="5" t="s">
        <v>27</v>
      </c>
      <c r="D24" s="5" t="s">
        <v>28</v>
      </c>
      <c r="E24" s="5" t="s">
        <v>56</v>
      </c>
      <c r="F24" s="5" t="s">
        <v>57</v>
      </c>
      <c r="G24" s="5" t="s">
        <v>31</v>
      </c>
      <c r="H24" s="12" t="e">
        <f>+maca +root +men</f>
        <v>#NAME?</v>
      </c>
      <c r="I24" s="5" t="s">
        <v>32</v>
      </c>
      <c r="J24" s="5" t="s">
        <v>347</v>
      </c>
      <c r="K24" s="6">
        <v>11</v>
      </c>
      <c r="L24" s="6">
        <v>1</v>
      </c>
      <c r="M24" s="8">
        <v>9.0909000000000004E-2</v>
      </c>
      <c r="N24" s="6" t="s">
        <v>167</v>
      </c>
      <c r="O24" s="6">
        <v>5.18</v>
      </c>
      <c r="P24" s="6">
        <v>19.95</v>
      </c>
      <c r="Q24" s="6">
        <v>25.96</v>
      </c>
      <c r="R24" s="6">
        <v>3.85</v>
      </c>
      <c r="S24" s="6">
        <v>1</v>
      </c>
      <c r="T24" s="6">
        <v>1</v>
      </c>
      <c r="U24" s="8">
        <v>1</v>
      </c>
      <c r="V24" s="6">
        <v>1</v>
      </c>
      <c r="W24" s="6">
        <v>0</v>
      </c>
      <c r="X24" s="6" t="s">
        <v>340</v>
      </c>
      <c r="Y24" s="6" t="s">
        <v>36</v>
      </c>
    </row>
    <row r="25" spans="1:25" ht="14.4" x14ac:dyDescent="0.3">
      <c r="A25" s="154">
        <v>45937</v>
      </c>
      <c r="B25" s="154">
        <v>45937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348</v>
      </c>
      <c r="I25" s="5" t="s">
        <v>32</v>
      </c>
      <c r="J25" s="5" t="s">
        <v>119</v>
      </c>
      <c r="K25" s="6">
        <v>83</v>
      </c>
      <c r="L25" s="6">
        <v>3</v>
      </c>
      <c r="M25" s="8">
        <v>3.6144999999999997E-2</v>
      </c>
      <c r="N25" s="6" t="s">
        <v>90</v>
      </c>
      <c r="O25" s="6">
        <v>10.23</v>
      </c>
      <c r="P25" s="6">
        <v>19.95</v>
      </c>
      <c r="Q25" s="6">
        <v>51.28</v>
      </c>
      <c r="R25" s="6">
        <v>1.95</v>
      </c>
      <c r="S25" s="6">
        <v>1</v>
      </c>
      <c r="T25" s="6">
        <v>1</v>
      </c>
      <c r="U25" s="8">
        <v>0.33333299999999999</v>
      </c>
      <c r="V25" s="6">
        <v>1</v>
      </c>
      <c r="W25" s="6">
        <v>0</v>
      </c>
      <c r="X25" s="6" t="s">
        <v>340</v>
      </c>
      <c r="Y25" s="6" t="s">
        <v>36</v>
      </c>
    </row>
    <row r="26" spans="1:25" ht="14.4" x14ac:dyDescent="0.3">
      <c r="A26" s="154">
        <v>45937</v>
      </c>
      <c r="B26" s="154">
        <v>45937</v>
      </c>
      <c r="C26" s="5" t="s">
        <v>27</v>
      </c>
      <c r="D26" s="5" t="s">
        <v>28</v>
      </c>
      <c r="E26" s="5" t="s">
        <v>56</v>
      </c>
      <c r="F26" s="5" t="s">
        <v>57</v>
      </c>
      <c r="G26" s="5" t="s">
        <v>31</v>
      </c>
      <c r="H26" s="12" t="e">
        <f>+maca +root +men</f>
        <v>#NAME?</v>
      </c>
      <c r="I26" s="5" t="s">
        <v>32</v>
      </c>
      <c r="J26" s="5" t="s">
        <v>119</v>
      </c>
      <c r="K26" s="6">
        <v>184</v>
      </c>
      <c r="L26" s="6">
        <v>4</v>
      </c>
      <c r="M26" s="8">
        <v>2.1739000000000001E-2</v>
      </c>
      <c r="N26" s="6" t="s">
        <v>187</v>
      </c>
      <c r="O26" s="6">
        <v>12.45</v>
      </c>
      <c r="P26" s="6">
        <v>39.9</v>
      </c>
      <c r="Q26" s="6">
        <v>31.2</v>
      </c>
      <c r="R26" s="6">
        <v>3.2</v>
      </c>
      <c r="S26" s="6">
        <v>2</v>
      </c>
      <c r="T26" s="6">
        <v>2</v>
      </c>
      <c r="U26" s="8">
        <v>0.5</v>
      </c>
      <c r="V26" s="6">
        <v>2</v>
      </c>
      <c r="W26" s="6">
        <v>0</v>
      </c>
      <c r="X26" s="6" t="s">
        <v>349</v>
      </c>
      <c r="Y26" s="6" t="s">
        <v>36</v>
      </c>
    </row>
    <row r="27" spans="1:25" ht="14.4" x14ac:dyDescent="0.3">
      <c r="A27" s="154">
        <v>45937</v>
      </c>
      <c r="B27" s="155">
        <v>45940</v>
      </c>
      <c r="C27" s="5" t="s">
        <v>27</v>
      </c>
      <c r="D27" s="5" t="s">
        <v>28</v>
      </c>
      <c r="E27" s="5" t="s">
        <v>71</v>
      </c>
      <c r="F27" s="5" t="s">
        <v>72</v>
      </c>
      <c r="G27" s="5" t="s">
        <v>31</v>
      </c>
      <c r="H27" s="5" t="s">
        <v>73</v>
      </c>
      <c r="I27" s="5" t="s">
        <v>52</v>
      </c>
      <c r="J27" s="5" t="s">
        <v>101</v>
      </c>
      <c r="K27" s="6">
        <v>1775</v>
      </c>
      <c r="L27" s="6">
        <v>8</v>
      </c>
      <c r="M27" s="8">
        <v>4.5069999999999997E-3</v>
      </c>
      <c r="N27" s="6" t="s">
        <v>350</v>
      </c>
      <c r="O27" s="6">
        <v>22.56</v>
      </c>
      <c r="P27" s="6">
        <v>19.95</v>
      </c>
      <c r="Q27" s="6">
        <v>113.08</v>
      </c>
      <c r="R27" s="6">
        <v>0.88</v>
      </c>
      <c r="S27" s="6">
        <v>1</v>
      </c>
      <c r="T27" s="6">
        <v>1</v>
      </c>
      <c r="U27" s="8">
        <v>0.125</v>
      </c>
      <c r="V27" s="6">
        <v>1</v>
      </c>
      <c r="W27" s="6">
        <v>0</v>
      </c>
      <c r="X27" s="6" t="s">
        <v>340</v>
      </c>
      <c r="Y27" s="6" t="s">
        <v>36</v>
      </c>
    </row>
    <row r="28" spans="1:25" ht="14.4" x14ac:dyDescent="0.3">
      <c r="A28" s="154">
        <v>45937</v>
      </c>
      <c r="B28" s="154">
        <v>45937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348</v>
      </c>
      <c r="I28" s="5" t="s">
        <v>32</v>
      </c>
      <c r="J28" s="5" t="s">
        <v>351</v>
      </c>
      <c r="K28" s="6">
        <v>16</v>
      </c>
      <c r="L28" s="6">
        <v>1</v>
      </c>
      <c r="M28" s="8">
        <v>6.25E-2</v>
      </c>
      <c r="N28" s="6" t="s">
        <v>352</v>
      </c>
      <c r="O28" s="6">
        <v>4.7699999999999996</v>
      </c>
      <c r="P28" s="6">
        <v>19.95</v>
      </c>
      <c r="Q28" s="6">
        <v>23.91</v>
      </c>
      <c r="R28" s="6">
        <v>4.18</v>
      </c>
      <c r="S28" s="6">
        <v>1</v>
      </c>
      <c r="T28" s="6">
        <v>1</v>
      </c>
      <c r="U28" s="8">
        <v>1</v>
      </c>
      <c r="V28" s="6">
        <v>1</v>
      </c>
      <c r="W28" s="6">
        <v>0</v>
      </c>
      <c r="X28" s="6" t="s">
        <v>340</v>
      </c>
      <c r="Y28" s="6" t="s">
        <v>36</v>
      </c>
    </row>
    <row r="29" spans="1:25" ht="14.4" x14ac:dyDescent="0.3">
      <c r="A29" s="154">
        <v>45937</v>
      </c>
      <c r="B29" s="154">
        <v>45937</v>
      </c>
      <c r="C29" s="5" t="s">
        <v>27</v>
      </c>
      <c r="D29" s="5" t="s">
        <v>28</v>
      </c>
      <c r="E29" s="5" t="s">
        <v>56</v>
      </c>
      <c r="F29" s="5" t="s">
        <v>57</v>
      </c>
      <c r="G29" s="5" t="s">
        <v>31</v>
      </c>
      <c r="H29" s="12" t="e">
        <f>+maca +root</f>
        <v>#NAME?</v>
      </c>
      <c r="I29" s="5" t="s">
        <v>32</v>
      </c>
      <c r="J29" s="5" t="s">
        <v>353</v>
      </c>
      <c r="K29" s="6">
        <v>3</v>
      </c>
      <c r="L29" s="6">
        <v>1</v>
      </c>
      <c r="M29" s="8">
        <v>0.33333299999999999</v>
      </c>
      <c r="N29" s="6" t="s">
        <v>324</v>
      </c>
      <c r="O29" s="6">
        <v>4.75</v>
      </c>
      <c r="P29" s="6">
        <v>19.95</v>
      </c>
      <c r="Q29" s="6">
        <v>23.81</v>
      </c>
      <c r="R29" s="6">
        <v>4.2</v>
      </c>
      <c r="S29" s="6">
        <v>1</v>
      </c>
      <c r="T29" s="6">
        <v>1</v>
      </c>
      <c r="U29" s="8">
        <v>1</v>
      </c>
      <c r="V29" s="6">
        <v>1</v>
      </c>
      <c r="W29" s="6">
        <v>0</v>
      </c>
      <c r="X29" s="6" t="s">
        <v>340</v>
      </c>
      <c r="Y29" s="6" t="s">
        <v>36</v>
      </c>
    </row>
    <row r="30" spans="1:25" ht="14.4" x14ac:dyDescent="0.3">
      <c r="A30" s="154">
        <v>45937</v>
      </c>
      <c r="B30" s="154">
        <v>45937</v>
      </c>
      <c r="C30" s="5" t="s">
        <v>27</v>
      </c>
      <c r="D30" s="5" t="s">
        <v>28</v>
      </c>
      <c r="E30" s="5" t="s">
        <v>71</v>
      </c>
      <c r="F30" s="5" t="s">
        <v>72</v>
      </c>
      <c r="G30" s="5" t="s">
        <v>31</v>
      </c>
      <c r="H30" s="5" t="s">
        <v>51</v>
      </c>
      <c r="I30" s="5" t="s">
        <v>52</v>
      </c>
      <c r="J30" s="5" t="s">
        <v>354</v>
      </c>
      <c r="K30" s="6">
        <v>2</v>
      </c>
      <c r="L30" s="6">
        <v>1</v>
      </c>
      <c r="M30" s="8">
        <v>0.5</v>
      </c>
      <c r="N30" s="6" t="s">
        <v>355</v>
      </c>
      <c r="O30" s="6">
        <v>1.8</v>
      </c>
      <c r="P30" s="6">
        <v>19.95</v>
      </c>
      <c r="Q30" s="6">
        <v>9.02</v>
      </c>
      <c r="R30" s="6">
        <v>11.08</v>
      </c>
      <c r="S30" s="6">
        <v>1</v>
      </c>
      <c r="T30" s="6">
        <v>1</v>
      </c>
      <c r="U30" s="8">
        <v>1</v>
      </c>
      <c r="V30" s="6">
        <v>1</v>
      </c>
      <c r="W30" s="6">
        <v>0</v>
      </c>
      <c r="X30" s="6" t="s">
        <v>340</v>
      </c>
      <c r="Y30" s="6" t="s">
        <v>36</v>
      </c>
    </row>
    <row r="31" spans="1:25" ht="14.4" x14ac:dyDescent="0.3">
      <c r="A31" s="154">
        <v>45937</v>
      </c>
      <c r="B31" s="155">
        <v>45940</v>
      </c>
      <c r="C31" s="5" t="s">
        <v>85</v>
      </c>
      <c r="D31" s="5" t="s">
        <v>28</v>
      </c>
      <c r="E31" s="5" t="s">
        <v>86</v>
      </c>
      <c r="F31" s="5" t="s">
        <v>87</v>
      </c>
      <c r="G31" s="5" t="s">
        <v>31</v>
      </c>
      <c r="H31" s="5" t="s">
        <v>87</v>
      </c>
      <c r="I31" s="5" t="s">
        <v>44</v>
      </c>
      <c r="J31" s="5" t="s">
        <v>87</v>
      </c>
      <c r="K31" s="6">
        <v>31</v>
      </c>
      <c r="L31" s="6">
        <v>2</v>
      </c>
      <c r="M31" s="8">
        <v>6.4516000000000004E-2</v>
      </c>
      <c r="N31" s="6" t="s">
        <v>356</v>
      </c>
      <c r="O31" s="6">
        <v>8.98</v>
      </c>
      <c r="P31" s="6">
        <v>21.9</v>
      </c>
      <c r="Q31" s="6">
        <v>41</v>
      </c>
      <c r="R31" s="6">
        <v>2.44</v>
      </c>
      <c r="S31" s="6">
        <v>1</v>
      </c>
      <c r="T31" s="6">
        <v>1</v>
      </c>
      <c r="U31" s="8">
        <v>0.5</v>
      </c>
      <c r="V31" s="6">
        <v>1</v>
      </c>
      <c r="W31" s="6">
        <v>0</v>
      </c>
      <c r="X31" s="6" t="s">
        <v>55</v>
      </c>
      <c r="Y31" s="6" t="s">
        <v>36</v>
      </c>
    </row>
    <row r="32" spans="1:25" ht="14.4" x14ac:dyDescent="0.3">
      <c r="A32" s="154">
        <v>45937</v>
      </c>
      <c r="B32" s="154">
        <v>45937</v>
      </c>
      <c r="C32" s="5" t="s">
        <v>48</v>
      </c>
      <c r="D32" s="5" t="s">
        <v>28</v>
      </c>
      <c r="E32" s="5" t="s">
        <v>233</v>
      </c>
      <c r="F32" s="5" t="s">
        <v>234</v>
      </c>
      <c r="G32" s="5" t="s">
        <v>31</v>
      </c>
      <c r="H32" s="5" t="s">
        <v>357</v>
      </c>
      <c r="I32" s="5" t="s">
        <v>32</v>
      </c>
      <c r="J32" s="5" t="s">
        <v>358</v>
      </c>
      <c r="K32" s="6">
        <v>5</v>
      </c>
      <c r="L32" s="6">
        <v>1</v>
      </c>
      <c r="M32" s="8">
        <v>0.2</v>
      </c>
      <c r="N32" s="6" t="s">
        <v>359</v>
      </c>
      <c r="O32" s="6">
        <v>2.2400000000000002</v>
      </c>
      <c r="P32" s="6">
        <v>17.52</v>
      </c>
      <c r="Q32" s="6">
        <v>12.79</v>
      </c>
      <c r="R32" s="6">
        <v>7.82</v>
      </c>
      <c r="S32" s="6">
        <v>1</v>
      </c>
      <c r="T32" s="6">
        <v>1</v>
      </c>
      <c r="U32" s="8">
        <v>1</v>
      </c>
      <c r="V32" s="6">
        <v>1</v>
      </c>
      <c r="W32" s="6">
        <v>0</v>
      </c>
      <c r="X32" s="6" t="s">
        <v>343</v>
      </c>
      <c r="Y32" s="6" t="s">
        <v>36</v>
      </c>
    </row>
    <row r="33" spans="1:25" ht="14.4" x14ac:dyDescent="0.3">
      <c r="A33" s="154">
        <v>45938</v>
      </c>
      <c r="B33" s="154">
        <v>45939</v>
      </c>
      <c r="C33" s="5" t="s">
        <v>27</v>
      </c>
      <c r="D33" s="5" t="s">
        <v>28</v>
      </c>
      <c r="E33" s="5" t="s">
        <v>71</v>
      </c>
      <c r="F33" s="5" t="s">
        <v>72</v>
      </c>
      <c r="G33" s="5" t="s">
        <v>31</v>
      </c>
      <c r="H33" s="5" t="s">
        <v>73</v>
      </c>
      <c r="I33" s="5" t="s">
        <v>52</v>
      </c>
      <c r="J33" s="5" t="s">
        <v>338</v>
      </c>
      <c r="K33" s="6">
        <v>267</v>
      </c>
      <c r="L33" s="6">
        <v>3</v>
      </c>
      <c r="M33" s="8">
        <v>1.1235999999999999E-2</v>
      </c>
      <c r="N33" s="6" t="s">
        <v>333</v>
      </c>
      <c r="O33" s="6">
        <v>6.99</v>
      </c>
      <c r="P33" s="6">
        <v>24.94</v>
      </c>
      <c r="Q33" s="6">
        <v>28.03</v>
      </c>
      <c r="R33" s="6">
        <v>3.57</v>
      </c>
      <c r="S33" s="6">
        <v>1</v>
      </c>
      <c r="T33" s="6">
        <v>1</v>
      </c>
      <c r="U33" s="8">
        <v>0.33333299999999999</v>
      </c>
      <c r="V33" s="6">
        <v>1</v>
      </c>
      <c r="W33" s="6">
        <v>0</v>
      </c>
      <c r="X33" s="6" t="s">
        <v>35</v>
      </c>
      <c r="Y33" s="6" t="s">
        <v>36</v>
      </c>
    </row>
    <row r="34" spans="1:25" ht="14.4" x14ac:dyDescent="0.3">
      <c r="A34" s="154">
        <v>45938</v>
      </c>
      <c r="B34" s="155">
        <v>45941</v>
      </c>
      <c r="C34" s="5" t="s">
        <v>143</v>
      </c>
      <c r="D34" s="5" t="s">
        <v>28</v>
      </c>
      <c r="E34" s="5" t="s">
        <v>144</v>
      </c>
      <c r="F34" s="5" t="s">
        <v>32</v>
      </c>
      <c r="G34" s="5" t="s">
        <v>31</v>
      </c>
      <c r="H34" s="5" t="s">
        <v>119</v>
      </c>
      <c r="I34" s="5" t="s">
        <v>32</v>
      </c>
      <c r="J34" s="5" t="s">
        <v>119</v>
      </c>
      <c r="K34" s="6">
        <v>35</v>
      </c>
      <c r="L34" s="6">
        <v>2</v>
      </c>
      <c r="M34" s="8">
        <v>5.7142999999999999E-2</v>
      </c>
      <c r="N34" s="6" t="s">
        <v>339</v>
      </c>
      <c r="O34" s="6">
        <v>1.78</v>
      </c>
      <c r="P34" s="6">
        <v>19.95</v>
      </c>
      <c r="Q34" s="6">
        <v>8.92</v>
      </c>
      <c r="R34" s="6">
        <v>11.21</v>
      </c>
      <c r="S34" s="6">
        <v>1</v>
      </c>
      <c r="T34" s="6">
        <v>1</v>
      </c>
      <c r="U34" s="8">
        <v>0.5</v>
      </c>
      <c r="V34" s="6">
        <v>1</v>
      </c>
      <c r="W34" s="6">
        <v>0</v>
      </c>
      <c r="X34" s="6" t="s">
        <v>340</v>
      </c>
      <c r="Y34" s="6" t="s">
        <v>36</v>
      </c>
    </row>
    <row r="35" spans="1:25" ht="14.4" x14ac:dyDescent="0.3">
      <c r="A35" s="154">
        <v>45938</v>
      </c>
      <c r="B35" s="154">
        <v>45938</v>
      </c>
      <c r="C35" s="5" t="s">
        <v>143</v>
      </c>
      <c r="D35" s="5" t="s">
        <v>28</v>
      </c>
      <c r="E35" s="5" t="s">
        <v>144</v>
      </c>
      <c r="F35" s="5" t="s">
        <v>32</v>
      </c>
      <c r="G35" s="5" t="s">
        <v>31</v>
      </c>
      <c r="H35" s="5" t="s">
        <v>30</v>
      </c>
      <c r="I35" s="5" t="s">
        <v>44</v>
      </c>
      <c r="J35" s="5" t="s">
        <v>341</v>
      </c>
      <c r="K35" s="6">
        <v>2</v>
      </c>
      <c r="L35" s="6">
        <v>1</v>
      </c>
      <c r="M35" s="8">
        <v>0.5</v>
      </c>
      <c r="N35" s="6" t="s">
        <v>196</v>
      </c>
      <c r="O35" s="6">
        <v>1.36</v>
      </c>
      <c r="P35" s="6">
        <v>19.95</v>
      </c>
      <c r="Q35" s="6">
        <v>6.82</v>
      </c>
      <c r="R35" s="6">
        <v>14.67</v>
      </c>
      <c r="S35" s="6">
        <v>1</v>
      </c>
      <c r="T35" s="6">
        <v>1</v>
      </c>
      <c r="U35" s="8">
        <v>1</v>
      </c>
      <c r="V35" s="6">
        <v>1</v>
      </c>
      <c r="W35" s="6">
        <v>0</v>
      </c>
      <c r="X35" s="6" t="s">
        <v>340</v>
      </c>
      <c r="Y35" s="6" t="s">
        <v>36</v>
      </c>
    </row>
    <row r="36" spans="1:25" ht="14.4" x14ac:dyDescent="0.3">
      <c r="A36" s="154">
        <v>45938</v>
      </c>
      <c r="B36" s="154">
        <v>45938</v>
      </c>
      <c r="C36" s="5" t="s">
        <v>48</v>
      </c>
      <c r="D36" s="5" t="s">
        <v>28</v>
      </c>
      <c r="E36" s="5" t="s">
        <v>62</v>
      </c>
      <c r="F36" s="5" t="s">
        <v>63</v>
      </c>
      <c r="G36" s="5" t="s">
        <v>31</v>
      </c>
      <c r="H36" s="5" t="s">
        <v>64</v>
      </c>
      <c r="I36" s="5" t="s">
        <v>65</v>
      </c>
      <c r="J36" s="5" t="s">
        <v>64</v>
      </c>
      <c r="K36" s="6">
        <v>1</v>
      </c>
      <c r="L36" s="6">
        <v>1</v>
      </c>
      <c r="M36" s="8">
        <v>1</v>
      </c>
      <c r="N36" s="6" t="s">
        <v>342</v>
      </c>
      <c r="O36" s="6">
        <v>3.58</v>
      </c>
      <c r="P36" s="6">
        <v>17.52</v>
      </c>
      <c r="Q36" s="6">
        <v>20.43</v>
      </c>
      <c r="R36" s="6">
        <v>4.8899999999999997</v>
      </c>
      <c r="S36" s="6">
        <v>1</v>
      </c>
      <c r="T36" s="6">
        <v>1</v>
      </c>
      <c r="U36" s="8">
        <v>1</v>
      </c>
      <c r="V36" s="6">
        <v>1</v>
      </c>
      <c r="W36" s="6">
        <v>0</v>
      </c>
      <c r="X36" s="6" t="s">
        <v>343</v>
      </c>
      <c r="Y36" s="6" t="s">
        <v>36</v>
      </c>
    </row>
    <row r="37" spans="1:25" ht="14.4" x14ac:dyDescent="0.3">
      <c r="A37" s="154">
        <v>45939</v>
      </c>
      <c r="B37" s="154">
        <v>45939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30</v>
      </c>
      <c r="I37" s="5" t="s">
        <v>32</v>
      </c>
      <c r="J37" s="5" t="s">
        <v>328</v>
      </c>
      <c r="K37" s="6">
        <v>9</v>
      </c>
      <c r="L37" s="6">
        <v>1</v>
      </c>
      <c r="M37" s="8">
        <v>0.111111</v>
      </c>
      <c r="N37" s="6" t="s">
        <v>329</v>
      </c>
      <c r="O37" s="6">
        <v>2.02</v>
      </c>
      <c r="P37" s="6">
        <v>24.94</v>
      </c>
      <c r="Q37" s="6">
        <v>8.1</v>
      </c>
      <c r="R37" s="6">
        <v>12.35</v>
      </c>
      <c r="S37" s="6">
        <v>1</v>
      </c>
      <c r="T37" s="6">
        <v>1</v>
      </c>
      <c r="U37" s="8">
        <v>1</v>
      </c>
      <c r="V37" s="6">
        <v>1</v>
      </c>
      <c r="W37" s="6">
        <v>0</v>
      </c>
      <c r="X37" s="6" t="s">
        <v>35</v>
      </c>
      <c r="Y37" s="6" t="s">
        <v>36</v>
      </c>
    </row>
    <row r="38" spans="1:25" ht="14.4" x14ac:dyDescent="0.3">
      <c r="A38" s="154">
        <v>45939</v>
      </c>
      <c r="B38" s="154">
        <v>45939</v>
      </c>
      <c r="C38" s="5" t="s">
        <v>27</v>
      </c>
      <c r="D38" s="5" t="s">
        <v>28</v>
      </c>
      <c r="E38" s="5" t="s">
        <v>71</v>
      </c>
      <c r="F38" s="5" t="s">
        <v>72</v>
      </c>
      <c r="G38" s="5" t="s">
        <v>31</v>
      </c>
      <c r="H38" s="5" t="s">
        <v>73</v>
      </c>
      <c r="I38" s="5" t="s">
        <v>52</v>
      </c>
      <c r="J38" s="5" t="s">
        <v>330</v>
      </c>
      <c r="K38" s="6">
        <v>5</v>
      </c>
      <c r="L38" s="6">
        <v>1</v>
      </c>
      <c r="M38" s="8">
        <v>0.2</v>
      </c>
      <c r="N38" s="6" t="s">
        <v>331</v>
      </c>
      <c r="O38" s="6">
        <v>1.89</v>
      </c>
      <c r="P38" s="6">
        <v>24.94</v>
      </c>
      <c r="Q38" s="6">
        <v>7.58</v>
      </c>
      <c r="R38" s="6">
        <v>13.2</v>
      </c>
      <c r="S38" s="6">
        <v>1</v>
      </c>
      <c r="T38" s="6">
        <v>1</v>
      </c>
      <c r="U38" s="8">
        <v>1</v>
      </c>
      <c r="V38" s="6">
        <v>1</v>
      </c>
      <c r="W38" s="6">
        <v>0</v>
      </c>
      <c r="X38" s="6" t="s">
        <v>35</v>
      </c>
      <c r="Y38" s="6" t="s">
        <v>36</v>
      </c>
    </row>
    <row r="39" spans="1:25" ht="14.4" x14ac:dyDescent="0.3">
      <c r="A39" s="154">
        <v>45939</v>
      </c>
      <c r="B39" s="154">
        <v>45939</v>
      </c>
      <c r="C39" s="5" t="s">
        <v>27</v>
      </c>
      <c r="D39" s="5" t="s">
        <v>28</v>
      </c>
      <c r="E39" s="5" t="s">
        <v>71</v>
      </c>
      <c r="F39" s="5" t="s">
        <v>72</v>
      </c>
      <c r="G39" s="5" t="s">
        <v>31</v>
      </c>
      <c r="H39" s="5" t="s">
        <v>51</v>
      </c>
      <c r="I39" s="5" t="s">
        <v>52</v>
      </c>
      <c r="J39" s="5" t="s">
        <v>332</v>
      </c>
      <c r="K39" s="6">
        <v>1</v>
      </c>
      <c r="L39" s="6">
        <v>1</v>
      </c>
      <c r="M39" s="8">
        <v>1</v>
      </c>
      <c r="N39" s="6" t="s">
        <v>333</v>
      </c>
      <c r="O39" s="6">
        <v>2.33</v>
      </c>
      <c r="P39" s="6">
        <v>24.94</v>
      </c>
      <c r="Q39" s="6">
        <v>9.34</v>
      </c>
      <c r="R39" s="6">
        <v>10.7</v>
      </c>
      <c r="S39" s="6">
        <v>1</v>
      </c>
      <c r="T39" s="6">
        <v>1</v>
      </c>
      <c r="U39" s="8">
        <v>1</v>
      </c>
      <c r="V39" s="6">
        <v>1</v>
      </c>
      <c r="W39" s="6">
        <v>0</v>
      </c>
      <c r="X39" s="6" t="s">
        <v>35</v>
      </c>
      <c r="Y39" s="6" t="s">
        <v>36</v>
      </c>
    </row>
    <row r="40" spans="1:25" ht="14.4" x14ac:dyDescent="0.3">
      <c r="A40" s="154">
        <v>45939</v>
      </c>
      <c r="B40" s="154">
        <v>45939</v>
      </c>
      <c r="C40" s="5" t="s">
        <v>27</v>
      </c>
      <c r="D40" s="5" t="s">
        <v>28</v>
      </c>
      <c r="E40" s="5" t="s">
        <v>71</v>
      </c>
      <c r="F40" s="5" t="s">
        <v>72</v>
      </c>
      <c r="G40" s="5" t="s">
        <v>31</v>
      </c>
      <c r="H40" s="5" t="s">
        <v>51</v>
      </c>
      <c r="I40" s="5" t="s">
        <v>52</v>
      </c>
      <c r="J40" s="5" t="s">
        <v>334</v>
      </c>
      <c r="K40" s="6">
        <v>1</v>
      </c>
      <c r="L40" s="6">
        <v>1</v>
      </c>
      <c r="M40" s="8">
        <v>1</v>
      </c>
      <c r="N40" s="6" t="s">
        <v>80</v>
      </c>
      <c r="O40" s="6">
        <v>1.46</v>
      </c>
      <c r="P40" s="6">
        <v>24.94</v>
      </c>
      <c r="Q40" s="6">
        <v>5.85</v>
      </c>
      <c r="R40" s="6">
        <v>17.079999999999998</v>
      </c>
      <c r="S40" s="6">
        <v>1</v>
      </c>
      <c r="T40" s="6">
        <v>1</v>
      </c>
      <c r="U40" s="8">
        <v>1</v>
      </c>
      <c r="V40" s="6">
        <v>1</v>
      </c>
      <c r="W40" s="6">
        <v>0</v>
      </c>
      <c r="X40" s="6" t="s">
        <v>35</v>
      </c>
      <c r="Y40" s="6" t="s">
        <v>36</v>
      </c>
    </row>
    <row r="41" spans="1:25" ht="14.4" x14ac:dyDescent="0.3">
      <c r="A41" s="154">
        <v>45939</v>
      </c>
      <c r="B41" s="154">
        <v>45939</v>
      </c>
      <c r="C41" s="5" t="s">
        <v>27</v>
      </c>
      <c r="D41" s="5" t="s">
        <v>28</v>
      </c>
      <c r="E41" s="5" t="s">
        <v>71</v>
      </c>
      <c r="F41" s="5" t="s">
        <v>72</v>
      </c>
      <c r="G41" s="5" t="s">
        <v>31</v>
      </c>
      <c r="H41" s="5" t="s">
        <v>73</v>
      </c>
      <c r="I41" s="5" t="s">
        <v>52</v>
      </c>
      <c r="J41" s="5" t="s">
        <v>335</v>
      </c>
      <c r="K41" s="6">
        <v>4</v>
      </c>
      <c r="L41" s="6">
        <v>2</v>
      </c>
      <c r="M41" s="8">
        <v>0.5</v>
      </c>
      <c r="N41" s="6" t="s">
        <v>336</v>
      </c>
      <c r="O41" s="6">
        <v>6.7</v>
      </c>
      <c r="P41" s="6">
        <v>24.94</v>
      </c>
      <c r="Q41" s="6">
        <v>26.86</v>
      </c>
      <c r="R41" s="6">
        <v>3.72</v>
      </c>
      <c r="S41" s="6">
        <v>1</v>
      </c>
      <c r="T41" s="6">
        <v>1</v>
      </c>
      <c r="U41" s="8">
        <v>0.5</v>
      </c>
      <c r="V41" s="6">
        <v>1</v>
      </c>
      <c r="W41" s="6">
        <v>0</v>
      </c>
      <c r="X41" s="6" t="s">
        <v>35</v>
      </c>
      <c r="Y41" s="6" t="s">
        <v>36</v>
      </c>
    </row>
    <row r="42" spans="1:25" ht="14.4" x14ac:dyDescent="0.3">
      <c r="A42" s="154">
        <v>45939</v>
      </c>
      <c r="B42" s="154">
        <v>45939</v>
      </c>
      <c r="C42" s="5" t="s">
        <v>27</v>
      </c>
      <c r="D42" s="5" t="s">
        <v>28</v>
      </c>
      <c r="E42" s="5" t="s">
        <v>71</v>
      </c>
      <c r="F42" s="5" t="s">
        <v>72</v>
      </c>
      <c r="G42" s="5" t="s">
        <v>31</v>
      </c>
      <c r="H42" s="5" t="s">
        <v>51</v>
      </c>
      <c r="I42" s="5" t="s">
        <v>52</v>
      </c>
      <c r="J42" s="5" t="s">
        <v>337</v>
      </c>
      <c r="K42" s="6">
        <v>1</v>
      </c>
      <c r="L42" s="6">
        <v>1</v>
      </c>
      <c r="M42" s="8">
        <v>1</v>
      </c>
      <c r="N42" s="6" t="s">
        <v>157</v>
      </c>
      <c r="O42" s="6">
        <v>2.62</v>
      </c>
      <c r="P42" s="6">
        <v>24.94</v>
      </c>
      <c r="Q42" s="6">
        <v>10.51</v>
      </c>
      <c r="R42" s="6">
        <v>9.52</v>
      </c>
      <c r="S42" s="6">
        <v>1</v>
      </c>
      <c r="T42" s="6">
        <v>1</v>
      </c>
      <c r="U42" s="8">
        <v>1</v>
      </c>
      <c r="V42" s="6">
        <v>1</v>
      </c>
      <c r="W42" s="6">
        <v>0</v>
      </c>
      <c r="X42" s="6" t="s">
        <v>35</v>
      </c>
      <c r="Y42" s="6" t="s">
        <v>36</v>
      </c>
    </row>
    <row r="43" spans="1:25" ht="14.4" x14ac:dyDescent="0.3">
      <c r="A43" s="155">
        <v>45940</v>
      </c>
      <c r="B43" s="155">
        <v>45940</v>
      </c>
      <c r="C43" s="5" t="s">
        <v>27</v>
      </c>
      <c r="D43" s="5" t="s">
        <v>28</v>
      </c>
      <c r="E43" s="5" t="s">
        <v>56</v>
      </c>
      <c r="F43" s="5" t="s">
        <v>57</v>
      </c>
      <c r="G43" s="5" t="s">
        <v>31</v>
      </c>
      <c r="H43" s="12" t="e">
        <f>+maca +root</f>
        <v>#NAME?</v>
      </c>
      <c r="I43" s="5" t="s">
        <v>32</v>
      </c>
      <c r="J43" s="5" t="s">
        <v>323</v>
      </c>
      <c r="K43" s="6">
        <v>1</v>
      </c>
      <c r="L43" s="6">
        <v>1</v>
      </c>
      <c r="M43" s="8">
        <v>1</v>
      </c>
      <c r="N43" s="6" t="s">
        <v>324</v>
      </c>
      <c r="O43" s="6">
        <v>4.75</v>
      </c>
      <c r="P43" s="6">
        <v>24.94</v>
      </c>
      <c r="Q43" s="6">
        <v>19.05</v>
      </c>
      <c r="R43" s="6">
        <v>5.25</v>
      </c>
      <c r="S43" s="6">
        <v>1</v>
      </c>
      <c r="T43" s="6">
        <v>1</v>
      </c>
      <c r="U43" s="8">
        <v>1</v>
      </c>
      <c r="V43" s="6">
        <v>1</v>
      </c>
      <c r="W43" s="6">
        <v>0</v>
      </c>
      <c r="X43" s="6" t="s">
        <v>35</v>
      </c>
      <c r="Y43" s="6" t="s">
        <v>36</v>
      </c>
    </row>
    <row r="44" spans="1:25" ht="14.4" x14ac:dyDescent="0.3">
      <c r="A44" s="155">
        <v>45940</v>
      </c>
      <c r="B44" s="155">
        <v>45940</v>
      </c>
      <c r="C44" s="5" t="s">
        <v>27</v>
      </c>
      <c r="D44" s="5" t="s">
        <v>28</v>
      </c>
      <c r="E44" s="5" t="s">
        <v>71</v>
      </c>
      <c r="F44" s="5" t="s">
        <v>72</v>
      </c>
      <c r="G44" s="5" t="s">
        <v>31</v>
      </c>
      <c r="H44" s="5" t="s">
        <v>73</v>
      </c>
      <c r="I44" s="5" t="s">
        <v>52</v>
      </c>
      <c r="J44" s="5" t="s">
        <v>325</v>
      </c>
      <c r="K44" s="6">
        <v>3</v>
      </c>
      <c r="L44" s="6">
        <v>1</v>
      </c>
      <c r="M44" s="8">
        <v>0.33333299999999999</v>
      </c>
      <c r="N44" s="6" t="s">
        <v>326</v>
      </c>
      <c r="O44" s="6">
        <v>3.26</v>
      </c>
      <c r="P44" s="6">
        <v>24.94</v>
      </c>
      <c r="Q44" s="6">
        <v>13.07</v>
      </c>
      <c r="R44" s="6">
        <v>7.65</v>
      </c>
      <c r="S44" s="6">
        <v>1</v>
      </c>
      <c r="T44" s="6">
        <v>1</v>
      </c>
      <c r="U44" s="8">
        <v>1</v>
      </c>
      <c r="V44" s="6">
        <v>1</v>
      </c>
      <c r="W44" s="6">
        <v>0</v>
      </c>
      <c r="X44" s="6" t="s">
        <v>35</v>
      </c>
      <c r="Y44" s="6" t="s">
        <v>36</v>
      </c>
    </row>
    <row r="45" spans="1:25" ht="14.4" x14ac:dyDescent="0.3">
      <c r="A45" s="155">
        <v>45940</v>
      </c>
      <c r="B45" s="155">
        <v>45940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30</v>
      </c>
      <c r="I45" s="5" t="s">
        <v>32</v>
      </c>
      <c r="J45" s="5" t="s">
        <v>183</v>
      </c>
      <c r="K45" s="6">
        <v>4</v>
      </c>
      <c r="L45" s="6">
        <v>1</v>
      </c>
      <c r="M45" s="8">
        <v>0.25</v>
      </c>
      <c r="N45" s="6" t="s">
        <v>120</v>
      </c>
      <c r="O45" s="6">
        <v>3.1</v>
      </c>
      <c r="P45" s="6">
        <v>24.94</v>
      </c>
      <c r="Q45" s="6">
        <v>12.43</v>
      </c>
      <c r="R45" s="6">
        <v>8.0500000000000007</v>
      </c>
      <c r="S45" s="6">
        <v>1</v>
      </c>
      <c r="T45" s="6">
        <v>1</v>
      </c>
      <c r="U45" s="8">
        <v>1</v>
      </c>
      <c r="V45" s="6">
        <v>1</v>
      </c>
      <c r="W45" s="6">
        <v>0</v>
      </c>
      <c r="X45" s="6" t="s">
        <v>35</v>
      </c>
      <c r="Y45" s="6" t="s">
        <v>36</v>
      </c>
    </row>
    <row r="46" spans="1:25" ht="14.4" x14ac:dyDescent="0.3">
      <c r="A46" s="155">
        <v>45940</v>
      </c>
      <c r="B46" s="155">
        <v>45940</v>
      </c>
      <c r="C46" s="5" t="s">
        <v>27</v>
      </c>
      <c r="D46" s="5" t="s">
        <v>28</v>
      </c>
      <c r="E46" s="5" t="s">
        <v>71</v>
      </c>
      <c r="F46" s="5" t="s">
        <v>72</v>
      </c>
      <c r="G46" s="5" t="s">
        <v>31</v>
      </c>
      <c r="H46" s="5" t="s">
        <v>51</v>
      </c>
      <c r="I46" s="5" t="s">
        <v>52</v>
      </c>
      <c r="J46" s="5" t="s">
        <v>327</v>
      </c>
      <c r="K46" s="6">
        <v>2</v>
      </c>
      <c r="L46" s="6">
        <v>1</v>
      </c>
      <c r="M46" s="8">
        <v>0.5</v>
      </c>
      <c r="N46" s="6" t="s">
        <v>284</v>
      </c>
      <c r="O46" s="6">
        <v>1.88</v>
      </c>
      <c r="P46" s="6">
        <v>24.94</v>
      </c>
      <c r="Q46" s="6">
        <v>7.54</v>
      </c>
      <c r="R46" s="6">
        <v>13.27</v>
      </c>
      <c r="S46" s="6">
        <v>1</v>
      </c>
      <c r="T46" s="6">
        <v>1</v>
      </c>
      <c r="U46" s="8">
        <v>1</v>
      </c>
      <c r="V46" s="6">
        <v>1</v>
      </c>
      <c r="W46" s="6">
        <v>0</v>
      </c>
      <c r="X46" s="6" t="s">
        <v>35</v>
      </c>
      <c r="Y46" s="6" t="s">
        <v>36</v>
      </c>
    </row>
    <row r="47" spans="1:25" ht="14.4" x14ac:dyDescent="0.3">
      <c r="A47" s="155">
        <v>45941</v>
      </c>
      <c r="B47" s="155">
        <v>45941</v>
      </c>
      <c r="C47" s="5" t="s">
        <v>27</v>
      </c>
      <c r="D47" s="5" t="s">
        <v>28</v>
      </c>
      <c r="E47" s="5" t="s">
        <v>71</v>
      </c>
      <c r="F47" s="5" t="s">
        <v>72</v>
      </c>
      <c r="G47" s="5" t="s">
        <v>31</v>
      </c>
      <c r="H47" s="5" t="s">
        <v>73</v>
      </c>
      <c r="I47" s="5" t="s">
        <v>52</v>
      </c>
      <c r="J47" s="5" t="s">
        <v>320</v>
      </c>
      <c r="K47" s="6">
        <v>2</v>
      </c>
      <c r="L47" s="6">
        <v>1</v>
      </c>
      <c r="M47" s="8">
        <v>0.5</v>
      </c>
      <c r="N47" s="6" t="s">
        <v>321</v>
      </c>
      <c r="O47" s="6">
        <v>2.4</v>
      </c>
      <c r="P47" s="6">
        <v>24.94</v>
      </c>
      <c r="Q47" s="6">
        <v>9.6199999999999992</v>
      </c>
      <c r="R47" s="6">
        <v>10.39</v>
      </c>
      <c r="S47" s="6">
        <v>1</v>
      </c>
      <c r="T47" s="6">
        <v>1</v>
      </c>
      <c r="U47" s="8">
        <v>1</v>
      </c>
      <c r="V47" s="6">
        <v>1</v>
      </c>
      <c r="W47" s="6">
        <v>0</v>
      </c>
      <c r="X47" s="6" t="s">
        <v>35</v>
      </c>
      <c r="Y47" s="6" t="s">
        <v>36</v>
      </c>
    </row>
    <row r="48" spans="1:25" ht="14.4" x14ac:dyDescent="0.3">
      <c r="A48" s="155">
        <v>45941</v>
      </c>
      <c r="B48" s="155">
        <v>45941</v>
      </c>
      <c r="C48" s="5" t="s">
        <v>27</v>
      </c>
      <c r="D48" s="5" t="s">
        <v>28</v>
      </c>
      <c r="E48" s="5" t="s">
        <v>71</v>
      </c>
      <c r="F48" s="5" t="s">
        <v>72</v>
      </c>
      <c r="G48" s="5" t="s">
        <v>31</v>
      </c>
      <c r="H48" s="5" t="s">
        <v>51</v>
      </c>
      <c r="I48" s="5" t="s">
        <v>52</v>
      </c>
      <c r="J48" s="5" t="s">
        <v>322</v>
      </c>
      <c r="K48" s="6">
        <v>1</v>
      </c>
      <c r="L48" s="6">
        <v>1</v>
      </c>
      <c r="M48" s="8">
        <v>1</v>
      </c>
      <c r="N48" s="6" t="s">
        <v>124</v>
      </c>
      <c r="O48" s="6">
        <v>2.63</v>
      </c>
      <c r="P48" s="6">
        <v>24.94</v>
      </c>
      <c r="Q48" s="6">
        <v>10.55</v>
      </c>
      <c r="R48" s="6">
        <v>9.48</v>
      </c>
      <c r="S48" s="6">
        <v>1</v>
      </c>
      <c r="T48" s="6">
        <v>1</v>
      </c>
      <c r="U48" s="8">
        <v>1</v>
      </c>
      <c r="V48" s="6">
        <v>1</v>
      </c>
      <c r="W48" s="6">
        <v>0</v>
      </c>
      <c r="X48" s="6" t="s">
        <v>35</v>
      </c>
      <c r="Y48" s="6" t="s">
        <v>36</v>
      </c>
    </row>
  </sheetData>
  <autoFilter ref="A1:Y4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001"/>
  <sheetViews>
    <sheetView workbookViewId="0"/>
  </sheetViews>
  <sheetFormatPr defaultColWidth="12.59765625" defaultRowHeight="15" customHeight="1" x14ac:dyDescent="0.25"/>
  <cols>
    <col min="1" max="2" width="11.59765625" customWidth="1"/>
    <col min="3" max="3" width="16.8984375" customWidth="1"/>
    <col min="4" max="4" width="8.19921875" customWidth="1"/>
    <col min="5" max="5" width="49.5" customWidth="1"/>
    <col min="6" max="6" width="19.19921875" customWidth="1"/>
    <col min="7" max="7" width="11.69921875" customWidth="1"/>
    <col min="8" max="8" width="29" customWidth="1"/>
    <col min="9" max="9" width="12.59765625" customWidth="1"/>
    <col min="10" max="10" width="30.8984375" customWidth="1"/>
    <col min="11" max="11" width="10.59765625" customWidth="1"/>
    <col min="12" max="12" width="7.69921875" customWidth="1"/>
    <col min="13" max="13" width="18.09765625" customWidth="1"/>
    <col min="14" max="14" width="16.8984375" customWidth="1"/>
    <col min="15" max="15" width="15.09765625" customWidth="1"/>
    <col min="16" max="16" width="18.5" customWidth="1"/>
    <col min="17" max="17" width="41.69921875" customWidth="1"/>
    <col min="18" max="18" width="34.69921875" customWidth="1"/>
    <col min="19" max="19" width="19.09765625" customWidth="1"/>
    <col min="20" max="20" width="17.8984375" customWidth="1"/>
    <col min="21" max="21" width="19.3984375" customWidth="1"/>
    <col min="22" max="22" width="26.19921875" customWidth="1"/>
    <col min="23" max="23" width="22.09765625" customWidth="1"/>
    <col min="24" max="24" width="23.69921875" customWidth="1"/>
    <col min="25" max="25" width="19.69921875" customWidth="1"/>
  </cols>
  <sheetData>
    <row r="1" spans="1:25" ht="14.25" customHeight="1" x14ac:dyDescent="0.3">
      <c r="A1" s="156" t="s">
        <v>0</v>
      </c>
      <c r="B1" s="157" t="s">
        <v>1</v>
      </c>
      <c r="C1" s="157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10</v>
      </c>
      <c r="L1" s="157" t="s">
        <v>11</v>
      </c>
      <c r="M1" s="157" t="s">
        <v>12</v>
      </c>
      <c r="N1" s="157" t="s">
        <v>13</v>
      </c>
      <c r="O1" s="157" t="s">
        <v>14</v>
      </c>
      <c r="P1" s="158" t="s">
        <v>15</v>
      </c>
      <c r="Q1" s="158" t="s">
        <v>16</v>
      </c>
      <c r="R1" s="157" t="s">
        <v>17</v>
      </c>
      <c r="S1" s="157" t="s">
        <v>18</v>
      </c>
      <c r="T1" s="157" t="s">
        <v>19</v>
      </c>
      <c r="U1" s="157" t="s">
        <v>20</v>
      </c>
      <c r="V1" s="157" t="s">
        <v>21</v>
      </c>
      <c r="W1" s="157" t="s">
        <v>22</v>
      </c>
      <c r="X1" s="157" t="s">
        <v>23</v>
      </c>
      <c r="Y1" s="159" t="s">
        <v>24</v>
      </c>
    </row>
    <row r="2" spans="1:25" ht="14.4" x14ac:dyDescent="0.3">
      <c r="A2" s="4">
        <v>45934</v>
      </c>
      <c r="B2" s="4">
        <v>45934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30</v>
      </c>
      <c r="I2" s="5" t="s">
        <v>32</v>
      </c>
      <c r="J2" s="5" t="s">
        <v>375</v>
      </c>
      <c r="K2" s="7">
        <v>1</v>
      </c>
      <c r="L2" s="7">
        <v>1</v>
      </c>
      <c r="M2" s="16">
        <v>1</v>
      </c>
      <c r="N2" s="10" t="s">
        <v>309</v>
      </c>
      <c r="O2" s="6">
        <v>3.7</v>
      </c>
      <c r="P2" s="6">
        <v>24.94</v>
      </c>
      <c r="Q2" s="9">
        <v>14.84</v>
      </c>
      <c r="R2" s="9">
        <v>6.74</v>
      </c>
      <c r="S2" s="7">
        <v>1</v>
      </c>
      <c r="T2" s="7">
        <v>1</v>
      </c>
      <c r="U2" s="16">
        <v>1</v>
      </c>
      <c r="V2" s="7">
        <v>1</v>
      </c>
      <c r="W2" s="7">
        <v>0</v>
      </c>
      <c r="X2" s="10" t="s">
        <v>35</v>
      </c>
      <c r="Y2" s="10" t="s">
        <v>36</v>
      </c>
    </row>
    <row r="3" spans="1:25" ht="14.4" x14ac:dyDescent="0.3">
      <c r="A3" s="4">
        <v>45934</v>
      </c>
      <c r="B3" s="4">
        <v>45934</v>
      </c>
      <c r="C3" s="5" t="s">
        <v>143</v>
      </c>
      <c r="D3" s="5" t="s">
        <v>28</v>
      </c>
      <c r="E3" s="5" t="s">
        <v>144</v>
      </c>
      <c r="F3" s="5" t="s">
        <v>32</v>
      </c>
      <c r="G3" s="5" t="s">
        <v>31</v>
      </c>
      <c r="H3" s="5" t="s">
        <v>30</v>
      </c>
      <c r="I3" s="5" t="s">
        <v>44</v>
      </c>
      <c r="J3" s="5" t="s">
        <v>376</v>
      </c>
      <c r="K3" s="7">
        <v>3</v>
      </c>
      <c r="L3" s="7">
        <v>1</v>
      </c>
      <c r="M3" s="16">
        <v>0.33333299999999999</v>
      </c>
      <c r="N3" s="10" t="s">
        <v>196</v>
      </c>
      <c r="O3" s="6">
        <v>1.36</v>
      </c>
      <c r="P3" s="6">
        <v>24.94</v>
      </c>
      <c r="Q3" s="9">
        <v>5.45</v>
      </c>
      <c r="R3" s="9">
        <v>18.34</v>
      </c>
      <c r="S3" s="7">
        <v>1</v>
      </c>
      <c r="T3" s="7">
        <v>1</v>
      </c>
      <c r="U3" s="16">
        <v>1</v>
      </c>
      <c r="V3" s="7">
        <v>1</v>
      </c>
      <c r="W3" s="7">
        <v>0</v>
      </c>
      <c r="X3" s="10" t="s">
        <v>35</v>
      </c>
      <c r="Y3" s="10" t="s">
        <v>36</v>
      </c>
    </row>
    <row r="4" spans="1:25" ht="14.4" x14ac:dyDescent="0.3">
      <c r="A4" s="4">
        <v>45934</v>
      </c>
      <c r="B4" s="4">
        <v>45934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30</v>
      </c>
      <c r="I4" s="5" t="s">
        <v>32</v>
      </c>
      <c r="J4" s="5" t="s">
        <v>377</v>
      </c>
      <c r="K4" s="7">
        <v>1</v>
      </c>
      <c r="L4" s="7">
        <v>1</v>
      </c>
      <c r="M4" s="16">
        <v>1</v>
      </c>
      <c r="N4" s="10" t="s">
        <v>309</v>
      </c>
      <c r="O4" s="6">
        <v>3.7</v>
      </c>
      <c r="P4" s="6">
        <v>24.94</v>
      </c>
      <c r="Q4" s="9">
        <v>14.84</v>
      </c>
      <c r="R4" s="9">
        <v>6.74</v>
      </c>
      <c r="S4" s="7">
        <v>1</v>
      </c>
      <c r="T4" s="7">
        <v>1</v>
      </c>
      <c r="U4" s="16">
        <v>1</v>
      </c>
      <c r="V4" s="7">
        <v>1</v>
      </c>
      <c r="W4" s="7">
        <v>0</v>
      </c>
      <c r="X4" s="10" t="s">
        <v>35</v>
      </c>
      <c r="Y4" s="10" t="s">
        <v>36</v>
      </c>
    </row>
    <row r="5" spans="1:25" ht="14.4" x14ac:dyDescent="0.3">
      <c r="A5" s="4">
        <v>45934</v>
      </c>
      <c r="B5" s="4">
        <v>45934</v>
      </c>
      <c r="C5" s="5" t="s">
        <v>48</v>
      </c>
      <c r="D5" s="5" t="s">
        <v>28</v>
      </c>
      <c r="E5" s="5" t="s">
        <v>233</v>
      </c>
      <c r="F5" s="5" t="s">
        <v>234</v>
      </c>
      <c r="G5" s="5" t="s">
        <v>31</v>
      </c>
      <c r="H5" s="5" t="s">
        <v>153</v>
      </c>
      <c r="I5" s="5" t="s">
        <v>32</v>
      </c>
      <c r="J5" s="5" t="s">
        <v>378</v>
      </c>
      <c r="K5" s="7">
        <v>1</v>
      </c>
      <c r="L5" s="7">
        <v>1</v>
      </c>
      <c r="M5" s="16">
        <v>1</v>
      </c>
      <c r="N5" s="10" t="s">
        <v>367</v>
      </c>
      <c r="O5" s="6">
        <v>3.21</v>
      </c>
      <c r="P5" s="6">
        <v>43.8</v>
      </c>
      <c r="Q5" s="9">
        <v>7.33</v>
      </c>
      <c r="R5" s="9">
        <v>13.64</v>
      </c>
      <c r="S5" s="7">
        <v>1</v>
      </c>
      <c r="T5" s="7">
        <v>2</v>
      </c>
      <c r="U5" s="16">
        <v>1</v>
      </c>
      <c r="V5" s="7">
        <v>2</v>
      </c>
      <c r="W5" s="7">
        <v>0</v>
      </c>
      <c r="X5" s="10" t="s">
        <v>67</v>
      </c>
      <c r="Y5" s="10" t="s">
        <v>36</v>
      </c>
    </row>
    <row r="6" spans="1:25" ht="14.4" x14ac:dyDescent="0.3">
      <c r="A6" s="4">
        <v>45934</v>
      </c>
      <c r="B6" s="4">
        <v>45934</v>
      </c>
      <c r="C6" s="5" t="s">
        <v>48</v>
      </c>
      <c r="D6" s="5" t="s">
        <v>28</v>
      </c>
      <c r="E6" s="5" t="s">
        <v>233</v>
      </c>
      <c r="F6" s="5" t="s">
        <v>234</v>
      </c>
      <c r="G6" s="5" t="s">
        <v>31</v>
      </c>
      <c r="H6" s="5" t="s">
        <v>153</v>
      </c>
      <c r="I6" s="5" t="s">
        <v>32</v>
      </c>
      <c r="J6" s="5" t="s">
        <v>379</v>
      </c>
      <c r="K6" s="7">
        <v>1</v>
      </c>
      <c r="L6" s="7">
        <v>1</v>
      </c>
      <c r="M6" s="16">
        <v>1</v>
      </c>
      <c r="N6" s="10" t="s">
        <v>380</v>
      </c>
      <c r="O6" s="6">
        <v>3.53</v>
      </c>
      <c r="P6" s="6">
        <v>21.9</v>
      </c>
      <c r="Q6" s="9">
        <v>16.12</v>
      </c>
      <c r="R6" s="9">
        <v>6.2</v>
      </c>
      <c r="S6" s="7">
        <v>1</v>
      </c>
      <c r="T6" s="7">
        <v>1</v>
      </c>
      <c r="U6" s="16">
        <v>1</v>
      </c>
      <c r="V6" s="7">
        <v>1</v>
      </c>
      <c r="W6" s="7">
        <v>0</v>
      </c>
      <c r="X6" s="10" t="s">
        <v>55</v>
      </c>
      <c r="Y6" s="10" t="s">
        <v>36</v>
      </c>
    </row>
    <row r="7" spans="1:25" ht="14.4" x14ac:dyDescent="0.3">
      <c r="A7" s="4">
        <v>45933</v>
      </c>
      <c r="B7" s="4">
        <v>45933</v>
      </c>
      <c r="C7" s="5" t="s">
        <v>27</v>
      </c>
      <c r="D7" s="5" t="s">
        <v>28</v>
      </c>
      <c r="E7" s="5" t="s">
        <v>71</v>
      </c>
      <c r="F7" s="5" t="s">
        <v>72</v>
      </c>
      <c r="G7" s="5" t="s">
        <v>31</v>
      </c>
      <c r="H7" s="5" t="s">
        <v>73</v>
      </c>
      <c r="I7" s="5" t="s">
        <v>52</v>
      </c>
      <c r="J7" s="5" t="s">
        <v>381</v>
      </c>
      <c r="K7" s="7">
        <v>1</v>
      </c>
      <c r="L7" s="7">
        <v>1</v>
      </c>
      <c r="M7" s="16">
        <v>1</v>
      </c>
      <c r="N7" s="10" t="s">
        <v>163</v>
      </c>
      <c r="O7" s="6">
        <v>3.81</v>
      </c>
      <c r="P7" s="6">
        <v>24.94</v>
      </c>
      <c r="Q7" s="9">
        <v>15.28</v>
      </c>
      <c r="R7" s="9">
        <v>6.55</v>
      </c>
      <c r="S7" s="7">
        <v>1</v>
      </c>
      <c r="T7" s="7">
        <v>1</v>
      </c>
      <c r="U7" s="16">
        <v>1</v>
      </c>
      <c r="V7" s="7">
        <v>1</v>
      </c>
      <c r="W7" s="7">
        <v>0</v>
      </c>
      <c r="X7" s="10" t="s">
        <v>35</v>
      </c>
      <c r="Y7" s="10" t="s">
        <v>36</v>
      </c>
    </row>
    <row r="8" spans="1:25" ht="14.4" x14ac:dyDescent="0.3">
      <c r="A8" s="4">
        <v>45933</v>
      </c>
      <c r="B8" s="4">
        <v>45934</v>
      </c>
      <c r="C8" s="5" t="s">
        <v>143</v>
      </c>
      <c r="D8" s="5" t="s">
        <v>28</v>
      </c>
      <c r="E8" s="5" t="s">
        <v>144</v>
      </c>
      <c r="F8" s="5" t="s">
        <v>32</v>
      </c>
      <c r="G8" s="5" t="s">
        <v>31</v>
      </c>
      <c r="H8" s="5" t="s">
        <v>173</v>
      </c>
      <c r="I8" s="5" t="s">
        <v>65</v>
      </c>
      <c r="J8" s="5" t="s">
        <v>173</v>
      </c>
      <c r="K8" s="7">
        <v>132</v>
      </c>
      <c r="L8" s="7">
        <v>3</v>
      </c>
      <c r="M8" s="16">
        <v>2.2727000000000001E-2</v>
      </c>
      <c r="N8" s="10" t="s">
        <v>382</v>
      </c>
      <c r="O8" s="6">
        <v>1.47</v>
      </c>
      <c r="P8" s="6">
        <v>24.94</v>
      </c>
      <c r="Q8" s="9">
        <v>5.89</v>
      </c>
      <c r="R8" s="9">
        <v>16.97</v>
      </c>
      <c r="S8" s="7">
        <v>1</v>
      </c>
      <c r="T8" s="7">
        <v>1</v>
      </c>
      <c r="U8" s="16">
        <v>0.33333299999999999</v>
      </c>
      <c r="V8" s="7">
        <v>1</v>
      </c>
      <c r="W8" s="7">
        <v>0</v>
      </c>
      <c r="X8" s="10" t="s">
        <v>35</v>
      </c>
      <c r="Y8" s="10" t="s">
        <v>36</v>
      </c>
    </row>
    <row r="9" spans="1:25" ht="14.4" x14ac:dyDescent="0.3">
      <c r="A9" s="4">
        <v>45933</v>
      </c>
      <c r="B9" s="4">
        <v>45933</v>
      </c>
      <c r="C9" s="5" t="s">
        <v>27</v>
      </c>
      <c r="D9" s="5" t="s">
        <v>28</v>
      </c>
      <c r="E9" s="5" t="s">
        <v>56</v>
      </c>
      <c r="F9" s="5" t="s">
        <v>57</v>
      </c>
      <c r="G9" s="5" t="s">
        <v>31</v>
      </c>
      <c r="H9" s="35" t="e">
        <f>+maca +root</f>
        <v>#NAME?</v>
      </c>
      <c r="I9" s="5" t="s">
        <v>32</v>
      </c>
      <c r="J9" s="5" t="s">
        <v>383</v>
      </c>
      <c r="K9" s="7">
        <v>2</v>
      </c>
      <c r="L9" s="7">
        <v>1</v>
      </c>
      <c r="M9" s="16">
        <v>0.5</v>
      </c>
      <c r="N9" s="10" t="s">
        <v>324</v>
      </c>
      <c r="O9" s="6">
        <v>4.75</v>
      </c>
      <c r="P9" s="6">
        <v>24.94</v>
      </c>
      <c r="Q9" s="9">
        <v>19.05</v>
      </c>
      <c r="R9" s="9">
        <v>5.25</v>
      </c>
      <c r="S9" s="7">
        <v>1</v>
      </c>
      <c r="T9" s="7">
        <v>1</v>
      </c>
      <c r="U9" s="16">
        <v>1</v>
      </c>
      <c r="V9" s="7">
        <v>1</v>
      </c>
      <c r="W9" s="7">
        <v>0</v>
      </c>
      <c r="X9" s="10" t="s">
        <v>35</v>
      </c>
      <c r="Y9" s="10" t="s">
        <v>36</v>
      </c>
    </row>
    <row r="10" spans="1:25" ht="14.4" x14ac:dyDescent="0.3">
      <c r="A10" s="4">
        <v>45933</v>
      </c>
      <c r="B10" s="4">
        <v>45933</v>
      </c>
      <c r="C10" s="5" t="s">
        <v>48</v>
      </c>
      <c r="D10" s="5" t="s">
        <v>28</v>
      </c>
      <c r="E10" s="5" t="s">
        <v>233</v>
      </c>
      <c r="F10" s="5" t="s">
        <v>234</v>
      </c>
      <c r="G10" s="5" t="s">
        <v>31</v>
      </c>
      <c r="H10" s="5" t="s">
        <v>153</v>
      </c>
      <c r="I10" s="5" t="s">
        <v>32</v>
      </c>
      <c r="J10" s="5" t="s">
        <v>299</v>
      </c>
      <c r="K10" s="7">
        <v>6</v>
      </c>
      <c r="L10" s="7">
        <v>1</v>
      </c>
      <c r="M10" s="16">
        <v>0.16666700000000001</v>
      </c>
      <c r="N10" s="10" t="s">
        <v>367</v>
      </c>
      <c r="O10" s="6">
        <v>3.21</v>
      </c>
      <c r="P10" s="6">
        <v>21.9</v>
      </c>
      <c r="Q10" s="9">
        <v>14.66</v>
      </c>
      <c r="R10" s="9">
        <v>6.82</v>
      </c>
      <c r="S10" s="7">
        <v>1</v>
      </c>
      <c r="T10" s="7">
        <v>1</v>
      </c>
      <c r="U10" s="16">
        <v>1</v>
      </c>
      <c r="V10" s="7">
        <v>1</v>
      </c>
      <c r="W10" s="7">
        <v>0</v>
      </c>
      <c r="X10" s="10" t="s">
        <v>55</v>
      </c>
      <c r="Y10" s="10" t="s">
        <v>36</v>
      </c>
    </row>
    <row r="11" spans="1:25" ht="14.4" x14ac:dyDescent="0.3">
      <c r="A11" s="4">
        <v>45932</v>
      </c>
      <c r="B11" s="4">
        <v>45933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30</v>
      </c>
      <c r="I11" s="5" t="s">
        <v>32</v>
      </c>
      <c r="J11" s="5" t="s">
        <v>162</v>
      </c>
      <c r="K11" s="7">
        <v>24</v>
      </c>
      <c r="L11" s="7">
        <v>3</v>
      </c>
      <c r="M11" s="16">
        <v>0.125</v>
      </c>
      <c r="N11" s="10" t="s">
        <v>167</v>
      </c>
      <c r="O11" s="6">
        <v>15.54</v>
      </c>
      <c r="P11" s="6">
        <v>24.94</v>
      </c>
      <c r="Q11" s="9">
        <v>62.31</v>
      </c>
      <c r="R11" s="9">
        <v>1.6</v>
      </c>
      <c r="S11" s="7">
        <v>1</v>
      </c>
      <c r="T11" s="7">
        <v>1</v>
      </c>
      <c r="U11" s="16">
        <v>0.33333299999999999</v>
      </c>
      <c r="V11" s="7">
        <v>1</v>
      </c>
      <c r="W11" s="7">
        <v>0</v>
      </c>
      <c r="X11" s="10" t="s">
        <v>35</v>
      </c>
      <c r="Y11" s="10" t="s">
        <v>36</v>
      </c>
    </row>
    <row r="12" spans="1:25" ht="14.4" x14ac:dyDescent="0.3">
      <c r="A12" s="4">
        <v>45932</v>
      </c>
      <c r="B12" s="4">
        <v>45932</v>
      </c>
      <c r="C12" s="5" t="s">
        <v>27</v>
      </c>
      <c r="D12" s="5" t="s">
        <v>28</v>
      </c>
      <c r="E12" s="5" t="s">
        <v>56</v>
      </c>
      <c r="F12" s="5" t="s">
        <v>57</v>
      </c>
      <c r="G12" s="5" t="s">
        <v>31</v>
      </c>
      <c r="H12" s="35" t="e">
        <f t="shared" ref="H12:H13" si="0">+maca +root</f>
        <v>#NAME?</v>
      </c>
      <c r="I12" s="5" t="s">
        <v>32</v>
      </c>
      <c r="J12" s="5" t="s">
        <v>384</v>
      </c>
      <c r="K12" s="7">
        <v>12</v>
      </c>
      <c r="L12" s="7">
        <v>1</v>
      </c>
      <c r="M12" s="16">
        <v>8.3333000000000004E-2</v>
      </c>
      <c r="N12" s="10" t="s">
        <v>385</v>
      </c>
      <c r="O12" s="6">
        <v>2.75</v>
      </c>
      <c r="P12" s="6">
        <v>24.94</v>
      </c>
      <c r="Q12" s="9">
        <v>11.03</v>
      </c>
      <c r="R12" s="9">
        <v>9.07</v>
      </c>
      <c r="S12" s="7">
        <v>1</v>
      </c>
      <c r="T12" s="7">
        <v>1</v>
      </c>
      <c r="U12" s="16">
        <v>1</v>
      </c>
      <c r="V12" s="7">
        <v>1</v>
      </c>
      <c r="W12" s="7">
        <v>0</v>
      </c>
      <c r="X12" s="10" t="s">
        <v>35</v>
      </c>
      <c r="Y12" s="10" t="s">
        <v>36</v>
      </c>
    </row>
    <row r="13" spans="1:25" ht="14.4" x14ac:dyDescent="0.3">
      <c r="A13" s="4">
        <v>45932</v>
      </c>
      <c r="B13" s="4">
        <v>45932</v>
      </c>
      <c r="C13" s="5" t="s">
        <v>27</v>
      </c>
      <c r="D13" s="5" t="s">
        <v>28</v>
      </c>
      <c r="E13" s="5" t="s">
        <v>56</v>
      </c>
      <c r="F13" s="5" t="s">
        <v>57</v>
      </c>
      <c r="G13" s="5" t="s">
        <v>31</v>
      </c>
      <c r="H13" s="35" t="e">
        <f t="shared" si="0"/>
        <v>#NAME?</v>
      </c>
      <c r="I13" s="5" t="s">
        <v>32</v>
      </c>
      <c r="J13" s="5" t="s">
        <v>386</v>
      </c>
      <c r="K13" s="7">
        <v>2</v>
      </c>
      <c r="L13" s="7">
        <v>1</v>
      </c>
      <c r="M13" s="16">
        <v>0.5</v>
      </c>
      <c r="N13" s="10" t="s">
        <v>107</v>
      </c>
      <c r="O13" s="6">
        <v>2.91</v>
      </c>
      <c r="P13" s="6">
        <v>24.94</v>
      </c>
      <c r="Q13" s="9">
        <v>11.67</v>
      </c>
      <c r="R13" s="9">
        <v>8.57</v>
      </c>
      <c r="S13" s="7">
        <v>1</v>
      </c>
      <c r="T13" s="7">
        <v>1</v>
      </c>
      <c r="U13" s="16">
        <v>1</v>
      </c>
      <c r="V13" s="7">
        <v>1</v>
      </c>
      <c r="W13" s="7">
        <v>0</v>
      </c>
      <c r="X13" s="10" t="s">
        <v>35</v>
      </c>
      <c r="Y13" s="10" t="s">
        <v>36</v>
      </c>
    </row>
    <row r="14" spans="1:25" ht="14.4" x14ac:dyDescent="0.3">
      <c r="A14" s="4">
        <v>45932</v>
      </c>
      <c r="B14" s="4">
        <v>45932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30</v>
      </c>
      <c r="I14" s="5" t="s">
        <v>32</v>
      </c>
      <c r="J14" s="5" t="s">
        <v>335</v>
      </c>
      <c r="K14" s="7">
        <v>1</v>
      </c>
      <c r="L14" s="7">
        <v>1</v>
      </c>
      <c r="M14" s="16">
        <v>1</v>
      </c>
      <c r="N14" s="10" t="s">
        <v>309</v>
      </c>
      <c r="O14" s="6">
        <v>3.7</v>
      </c>
      <c r="P14" s="6">
        <v>24.94</v>
      </c>
      <c r="Q14" s="9">
        <v>14.84</v>
      </c>
      <c r="R14" s="9">
        <v>6.74</v>
      </c>
      <c r="S14" s="7">
        <v>1</v>
      </c>
      <c r="T14" s="7">
        <v>1</v>
      </c>
      <c r="U14" s="16">
        <v>1</v>
      </c>
      <c r="V14" s="7">
        <v>1</v>
      </c>
      <c r="W14" s="7">
        <v>0</v>
      </c>
      <c r="X14" s="10" t="s">
        <v>35</v>
      </c>
      <c r="Y14" s="10" t="s">
        <v>36</v>
      </c>
    </row>
    <row r="15" spans="1:25" ht="14.4" x14ac:dyDescent="0.3">
      <c r="A15" s="4">
        <v>45932</v>
      </c>
      <c r="B15" s="4">
        <v>45932</v>
      </c>
      <c r="C15" s="5" t="s">
        <v>48</v>
      </c>
      <c r="D15" s="5" t="s">
        <v>28</v>
      </c>
      <c r="E15" s="5" t="s">
        <v>233</v>
      </c>
      <c r="F15" s="5" t="s">
        <v>234</v>
      </c>
      <c r="G15" s="5" t="s">
        <v>31</v>
      </c>
      <c r="H15" s="5" t="s">
        <v>357</v>
      </c>
      <c r="I15" s="5" t="s">
        <v>32</v>
      </c>
      <c r="J15" s="5" t="s">
        <v>387</v>
      </c>
      <c r="K15" s="7">
        <v>1</v>
      </c>
      <c r="L15" s="7">
        <v>1</v>
      </c>
      <c r="M15" s="16">
        <v>1</v>
      </c>
      <c r="N15" s="10" t="s">
        <v>388</v>
      </c>
      <c r="O15" s="6">
        <v>3.12</v>
      </c>
      <c r="P15" s="6">
        <v>21.9</v>
      </c>
      <c r="Q15" s="9">
        <v>14.25</v>
      </c>
      <c r="R15" s="9">
        <v>7.02</v>
      </c>
      <c r="S15" s="7">
        <v>1</v>
      </c>
      <c r="T15" s="7">
        <v>1</v>
      </c>
      <c r="U15" s="16">
        <v>1</v>
      </c>
      <c r="V15" s="7">
        <v>1</v>
      </c>
      <c r="W15" s="7">
        <v>0</v>
      </c>
      <c r="X15" s="10" t="s">
        <v>55</v>
      </c>
      <c r="Y15" s="10" t="s">
        <v>36</v>
      </c>
    </row>
    <row r="16" spans="1:25" ht="14.4" x14ac:dyDescent="0.3">
      <c r="A16" s="4">
        <v>45931</v>
      </c>
      <c r="B16" s="4">
        <v>45931</v>
      </c>
      <c r="C16" s="5" t="s">
        <v>27</v>
      </c>
      <c r="D16" s="5" t="s">
        <v>28</v>
      </c>
      <c r="E16" s="5" t="s">
        <v>71</v>
      </c>
      <c r="F16" s="5" t="s">
        <v>72</v>
      </c>
      <c r="G16" s="5" t="s">
        <v>31</v>
      </c>
      <c r="H16" s="5" t="s">
        <v>73</v>
      </c>
      <c r="I16" s="5" t="s">
        <v>52</v>
      </c>
      <c r="J16" s="5" t="s">
        <v>43</v>
      </c>
      <c r="K16" s="7">
        <v>17</v>
      </c>
      <c r="L16" s="7">
        <v>2</v>
      </c>
      <c r="M16" s="16">
        <v>0.117647</v>
      </c>
      <c r="N16" s="10" t="s">
        <v>100</v>
      </c>
      <c r="O16" s="6">
        <v>7.26</v>
      </c>
      <c r="P16" s="6">
        <v>24.94</v>
      </c>
      <c r="Q16" s="9">
        <v>29.11</v>
      </c>
      <c r="R16" s="9">
        <v>3.44</v>
      </c>
      <c r="S16" s="7">
        <v>1</v>
      </c>
      <c r="T16" s="7">
        <v>1</v>
      </c>
      <c r="U16" s="16">
        <v>0.5</v>
      </c>
      <c r="V16" s="7">
        <v>1</v>
      </c>
      <c r="W16" s="7">
        <v>0</v>
      </c>
      <c r="X16" s="10" t="s">
        <v>35</v>
      </c>
      <c r="Y16" s="10" t="s">
        <v>36</v>
      </c>
    </row>
    <row r="17" spans="1:25" ht="14.4" x14ac:dyDescent="0.3">
      <c r="A17" s="4">
        <v>45931</v>
      </c>
      <c r="B17" s="4">
        <v>45934</v>
      </c>
      <c r="C17" s="5" t="s">
        <v>27</v>
      </c>
      <c r="D17" s="5" t="s">
        <v>28</v>
      </c>
      <c r="E17" s="5" t="s">
        <v>71</v>
      </c>
      <c r="F17" s="5" t="s">
        <v>72</v>
      </c>
      <c r="G17" s="5" t="s">
        <v>31</v>
      </c>
      <c r="H17" s="5" t="s">
        <v>73</v>
      </c>
      <c r="I17" s="5" t="s">
        <v>52</v>
      </c>
      <c r="J17" s="5" t="s">
        <v>76</v>
      </c>
      <c r="K17" s="7">
        <v>203</v>
      </c>
      <c r="L17" s="7">
        <v>4</v>
      </c>
      <c r="M17" s="16">
        <v>1.9703999999999999E-2</v>
      </c>
      <c r="N17" s="10" t="s">
        <v>238</v>
      </c>
      <c r="O17" s="6">
        <v>15.04</v>
      </c>
      <c r="P17" s="6">
        <v>24.94</v>
      </c>
      <c r="Q17" s="9">
        <v>60.3</v>
      </c>
      <c r="R17" s="9">
        <v>1.66</v>
      </c>
      <c r="S17" s="7">
        <v>1</v>
      </c>
      <c r="T17" s="7">
        <v>1</v>
      </c>
      <c r="U17" s="16">
        <v>0.25</v>
      </c>
      <c r="V17" s="7">
        <v>1</v>
      </c>
      <c r="W17" s="7">
        <v>0</v>
      </c>
      <c r="X17" s="10" t="s">
        <v>35</v>
      </c>
      <c r="Y17" s="10" t="s">
        <v>36</v>
      </c>
    </row>
    <row r="18" spans="1:25" ht="14.4" x14ac:dyDescent="0.3">
      <c r="A18" s="4">
        <v>45931</v>
      </c>
      <c r="B18" s="4">
        <v>45931</v>
      </c>
      <c r="C18" s="5" t="s">
        <v>48</v>
      </c>
      <c r="D18" s="5" t="s">
        <v>28</v>
      </c>
      <c r="E18" s="5" t="s">
        <v>233</v>
      </c>
      <c r="F18" s="5" t="s">
        <v>234</v>
      </c>
      <c r="G18" s="5" t="s">
        <v>31</v>
      </c>
      <c r="H18" s="5" t="s">
        <v>153</v>
      </c>
      <c r="I18" s="5" t="s">
        <v>32</v>
      </c>
      <c r="J18" s="5" t="s">
        <v>389</v>
      </c>
      <c r="K18" s="7">
        <v>3</v>
      </c>
      <c r="L18" s="7">
        <v>2</v>
      </c>
      <c r="M18" s="16">
        <v>0.66666700000000001</v>
      </c>
      <c r="N18" s="10" t="s">
        <v>367</v>
      </c>
      <c r="O18" s="6">
        <v>6.42</v>
      </c>
      <c r="P18" s="6">
        <v>21.9</v>
      </c>
      <c r="Q18" s="9">
        <v>29.32</v>
      </c>
      <c r="R18" s="9">
        <v>3.41</v>
      </c>
      <c r="S18" s="7">
        <v>1</v>
      </c>
      <c r="T18" s="7">
        <v>1</v>
      </c>
      <c r="U18" s="16">
        <v>0.5</v>
      </c>
      <c r="V18" s="7">
        <v>1</v>
      </c>
      <c r="W18" s="7">
        <v>0</v>
      </c>
      <c r="X18" s="10" t="s">
        <v>55</v>
      </c>
      <c r="Y18" s="10" t="s">
        <v>36</v>
      </c>
    </row>
    <row r="19" spans="1:25" ht="14.4" x14ac:dyDescent="0.3">
      <c r="A19" s="4">
        <v>45930</v>
      </c>
      <c r="B19" s="4">
        <v>45930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30</v>
      </c>
      <c r="I19" s="5" t="s">
        <v>32</v>
      </c>
      <c r="J19" s="5" t="s">
        <v>390</v>
      </c>
      <c r="K19" s="7">
        <v>2</v>
      </c>
      <c r="L19" s="7">
        <v>1</v>
      </c>
      <c r="M19" s="16">
        <v>0.5</v>
      </c>
      <c r="N19" s="10" t="s">
        <v>167</v>
      </c>
      <c r="O19" s="6">
        <v>5.18</v>
      </c>
      <c r="P19" s="6">
        <v>24.94</v>
      </c>
      <c r="Q19" s="9">
        <v>20.77</v>
      </c>
      <c r="R19" s="9">
        <v>4.8099999999999996</v>
      </c>
      <c r="S19" s="7">
        <v>1</v>
      </c>
      <c r="T19" s="7">
        <v>1</v>
      </c>
      <c r="U19" s="16">
        <v>1</v>
      </c>
      <c r="V19" s="7">
        <v>1</v>
      </c>
      <c r="W19" s="7">
        <v>0</v>
      </c>
      <c r="X19" s="10" t="s">
        <v>35</v>
      </c>
      <c r="Y19" s="10" t="s">
        <v>36</v>
      </c>
    </row>
    <row r="20" spans="1:25" ht="14.4" x14ac:dyDescent="0.3">
      <c r="A20" s="4">
        <v>45930</v>
      </c>
      <c r="B20" s="4">
        <v>45930</v>
      </c>
      <c r="C20" s="5" t="s">
        <v>27</v>
      </c>
      <c r="D20" s="5" t="s">
        <v>28</v>
      </c>
      <c r="E20" s="5" t="s">
        <v>71</v>
      </c>
      <c r="F20" s="5" t="s">
        <v>72</v>
      </c>
      <c r="G20" s="5" t="s">
        <v>31</v>
      </c>
      <c r="H20" s="5" t="s">
        <v>51</v>
      </c>
      <c r="I20" s="5" t="s">
        <v>52</v>
      </c>
      <c r="J20" s="5" t="s">
        <v>391</v>
      </c>
      <c r="K20" s="7">
        <v>1</v>
      </c>
      <c r="L20" s="7">
        <v>1</v>
      </c>
      <c r="M20" s="16">
        <v>1</v>
      </c>
      <c r="N20" s="10" t="s">
        <v>371</v>
      </c>
      <c r="O20" s="6">
        <v>3.16</v>
      </c>
      <c r="P20" s="6">
        <v>24.94</v>
      </c>
      <c r="Q20" s="9">
        <v>12.67</v>
      </c>
      <c r="R20" s="9">
        <v>7.89</v>
      </c>
      <c r="S20" s="7">
        <v>1</v>
      </c>
      <c r="T20" s="7">
        <v>1</v>
      </c>
      <c r="U20" s="16">
        <v>1</v>
      </c>
      <c r="V20" s="7">
        <v>1</v>
      </c>
      <c r="W20" s="7">
        <v>0</v>
      </c>
      <c r="X20" s="10" t="s">
        <v>35</v>
      </c>
      <c r="Y20" s="10" t="s">
        <v>36</v>
      </c>
    </row>
    <row r="21" spans="1:25" ht="15.75" customHeight="1" x14ac:dyDescent="0.3">
      <c r="A21" s="4">
        <v>45930</v>
      </c>
      <c r="B21" s="4">
        <v>45932</v>
      </c>
      <c r="C21" s="5" t="s">
        <v>48</v>
      </c>
      <c r="D21" s="5" t="s">
        <v>28</v>
      </c>
      <c r="E21" s="5" t="s">
        <v>62</v>
      </c>
      <c r="F21" s="5" t="s">
        <v>63</v>
      </c>
      <c r="G21" s="5" t="s">
        <v>31</v>
      </c>
      <c r="H21" s="5" t="s">
        <v>68</v>
      </c>
      <c r="I21" s="5" t="s">
        <v>65</v>
      </c>
      <c r="J21" s="5" t="s">
        <v>68</v>
      </c>
      <c r="K21" s="7">
        <v>78</v>
      </c>
      <c r="L21" s="7">
        <v>7</v>
      </c>
      <c r="M21" s="16">
        <v>8.9744000000000004E-2</v>
      </c>
      <c r="N21" s="10" t="s">
        <v>104</v>
      </c>
      <c r="O21" s="6">
        <v>26.03</v>
      </c>
      <c r="P21" s="6">
        <v>21.9</v>
      </c>
      <c r="Q21" s="9">
        <v>118.86</v>
      </c>
      <c r="R21" s="9">
        <v>0.84</v>
      </c>
      <c r="S21" s="7">
        <v>1</v>
      </c>
      <c r="T21" s="7">
        <v>1</v>
      </c>
      <c r="U21" s="16">
        <v>0.14285700000000001</v>
      </c>
      <c r="V21" s="7">
        <v>1</v>
      </c>
      <c r="W21" s="7">
        <v>0</v>
      </c>
      <c r="X21" s="10" t="s">
        <v>55</v>
      </c>
      <c r="Y21" s="10" t="s">
        <v>36</v>
      </c>
    </row>
    <row r="22" spans="1:25" ht="15.75" customHeight="1" x14ac:dyDescent="0.3">
      <c r="A22" s="4">
        <v>45930</v>
      </c>
      <c r="B22" s="4">
        <v>45930</v>
      </c>
      <c r="C22" s="5" t="s">
        <v>48</v>
      </c>
      <c r="D22" s="5" t="s">
        <v>28</v>
      </c>
      <c r="E22" s="5" t="s">
        <v>225</v>
      </c>
      <c r="F22" s="5" t="s">
        <v>226</v>
      </c>
      <c r="G22" s="5" t="s">
        <v>31</v>
      </c>
      <c r="H22" s="5" t="s">
        <v>88</v>
      </c>
      <c r="I22" s="5" t="s">
        <v>32</v>
      </c>
      <c r="J22" s="5" t="s">
        <v>392</v>
      </c>
      <c r="K22" s="7">
        <v>2</v>
      </c>
      <c r="L22" s="7">
        <v>1</v>
      </c>
      <c r="M22" s="16">
        <v>0.5</v>
      </c>
      <c r="N22" s="10" t="s">
        <v>355</v>
      </c>
      <c r="O22" s="6">
        <v>1.8</v>
      </c>
      <c r="P22" s="6">
        <v>21.9</v>
      </c>
      <c r="Q22" s="9">
        <v>8.2200000000000006</v>
      </c>
      <c r="R22" s="9">
        <v>12.17</v>
      </c>
      <c r="S22" s="7">
        <v>1</v>
      </c>
      <c r="T22" s="7">
        <v>1</v>
      </c>
      <c r="U22" s="16">
        <v>1</v>
      </c>
      <c r="V22" s="7">
        <v>1</v>
      </c>
      <c r="W22" s="7">
        <v>0</v>
      </c>
      <c r="X22" s="10" t="s">
        <v>55</v>
      </c>
      <c r="Y22" s="10" t="s">
        <v>36</v>
      </c>
    </row>
    <row r="23" spans="1:25" ht="15.75" customHeight="1" x14ac:dyDescent="0.3">
      <c r="A23" s="4">
        <v>45929</v>
      </c>
      <c r="B23" s="4">
        <v>45929</v>
      </c>
      <c r="C23" s="5" t="s">
        <v>27</v>
      </c>
      <c r="D23" s="5" t="s">
        <v>28</v>
      </c>
      <c r="E23" s="5" t="s">
        <v>71</v>
      </c>
      <c r="F23" s="5" t="s">
        <v>72</v>
      </c>
      <c r="G23" s="5" t="s">
        <v>31</v>
      </c>
      <c r="H23" s="5" t="s">
        <v>51</v>
      </c>
      <c r="I23" s="5" t="s">
        <v>52</v>
      </c>
      <c r="J23" s="5" t="s">
        <v>393</v>
      </c>
      <c r="K23" s="7">
        <v>3</v>
      </c>
      <c r="L23" s="7">
        <v>1</v>
      </c>
      <c r="M23" s="16">
        <v>0.33333299999999999</v>
      </c>
      <c r="N23" s="10" t="s">
        <v>237</v>
      </c>
      <c r="O23" s="6">
        <v>4.42</v>
      </c>
      <c r="P23" s="6">
        <v>24.94</v>
      </c>
      <c r="Q23" s="9">
        <v>17.72</v>
      </c>
      <c r="R23" s="9">
        <v>5.64</v>
      </c>
      <c r="S23" s="7">
        <v>1</v>
      </c>
      <c r="T23" s="7">
        <v>1</v>
      </c>
      <c r="U23" s="16">
        <v>1</v>
      </c>
      <c r="V23" s="7">
        <v>1</v>
      </c>
      <c r="W23" s="7">
        <v>0</v>
      </c>
      <c r="X23" s="10" t="s">
        <v>35</v>
      </c>
      <c r="Y23" s="10" t="s">
        <v>36</v>
      </c>
    </row>
    <row r="24" spans="1:25" ht="15.75" customHeight="1" x14ac:dyDescent="0.3">
      <c r="A24" s="4">
        <v>45928</v>
      </c>
      <c r="B24" s="4">
        <v>45934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30</v>
      </c>
      <c r="I24" s="5" t="s">
        <v>32</v>
      </c>
      <c r="J24" s="5" t="s">
        <v>30</v>
      </c>
      <c r="K24" s="7">
        <v>253</v>
      </c>
      <c r="L24" s="7">
        <v>5</v>
      </c>
      <c r="M24" s="16">
        <v>1.9762999999999999E-2</v>
      </c>
      <c r="N24" s="10" t="s">
        <v>314</v>
      </c>
      <c r="O24" s="6">
        <v>16.91</v>
      </c>
      <c r="P24" s="6">
        <v>24.94</v>
      </c>
      <c r="Q24" s="9">
        <v>67.8</v>
      </c>
      <c r="R24" s="9">
        <v>1.47</v>
      </c>
      <c r="S24" s="7">
        <v>1</v>
      </c>
      <c r="T24" s="7">
        <v>1</v>
      </c>
      <c r="U24" s="16">
        <v>0.2</v>
      </c>
      <c r="V24" s="7">
        <v>1</v>
      </c>
      <c r="W24" s="7">
        <v>0</v>
      </c>
      <c r="X24" s="10" t="s">
        <v>35</v>
      </c>
      <c r="Y24" s="10" t="s">
        <v>36</v>
      </c>
    </row>
    <row r="25" spans="1:25" ht="15.75" customHeight="1" x14ac:dyDescent="0.3">
      <c r="A25" s="4">
        <v>45928</v>
      </c>
      <c r="B25" s="4">
        <v>45934</v>
      </c>
      <c r="C25" s="5" t="s">
        <v>27</v>
      </c>
      <c r="D25" s="5" t="s">
        <v>28</v>
      </c>
      <c r="E25" s="5" t="s">
        <v>71</v>
      </c>
      <c r="F25" s="5" t="s">
        <v>72</v>
      </c>
      <c r="G25" s="5" t="s">
        <v>31</v>
      </c>
      <c r="H25" s="5" t="s">
        <v>73</v>
      </c>
      <c r="I25" s="5" t="s">
        <v>52</v>
      </c>
      <c r="J25" s="5" t="s">
        <v>159</v>
      </c>
      <c r="K25" s="7">
        <v>37</v>
      </c>
      <c r="L25" s="7">
        <v>6</v>
      </c>
      <c r="M25" s="16">
        <v>0.162162</v>
      </c>
      <c r="N25" s="10" t="s">
        <v>394</v>
      </c>
      <c r="O25" s="6">
        <v>22.48</v>
      </c>
      <c r="P25" s="6">
        <v>24.94</v>
      </c>
      <c r="Q25" s="9">
        <v>90.14</v>
      </c>
      <c r="R25" s="9">
        <v>1.1100000000000001</v>
      </c>
      <c r="S25" s="7">
        <v>1</v>
      </c>
      <c r="T25" s="7">
        <v>1</v>
      </c>
      <c r="U25" s="16">
        <v>0.16666700000000001</v>
      </c>
      <c r="V25" s="7">
        <v>1</v>
      </c>
      <c r="W25" s="7">
        <v>0</v>
      </c>
      <c r="X25" s="10" t="s">
        <v>35</v>
      </c>
      <c r="Y25" s="10" t="s">
        <v>36</v>
      </c>
    </row>
    <row r="26" spans="1:25" ht="15.75" customHeight="1" x14ac:dyDescent="0.3">
      <c r="A26" s="4">
        <v>45928</v>
      </c>
      <c r="B26" s="4">
        <v>45933</v>
      </c>
      <c r="C26" s="5" t="s">
        <v>48</v>
      </c>
      <c r="D26" s="5" t="s">
        <v>28</v>
      </c>
      <c r="E26" s="5" t="s">
        <v>62</v>
      </c>
      <c r="F26" s="5" t="s">
        <v>63</v>
      </c>
      <c r="G26" s="5" t="s">
        <v>31</v>
      </c>
      <c r="H26" s="5" t="s">
        <v>68</v>
      </c>
      <c r="I26" s="5" t="s">
        <v>65</v>
      </c>
      <c r="J26" s="5" t="s">
        <v>69</v>
      </c>
      <c r="K26" s="7">
        <v>68</v>
      </c>
      <c r="L26" s="7">
        <v>2</v>
      </c>
      <c r="M26" s="16">
        <v>2.9412000000000001E-2</v>
      </c>
      <c r="N26" s="10" t="s">
        <v>395</v>
      </c>
      <c r="O26" s="6">
        <v>9.85</v>
      </c>
      <c r="P26" s="6">
        <v>21.9</v>
      </c>
      <c r="Q26" s="9">
        <v>44.98</v>
      </c>
      <c r="R26" s="9">
        <v>2.2200000000000002</v>
      </c>
      <c r="S26" s="7">
        <v>1</v>
      </c>
      <c r="T26" s="7">
        <v>1</v>
      </c>
      <c r="U26" s="16">
        <v>0.5</v>
      </c>
      <c r="V26" s="7">
        <v>1</v>
      </c>
      <c r="W26" s="7">
        <v>0</v>
      </c>
      <c r="X26" s="10" t="s">
        <v>55</v>
      </c>
      <c r="Y26" s="10" t="s">
        <v>36</v>
      </c>
    </row>
    <row r="27" spans="1:25" ht="15.75" customHeight="1" x14ac:dyDescent="0.3">
      <c r="A27" s="4">
        <v>45928</v>
      </c>
      <c r="B27" s="4">
        <v>45933</v>
      </c>
      <c r="C27" s="5" t="s">
        <v>27</v>
      </c>
      <c r="D27" s="5" t="s">
        <v>28</v>
      </c>
      <c r="E27" s="5" t="s">
        <v>71</v>
      </c>
      <c r="F27" s="5" t="s">
        <v>72</v>
      </c>
      <c r="G27" s="5" t="s">
        <v>31</v>
      </c>
      <c r="H27" s="5" t="s">
        <v>73</v>
      </c>
      <c r="I27" s="5" t="s">
        <v>52</v>
      </c>
      <c r="J27" s="5" t="s">
        <v>162</v>
      </c>
      <c r="K27" s="7">
        <v>88</v>
      </c>
      <c r="L27" s="7">
        <v>6</v>
      </c>
      <c r="M27" s="16">
        <v>6.8182000000000006E-2</v>
      </c>
      <c r="N27" s="10" t="s">
        <v>257</v>
      </c>
      <c r="O27" s="6">
        <v>24.44</v>
      </c>
      <c r="P27" s="6">
        <v>49.88</v>
      </c>
      <c r="Q27" s="9">
        <v>49</v>
      </c>
      <c r="R27" s="9">
        <v>2.04</v>
      </c>
      <c r="S27" s="7">
        <v>2</v>
      </c>
      <c r="T27" s="7">
        <v>2</v>
      </c>
      <c r="U27" s="16">
        <v>0.33333299999999999</v>
      </c>
      <c r="V27" s="7">
        <v>2</v>
      </c>
      <c r="W27" s="7">
        <v>0</v>
      </c>
      <c r="X27" s="10" t="s">
        <v>78</v>
      </c>
      <c r="Y27" s="10" t="s">
        <v>36</v>
      </c>
    </row>
    <row r="28" spans="1:25" ht="15.75" customHeight="1" x14ac:dyDescent="0.3">
      <c r="A28" s="4">
        <v>45928</v>
      </c>
      <c r="B28" s="4">
        <v>45934</v>
      </c>
      <c r="C28" s="5" t="s">
        <v>27</v>
      </c>
      <c r="D28" s="5" t="s">
        <v>28</v>
      </c>
      <c r="E28" s="5" t="s">
        <v>56</v>
      </c>
      <c r="F28" s="5" t="s">
        <v>57</v>
      </c>
      <c r="G28" s="5" t="s">
        <v>31</v>
      </c>
      <c r="H28" s="35" t="e">
        <f>+maca +root</f>
        <v>#NAME?</v>
      </c>
      <c r="I28" s="5" t="s">
        <v>32</v>
      </c>
      <c r="J28" s="5" t="s">
        <v>119</v>
      </c>
      <c r="K28" s="7">
        <v>5597</v>
      </c>
      <c r="L28" s="7">
        <v>55</v>
      </c>
      <c r="M28" s="16">
        <v>9.8270000000000007E-3</v>
      </c>
      <c r="N28" s="10" t="s">
        <v>126</v>
      </c>
      <c r="O28" s="6">
        <v>179.96</v>
      </c>
      <c r="P28" s="6">
        <v>189.64</v>
      </c>
      <c r="Q28" s="9">
        <v>94.9</v>
      </c>
      <c r="R28" s="9">
        <v>1.05</v>
      </c>
      <c r="S28" s="7">
        <v>8</v>
      </c>
      <c r="T28" s="7">
        <v>8</v>
      </c>
      <c r="U28" s="16">
        <v>0.145455</v>
      </c>
      <c r="V28" s="7">
        <v>7</v>
      </c>
      <c r="W28" s="7">
        <v>1</v>
      </c>
      <c r="X28" s="10" t="s">
        <v>396</v>
      </c>
      <c r="Y28" s="10" t="s">
        <v>397</v>
      </c>
    </row>
    <row r="29" spans="1:25" ht="15.75" customHeight="1" x14ac:dyDescent="0.3">
      <c r="A29" s="4">
        <v>45928</v>
      </c>
      <c r="B29" s="4">
        <v>45931</v>
      </c>
      <c r="C29" s="5" t="s">
        <v>40</v>
      </c>
      <c r="D29" s="5" t="s">
        <v>28</v>
      </c>
      <c r="E29" s="5" t="s">
        <v>41</v>
      </c>
      <c r="F29" s="5" t="s">
        <v>42</v>
      </c>
      <c r="G29" s="5" t="s">
        <v>31</v>
      </c>
      <c r="H29" s="5" t="s">
        <v>43</v>
      </c>
      <c r="I29" s="5" t="s">
        <v>44</v>
      </c>
      <c r="J29" s="5" t="s">
        <v>60</v>
      </c>
      <c r="K29" s="7">
        <v>184</v>
      </c>
      <c r="L29" s="7">
        <v>6</v>
      </c>
      <c r="M29" s="16">
        <v>3.2608999999999999E-2</v>
      </c>
      <c r="N29" s="10" t="s">
        <v>371</v>
      </c>
      <c r="O29" s="6">
        <v>18.93</v>
      </c>
      <c r="P29" s="6">
        <v>49.88</v>
      </c>
      <c r="Q29" s="9">
        <v>37.950000000000003</v>
      </c>
      <c r="R29" s="9">
        <v>2.63</v>
      </c>
      <c r="S29" s="7">
        <v>2</v>
      </c>
      <c r="T29" s="7">
        <v>2</v>
      </c>
      <c r="U29" s="16">
        <v>0.33333299999999999</v>
      </c>
      <c r="V29" s="7">
        <v>2</v>
      </c>
      <c r="W29" s="7">
        <v>0</v>
      </c>
      <c r="X29" s="10" t="s">
        <v>78</v>
      </c>
      <c r="Y29" s="10" t="s">
        <v>36</v>
      </c>
    </row>
    <row r="30" spans="1:25" ht="15.75" customHeight="1" x14ac:dyDescent="0.3">
      <c r="A30" s="4">
        <v>45928</v>
      </c>
      <c r="B30" s="4">
        <v>45933</v>
      </c>
      <c r="C30" s="5" t="s">
        <v>40</v>
      </c>
      <c r="D30" s="5" t="s">
        <v>28</v>
      </c>
      <c r="E30" s="5" t="s">
        <v>41</v>
      </c>
      <c r="F30" s="5" t="s">
        <v>42</v>
      </c>
      <c r="G30" s="5" t="s">
        <v>31</v>
      </c>
      <c r="H30" s="5" t="s">
        <v>43</v>
      </c>
      <c r="I30" s="5" t="s">
        <v>44</v>
      </c>
      <c r="J30" s="5" t="s">
        <v>43</v>
      </c>
      <c r="K30" s="7">
        <v>318</v>
      </c>
      <c r="L30" s="7">
        <v>12</v>
      </c>
      <c r="M30" s="16">
        <v>3.7735999999999999E-2</v>
      </c>
      <c r="N30" s="10" t="s">
        <v>269</v>
      </c>
      <c r="O30" s="6">
        <v>36.93</v>
      </c>
      <c r="P30" s="6">
        <v>49.88</v>
      </c>
      <c r="Q30" s="9">
        <v>74.040000000000006</v>
      </c>
      <c r="R30" s="9">
        <v>1.35</v>
      </c>
      <c r="S30" s="7">
        <v>2</v>
      </c>
      <c r="T30" s="7">
        <v>2</v>
      </c>
      <c r="U30" s="16">
        <v>0.16666700000000001</v>
      </c>
      <c r="V30" s="7">
        <v>2</v>
      </c>
      <c r="W30" s="7">
        <v>0</v>
      </c>
      <c r="X30" s="10" t="s">
        <v>78</v>
      </c>
      <c r="Y30" s="10" t="s">
        <v>36</v>
      </c>
    </row>
    <row r="31" spans="1:25" ht="15.75" customHeight="1" x14ac:dyDescent="0.3">
      <c r="A31" s="140"/>
      <c r="B31" s="140"/>
      <c r="K31" s="141"/>
      <c r="L31" s="141"/>
      <c r="M31" s="143"/>
      <c r="N31" s="11"/>
      <c r="O31" s="11">
        <f t="shared" ref="O31:P31" si="1">SUM(O16,O30)</f>
        <v>44.19</v>
      </c>
      <c r="P31" s="11">
        <f t="shared" si="1"/>
        <v>74.820000000000007</v>
      </c>
      <c r="Q31" s="142">
        <f>(O31/P31)*100</f>
        <v>59.061748195669594</v>
      </c>
      <c r="R31" s="142"/>
      <c r="S31" s="141"/>
      <c r="T31" s="141"/>
      <c r="U31" s="143"/>
      <c r="V31" s="141"/>
      <c r="W31" s="141"/>
      <c r="X31" s="11"/>
      <c r="Y31" s="11"/>
    </row>
    <row r="32" spans="1:25" ht="15.75" customHeight="1" x14ac:dyDescent="0.3">
      <c r="A32" s="140"/>
      <c r="B32" s="140"/>
      <c r="K32" s="141"/>
      <c r="L32" s="141"/>
      <c r="M32" s="143"/>
      <c r="N32" s="11"/>
      <c r="O32" s="11"/>
      <c r="P32" s="11"/>
      <c r="Q32" s="142"/>
      <c r="R32" s="142"/>
      <c r="S32" s="141"/>
      <c r="T32" s="141"/>
      <c r="U32" s="143"/>
      <c r="V32" s="141"/>
      <c r="W32" s="141"/>
      <c r="X32" s="11"/>
      <c r="Y32" s="11"/>
    </row>
    <row r="33" spans="1:25" ht="15.75" customHeight="1" x14ac:dyDescent="0.3">
      <c r="A33" s="140"/>
      <c r="B33" s="140"/>
      <c r="K33" s="141"/>
      <c r="L33" s="141"/>
      <c r="M33" s="143"/>
      <c r="N33" s="11"/>
      <c r="O33" s="11"/>
      <c r="P33" s="11"/>
      <c r="Q33" s="142"/>
      <c r="R33" s="142"/>
      <c r="S33" s="141"/>
      <c r="T33" s="141"/>
      <c r="U33" s="143"/>
      <c r="V33" s="141"/>
      <c r="W33" s="141"/>
      <c r="X33" s="11"/>
      <c r="Y33" s="11"/>
    </row>
    <row r="34" spans="1:25" ht="15.75" customHeight="1" x14ac:dyDescent="0.3">
      <c r="A34" s="140"/>
      <c r="B34" s="140"/>
      <c r="K34" s="141"/>
      <c r="L34" s="141"/>
      <c r="M34" s="143"/>
      <c r="N34" s="11"/>
      <c r="O34" s="11"/>
      <c r="P34" s="11"/>
      <c r="Q34" s="142"/>
      <c r="R34" s="142"/>
      <c r="S34" s="141"/>
      <c r="T34" s="141"/>
      <c r="U34" s="143"/>
      <c r="V34" s="141"/>
      <c r="W34" s="141"/>
      <c r="X34" s="11"/>
      <c r="Y34" s="11"/>
    </row>
    <row r="35" spans="1:25" ht="15.75" customHeight="1" x14ac:dyDescent="0.3">
      <c r="A35" s="140"/>
      <c r="B35" s="140"/>
      <c r="K35" s="141"/>
      <c r="L35" s="141"/>
      <c r="M35" s="143"/>
      <c r="N35" s="11"/>
      <c r="O35" s="11"/>
      <c r="P35" s="11"/>
      <c r="Q35" s="142"/>
      <c r="R35" s="142"/>
      <c r="S35" s="141"/>
      <c r="T35" s="141"/>
      <c r="U35" s="143"/>
      <c r="V35" s="141"/>
      <c r="W35" s="141"/>
      <c r="X35" s="11"/>
      <c r="Y35" s="11"/>
    </row>
    <row r="36" spans="1:25" ht="15.75" customHeight="1" x14ac:dyDescent="0.3">
      <c r="A36" s="140"/>
      <c r="B36" s="140"/>
      <c r="K36" s="141"/>
      <c r="L36" s="141"/>
      <c r="M36" s="143"/>
      <c r="N36" s="11"/>
      <c r="O36" s="11"/>
      <c r="P36" s="11"/>
      <c r="Q36" s="142"/>
      <c r="R36" s="142"/>
      <c r="S36" s="141"/>
      <c r="T36" s="141"/>
      <c r="U36" s="143"/>
      <c r="V36" s="141"/>
      <c r="W36" s="141"/>
      <c r="X36" s="11"/>
      <c r="Y36" s="11"/>
    </row>
    <row r="37" spans="1:25" ht="15.75" customHeight="1" x14ac:dyDescent="0.4">
      <c r="A37" s="140"/>
      <c r="B37" s="140"/>
      <c r="K37" s="141"/>
      <c r="L37" s="141"/>
      <c r="M37" s="143"/>
      <c r="N37" s="11"/>
      <c r="O37" s="246" t="s">
        <v>906</v>
      </c>
      <c r="P37" s="227"/>
      <c r="Q37" s="228"/>
      <c r="R37" s="160"/>
      <c r="S37" s="141"/>
      <c r="T37" s="141"/>
      <c r="U37" s="143"/>
      <c r="V37" s="141"/>
      <c r="W37" s="141"/>
      <c r="X37" s="11"/>
      <c r="Y37" s="11"/>
    </row>
    <row r="38" spans="1:25" ht="15.75" customHeight="1" x14ac:dyDescent="0.3">
      <c r="A38" s="140"/>
      <c r="B38" s="140"/>
      <c r="K38" s="141"/>
      <c r="L38" s="141"/>
      <c r="M38" s="143"/>
      <c r="N38" s="11"/>
      <c r="O38" s="161" t="s">
        <v>14</v>
      </c>
      <c r="P38" s="162" t="s">
        <v>907</v>
      </c>
      <c r="Q38" s="163" t="s">
        <v>26</v>
      </c>
      <c r="R38" s="164"/>
      <c r="S38" s="141"/>
      <c r="T38" s="141"/>
      <c r="U38" s="143"/>
      <c r="V38" s="141"/>
      <c r="W38" s="141"/>
      <c r="X38" s="11"/>
      <c r="Y38" s="11"/>
    </row>
    <row r="39" spans="1:25" ht="15.75" customHeight="1" x14ac:dyDescent="0.3">
      <c r="A39" s="140"/>
      <c r="B39" s="140"/>
      <c r="K39" s="141"/>
      <c r="L39" s="141"/>
      <c r="M39" s="143"/>
      <c r="N39" s="11"/>
      <c r="O39" s="165">
        <v>100</v>
      </c>
      <c r="P39" s="166">
        <v>200</v>
      </c>
      <c r="Q39" s="167">
        <f t="shared" ref="Q39:Q40" si="2">(O39/P39)*100</f>
        <v>50</v>
      </c>
      <c r="R39" s="164" t="b">
        <v>1</v>
      </c>
      <c r="S39" s="141"/>
      <c r="T39" s="141"/>
      <c r="U39" s="143"/>
      <c r="V39" s="141"/>
      <c r="W39" s="141"/>
      <c r="X39" s="11"/>
      <c r="Y39" s="11"/>
    </row>
    <row r="40" spans="1:25" ht="15.75" customHeight="1" x14ac:dyDescent="0.3">
      <c r="A40" s="140"/>
      <c r="B40" s="140"/>
      <c r="K40" s="141"/>
      <c r="L40" s="141"/>
      <c r="M40" s="143"/>
      <c r="N40" s="11"/>
      <c r="O40" s="165">
        <v>300</v>
      </c>
      <c r="P40" s="166">
        <v>300</v>
      </c>
      <c r="Q40" s="167">
        <f t="shared" si="2"/>
        <v>100</v>
      </c>
      <c r="R40" s="164" t="b">
        <v>1</v>
      </c>
      <c r="S40" s="141"/>
      <c r="T40" s="141"/>
      <c r="U40" s="143"/>
      <c r="V40" s="141"/>
      <c r="W40" s="141"/>
      <c r="X40" s="11"/>
      <c r="Y40" s="11"/>
    </row>
    <row r="41" spans="1:25" ht="15.75" customHeight="1" x14ac:dyDescent="0.5">
      <c r="A41" s="140"/>
      <c r="B41" s="140"/>
      <c r="K41" s="141"/>
      <c r="L41" s="141"/>
      <c r="M41" s="143"/>
      <c r="N41" s="11"/>
      <c r="O41" s="247" t="s">
        <v>908</v>
      </c>
      <c r="P41" s="231"/>
      <c r="Q41" s="168">
        <v>100</v>
      </c>
      <c r="R41" s="169" t="s">
        <v>909</v>
      </c>
      <c r="S41" s="141"/>
      <c r="T41" s="141"/>
      <c r="U41" s="143"/>
      <c r="V41" s="141"/>
      <c r="W41" s="141"/>
      <c r="X41" s="11"/>
      <c r="Y41" s="11"/>
    </row>
    <row r="42" spans="1:25" ht="15.75" customHeight="1" x14ac:dyDescent="0.3">
      <c r="A42" s="140"/>
      <c r="B42" s="140"/>
      <c r="K42" s="141"/>
      <c r="L42" s="141"/>
      <c r="M42" s="143"/>
      <c r="N42" s="11"/>
      <c r="O42" s="170">
        <f t="shared" ref="O42:P42" si="3">O39+O40</f>
        <v>400</v>
      </c>
      <c r="P42" s="171">
        <f t="shared" si="3"/>
        <v>500</v>
      </c>
      <c r="Q42" s="172">
        <f>(O42/P42)*100</f>
        <v>80</v>
      </c>
      <c r="R42" s="173" t="b">
        <v>1</v>
      </c>
      <c r="S42" s="141"/>
      <c r="T42" s="141"/>
      <c r="U42" s="143"/>
      <c r="V42" s="141"/>
      <c r="W42" s="141"/>
      <c r="X42" s="11"/>
      <c r="Y42" s="11"/>
    </row>
    <row r="43" spans="1:25" ht="15.75" customHeight="1" x14ac:dyDescent="0.3">
      <c r="A43" s="140"/>
      <c r="B43" s="140"/>
      <c r="K43" s="141"/>
      <c r="L43" s="141"/>
      <c r="M43" s="143"/>
      <c r="N43" s="11"/>
      <c r="O43" s="11"/>
      <c r="P43" s="11"/>
      <c r="Q43" s="142"/>
      <c r="R43" s="142"/>
      <c r="S43" s="141"/>
      <c r="T43" s="141"/>
      <c r="U43" s="143"/>
      <c r="V43" s="141"/>
      <c r="W43" s="141"/>
      <c r="X43" s="11"/>
      <c r="Y43" s="11"/>
    </row>
    <row r="44" spans="1:25" ht="15.75" customHeight="1" x14ac:dyDescent="0.3">
      <c r="A44" s="140"/>
      <c r="B44" s="140"/>
      <c r="K44" s="141"/>
      <c r="L44" s="141"/>
      <c r="M44" s="143"/>
      <c r="N44" s="11"/>
      <c r="O44" s="11"/>
      <c r="P44" s="11"/>
      <c r="Q44" s="142"/>
      <c r="R44" s="142"/>
      <c r="S44" s="141"/>
      <c r="T44" s="141"/>
      <c r="U44" s="143"/>
      <c r="V44" s="141"/>
      <c r="W44" s="141"/>
      <c r="X44" s="11"/>
      <c r="Y44" s="11"/>
    </row>
    <row r="45" spans="1:25" ht="15.75" customHeight="1" x14ac:dyDescent="0.3">
      <c r="A45" s="140"/>
      <c r="B45" s="140"/>
      <c r="K45" s="141"/>
      <c r="L45" s="141"/>
      <c r="M45" s="143"/>
      <c r="N45" s="11"/>
      <c r="O45" s="11"/>
      <c r="P45" s="11"/>
      <c r="Q45" s="142"/>
      <c r="R45" s="142"/>
      <c r="S45" s="141"/>
      <c r="T45" s="141"/>
      <c r="U45" s="143"/>
      <c r="V45" s="141"/>
      <c r="W45" s="141"/>
      <c r="X45" s="11"/>
      <c r="Y45" s="11"/>
    </row>
    <row r="46" spans="1:25" ht="15.75" customHeight="1" x14ac:dyDescent="0.3">
      <c r="A46" s="140"/>
      <c r="B46" s="140"/>
      <c r="K46" s="141"/>
      <c r="L46" s="141"/>
      <c r="M46" s="143"/>
      <c r="N46" s="11"/>
      <c r="O46" s="11"/>
      <c r="P46" s="11"/>
      <c r="Q46" s="142"/>
      <c r="R46" s="142"/>
      <c r="S46" s="141"/>
      <c r="T46" s="141"/>
      <c r="U46" s="143"/>
      <c r="V46" s="141"/>
      <c r="W46" s="141"/>
      <c r="X46" s="11"/>
      <c r="Y46" s="11"/>
    </row>
    <row r="47" spans="1:25" ht="15.75" customHeight="1" x14ac:dyDescent="0.3">
      <c r="A47" s="140"/>
      <c r="B47" s="140"/>
      <c r="K47" s="141"/>
      <c r="L47" s="141"/>
      <c r="M47" s="143"/>
      <c r="N47" s="11"/>
      <c r="O47" s="11"/>
      <c r="P47" s="11"/>
      <c r="Q47" s="142"/>
      <c r="R47" s="142"/>
      <c r="S47" s="141"/>
      <c r="T47" s="141"/>
      <c r="U47" s="143"/>
      <c r="V47" s="141"/>
      <c r="W47" s="141"/>
      <c r="X47" s="11"/>
      <c r="Y47" s="11"/>
    </row>
    <row r="48" spans="1:25" ht="15.75" customHeight="1" x14ac:dyDescent="0.3">
      <c r="A48" s="140"/>
      <c r="B48" s="140"/>
      <c r="K48" s="141"/>
      <c r="L48" s="141"/>
      <c r="M48" s="143"/>
      <c r="N48" s="11"/>
      <c r="O48" s="11"/>
      <c r="P48" s="11"/>
      <c r="Q48" s="142"/>
      <c r="R48" s="142"/>
      <c r="S48" s="141"/>
      <c r="T48" s="141"/>
      <c r="U48" s="143"/>
      <c r="V48" s="141"/>
      <c r="W48" s="141"/>
      <c r="X48" s="11"/>
      <c r="Y48" s="11"/>
    </row>
    <row r="49" spans="1:25" ht="15.75" customHeight="1" x14ac:dyDescent="0.3">
      <c r="A49" s="140"/>
      <c r="B49" s="140"/>
      <c r="K49" s="141"/>
      <c r="L49" s="141"/>
      <c r="M49" s="143"/>
      <c r="N49" s="11"/>
      <c r="O49" s="11"/>
      <c r="P49" s="11"/>
      <c r="Q49" s="142"/>
      <c r="R49" s="142"/>
      <c r="S49" s="141"/>
      <c r="T49" s="141"/>
      <c r="U49" s="143"/>
      <c r="V49" s="141"/>
      <c r="W49" s="141"/>
      <c r="X49" s="11"/>
      <c r="Y49" s="11"/>
    </row>
    <row r="50" spans="1:25" ht="15.75" customHeight="1" x14ac:dyDescent="0.3">
      <c r="A50" s="140"/>
      <c r="B50" s="140"/>
      <c r="K50" s="141"/>
      <c r="L50" s="141"/>
      <c r="M50" s="143"/>
      <c r="N50" s="11"/>
      <c r="O50" s="11"/>
      <c r="P50" s="11"/>
      <c r="Q50" s="142"/>
      <c r="R50" s="142"/>
      <c r="S50" s="141"/>
      <c r="T50" s="141"/>
      <c r="U50" s="143"/>
      <c r="V50" s="141"/>
      <c r="W50" s="141"/>
      <c r="X50" s="11"/>
      <c r="Y50" s="11"/>
    </row>
    <row r="51" spans="1:25" ht="15.75" customHeight="1" x14ac:dyDescent="0.3">
      <c r="A51" s="140"/>
      <c r="B51" s="140"/>
      <c r="K51" s="141"/>
      <c r="L51" s="141"/>
      <c r="M51" s="143"/>
      <c r="N51" s="11"/>
      <c r="O51" s="11"/>
      <c r="P51" s="11"/>
      <c r="Q51" s="142"/>
      <c r="R51" s="142"/>
      <c r="S51" s="141"/>
      <c r="T51" s="141"/>
      <c r="U51" s="143"/>
      <c r="V51" s="141"/>
      <c r="W51" s="141"/>
      <c r="X51" s="11"/>
      <c r="Y51" s="11"/>
    </row>
    <row r="52" spans="1:25" ht="15.75" customHeight="1" x14ac:dyDescent="0.3">
      <c r="A52" s="140"/>
      <c r="B52" s="140"/>
      <c r="K52" s="141"/>
      <c r="L52" s="141"/>
      <c r="M52" s="143"/>
      <c r="N52" s="11"/>
      <c r="O52" s="11"/>
      <c r="P52" s="11"/>
      <c r="Q52" s="142"/>
      <c r="R52" s="142"/>
      <c r="S52" s="141"/>
      <c r="T52" s="141"/>
      <c r="U52" s="143"/>
      <c r="V52" s="141"/>
      <c r="W52" s="141"/>
      <c r="X52" s="11"/>
      <c r="Y52" s="11"/>
    </row>
    <row r="53" spans="1:25" ht="15.75" customHeight="1" x14ac:dyDescent="0.3">
      <c r="A53" s="140"/>
      <c r="B53" s="140"/>
      <c r="K53" s="141"/>
      <c r="L53" s="141"/>
      <c r="M53" s="143"/>
      <c r="N53" s="11"/>
      <c r="O53" s="11"/>
      <c r="P53" s="11"/>
      <c r="Q53" s="142"/>
      <c r="R53" s="142"/>
      <c r="S53" s="141"/>
      <c r="T53" s="141"/>
      <c r="U53" s="143"/>
      <c r="V53" s="141"/>
      <c r="W53" s="141"/>
      <c r="X53" s="11"/>
      <c r="Y53" s="11"/>
    </row>
    <row r="54" spans="1:25" ht="15.75" customHeight="1" x14ac:dyDescent="0.3">
      <c r="A54" s="140"/>
      <c r="B54" s="140"/>
      <c r="K54" s="141"/>
      <c r="L54" s="141"/>
      <c r="M54" s="143"/>
      <c r="N54" s="11"/>
      <c r="O54" s="11"/>
      <c r="P54" s="11"/>
      <c r="Q54" s="142"/>
      <c r="R54" s="142"/>
      <c r="S54" s="141"/>
      <c r="T54" s="141"/>
      <c r="U54" s="143"/>
      <c r="V54" s="141"/>
      <c r="W54" s="141"/>
      <c r="X54" s="11"/>
      <c r="Y54" s="11"/>
    </row>
    <row r="55" spans="1:25" ht="15.75" customHeight="1" x14ac:dyDescent="0.3">
      <c r="A55" s="140"/>
      <c r="B55" s="140"/>
      <c r="K55" s="141"/>
      <c r="L55" s="141"/>
      <c r="M55" s="143"/>
      <c r="N55" s="11"/>
      <c r="O55" s="11"/>
      <c r="P55" s="11"/>
      <c r="Q55" s="142"/>
      <c r="R55" s="142"/>
      <c r="S55" s="141"/>
      <c r="T55" s="141"/>
      <c r="U55" s="143"/>
      <c r="V55" s="141"/>
      <c r="W55" s="141"/>
      <c r="X55" s="11"/>
      <c r="Y55" s="11"/>
    </row>
    <row r="56" spans="1:25" ht="15.75" customHeight="1" x14ac:dyDescent="0.3">
      <c r="A56" s="140"/>
      <c r="B56" s="140"/>
      <c r="K56" s="141"/>
      <c r="L56" s="141"/>
      <c r="M56" s="143"/>
      <c r="N56" s="11"/>
      <c r="O56" s="11"/>
      <c r="P56" s="11"/>
      <c r="Q56" s="142"/>
      <c r="R56" s="142"/>
      <c r="S56" s="141"/>
      <c r="T56" s="141"/>
      <c r="U56" s="143"/>
      <c r="V56" s="141"/>
      <c r="W56" s="141"/>
      <c r="X56" s="11"/>
      <c r="Y56" s="11"/>
    </row>
    <row r="57" spans="1:25" ht="15.75" customHeight="1" x14ac:dyDescent="0.3">
      <c r="A57" s="140"/>
      <c r="B57" s="140"/>
      <c r="K57" s="141"/>
      <c r="L57" s="141"/>
      <c r="M57" s="143"/>
      <c r="N57" s="11"/>
      <c r="O57" s="11"/>
      <c r="P57" s="11"/>
      <c r="Q57" s="142"/>
      <c r="R57" s="142"/>
      <c r="S57" s="141"/>
      <c r="T57" s="141"/>
      <c r="U57" s="143"/>
      <c r="V57" s="141"/>
      <c r="W57" s="141"/>
      <c r="X57" s="11"/>
      <c r="Y57" s="11"/>
    </row>
    <row r="58" spans="1:25" ht="15.75" customHeight="1" x14ac:dyDescent="0.3">
      <c r="A58" s="140"/>
      <c r="B58" s="140"/>
      <c r="K58" s="141"/>
      <c r="L58" s="141"/>
      <c r="M58" s="143"/>
      <c r="N58" s="11"/>
      <c r="O58" s="11"/>
      <c r="P58" s="11"/>
      <c r="Q58" s="142"/>
      <c r="R58" s="142"/>
      <c r="S58" s="141"/>
      <c r="T58" s="141"/>
      <c r="U58" s="143"/>
      <c r="V58" s="141"/>
      <c r="W58" s="141"/>
      <c r="X58" s="11"/>
      <c r="Y58" s="11"/>
    </row>
    <row r="59" spans="1:25" ht="15.75" customHeight="1" x14ac:dyDescent="0.3">
      <c r="A59" s="140"/>
      <c r="B59" s="140"/>
      <c r="K59" s="141"/>
      <c r="L59" s="141"/>
      <c r="M59" s="143"/>
      <c r="N59" s="11"/>
      <c r="O59" s="11"/>
      <c r="P59" s="11"/>
      <c r="Q59" s="142"/>
      <c r="R59" s="142"/>
      <c r="S59" s="141"/>
      <c r="T59" s="141"/>
      <c r="U59" s="143"/>
      <c r="V59" s="141"/>
      <c r="W59" s="141"/>
      <c r="X59" s="11"/>
      <c r="Y59" s="11"/>
    </row>
    <row r="60" spans="1:25" ht="15.75" customHeight="1" x14ac:dyDescent="0.3">
      <c r="A60" s="140"/>
      <c r="B60" s="140"/>
      <c r="K60" s="141"/>
      <c r="L60" s="141"/>
      <c r="M60" s="143"/>
      <c r="N60" s="11"/>
      <c r="O60" s="11"/>
      <c r="P60" s="11"/>
      <c r="Q60" s="142"/>
      <c r="R60" s="142"/>
      <c r="S60" s="141"/>
      <c r="T60" s="141"/>
      <c r="U60" s="143"/>
      <c r="V60" s="141"/>
      <c r="W60" s="141"/>
      <c r="X60" s="11"/>
      <c r="Y60" s="11"/>
    </row>
    <row r="61" spans="1:25" ht="15.75" customHeight="1" x14ac:dyDescent="0.3">
      <c r="A61" s="140"/>
      <c r="B61" s="140"/>
      <c r="K61" s="141"/>
      <c r="L61" s="141"/>
      <c r="M61" s="143"/>
      <c r="N61" s="11"/>
      <c r="O61" s="11"/>
      <c r="P61" s="11"/>
      <c r="Q61" s="142"/>
      <c r="R61" s="142"/>
      <c r="S61" s="141"/>
      <c r="T61" s="141"/>
      <c r="U61" s="143"/>
      <c r="V61" s="141"/>
      <c r="W61" s="141"/>
      <c r="X61" s="11"/>
      <c r="Y61" s="11"/>
    </row>
    <row r="62" spans="1:25" ht="15.75" customHeight="1" x14ac:dyDescent="0.3">
      <c r="A62" s="140"/>
      <c r="B62" s="140"/>
      <c r="K62" s="141"/>
      <c r="L62" s="141"/>
      <c r="M62" s="143"/>
      <c r="N62" s="11"/>
      <c r="O62" s="11"/>
      <c r="P62" s="11"/>
      <c r="Q62" s="142"/>
      <c r="R62" s="142"/>
      <c r="S62" s="141"/>
      <c r="T62" s="141"/>
      <c r="U62" s="143"/>
      <c r="V62" s="141"/>
      <c r="W62" s="141"/>
      <c r="X62" s="11"/>
      <c r="Y62" s="11"/>
    </row>
    <row r="63" spans="1:25" ht="15.75" customHeight="1" x14ac:dyDescent="0.3">
      <c r="A63" s="140"/>
      <c r="B63" s="140"/>
      <c r="K63" s="141"/>
      <c r="L63" s="141"/>
      <c r="M63" s="143"/>
      <c r="N63" s="11"/>
      <c r="O63" s="11"/>
      <c r="P63" s="11"/>
      <c r="Q63" s="142"/>
      <c r="R63" s="142"/>
      <c r="S63" s="141"/>
      <c r="T63" s="141"/>
      <c r="U63" s="143"/>
      <c r="V63" s="141"/>
      <c r="W63" s="141"/>
      <c r="X63" s="11"/>
      <c r="Y63" s="11"/>
    </row>
    <row r="64" spans="1:25" ht="15.75" customHeight="1" x14ac:dyDescent="0.3">
      <c r="A64" s="140"/>
      <c r="B64" s="140"/>
      <c r="K64" s="141"/>
      <c r="L64" s="141"/>
      <c r="M64" s="143"/>
      <c r="N64" s="11"/>
      <c r="O64" s="11"/>
      <c r="P64" s="11"/>
      <c r="Q64" s="142"/>
      <c r="R64" s="142"/>
      <c r="S64" s="141"/>
      <c r="T64" s="141"/>
      <c r="U64" s="143"/>
      <c r="V64" s="141"/>
      <c r="W64" s="141"/>
      <c r="X64" s="11"/>
      <c r="Y64" s="11"/>
    </row>
    <row r="65" spans="1:25" ht="15.75" customHeight="1" x14ac:dyDescent="0.3">
      <c r="A65" s="140"/>
      <c r="B65" s="140"/>
      <c r="K65" s="141"/>
      <c r="L65" s="141"/>
      <c r="M65" s="143"/>
      <c r="N65" s="11"/>
      <c r="O65" s="11"/>
      <c r="P65" s="11"/>
      <c r="Q65" s="142"/>
      <c r="R65" s="142"/>
      <c r="S65" s="141"/>
      <c r="T65" s="141"/>
      <c r="U65" s="143"/>
      <c r="V65" s="141"/>
      <c r="W65" s="141"/>
      <c r="X65" s="11"/>
      <c r="Y65" s="11"/>
    </row>
    <row r="66" spans="1:25" ht="15.75" customHeight="1" x14ac:dyDescent="0.3">
      <c r="A66" s="140"/>
      <c r="B66" s="140"/>
      <c r="K66" s="141"/>
      <c r="L66" s="141"/>
      <c r="M66" s="143"/>
      <c r="N66" s="11"/>
      <c r="O66" s="11"/>
      <c r="P66" s="11"/>
      <c r="Q66" s="142"/>
      <c r="R66" s="142"/>
      <c r="S66" s="141"/>
      <c r="T66" s="141"/>
      <c r="U66" s="143"/>
      <c r="V66" s="141"/>
      <c r="W66" s="141"/>
      <c r="X66" s="11"/>
      <c r="Y66" s="11"/>
    </row>
    <row r="67" spans="1:25" ht="15.75" customHeight="1" x14ac:dyDescent="0.3">
      <c r="A67" s="140"/>
      <c r="B67" s="140"/>
      <c r="K67" s="141"/>
      <c r="L67" s="141"/>
      <c r="M67" s="143"/>
      <c r="N67" s="11"/>
      <c r="O67" s="11"/>
      <c r="P67" s="11"/>
      <c r="Q67" s="142"/>
      <c r="R67" s="142"/>
      <c r="S67" s="141"/>
      <c r="T67" s="141"/>
      <c r="U67" s="143"/>
      <c r="V67" s="141"/>
      <c r="W67" s="141"/>
      <c r="X67" s="11"/>
      <c r="Y67" s="11"/>
    </row>
    <row r="68" spans="1:25" ht="15.75" customHeight="1" x14ac:dyDescent="0.3">
      <c r="A68" s="140"/>
      <c r="B68" s="140"/>
      <c r="K68" s="141"/>
      <c r="L68" s="141"/>
      <c r="M68" s="143"/>
      <c r="N68" s="11"/>
      <c r="O68" s="11"/>
      <c r="P68" s="11"/>
      <c r="Q68" s="142"/>
      <c r="R68" s="142"/>
      <c r="S68" s="141"/>
      <c r="T68" s="141"/>
      <c r="U68" s="143"/>
      <c r="V68" s="141"/>
      <c r="W68" s="141"/>
      <c r="X68" s="11"/>
      <c r="Y68" s="11"/>
    </row>
    <row r="69" spans="1:25" ht="15.75" customHeight="1" x14ac:dyDescent="0.3">
      <c r="A69" s="140"/>
      <c r="B69" s="140"/>
      <c r="K69" s="141"/>
      <c r="L69" s="141"/>
      <c r="M69" s="143"/>
      <c r="N69" s="11"/>
      <c r="O69" s="11"/>
      <c r="P69" s="11"/>
      <c r="Q69" s="142"/>
      <c r="R69" s="142"/>
      <c r="S69" s="141"/>
      <c r="T69" s="141"/>
      <c r="U69" s="143"/>
      <c r="V69" s="141"/>
      <c r="W69" s="141"/>
      <c r="X69" s="11"/>
      <c r="Y69" s="11"/>
    </row>
    <row r="70" spans="1:25" ht="15.75" customHeight="1" x14ac:dyDescent="0.3">
      <c r="A70" s="140"/>
      <c r="B70" s="140"/>
      <c r="K70" s="141"/>
      <c r="L70" s="141"/>
      <c r="M70" s="143"/>
      <c r="N70" s="11"/>
      <c r="O70" s="11"/>
      <c r="P70" s="11"/>
      <c r="Q70" s="142"/>
      <c r="R70" s="142"/>
      <c r="S70" s="141"/>
      <c r="T70" s="141"/>
      <c r="U70" s="143"/>
      <c r="V70" s="141"/>
      <c r="W70" s="141"/>
      <c r="X70" s="11"/>
      <c r="Y70" s="11"/>
    </row>
    <row r="71" spans="1:25" ht="15.75" customHeight="1" x14ac:dyDescent="0.3">
      <c r="A71" s="140"/>
      <c r="B71" s="140"/>
      <c r="K71" s="141"/>
      <c r="L71" s="141"/>
      <c r="M71" s="143"/>
      <c r="N71" s="11"/>
      <c r="O71" s="11"/>
      <c r="P71" s="11"/>
      <c r="Q71" s="142"/>
      <c r="R71" s="142"/>
      <c r="S71" s="141"/>
      <c r="T71" s="141"/>
      <c r="U71" s="143"/>
      <c r="V71" s="141"/>
      <c r="W71" s="141"/>
      <c r="X71" s="11"/>
      <c r="Y71" s="11"/>
    </row>
    <row r="72" spans="1:25" ht="15.75" customHeight="1" x14ac:dyDescent="0.3">
      <c r="A72" s="140"/>
      <c r="B72" s="140"/>
      <c r="K72" s="141"/>
      <c r="L72" s="141"/>
      <c r="M72" s="143"/>
      <c r="N72" s="11"/>
      <c r="O72" s="11"/>
      <c r="P72" s="11"/>
      <c r="Q72" s="142"/>
      <c r="R72" s="142"/>
      <c r="S72" s="141"/>
      <c r="T72" s="141"/>
      <c r="U72" s="143"/>
      <c r="V72" s="141"/>
      <c r="W72" s="141"/>
      <c r="X72" s="11"/>
      <c r="Y72" s="11"/>
    </row>
    <row r="73" spans="1:25" ht="15.75" customHeight="1" x14ac:dyDescent="0.3">
      <c r="A73" s="140"/>
      <c r="B73" s="140"/>
      <c r="K73" s="141"/>
      <c r="L73" s="141"/>
      <c r="M73" s="143"/>
      <c r="N73" s="11"/>
      <c r="O73" s="11"/>
      <c r="P73" s="11"/>
      <c r="Q73" s="142"/>
      <c r="R73" s="142"/>
      <c r="S73" s="141"/>
      <c r="T73" s="141"/>
      <c r="U73" s="143"/>
      <c r="V73" s="141"/>
      <c r="W73" s="141"/>
      <c r="X73" s="11"/>
      <c r="Y73" s="11"/>
    </row>
    <row r="74" spans="1:25" ht="15.75" customHeight="1" x14ac:dyDescent="0.3">
      <c r="A74" s="140"/>
      <c r="B74" s="140"/>
      <c r="K74" s="141"/>
      <c r="L74" s="141"/>
      <c r="M74" s="143"/>
      <c r="N74" s="11"/>
      <c r="O74" s="11"/>
      <c r="P74" s="11"/>
      <c r="Q74" s="142"/>
      <c r="R74" s="142"/>
      <c r="S74" s="141"/>
      <c r="T74" s="141"/>
      <c r="U74" s="143"/>
      <c r="V74" s="141"/>
      <c r="W74" s="141"/>
      <c r="X74" s="11"/>
      <c r="Y74" s="11"/>
    </row>
    <row r="75" spans="1:25" ht="15.75" customHeight="1" x14ac:dyDescent="0.3">
      <c r="A75" s="140"/>
      <c r="B75" s="140"/>
      <c r="K75" s="141"/>
      <c r="L75" s="141"/>
      <c r="M75" s="143"/>
      <c r="N75" s="11"/>
      <c r="O75" s="11"/>
      <c r="P75" s="11"/>
      <c r="Q75" s="142"/>
      <c r="R75" s="142"/>
      <c r="S75" s="141"/>
      <c r="T75" s="141"/>
      <c r="U75" s="143"/>
      <c r="V75" s="141"/>
      <c r="W75" s="141"/>
      <c r="X75" s="11"/>
      <c r="Y75" s="11"/>
    </row>
    <row r="76" spans="1:25" ht="15.75" customHeight="1" x14ac:dyDescent="0.3">
      <c r="A76" s="140"/>
      <c r="B76" s="140"/>
      <c r="K76" s="141"/>
      <c r="L76" s="141"/>
      <c r="M76" s="143"/>
      <c r="N76" s="11"/>
      <c r="O76" s="11"/>
      <c r="P76" s="11"/>
      <c r="Q76" s="142"/>
      <c r="R76" s="142"/>
      <c r="S76" s="141"/>
      <c r="T76" s="141"/>
      <c r="U76" s="143"/>
      <c r="V76" s="141"/>
      <c r="W76" s="141"/>
      <c r="X76" s="11"/>
      <c r="Y76" s="11"/>
    </row>
    <row r="77" spans="1:25" ht="15.75" customHeight="1" x14ac:dyDescent="0.3">
      <c r="A77" s="140"/>
      <c r="B77" s="140"/>
      <c r="K77" s="141"/>
      <c r="L77" s="141"/>
      <c r="M77" s="143"/>
      <c r="N77" s="11"/>
      <c r="O77" s="11"/>
      <c r="P77" s="11"/>
      <c r="Q77" s="142"/>
      <c r="R77" s="142"/>
      <c r="S77" s="141"/>
      <c r="T77" s="141"/>
      <c r="U77" s="143"/>
      <c r="V77" s="141"/>
      <c r="W77" s="141"/>
      <c r="X77" s="11"/>
      <c r="Y77" s="11"/>
    </row>
    <row r="78" spans="1:25" ht="15.75" customHeight="1" x14ac:dyDescent="0.3">
      <c r="A78" s="140"/>
      <c r="B78" s="140"/>
      <c r="K78" s="141"/>
      <c r="L78" s="141"/>
      <c r="M78" s="143"/>
      <c r="N78" s="11"/>
      <c r="O78" s="11"/>
      <c r="P78" s="11"/>
      <c r="Q78" s="142"/>
      <c r="R78" s="142"/>
      <c r="S78" s="141"/>
      <c r="T78" s="141"/>
      <c r="U78" s="143"/>
      <c r="V78" s="141"/>
      <c r="W78" s="141"/>
      <c r="X78" s="11"/>
      <c r="Y78" s="11"/>
    </row>
    <row r="79" spans="1:25" ht="15.75" customHeight="1" x14ac:dyDescent="0.3">
      <c r="A79" s="140"/>
      <c r="B79" s="140"/>
      <c r="K79" s="141"/>
      <c r="L79" s="141"/>
      <c r="M79" s="143"/>
      <c r="N79" s="11"/>
      <c r="O79" s="11"/>
      <c r="P79" s="11"/>
      <c r="Q79" s="142"/>
      <c r="R79" s="142"/>
      <c r="S79" s="141"/>
      <c r="T79" s="141"/>
      <c r="U79" s="143"/>
      <c r="V79" s="141"/>
      <c r="W79" s="141"/>
      <c r="X79" s="11"/>
      <c r="Y79" s="11"/>
    </row>
    <row r="80" spans="1:25" ht="15.75" customHeight="1" x14ac:dyDescent="0.3">
      <c r="A80" s="140"/>
      <c r="B80" s="140"/>
      <c r="K80" s="141"/>
      <c r="L80" s="141"/>
      <c r="M80" s="143"/>
      <c r="N80" s="11"/>
      <c r="O80" s="11"/>
      <c r="P80" s="11"/>
      <c r="Q80" s="142"/>
      <c r="R80" s="142"/>
      <c r="S80" s="141"/>
      <c r="T80" s="141"/>
      <c r="U80" s="143"/>
      <c r="V80" s="141"/>
      <c r="W80" s="141"/>
      <c r="X80" s="11"/>
      <c r="Y80" s="11"/>
    </row>
    <row r="81" spans="1:25" ht="15.75" customHeight="1" x14ac:dyDescent="0.3">
      <c r="A81" s="140"/>
      <c r="B81" s="140"/>
      <c r="K81" s="141"/>
      <c r="L81" s="141"/>
      <c r="M81" s="143"/>
      <c r="N81" s="11"/>
      <c r="O81" s="11"/>
      <c r="P81" s="11"/>
      <c r="Q81" s="142"/>
      <c r="R81" s="142"/>
      <c r="S81" s="141"/>
      <c r="T81" s="141"/>
      <c r="U81" s="143"/>
      <c r="V81" s="141"/>
      <c r="W81" s="141"/>
      <c r="X81" s="11"/>
      <c r="Y81" s="11"/>
    </row>
    <row r="82" spans="1:25" ht="15.75" customHeight="1" x14ac:dyDescent="0.3">
      <c r="A82" s="140"/>
      <c r="B82" s="140"/>
      <c r="K82" s="141"/>
      <c r="L82" s="141"/>
      <c r="M82" s="143"/>
      <c r="N82" s="11"/>
      <c r="O82" s="11"/>
      <c r="P82" s="11"/>
      <c r="Q82" s="142"/>
      <c r="R82" s="142"/>
      <c r="S82" s="141"/>
      <c r="T82" s="141"/>
      <c r="U82" s="143"/>
      <c r="V82" s="141"/>
      <c r="W82" s="141"/>
      <c r="X82" s="11"/>
      <c r="Y82" s="11"/>
    </row>
    <row r="83" spans="1:25" ht="15.75" customHeight="1" x14ac:dyDescent="0.3">
      <c r="A83" s="140"/>
      <c r="B83" s="140"/>
      <c r="K83" s="141"/>
      <c r="L83" s="141"/>
      <c r="M83" s="143"/>
      <c r="N83" s="11"/>
      <c r="O83" s="11"/>
      <c r="P83" s="11"/>
      <c r="Q83" s="142"/>
      <c r="R83" s="142"/>
      <c r="S83" s="141"/>
      <c r="T83" s="141"/>
      <c r="U83" s="143"/>
      <c r="V83" s="141"/>
      <c r="W83" s="141"/>
      <c r="X83" s="11"/>
      <c r="Y83" s="11"/>
    </row>
    <row r="84" spans="1:25" ht="15.75" customHeight="1" x14ac:dyDescent="0.3">
      <c r="A84" s="140"/>
      <c r="B84" s="140"/>
      <c r="K84" s="141"/>
      <c r="L84" s="141"/>
      <c r="M84" s="143"/>
      <c r="N84" s="11"/>
      <c r="O84" s="11"/>
      <c r="P84" s="11"/>
      <c r="Q84" s="142"/>
      <c r="R84" s="142"/>
      <c r="S84" s="141"/>
      <c r="T84" s="141"/>
      <c r="U84" s="143"/>
      <c r="V84" s="141"/>
      <c r="W84" s="141"/>
      <c r="X84" s="11"/>
      <c r="Y84" s="11"/>
    </row>
    <row r="85" spans="1:25" ht="15.75" customHeight="1" x14ac:dyDescent="0.3">
      <c r="A85" s="140"/>
      <c r="B85" s="140"/>
      <c r="K85" s="141"/>
      <c r="L85" s="141"/>
      <c r="M85" s="143"/>
      <c r="N85" s="11"/>
      <c r="O85" s="11"/>
      <c r="P85" s="11"/>
      <c r="Q85" s="142"/>
      <c r="R85" s="142"/>
      <c r="S85" s="141"/>
      <c r="T85" s="141"/>
      <c r="U85" s="143"/>
      <c r="V85" s="141"/>
      <c r="W85" s="141"/>
      <c r="X85" s="11"/>
      <c r="Y85" s="11"/>
    </row>
    <row r="86" spans="1:25" ht="15.75" customHeight="1" x14ac:dyDescent="0.3">
      <c r="A86" s="140"/>
      <c r="B86" s="140"/>
      <c r="K86" s="141"/>
      <c r="L86" s="141"/>
      <c r="M86" s="143"/>
      <c r="N86" s="11"/>
      <c r="O86" s="11"/>
      <c r="P86" s="11"/>
      <c r="Q86" s="142"/>
      <c r="R86" s="142"/>
      <c r="S86" s="141"/>
      <c r="T86" s="141"/>
      <c r="U86" s="143"/>
      <c r="V86" s="141"/>
      <c r="W86" s="141"/>
      <c r="X86" s="11"/>
      <c r="Y86" s="11"/>
    </row>
    <row r="87" spans="1:25" ht="15.75" customHeight="1" x14ac:dyDescent="0.3">
      <c r="A87" s="140"/>
      <c r="B87" s="140"/>
      <c r="K87" s="141"/>
      <c r="L87" s="141"/>
      <c r="M87" s="143"/>
      <c r="N87" s="11"/>
      <c r="O87" s="11"/>
      <c r="P87" s="11"/>
      <c r="Q87" s="142"/>
      <c r="R87" s="142"/>
      <c r="S87" s="141"/>
      <c r="T87" s="141"/>
      <c r="U87" s="143"/>
      <c r="V87" s="141"/>
      <c r="W87" s="141"/>
      <c r="X87" s="11"/>
      <c r="Y87" s="11"/>
    </row>
    <row r="88" spans="1:25" ht="15.75" customHeight="1" x14ac:dyDescent="0.3">
      <c r="A88" s="140"/>
      <c r="B88" s="140"/>
      <c r="K88" s="141"/>
      <c r="L88" s="141"/>
      <c r="M88" s="143"/>
      <c r="N88" s="11"/>
      <c r="O88" s="11"/>
      <c r="P88" s="11"/>
      <c r="Q88" s="142"/>
      <c r="R88" s="142"/>
      <c r="S88" s="141"/>
      <c r="T88" s="141"/>
      <c r="U88" s="143"/>
      <c r="V88" s="141"/>
      <c r="W88" s="141"/>
      <c r="X88" s="11"/>
      <c r="Y88" s="11"/>
    </row>
    <row r="89" spans="1:25" ht="15.75" customHeight="1" x14ac:dyDescent="0.3">
      <c r="A89" s="140"/>
      <c r="B89" s="140"/>
      <c r="K89" s="141"/>
      <c r="L89" s="141"/>
      <c r="M89" s="143"/>
      <c r="N89" s="11"/>
      <c r="O89" s="11"/>
      <c r="P89" s="11"/>
      <c r="Q89" s="142"/>
      <c r="R89" s="142"/>
      <c r="S89" s="141"/>
      <c r="T89" s="141"/>
      <c r="U89" s="143"/>
      <c r="V89" s="141"/>
      <c r="W89" s="141"/>
      <c r="X89" s="11"/>
      <c r="Y89" s="11"/>
    </row>
    <row r="90" spans="1:25" ht="15.75" customHeight="1" x14ac:dyDescent="0.3">
      <c r="A90" s="140"/>
      <c r="B90" s="140"/>
      <c r="K90" s="141"/>
      <c r="L90" s="141"/>
      <c r="M90" s="143"/>
      <c r="N90" s="11"/>
      <c r="O90" s="11"/>
      <c r="P90" s="11"/>
      <c r="Q90" s="142"/>
      <c r="R90" s="142"/>
      <c r="S90" s="141"/>
      <c r="T90" s="141"/>
      <c r="U90" s="143"/>
      <c r="V90" s="141"/>
      <c r="W90" s="141"/>
      <c r="X90" s="11"/>
      <c r="Y90" s="11"/>
    </row>
    <row r="91" spans="1:25" ht="15.75" customHeight="1" x14ac:dyDescent="0.3">
      <c r="A91" s="140"/>
      <c r="B91" s="140"/>
      <c r="K91" s="141"/>
      <c r="L91" s="141"/>
      <c r="M91" s="143"/>
      <c r="N91" s="11"/>
      <c r="O91" s="11"/>
      <c r="P91" s="11"/>
      <c r="Q91" s="142"/>
      <c r="R91" s="142"/>
      <c r="S91" s="141"/>
      <c r="T91" s="141"/>
      <c r="U91" s="143"/>
      <c r="V91" s="141"/>
      <c r="W91" s="141"/>
      <c r="X91" s="11"/>
      <c r="Y91" s="11"/>
    </row>
    <row r="92" spans="1:25" ht="15.75" customHeight="1" x14ac:dyDescent="0.3">
      <c r="A92" s="140"/>
      <c r="B92" s="140"/>
      <c r="K92" s="141"/>
      <c r="L92" s="141"/>
      <c r="M92" s="143"/>
      <c r="N92" s="11"/>
      <c r="O92" s="11"/>
      <c r="P92" s="11"/>
      <c r="Q92" s="142"/>
      <c r="R92" s="142"/>
      <c r="S92" s="141"/>
      <c r="T92" s="141"/>
      <c r="U92" s="143"/>
      <c r="V92" s="141"/>
      <c r="W92" s="141"/>
      <c r="X92" s="11"/>
      <c r="Y92" s="11"/>
    </row>
    <row r="93" spans="1:25" ht="15.75" customHeight="1" x14ac:dyDescent="0.3">
      <c r="A93" s="140"/>
      <c r="B93" s="140"/>
      <c r="K93" s="141"/>
      <c r="L93" s="141"/>
      <c r="M93" s="143"/>
      <c r="N93" s="11"/>
      <c r="O93" s="11"/>
      <c r="P93" s="11"/>
      <c r="Q93" s="142"/>
      <c r="R93" s="142"/>
      <c r="S93" s="141"/>
      <c r="T93" s="141"/>
      <c r="U93" s="143"/>
      <c r="V93" s="141"/>
      <c r="W93" s="141"/>
      <c r="X93" s="11"/>
      <c r="Y93" s="11"/>
    </row>
    <row r="94" spans="1:25" ht="15.75" customHeight="1" x14ac:dyDescent="0.3">
      <c r="A94" s="140"/>
      <c r="B94" s="140"/>
      <c r="K94" s="141"/>
      <c r="L94" s="141"/>
      <c r="M94" s="143"/>
      <c r="N94" s="11"/>
      <c r="O94" s="11"/>
      <c r="P94" s="11"/>
      <c r="Q94" s="142"/>
      <c r="R94" s="142"/>
      <c r="S94" s="141"/>
      <c r="T94" s="141"/>
      <c r="U94" s="143"/>
      <c r="V94" s="141"/>
      <c r="W94" s="141"/>
      <c r="X94" s="11"/>
      <c r="Y94" s="11"/>
    </row>
    <row r="95" spans="1:25" ht="15.75" customHeight="1" x14ac:dyDescent="0.3">
      <c r="A95" s="140"/>
      <c r="B95" s="140"/>
      <c r="K95" s="141"/>
      <c r="L95" s="141"/>
      <c r="M95" s="143"/>
      <c r="N95" s="11"/>
      <c r="O95" s="11"/>
      <c r="P95" s="11"/>
      <c r="Q95" s="142"/>
      <c r="R95" s="142"/>
      <c r="S95" s="141"/>
      <c r="T95" s="141"/>
      <c r="U95" s="143"/>
      <c r="V95" s="141"/>
      <c r="W95" s="141"/>
      <c r="X95" s="11"/>
      <c r="Y95" s="11"/>
    </row>
    <row r="96" spans="1:25" ht="15.75" customHeight="1" x14ac:dyDescent="0.3">
      <c r="A96" s="140"/>
      <c r="B96" s="140"/>
      <c r="K96" s="141"/>
      <c r="L96" s="141"/>
      <c r="M96" s="143"/>
      <c r="N96" s="11"/>
      <c r="O96" s="11"/>
      <c r="P96" s="11"/>
      <c r="Q96" s="142"/>
      <c r="R96" s="142"/>
      <c r="S96" s="141"/>
      <c r="T96" s="141"/>
      <c r="U96" s="143"/>
      <c r="V96" s="141"/>
      <c r="W96" s="141"/>
      <c r="X96" s="11"/>
      <c r="Y96" s="11"/>
    </row>
    <row r="97" spans="1:25" ht="15.75" customHeight="1" x14ac:dyDescent="0.3">
      <c r="A97" s="140"/>
      <c r="B97" s="140"/>
      <c r="K97" s="141"/>
      <c r="L97" s="141"/>
      <c r="M97" s="143"/>
      <c r="N97" s="11"/>
      <c r="O97" s="11"/>
      <c r="P97" s="11"/>
      <c r="Q97" s="142"/>
      <c r="R97" s="142"/>
      <c r="S97" s="141"/>
      <c r="T97" s="141"/>
      <c r="U97" s="143"/>
      <c r="V97" s="141"/>
      <c r="W97" s="141"/>
      <c r="X97" s="11"/>
      <c r="Y97" s="11"/>
    </row>
    <row r="98" spans="1:25" ht="15.75" customHeight="1" x14ac:dyDescent="0.3">
      <c r="A98" s="140"/>
      <c r="B98" s="140"/>
      <c r="K98" s="141"/>
      <c r="L98" s="141"/>
      <c r="M98" s="143"/>
      <c r="N98" s="11"/>
      <c r="O98" s="11"/>
      <c r="P98" s="11"/>
      <c r="Q98" s="142"/>
      <c r="R98" s="142"/>
      <c r="S98" s="141"/>
      <c r="T98" s="141"/>
      <c r="U98" s="143"/>
      <c r="V98" s="141"/>
      <c r="W98" s="141"/>
      <c r="X98" s="11"/>
      <c r="Y98" s="11"/>
    </row>
    <row r="99" spans="1:25" ht="15.75" customHeight="1" x14ac:dyDescent="0.3">
      <c r="A99" s="140"/>
      <c r="B99" s="140"/>
      <c r="K99" s="141"/>
      <c r="L99" s="141"/>
      <c r="M99" s="143"/>
      <c r="N99" s="11"/>
      <c r="O99" s="11"/>
      <c r="P99" s="11"/>
      <c r="Q99" s="142"/>
      <c r="R99" s="142"/>
      <c r="S99" s="141"/>
      <c r="T99" s="141"/>
      <c r="U99" s="143"/>
      <c r="V99" s="141"/>
      <c r="W99" s="141"/>
      <c r="X99" s="11"/>
      <c r="Y99" s="11"/>
    </row>
    <row r="100" spans="1:25" ht="15.75" customHeight="1" x14ac:dyDescent="0.3">
      <c r="A100" s="140"/>
      <c r="B100" s="140"/>
      <c r="K100" s="141"/>
      <c r="L100" s="141"/>
      <c r="M100" s="143"/>
      <c r="N100" s="11"/>
      <c r="O100" s="11"/>
      <c r="P100" s="11"/>
      <c r="Q100" s="142"/>
      <c r="R100" s="142"/>
      <c r="S100" s="141"/>
      <c r="T100" s="141"/>
      <c r="U100" s="143"/>
      <c r="V100" s="141"/>
      <c r="W100" s="141"/>
      <c r="X100" s="11"/>
      <c r="Y100" s="11"/>
    </row>
    <row r="101" spans="1:25" ht="15.75" customHeight="1" x14ac:dyDescent="0.3">
      <c r="A101" s="140"/>
      <c r="B101" s="140"/>
      <c r="K101" s="141"/>
      <c r="L101" s="141"/>
      <c r="M101" s="143"/>
      <c r="N101" s="11"/>
      <c r="O101" s="11"/>
      <c r="P101" s="11"/>
      <c r="Q101" s="142"/>
      <c r="R101" s="142"/>
      <c r="S101" s="141"/>
      <c r="T101" s="141"/>
      <c r="U101" s="143"/>
      <c r="V101" s="141"/>
      <c r="W101" s="141"/>
      <c r="X101" s="11"/>
      <c r="Y101" s="11"/>
    </row>
    <row r="102" spans="1:25" ht="15.75" customHeight="1" x14ac:dyDescent="0.3">
      <c r="A102" s="140"/>
      <c r="B102" s="140"/>
      <c r="K102" s="141"/>
      <c r="L102" s="141"/>
      <c r="M102" s="143"/>
      <c r="N102" s="11"/>
      <c r="O102" s="11"/>
      <c r="P102" s="11"/>
      <c r="Q102" s="142"/>
      <c r="R102" s="142"/>
      <c r="S102" s="141"/>
      <c r="T102" s="141"/>
      <c r="U102" s="143"/>
      <c r="V102" s="141"/>
      <c r="W102" s="141"/>
      <c r="X102" s="11"/>
      <c r="Y102" s="11"/>
    </row>
    <row r="103" spans="1:25" ht="15.75" customHeight="1" x14ac:dyDescent="0.3">
      <c r="A103" s="140"/>
      <c r="B103" s="140"/>
      <c r="K103" s="141"/>
      <c r="L103" s="141"/>
      <c r="M103" s="143"/>
      <c r="N103" s="11"/>
      <c r="O103" s="11"/>
      <c r="P103" s="11"/>
      <c r="Q103" s="142"/>
      <c r="R103" s="142"/>
      <c r="S103" s="141"/>
      <c r="T103" s="141"/>
      <c r="U103" s="143"/>
      <c r="V103" s="141"/>
      <c r="W103" s="141"/>
      <c r="X103" s="11"/>
      <c r="Y103" s="11"/>
    </row>
    <row r="104" spans="1:25" ht="15.75" customHeight="1" x14ac:dyDescent="0.3">
      <c r="A104" s="140"/>
      <c r="B104" s="140"/>
      <c r="K104" s="141"/>
      <c r="L104" s="141"/>
      <c r="M104" s="143"/>
      <c r="N104" s="11"/>
      <c r="O104" s="11"/>
      <c r="P104" s="11"/>
      <c r="Q104" s="142"/>
      <c r="R104" s="142"/>
      <c r="S104" s="141"/>
      <c r="T104" s="141"/>
      <c r="U104" s="143"/>
      <c r="V104" s="141"/>
      <c r="W104" s="141"/>
      <c r="X104" s="11"/>
      <c r="Y104" s="11"/>
    </row>
    <row r="105" spans="1:25" ht="15.75" customHeight="1" x14ac:dyDescent="0.3">
      <c r="A105" s="140"/>
      <c r="B105" s="140"/>
      <c r="K105" s="141"/>
      <c r="L105" s="141"/>
      <c r="M105" s="143"/>
      <c r="N105" s="11"/>
      <c r="O105" s="11"/>
      <c r="P105" s="11"/>
      <c r="Q105" s="142"/>
      <c r="R105" s="142"/>
      <c r="S105" s="141"/>
      <c r="T105" s="141"/>
      <c r="U105" s="143"/>
      <c r="V105" s="141"/>
      <c r="W105" s="141"/>
      <c r="X105" s="11"/>
      <c r="Y105" s="11"/>
    </row>
    <row r="106" spans="1:25" ht="15.75" customHeight="1" x14ac:dyDescent="0.3">
      <c r="A106" s="140"/>
      <c r="B106" s="140"/>
      <c r="K106" s="141"/>
      <c r="L106" s="141"/>
      <c r="M106" s="143"/>
      <c r="N106" s="11"/>
      <c r="O106" s="11"/>
      <c r="P106" s="11"/>
      <c r="Q106" s="142"/>
      <c r="R106" s="142"/>
      <c r="S106" s="141"/>
      <c r="T106" s="141"/>
      <c r="U106" s="143"/>
      <c r="V106" s="141"/>
      <c r="W106" s="141"/>
      <c r="X106" s="11"/>
      <c r="Y106" s="11"/>
    </row>
    <row r="107" spans="1:25" ht="15.75" customHeight="1" x14ac:dyDescent="0.3">
      <c r="A107" s="140"/>
      <c r="B107" s="140"/>
      <c r="K107" s="141"/>
      <c r="L107" s="141"/>
      <c r="M107" s="143"/>
      <c r="N107" s="11"/>
      <c r="O107" s="11"/>
      <c r="P107" s="11"/>
      <c r="Q107" s="142"/>
      <c r="R107" s="142"/>
      <c r="S107" s="141"/>
      <c r="T107" s="141"/>
      <c r="U107" s="143"/>
      <c r="V107" s="141"/>
      <c r="W107" s="141"/>
      <c r="X107" s="11"/>
      <c r="Y107" s="11"/>
    </row>
    <row r="108" spans="1:25" ht="15.75" customHeight="1" x14ac:dyDescent="0.3">
      <c r="A108" s="140"/>
      <c r="B108" s="140"/>
      <c r="K108" s="141"/>
      <c r="L108" s="141"/>
      <c r="M108" s="143"/>
      <c r="N108" s="11"/>
      <c r="O108" s="11"/>
      <c r="P108" s="11"/>
      <c r="Q108" s="142"/>
      <c r="R108" s="142"/>
      <c r="S108" s="141"/>
      <c r="T108" s="141"/>
      <c r="U108" s="143"/>
      <c r="V108" s="141"/>
      <c r="W108" s="141"/>
      <c r="X108" s="11"/>
      <c r="Y108" s="11"/>
    </row>
    <row r="109" spans="1:25" ht="15.75" customHeight="1" x14ac:dyDescent="0.3">
      <c r="A109" s="140"/>
      <c r="B109" s="140"/>
      <c r="K109" s="141"/>
      <c r="L109" s="141"/>
      <c r="M109" s="143"/>
      <c r="N109" s="11"/>
      <c r="O109" s="11"/>
      <c r="P109" s="11"/>
      <c r="Q109" s="142"/>
      <c r="R109" s="142"/>
      <c r="S109" s="141"/>
      <c r="T109" s="141"/>
      <c r="U109" s="143"/>
      <c r="V109" s="141"/>
      <c r="W109" s="141"/>
      <c r="X109" s="11"/>
      <c r="Y109" s="11"/>
    </row>
    <row r="110" spans="1:25" ht="15.75" customHeight="1" x14ac:dyDescent="0.3">
      <c r="A110" s="140"/>
      <c r="B110" s="140"/>
      <c r="K110" s="141"/>
      <c r="L110" s="141"/>
      <c r="M110" s="143"/>
      <c r="N110" s="11"/>
      <c r="O110" s="11"/>
      <c r="P110" s="11"/>
      <c r="Q110" s="142"/>
      <c r="R110" s="142"/>
      <c r="S110" s="141"/>
      <c r="T110" s="141"/>
      <c r="U110" s="143"/>
      <c r="V110" s="141"/>
      <c r="W110" s="141"/>
      <c r="X110" s="11"/>
      <c r="Y110" s="11"/>
    </row>
    <row r="111" spans="1:25" ht="15.75" customHeight="1" x14ac:dyDescent="0.3">
      <c r="A111" s="140"/>
      <c r="B111" s="140"/>
      <c r="K111" s="141"/>
      <c r="L111" s="141"/>
      <c r="M111" s="143"/>
      <c r="N111" s="11"/>
      <c r="O111" s="11"/>
      <c r="P111" s="11"/>
      <c r="Q111" s="142"/>
      <c r="R111" s="142"/>
      <c r="S111" s="141"/>
      <c r="T111" s="141"/>
      <c r="U111" s="143"/>
      <c r="V111" s="141"/>
      <c r="W111" s="141"/>
      <c r="X111" s="11"/>
      <c r="Y111" s="11"/>
    </row>
    <row r="112" spans="1:25" ht="15.75" customHeight="1" x14ac:dyDescent="0.3">
      <c r="A112" s="140"/>
      <c r="B112" s="140"/>
      <c r="K112" s="141"/>
      <c r="L112" s="141"/>
      <c r="M112" s="143"/>
      <c r="N112" s="11"/>
      <c r="O112" s="11"/>
      <c r="P112" s="11"/>
      <c r="Q112" s="142"/>
      <c r="R112" s="142"/>
      <c r="S112" s="141"/>
      <c r="T112" s="141"/>
      <c r="U112" s="143"/>
      <c r="V112" s="141"/>
      <c r="W112" s="141"/>
      <c r="X112" s="11"/>
      <c r="Y112" s="11"/>
    </row>
    <row r="113" spans="1:25" ht="15.75" customHeight="1" x14ac:dyDescent="0.3">
      <c r="A113" s="140"/>
      <c r="B113" s="140"/>
      <c r="K113" s="141"/>
      <c r="L113" s="141"/>
      <c r="M113" s="143"/>
      <c r="N113" s="11"/>
      <c r="O113" s="11"/>
      <c r="P113" s="11"/>
      <c r="Q113" s="142"/>
      <c r="R113" s="142"/>
      <c r="S113" s="141"/>
      <c r="T113" s="141"/>
      <c r="U113" s="143"/>
      <c r="V113" s="141"/>
      <c r="W113" s="141"/>
      <c r="X113" s="11"/>
      <c r="Y113" s="11"/>
    </row>
    <row r="114" spans="1:25" ht="15.75" customHeight="1" x14ac:dyDescent="0.3">
      <c r="A114" s="140"/>
      <c r="B114" s="140"/>
      <c r="K114" s="141"/>
      <c r="L114" s="141"/>
      <c r="M114" s="143"/>
      <c r="N114" s="11"/>
      <c r="O114" s="11"/>
      <c r="P114" s="11"/>
      <c r="Q114" s="142"/>
      <c r="R114" s="142"/>
      <c r="S114" s="141"/>
      <c r="T114" s="141"/>
      <c r="U114" s="143"/>
      <c r="V114" s="141"/>
      <c r="W114" s="141"/>
      <c r="X114" s="11"/>
      <c r="Y114" s="11"/>
    </row>
    <row r="115" spans="1:25" ht="15.75" customHeight="1" x14ac:dyDescent="0.3">
      <c r="A115" s="140"/>
      <c r="B115" s="140"/>
      <c r="K115" s="141"/>
      <c r="L115" s="141"/>
      <c r="M115" s="143"/>
      <c r="N115" s="11"/>
      <c r="O115" s="11"/>
      <c r="P115" s="11"/>
      <c r="Q115" s="142"/>
      <c r="R115" s="142"/>
      <c r="S115" s="141"/>
      <c r="T115" s="141"/>
      <c r="U115" s="143"/>
      <c r="V115" s="141"/>
      <c r="W115" s="141"/>
      <c r="X115" s="11"/>
      <c r="Y115" s="11"/>
    </row>
    <row r="116" spans="1:25" ht="15.75" customHeight="1" x14ac:dyDescent="0.3">
      <c r="A116" s="140"/>
      <c r="B116" s="140"/>
      <c r="K116" s="141"/>
      <c r="L116" s="141"/>
      <c r="M116" s="143"/>
      <c r="N116" s="11"/>
      <c r="O116" s="11"/>
      <c r="P116" s="11"/>
      <c r="Q116" s="142"/>
      <c r="R116" s="142"/>
      <c r="S116" s="141"/>
      <c r="T116" s="141"/>
      <c r="U116" s="143"/>
      <c r="V116" s="141"/>
      <c r="W116" s="141"/>
      <c r="X116" s="11"/>
      <c r="Y116" s="11"/>
    </row>
    <row r="117" spans="1:25" ht="15.75" customHeight="1" x14ac:dyDescent="0.3">
      <c r="A117" s="140"/>
      <c r="B117" s="140"/>
      <c r="K117" s="141"/>
      <c r="L117" s="141"/>
      <c r="M117" s="143"/>
      <c r="N117" s="11"/>
      <c r="O117" s="11"/>
      <c r="P117" s="11"/>
      <c r="Q117" s="142"/>
      <c r="R117" s="142"/>
      <c r="S117" s="141"/>
      <c r="T117" s="141"/>
      <c r="U117" s="143"/>
      <c r="V117" s="141"/>
      <c r="W117" s="141"/>
      <c r="X117" s="11"/>
      <c r="Y117" s="11"/>
    </row>
    <row r="118" spans="1:25" ht="15.75" customHeight="1" x14ac:dyDescent="0.3">
      <c r="A118" s="140"/>
      <c r="B118" s="140"/>
      <c r="K118" s="141"/>
      <c r="L118" s="141"/>
      <c r="M118" s="143"/>
      <c r="N118" s="11"/>
      <c r="O118" s="11"/>
      <c r="P118" s="11"/>
      <c r="Q118" s="142"/>
      <c r="R118" s="142"/>
      <c r="S118" s="141"/>
      <c r="T118" s="141"/>
      <c r="U118" s="143"/>
      <c r="V118" s="141"/>
      <c r="W118" s="141"/>
      <c r="X118" s="11"/>
      <c r="Y118" s="11"/>
    </row>
    <row r="119" spans="1:25" ht="15.75" customHeight="1" x14ac:dyDescent="0.3">
      <c r="A119" s="140"/>
      <c r="B119" s="140"/>
      <c r="K119" s="141"/>
      <c r="L119" s="141"/>
      <c r="M119" s="143"/>
      <c r="N119" s="11"/>
      <c r="O119" s="11"/>
      <c r="P119" s="11"/>
      <c r="Q119" s="142"/>
      <c r="R119" s="142"/>
      <c r="S119" s="141"/>
      <c r="T119" s="141"/>
      <c r="U119" s="143"/>
      <c r="V119" s="141"/>
      <c r="W119" s="141"/>
      <c r="X119" s="11"/>
      <c r="Y119" s="11"/>
    </row>
    <row r="120" spans="1:25" ht="15.75" customHeight="1" x14ac:dyDescent="0.3">
      <c r="A120" s="140"/>
      <c r="B120" s="140"/>
      <c r="K120" s="141"/>
      <c r="L120" s="141"/>
      <c r="M120" s="143"/>
      <c r="N120" s="11"/>
      <c r="O120" s="11"/>
      <c r="P120" s="11"/>
      <c r="Q120" s="142"/>
      <c r="R120" s="142"/>
      <c r="S120" s="141"/>
      <c r="T120" s="141"/>
      <c r="U120" s="143"/>
      <c r="V120" s="141"/>
      <c r="W120" s="141"/>
      <c r="X120" s="11"/>
      <c r="Y120" s="11"/>
    </row>
    <row r="121" spans="1:25" ht="15.75" customHeight="1" x14ac:dyDescent="0.3">
      <c r="A121" s="140"/>
      <c r="B121" s="140"/>
      <c r="K121" s="141"/>
      <c r="L121" s="141"/>
      <c r="M121" s="143"/>
      <c r="N121" s="11"/>
      <c r="O121" s="11"/>
      <c r="P121" s="11"/>
      <c r="Q121" s="142"/>
      <c r="R121" s="142"/>
      <c r="S121" s="141"/>
      <c r="T121" s="141"/>
      <c r="U121" s="143"/>
      <c r="V121" s="141"/>
      <c r="W121" s="141"/>
      <c r="X121" s="11"/>
      <c r="Y121" s="11"/>
    </row>
    <row r="122" spans="1:25" ht="15.75" customHeight="1" x14ac:dyDescent="0.3">
      <c r="A122" s="140"/>
      <c r="B122" s="140"/>
      <c r="K122" s="141"/>
      <c r="L122" s="141"/>
      <c r="M122" s="143"/>
      <c r="N122" s="11"/>
      <c r="O122" s="11"/>
      <c r="P122" s="11"/>
      <c r="Q122" s="142"/>
      <c r="R122" s="142"/>
      <c r="S122" s="141"/>
      <c r="T122" s="141"/>
      <c r="U122" s="143"/>
      <c r="V122" s="141"/>
      <c r="W122" s="141"/>
      <c r="X122" s="11"/>
      <c r="Y122" s="11"/>
    </row>
    <row r="123" spans="1:25" ht="15.75" customHeight="1" x14ac:dyDescent="0.3">
      <c r="A123" s="140"/>
      <c r="B123" s="140"/>
      <c r="K123" s="141"/>
      <c r="L123" s="141"/>
      <c r="M123" s="143"/>
      <c r="N123" s="11"/>
      <c r="O123" s="11"/>
      <c r="P123" s="11"/>
      <c r="Q123" s="142"/>
      <c r="R123" s="142"/>
      <c r="S123" s="141"/>
      <c r="T123" s="141"/>
      <c r="U123" s="143"/>
      <c r="V123" s="141"/>
      <c r="W123" s="141"/>
      <c r="X123" s="11"/>
      <c r="Y123" s="11"/>
    </row>
    <row r="124" spans="1:25" ht="15.75" customHeight="1" x14ac:dyDescent="0.3">
      <c r="A124" s="140"/>
      <c r="B124" s="140"/>
      <c r="K124" s="141"/>
      <c r="L124" s="141"/>
      <c r="M124" s="143"/>
      <c r="N124" s="11"/>
      <c r="O124" s="11"/>
      <c r="P124" s="11"/>
      <c r="Q124" s="142"/>
      <c r="R124" s="142"/>
      <c r="S124" s="141"/>
      <c r="T124" s="141"/>
      <c r="U124" s="143"/>
      <c r="V124" s="141"/>
      <c r="W124" s="141"/>
      <c r="X124" s="11"/>
      <c r="Y124" s="11"/>
    </row>
    <row r="125" spans="1:25" ht="15.75" customHeight="1" x14ac:dyDescent="0.3">
      <c r="A125" s="140"/>
      <c r="B125" s="140"/>
      <c r="K125" s="141"/>
      <c r="L125" s="141"/>
      <c r="M125" s="143"/>
      <c r="N125" s="11"/>
      <c r="O125" s="11"/>
      <c r="P125" s="11"/>
      <c r="Q125" s="142"/>
      <c r="R125" s="142"/>
      <c r="S125" s="141"/>
      <c r="T125" s="141"/>
      <c r="U125" s="143"/>
      <c r="V125" s="141"/>
      <c r="W125" s="141"/>
      <c r="X125" s="11"/>
      <c r="Y125" s="11"/>
    </row>
    <row r="126" spans="1:25" ht="15.75" customHeight="1" x14ac:dyDescent="0.3">
      <c r="A126" s="140"/>
      <c r="B126" s="140"/>
      <c r="K126" s="141"/>
      <c r="L126" s="141"/>
      <c r="M126" s="143"/>
      <c r="N126" s="11"/>
      <c r="O126" s="11"/>
      <c r="P126" s="11"/>
      <c r="Q126" s="142"/>
      <c r="R126" s="142"/>
      <c r="S126" s="141"/>
      <c r="T126" s="141"/>
      <c r="U126" s="143"/>
      <c r="V126" s="141"/>
      <c r="W126" s="141"/>
      <c r="X126" s="11"/>
      <c r="Y126" s="11"/>
    </row>
    <row r="127" spans="1:25" ht="15.75" customHeight="1" x14ac:dyDescent="0.3">
      <c r="A127" s="140"/>
      <c r="B127" s="140"/>
      <c r="K127" s="141"/>
      <c r="L127" s="141"/>
      <c r="M127" s="143"/>
      <c r="N127" s="11"/>
      <c r="O127" s="11"/>
      <c r="P127" s="11"/>
      <c r="Q127" s="142"/>
      <c r="R127" s="142"/>
      <c r="S127" s="141"/>
      <c r="T127" s="141"/>
      <c r="U127" s="143"/>
      <c r="V127" s="141"/>
      <c r="W127" s="141"/>
      <c r="X127" s="11"/>
      <c r="Y127" s="11"/>
    </row>
    <row r="128" spans="1:25" ht="15.75" customHeight="1" x14ac:dyDescent="0.3">
      <c r="A128" s="140"/>
      <c r="B128" s="140"/>
      <c r="K128" s="141"/>
      <c r="L128" s="141"/>
      <c r="M128" s="143"/>
      <c r="N128" s="11"/>
      <c r="O128" s="11"/>
      <c r="P128" s="11"/>
      <c r="Q128" s="142"/>
      <c r="R128" s="142"/>
      <c r="S128" s="141"/>
      <c r="T128" s="141"/>
      <c r="U128" s="143"/>
      <c r="V128" s="141"/>
      <c r="W128" s="141"/>
      <c r="X128" s="11"/>
      <c r="Y128" s="11"/>
    </row>
    <row r="129" spans="1:25" ht="15.75" customHeight="1" x14ac:dyDescent="0.3">
      <c r="A129" s="140"/>
      <c r="B129" s="140"/>
      <c r="K129" s="141"/>
      <c r="L129" s="141"/>
      <c r="M129" s="143"/>
      <c r="N129" s="11"/>
      <c r="O129" s="11"/>
      <c r="P129" s="11"/>
      <c r="Q129" s="142"/>
      <c r="R129" s="142"/>
      <c r="S129" s="141"/>
      <c r="T129" s="141"/>
      <c r="U129" s="143"/>
      <c r="V129" s="141"/>
      <c r="W129" s="141"/>
      <c r="X129" s="11"/>
      <c r="Y129" s="11"/>
    </row>
    <row r="130" spans="1:25" ht="15.75" customHeight="1" x14ac:dyDescent="0.3">
      <c r="A130" s="140"/>
      <c r="B130" s="140"/>
      <c r="K130" s="141"/>
      <c r="L130" s="141"/>
      <c r="M130" s="143"/>
      <c r="N130" s="11"/>
      <c r="O130" s="11"/>
      <c r="P130" s="11"/>
      <c r="Q130" s="142"/>
      <c r="R130" s="142"/>
      <c r="S130" s="141"/>
      <c r="T130" s="141"/>
      <c r="U130" s="143"/>
      <c r="V130" s="141"/>
      <c r="W130" s="141"/>
      <c r="X130" s="11"/>
      <c r="Y130" s="11"/>
    </row>
    <row r="131" spans="1:25" ht="15.75" customHeight="1" x14ac:dyDescent="0.3">
      <c r="A131" s="140"/>
      <c r="B131" s="140"/>
      <c r="K131" s="141"/>
      <c r="L131" s="141"/>
      <c r="M131" s="143"/>
      <c r="N131" s="11"/>
      <c r="O131" s="11"/>
      <c r="P131" s="11"/>
      <c r="Q131" s="142"/>
      <c r="R131" s="142"/>
      <c r="S131" s="141"/>
      <c r="T131" s="141"/>
      <c r="U131" s="143"/>
      <c r="V131" s="141"/>
      <c r="W131" s="141"/>
      <c r="X131" s="11"/>
      <c r="Y131" s="11"/>
    </row>
    <row r="132" spans="1:25" ht="15.75" customHeight="1" x14ac:dyDescent="0.3">
      <c r="A132" s="140"/>
      <c r="B132" s="140"/>
      <c r="K132" s="141"/>
      <c r="L132" s="141"/>
      <c r="M132" s="143"/>
      <c r="N132" s="11"/>
      <c r="O132" s="11"/>
      <c r="P132" s="11"/>
      <c r="Q132" s="142"/>
      <c r="R132" s="142"/>
      <c r="S132" s="141"/>
      <c r="T132" s="141"/>
      <c r="U132" s="143"/>
      <c r="V132" s="141"/>
      <c r="W132" s="141"/>
      <c r="X132" s="11"/>
      <c r="Y132" s="11"/>
    </row>
    <row r="133" spans="1:25" ht="15.75" customHeight="1" x14ac:dyDescent="0.3">
      <c r="A133" s="140"/>
      <c r="B133" s="140"/>
      <c r="K133" s="141"/>
      <c r="L133" s="141"/>
      <c r="M133" s="143"/>
      <c r="N133" s="11"/>
      <c r="O133" s="11"/>
      <c r="P133" s="11"/>
      <c r="Q133" s="142"/>
      <c r="R133" s="142"/>
      <c r="S133" s="141"/>
      <c r="T133" s="141"/>
      <c r="U133" s="143"/>
      <c r="V133" s="141"/>
      <c r="W133" s="141"/>
      <c r="X133" s="11"/>
      <c r="Y133" s="11"/>
    </row>
    <row r="134" spans="1:25" ht="15.75" customHeight="1" x14ac:dyDescent="0.3">
      <c r="A134" s="140"/>
      <c r="B134" s="140"/>
      <c r="K134" s="141"/>
      <c r="L134" s="141"/>
      <c r="M134" s="143"/>
      <c r="N134" s="11"/>
      <c r="O134" s="11"/>
      <c r="P134" s="11"/>
      <c r="Q134" s="142"/>
      <c r="R134" s="142"/>
      <c r="S134" s="141"/>
      <c r="T134" s="141"/>
      <c r="U134" s="143"/>
      <c r="V134" s="141"/>
      <c r="W134" s="141"/>
      <c r="X134" s="11"/>
      <c r="Y134" s="11"/>
    </row>
    <row r="135" spans="1:25" ht="15.75" customHeight="1" x14ac:dyDescent="0.3">
      <c r="A135" s="140"/>
      <c r="B135" s="140"/>
      <c r="K135" s="141"/>
      <c r="L135" s="141"/>
      <c r="M135" s="143"/>
      <c r="N135" s="11"/>
      <c r="O135" s="11"/>
      <c r="P135" s="11"/>
      <c r="Q135" s="142"/>
      <c r="R135" s="142"/>
      <c r="S135" s="141"/>
      <c r="T135" s="141"/>
      <c r="U135" s="143"/>
      <c r="V135" s="141"/>
      <c r="W135" s="141"/>
      <c r="X135" s="11"/>
      <c r="Y135" s="11"/>
    </row>
    <row r="136" spans="1:25" ht="15.75" customHeight="1" x14ac:dyDescent="0.3">
      <c r="A136" s="140"/>
      <c r="B136" s="140"/>
      <c r="K136" s="141"/>
      <c r="L136" s="141"/>
      <c r="M136" s="143"/>
      <c r="N136" s="11"/>
      <c r="O136" s="11"/>
      <c r="P136" s="11"/>
      <c r="Q136" s="142"/>
      <c r="R136" s="142"/>
      <c r="S136" s="141"/>
      <c r="T136" s="141"/>
      <c r="U136" s="143"/>
      <c r="V136" s="141"/>
      <c r="W136" s="141"/>
      <c r="X136" s="11"/>
      <c r="Y136" s="11"/>
    </row>
    <row r="137" spans="1:25" ht="15.75" customHeight="1" x14ac:dyDescent="0.3">
      <c r="A137" s="140"/>
      <c r="B137" s="140"/>
      <c r="K137" s="141"/>
      <c r="L137" s="141"/>
      <c r="M137" s="143"/>
      <c r="N137" s="11"/>
      <c r="O137" s="11"/>
      <c r="P137" s="11"/>
      <c r="Q137" s="142"/>
      <c r="R137" s="142"/>
      <c r="S137" s="141"/>
      <c r="T137" s="141"/>
      <c r="U137" s="143"/>
      <c r="V137" s="141"/>
      <c r="W137" s="141"/>
      <c r="X137" s="11"/>
      <c r="Y137" s="11"/>
    </row>
    <row r="138" spans="1:25" ht="15.75" customHeight="1" x14ac:dyDescent="0.3">
      <c r="A138" s="140"/>
      <c r="B138" s="140"/>
      <c r="K138" s="141"/>
      <c r="L138" s="141"/>
      <c r="M138" s="143"/>
      <c r="N138" s="11"/>
      <c r="O138" s="11"/>
      <c r="P138" s="11"/>
      <c r="Q138" s="142"/>
      <c r="R138" s="142"/>
      <c r="S138" s="141"/>
      <c r="T138" s="141"/>
      <c r="U138" s="143"/>
      <c r="V138" s="141"/>
      <c r="W138" s="141"/>
      <c r="X138" s="11"/>
      <c r="Y138" s="11"/>
    </row>
    <row r="139" spans="1:25" ht="15.75" customHeight="1" x14ac:dyDescent="0.3">
      <c r="A139" s="140"/>
      <c r="B139" s="140"/>
      <c r="K139" s="141"/>
      <c r="L139" s="141"/>
      <c r="M139" s="143"/>
      <c r="N139" s="11"/>
      <c r="O139" s="11"/>
      <c r="P139" s="11"/>
      <c r="Q139" s="142"/>
      <c r="R139" s="142"/>
      <c r="S139" s="141"/>
      <c r="T139" s="141"/>
      <c r="U139" s="143"/>
      <c r="V139" s="141"/>
      <c r="W139" s="141"/>
      <c r="X139" s="11"/>
      <c r="Y139" s="11"/>
    </row>
    <row r="140" spans="1:25" ht="15.75" customHeight="1" x14ac:dyDescent="0.3">
      <c r="A140" s="140"/>
      <c r="B140" s="140"/>
      <c r="K140" s="141"/>
      <c r="L140" s="141"/>
      <c r="M140" s="143"/>
      <c r="N140" s="11"/>
      <c r="O140" s="11"/>
      <c r="P140" s="11"/>
      <c r="Q140" s="142"/>
      <c r="R140" s="142"/>
      <c r="S140" s="141"/>
      <c r="T140" s="141"/>
      <c r="U140" s="143"/>
      <c r="V140" s="141"/>
      <c r="W140" s="141"/>
      <c r="X140" s="11"/>
      <c r="Y140" s="11"/>
    </row>
    <row r="141" spans="1:25" ht="15.75" customHeight="1" x14ac:dyDescent="0.3">
      <c r="A141" s="140"/>
      <c r="B141" s="140"/>
      <c r="K141" s="141"/>
      <c r="L141" s="141"/>
      <c r="M141" s="143"/>
      <c r="N141" s="11"/>
      <c r="O141" s="11"/>
      <c r="P141" s="11"/>
      <c r="Q141" s="142"/>
      <c r="R141" s="142"/>
      <c r="S141" s="141"/>
      <c r="T141" s="141"/>
      <c r="U141" s="143"/>
      <c r="V141" s="141"/>
      <c r="W141" s="141"/>
      <c r="X141" s="11"/>
      <c r="Y141" s="11"/>
    </row>
    <row r="142" spans="1:25" ht="15.75" customHeight="1" x14ac:dyDescent="0.3">
      <c r="A142" s="140"/>
      <c r="B142" s="140"/>
      <c r="K142" s="141"/>
      <c r="L142" s="141"/>
      <c r="M142" s="143"/>
      <c r="N142" s="11"/>
      <c r="O142" s="11"/>
      <c r="P142" s="11"/>
      <c r="Q142" s="142"/>
      <c r="R142" s="142"/>
      <c r="S142" s="141"/>
      <c r="T142" s="141"/>
      <c r="U142" s="143"/>
      <c r="V142" s="141"/>
      <c r="W142" s="141"/>
      <c r="X142" s="11"/>
      <c r="Y142" s="11"/>
    </row>
    <row r="143" spans="1:25" ht="15.75" customHeight="1" x14ac:dyDescent="0.3">
      <c r="A143" s="140"/>
      <c r="B143" s="140"/>
      <c r="K143" s="141"/>
      <c r="L143" s="141"/>
      <c r="M143" s="143"/>
      <c r="N143" s="11"/>
      <c r="O143" s="11"/>
      <c r="P143" s="11"/>
      <c r="Q143" s="142"/>
      <c r="R143" s="142"/>
      <c r="S143" s="141"/>
      <c r="T143" s="141"/>
      <c r="U143" s="143"/>
      <c r="V143" s="141"/>
      <c r="W143" s="141"/>
      <c r="X143" s="11"/>
      <c r="Y143" s="11"/>
    </row>
    <row r="144" spans="1:25" ht="15.75" customHeight="1" x14ac:dyDescent="0.3">
      <c r="A144" s="140"/>
      <c r="B144" s="140"/>
      <c r="K144" s="141"/>
      <c r="L144" s="141"/>
      <c r="M144" s="143"/>
      <c r="N144" s="11"/>
      <c r="O144" s="11"/>
      <c r="P144" s="11"/>
      <c r="Q144" s="142"/>
      <c r="R144" s="142"/>
      <c r="S144" s="141"/>
      <c r="T144" s="141"/>
      <c r="U144" s="143"/>
      <c r="V144" s="141"/>
      <c r="W144" s="141"/>
      <c r="X144" s="11"/>
      <c r="Y144" s="11"/>
    </row>
    <row r="145" spans="1:25" ht="15.75" customHeight="1" x14ac:dyDescent="0.3">
      <c r="A145" s="140"/>
      <c r="B145" s="140"/>
      <c r="K145" s="141"/>
      <c r="L145" s="141"/>
      <c r="M145" s="143"/>
      <c r="N145" s="11"/>
      <c r="O145" s="11"/>
      <c r="P145" s="11"/>
      <c r="Q145" s="142"/>
      <c r="R145" s="142"/>
      <c r="S145" s="141"/>
      <c r="T145" s="141"/>
      <c r="U145" s="143"/>
      <c r="V145" s="141"/>
      <c r="W145" s="141"/>
      <c r="X145" s="11"/>
      <c r="Y145" s="11"/>
    </row>
    <row r="146" spans="1:25" ht="15.75" customHeight="1" x14ac:dyDescent="0.3">
      <c r="A146" s="140"/>
      <c r="B146" s="140"/>
      <c r="K146" s="141"/>
      <c r="L146" s="141"/>
      <c r="M146" s="143"/>
      <c r="N146" s="11"/>
      <c r="O146" s="11"/>
      <c r="P146" s="11"/>
      <c r="Q146" s="142"/>
      <c r="R146" s="142"/>
      <c r="S146" s="141"/>
      <c r="T146" s="141"/>
      <c r="U146" s="143"/>
      <c r="V146" s="141"/>
      <c r="W146" s="141"/>
      <c r="X146" s="11"/>
      <c r="Y146" s="11"/>
    </row>
    <row r="147" spans="1:25" ht="15.75" customHeight="1" x14ac:dyDescent="0.3">
      <c r="A147" s="140"/>
      <c r="B147" s="140"/>
      <c r="K147" s="141"/>
      <c r="L147" s="141"/>
      <c r="M147" s="143"/>
      <c r="N147" s="11"/>
      <c r="O147" s="11"/>
      <c r="P147" s="11"/>
      <c r="Q147" s="142"/>
      <c r="R147" s="142"/>
      <c r="S147" s="141"/>
      <c r="T147" s="141"/>
      <c r="U147" s="143"/>
      <c r="V147" s="141"/>
      <c r="W147" s="141"/>
      <c r="X147" s="11"/>
      <c r="Y147" s="11"/>
    </row>
    <row r="148" spans="1:25" ht="15.75" customHeight="1" x14ac:dyDescent="0.3">
      <c r="A148" s="140"/>
      <c r="B148" s="140"/>
      <c r="K148" s="141"/>
      <c r="L148" s="141"/>
      <c r="M148" s="143"/>
      <c r="N148" s="11"/>
      <c r="O148" s="11"/>
      <c r="P148" s="11"/>
      <c r="Q148" s="142"/>
      <c r="R148" s="142"/>
      <c r="S148" s="141"/>
      <c r="T148" s="141"/>
      <c r="U148" s="143"/>
      <c r="V148" s="141"/>
      <c r="W148" s="141"/>
      <c r="X148" s="11"/>
      <c r="Y148" s="11"/>
    </row>
    <row r="149" spans="1:25" ht="15.75" customHeight="1" x14ac:dyDescent="0.3">
      <c r="A149" s="140"/>
      <c r="B149" s="140"/>
      <c r="K149" s="141"/>
      <c r="L149" s="141"/>
      <c r="M149" s="143"/>
      <c r="N149" s="11"/>
      <c r="O149" s="11"/>
      <c r="P149" s="11"/>
      <c r="Q149" s="142"/>
      <c r="R149" s="142"/>
      <c r="S149" s="141"/>
      <c r="T149" s="141"/>
      <c r="U149" s="143"/>
      <c r="V149" s="141"/>
      <c r="W149" s="141"/>
      <c r="X149" s="11"/>
      <c r="Y149" s="11"/>
    </row>
    <row r="150" spans="1:25" ht="15.75" customHeight="1" x14ac:dyDescent="0.3">
      <c r="A150" s="140"/>
      <c r="B150" s="140"/>
      <c r="K150" s="141"/>
      <c r="L150" s="141"/>
      <c r="M150" s="143"/>
      <c r="N150" s="11"/>
      <c r="O150" s="11"/>
      <c r="P150" s="11"/>
      <c r="Q150" s="142"/>
      <c r="R150" s="142"/>
      <c r="S150" s="141"/>
      <c r="T150" s="141"/>
      <c r="U150" s="143"/>
      <c r="V150" s="141"/>
      <c r="W150" s="141"/>
      <c r="X150" s="11"/>
      <c r="Y150" s="11"/>
    </row>
    <row r="151" spans="1:25" ht="15.75" customHeight="1" x14ac:dyDescent="0.3">
      <c r="A151" s="140"/>
      <c r="B151" s="140"/>
      <c r="K151" s="141"/>
      <c r="L151" s="141"/>
      <c r="M151" s="143"/>
      <c r="N151" s="11"/>
      <c r="O151" s="11"/>
      <c r="P151" s="11"/>
      <c r="Q151" s="142"/>
      <c r="R151" s="142"/>
      <c r="S151" s="141"/>
      <c r="T151" s="141"/>
      <c r="U151" s="143"/>
      <c r="V151" s="141"/>
      <c r="W151" s="141"/>
      <c r="X151" s="11"/>
      <c r="Y151" s="11"/>
    </row>
    <row r="152" spans="1:25" ht="15.75" customHeight="1" x14ac:dyDescent="0.3">
      <c r="A152" s="140"/>
      <c r="B152" s="140"/>
      <c r="K152" s="141"/>
      <c r="L152" s="141"/>
      <c r="M152" s="143"/>
      <c r="N152" s="11"/>
      <c r="O152" s="11"/>
      <c r="P152" s="11"/>
      <c r="Q152" s="142"/>
      <c r="R152" s="142"/>
      <c r="S152" s="141"/>
      <c r="T152" s="141"/>
      <c r="U152" s="143"/>
      <c r="V152" s="141"/>
      <c r="W152" s="141"/>
      <c r="X152" s="11"/>
      <c r="Y152" s="11"/>
    </row>
    <row r="153" spans="1:25" ht="15.75" customHeight="1" x14ac:dyDescent="0.3">
      <c r="A153" s="140"/>
      <c r="B153" s="140"/>
      <c r="K153" s="141"/>
      <c r="L153" s="141"/>
      <c r="M153" s="143"/>
      <c r="N153" s="11"/>
      <c r="O153" s="11"/>
      <c r="P153" s="11"/>
      <c r="Q153" s="142"/>
      <c r="R153" s="142"/>
      <c r="S153" s="141"/>
      <c r="T153" s="141"/>
      <c r="U153" s="143"/>
      <c r="V153" s="141"/>
      <c r="W153" s="141"/>
      <c r="X153" s="11"/>
      <c r="Y153" s="11"/>
    </row>
    <row r="154" spans="1:25" ht="15.75" customHeight="1" x14ac:dyDescent="0.3">
      <c r="A154" s="140"/>
      <c r="B154" s="140"/>
      <c r="K154" s="141"/>
      <c r="L154" s="141"/>
      <c r="M154" s="143"/>
      <c r="N154" s="11"/>
      <c r="O154" s="11"/>
      <c r="P154" s="11"/>
      <c r="Q154" s="142"/>
      <c r="R154" s="142"/>
      <c r="S154" s="141"/>
      <c r="T154" s="141"/>
      <c r="U154" s="143"/>
      <c r="V154" s="141"/>
      <c r="W154" s="141"/>
      <c r="X154" s="11"/>
      <c r="Y154" s="11"/>
    </row>
    <row r="155" spans="1:25" ht="15.75" customHeight="1" x14ac:dyDescent="0.3">
      <c r="A155" s="140"/>
      <c r="B155" s="140"/>
      <c r="K155" s="141"/>
      <c r="L155" s="141"/>
      <c r="M155" s="143"/>
      <c r="N155" s="11"/>
      <c r="O155" s="11"/>
      <c r="P155" s="11"/>
      <c r="Q155" s="142"/>
      <c r="R155" s="142"/>
      <c r="S155" s="141"/>
      <c r="T155" s="141"/>
      <c r="U155" s="143"/>
      <c r="V155" s="141"/>
      <c r="W155" s="141"/>
      <c r="X155" s="11"/>
      <c r="Y155" s="11"/>
    </row>
    <row r="156" spans="1:25" ht="15.75" customHeight="1" x14ac:dyDescent="0.3">
      <c r="A156" s="140"/>
      <c r="B156" s="140"/>
      <c r="K156" s="141"/>
      <c r="L156" s="141"/>
      <c r="M156" s="143"/>
      <c r="N156" s="11"/>
      <c r="O156" s="11"/>
      <c r="P156" s="11"/>
      <c r="Q156" s="142"/>
      <c r="R156" s="142"/>
      <c r="S156" s="141"/>
      <c r="T156" s="141"/>
      <c r="U156" s="143"/>
      <c r="V156" s="141"/>
      <c r="W156" s="141"/>
      <c r="X156" s="11"/>
      <c r="Y156" s="11"/>
    </row>
    <row r="157" spans="1:25" ht="15.75" customHeight="1" x14ac:dyDescent="0.3">
      <c r="A157" s="140"/>
      <c r="B157" s="140"/>
      <c r="K157" s="141"/>
      <c r="L157" s="141"/>
      <c r="M157" s="143"/>
      <c r="N157" s="11"/>
      <c r="O157" s="11"/>
      <c r="P157" s="11"/>
      <c r="Q157" s="142"/>
      <c r="R157" s="142"/>
      <c r="S157" s="141"/>
      <c r="T157" s="141"/>
      <c r="U157" s="143"/>
      <c r="V157" s="141"/>
      <c r="W157" s="141"/>
      <c r="X157" s="11"/>
      <c r="Y157" s="11"/>
    </row>
    <row r="158" spans="1:25" ht="15.75" customHeight="1" x14ac:dyDescent="0.3">
      <c r="A158" s="140"/>
      <c r="B158" s="140"/>
      <c r="K158" s="141"/>
      <c r="L158" s="141"/>
      <c r="M158" s="143"/>
      <c r="N158" s="11"/>
      <c r="O158" s="11"/>
      <c r="P158" s="11"/>
      <c r="Q158" s="142"/>
      <c r="R158" s="142"/>
      <c r="S158" s="141"/>
      <c r="T158" s="141"/>
      <c r="U158" s="143"/>
      <c r="V158" s="141"/>
      <c r="W158" s="141"/>
      <c r="X158" s="11"/>
      <c r="Y158" s="11"/>
    </row>
    <row r="159" spans="1:25" ht="15.75" customHeight="1" x14ac:dyDescent="0.3">
      <c r="A159" s="140"/>
      <c r="B159" s="140"/>
      <c r="K159" s="141"/>
      <c r="L159" s="141"/>
      <c r="M159" s="143"/>
      <c r="N159" s="11"/>
      <c r="O159" s="11"/>
      <c r="P159" s="11"/>
      <c r="Q159" s="142"/>
      <c r="R159" s="142"/>
      <c r="S159" s="141"/>
      <c r="T159" s="141"/>
      <c r="U159" s="143"/>
      <c r="V159" s="141"/>
      <c r="W159" s="141"/>
      <c r="X159" s="11"/>
      <c r="Y159" s="11"/>
    </row>
    <row r="160" spans="1:25" ht="15.75" customHeight="1" x14ac:dyDescent="0.3">
      <c r="A160" s="140"/>
      <c r="B160" s="140"/>
      <c r="K160" s="141"/>
      <c r="L160" s="141"/>
      <c r="M160" s="143"/>
      <c r="N160" s="11"/>
      <c r="O160" s="11"/>
      <c r="P160" s="11"/>
      <c r="Q160" s="142"/>
      <c r="R160" s="142"/>
      <c r="S160" s="141"/>
      <c r="T160" s="141"/>
      <c r="U160" s="143"/>
      <c r="V160" s="141"/>
      <c r="W160" s="141"/>
      <c r="X160" s="11"/>
      <c r="Y160" s="11"/>
    </row>
    <row r="161" spans="1:25" ht="15.75" customHeight="1" x14ac:dyDescent="0.3">
      <c r="A161" s="140"/>
      <c r="B161" s="140"/>
      <c r="K161" s="141"/>
      <c r="L161" s="141"/>
      <c r="M161" s="143"/>
      <c r="N161" s="11"/>
      <c r="O161" s="11"/>
      <c r="P161" s="11"/>
      <c r="Q161" s="142"/>
      <c r="R161" s="142"/>
      <c r="S161" s="141"/>
      <c r="T161" s="141"/>
      <c r="U161" s="143"/>
      <c r="V161" s="141"/>
      <c r="W161" s="141"/>
      <c r="X161" s="11"/>
      <c r="Y161" s="11"/>
    </row>
    <row r="162" spans="1:25" ht="15.75" customHeight="1" x14ac:dyDescent="0.3">
      <c r="A162" s="140"/>
      <c r="B162" s="140"/>
      <c r="K162" s="141"/>
      <c r="L162" s="141"/>
      <c r="M162" s="143"/>
      <c r="N162" s="11"/>
      <c r="O162" s="11"/>
      <c r="P162" s="11"/>
      <c r="Q162" s="142"/>
      <c r="R162" s="142"/>
      <c r="S162" s="141"/>
      <c r="T162" s="141"/>
      <c r="U162" s="143"/>
      <c r="V162" s="141"/>
      <c r="W162" s="141"/>
      <c r="X162" s="11"/>
      <c r="Y162" s="11"/>
    </row>
    <row r="163" spans="1:25" ht="15.75" customHeight="1" x14ac:dyDescent="0.3">
      <c r="A163" s="140"/>
      <c r="B163" s="140"/>
      <c r="K163" s="141"/>
      <c r="L163" s="141"/>
      <c r="M163" s="143"/>
      <c r="N163" s="11"/>
      <c r="O163" s="11"/>
      <c r="P163" s="11"/>
      <c r="Q163" s="142"/>
      <c r="R163" s="142"/>
      <c r="S163" s="141"/>
      <c r="T163" s="141"/>
      <c r="U163" s="143"/>
      <c r="V163" s="141"/>
      <c r="W163" s="141"/>
      <c r="X163" s="11"/>
      <c r="Y163" s="11"/>
    </row>
    <row r="164" spans="1:25" ht="15.75" customHeight="1" x14ac:dyDescent="0.3">
      <c r="A164" s="140"/>
      <c r="B164" s="140"/>
      <c r="K164" s="141"/>
      <c r="L164" s="141"/>
      <c r="M164" s="143"/>
      <c r="N164" s="11"/>
      <c r="O164" s="11"/>
      <c r="P164" s="11"/>
      <c r="Q164" s="142"/>
      <c r="R164" s="142"/>
      <c r="S164" s="141"/>
      <c r="T164" s="141"/>
      <c r="U164" s="143"/>
      <c r="V164" s="141"/>
      <c r="W164" s="141"/>
      <c r="X164" s="11"/>
      <c r="Y164" s="11"/>
    </row>
    <row r="165" spans="1:25" ht="15.75" customHeight="1" x14ac:dyDescent="0.3">
      <c r="A165" s="140"/>
      <c r="B165" s="140"/>
      <c r="K165" s="141"/>
      <c r="L165" s="141"/>
      <c r="M165" s="143"/>
      <c r="N165" s="11"/>
      <c r="O165" s="11"/>
      <c r="P165" s="11"/>
      <c r="Q165" s="142"/>
      <c r="R165" s="142"/>
      <c r="S165" s="141"/>
      <c r="T165" s="141"/>
      <c r="U165" s="143"/>
      <c r="V165" s="141"/>
      <c r="W165" s="141"/>
      <c r="X165" s="11"/>
      <c r="Y165" s="11"/>
    </row>
    <row r="166" spans="1:25" ht="15.75" customHeight="1" x14ac:dyDescent="0.3">
      <c r="A166" s="140"/>
      <c r="B166" s="140"/>
      <c r="K166" s="141"/>
      <c r="L166" s="141"/>
      <c r="M166" s="143"/>
      <c r="N166" s="11"/>
      <c r="O166" s="11"/>
      <c r="P166" s="11"/>
      <c r="Q166" s="142"/>
      <c r="R166" s="142"/>
      <c r="S166" s="141"/>
      <c r="T166" s="141"/>
      <c r="U166" s="143"/>
      <c r="V166" s="141"/>
      <c r="W166" s="141"/>
      <c r="X166" s="11"/>
      <c r="Y166" s="11"/>
    </row>
    <row r="167" spans="1:25" ht="15.75" customHeight="1" x14ac:dyDescent="0.3">
      <c r="A167" s="140"/>
      <c r="B167" s="140"/>
      <c r="K167" s="141"/>
      <c r="L167" s="141"/>
      <c r="M167" s="143"/>
      <c r="N167" s="11"/>
      <c r="O167" s="11"/>
      <c r="P167" s="11"/>
      <c r="Q167" s="142"/>
      <c r="R167" s="142"/>
      <c r="S167" s="141"/>
      <c r="T167" s="141"/>
      <c r="U167" s="143"/>
      <c r="V167" s="141"/>
      <c r="W167" s="141"/>
      <c r="X167" s="11"/>
      <c r="Y167" s="11"/>
    </row>
    <row r="168" spans="1:25" ht="15.75" customHeight="1" x14ac:dyDescent="0.3">
      <c r="A168" s="140"/>
      <c r="B168" s="140"/>
      <c r="K168" s="141"/>
      <c r="L168" s="141"/>
      <c r="M168" s="143"/>
      <c r="N168" s="11"/>
      <c r="O168" s="11"/>
      <c r="P168" s="11"/>
      <c r="Q168" s="142"/>
      <c r="R168" s="142"/>
      <c r="S168" s="141"/>
      <c r="T168" s="141"/>
      <c r="U168" s="143"/>
      <c r="V168" s="141"/>
      <c r="W168" s="141"/>
      <c r="X168" s="11"/>
      <c r="Y168" s="11"/>
    </row>
    <row r="169" spans="1:25" ht="15.75" customHeight="1" x14ac:dyDescent="0.3">
      <c r="A169" s="140"/>
      <c r="B169" s="140"/>
      <c r="K169" s="141"/>
      <c r="L169" s="141"/>
      <c r="M169" s="143"/>
      <c r="N169" s="11"/>
      <c r="O169" s="11"/>
      <c r="P169" s="11"/>
      <c r="Q169" s="142"/>
      <c r="R169" s="142"/>
      <c r="S169" s="141"/>
      <c r="T169" s="141"/>
      <c r="U169" s="143"/>
      <c r="V169" s="141"/>
      <c r="W169" s="141"/>
      <c r="X169" s="11"/>
      <c r="Y169" s="11"/>
    </row>
    <row r="170" spans="1:25" ht="15.75" customHeight="1" x14ac:dyDescent="0.3">
      <c r="A170" s="140"/>
      <c r="B170" s="140"/>
      <c r="K170" s="141"/>
      <c r="L170" s="141"/>
      <c r="M170" s="143"/>
      <c r="N170" s="11"/>
      <c r="O170" s="11"/>
      <c r="P170" s="11"/>
      <c r="Q170" s="142"/>
      <c r="R170" s="142"/>
      <c r="S170" s="141"/>
      <c r="T170" s="141"/>
      <c r="U170" s="143"/>
      <c r="V170" s="141"/>
      <c r="W170" s="141"/>
      <c r="X170" s="11"/>
      <c r="Y170" s="11"/>
    </row>
    <row r="171" spans="1:25" ht="15.75" customHeight="1" x14ac:dyDescent="0.3">
      <c r="A171" s="140"/>
      <c r="B171" s="140"/>
      <c r="K171" s="141"/>
      <c r="L171" s="141"/>
      <c r="M171" s="143"/>
      <c r="N171" s="11"/>
      <c r="O171" s="11"/>
      <c r="P171" s="11"/>
      <c r="Q171" s="142"/>
      <c r="R171" s="142"/>
      <c r="S171" s="141"/>
      <c r="T171" s="141"/>
      <c r="U171" s="143"/>
      <c r="V171" s="141"/>
      <c r="W171" s="141"/>
      <c r="X171" s="11"/>
      <c r="Y171" s="11"/>
    </row>
    <row r="172" spans="1:25" ht="15.75" customHeight="1" x14ac:dyDescent="0.3">
      <c r="A172" s="140"/>
      <c r="B172" s="140"/>
      <c r="K172" s="141"/>
      <c r="L172" s="141"/>
      <c r="M172" s="143"/>
      <c r="N172" s="11"/>
      <c r="O172" s="11"/>
      <c r="P172" s="11"/>
      <c r="Q172" s="142"/>
      <c r="R172" s="142"/>
      <c r="S172" s="141"/>
      <c r="T172" s="141"/>
      <c r="U172" s="143"/>
      <c r="V172" s="141"/>
      <c r="W172" s="141"/>
      <c r="X172" s="11"/>
      <c r="Y172" s="11"/>
    </row>
    <row r="173" spans="1:25" ht="15.75" customHeight="1" x14ac:dyDescent="0.3">
      <c r="A173" s="140"/>
      <c r="B173" s="140"/>
      <c r="K173" s="141"/>
      <c r="L173" s="141"/>
      <c r="M173" s="143"/>
      <c r="N173" s="11"/>
      <c r="O173" s="11"/>
      <c r="P173" s="11"/>
      <c r="Q173" s="142"/>
      <c r="R173" s="142"/>
      <c r="S173" s="141"/>
      <c r="T173" s="141"/>
      <c r="U173" s="143"/>
      <c r="V173" s="141"/>
      <c r="W173" s="141"/>
      <c r="X173" s="11"/>
      <c r="Y173" s="11"/>
    </row>
    <row r="174" spans="1:25" ht="15.75" customHeight="1" x14ac:dyDescent="0.3">
      <c r="A174" s="140"/>
      <c r="B174" s="140"/>
      <c r="K174" s="141"/>
      <c r="L174" s="141"/>
      <c r="M174" s="143"/>
      <c r="N174" s="11"/>
      <c r="O174" s="11"/>
      <c r="P174" s="11"/>
      <c r="Q174" s="142"/>
      <c r="R174" s="142"/>
      <c r="S174" s="141"/>
      <c r="T174" s="141"/>
      <c r="U174" s="143"/>
      <c r="V174" s="141"/>
      <c r="W174" s="141"/>
      <c r="X174" s="11"/>
      <c r="Y174" s="11"/>
    </row>
    <row r="175" spans="1:25" ht="15.75" customHeight="1" x14ac:dyDescent="0.3">
      <c r="A175" s="140"/>
      <c r="B175" s="140"/>
      <c r="K175" s="141"/>
      <c r="L175" s="141"/>
      <c r="M175" s="143"/>
      <c r="N175" s="11"/>
      <c r="O175" s="11"/>
      <c r="P175" s="11"/>
      <c r="Q175" s="142"/>
      <c r="R175" s="142"/>
      <c r="S175" s="141"/>
      <c r="T175" s="141"/>
      <c r="U175" s="143"/>
      <c r="V175" s="141"/>
      <c r="W175" s="141"/>
      <c r="X175" s="11"/>
      <c r="Y175" s="11"/>
    </row>
    <row r="176" spans="1:25" ht="15.75" customHeight="1" x14ac:dyDescent="0.3">
      <c r="A176" s="140"/>
      <c r="B176" s="140"/>
      <c r="K176" s="141"/>
      <c r="L176" s="141"/>
      <c r="M176" s="143"/>
      <c r="N176" s="11"/>
      <c r="O176" s="11"/>
      <c r="P176" s="11"/>
      <c r="Q176" s="142"/>
      <c r="R176" s="142"/>
      <c r="S176" s="141"/>
      <c r="T176" s="141"/>
      <c r="U176" s="143"/>
      <c r="V176" s="141"/>
      <c r="W176" s="141"/>
      <c r="X176" s="11"/>
      <c r="Y176" s="11"/>
    </row>
    <row r="177" spans="1:25" ht="15.75" customHeight="1" x14ac:dyDescent="0.3">
      <c r="A177" s="140"/>
      <c r="B177" s="140"/>
      <c r="K177" s="141"/>
      <c r="L177" s="141"/>
      <c r="M177" s="143"/>
      <c r="N177" s="11"/>
      <c r="O177" s="11"/>
      <c r="P177" s="11"/>
      <c r="Q177" s="142"/>
      <c r="R177" s="142"/>
      <c r="S177" s="141"/>
      <c r="T177" s="141"/>
      <c r="U177" s="143"/>
      <c r="V177" s="141"/>
      <c r="W177" s="141"/>
      <c r="X177" s="11"/>
      <c r="Y177" s="11"/>
    </row>
    <row r="178" spans="1:25" ht="15.75" customHeight="1" x14ac:dyDescent="0.3">
      <c r="A178" s="140"/>
      <c r="B178" s="140"/>
      <c r="K178" s="141"/>
      <c r="L178" s="141"/>
      <c r="M178" s="143"/>
      <c r="N178" s="11"/>
      <c r="O178" s="11"/>
      <c r="P178" s="11"/>
      <c r="Q178" s="142"/>
      <c r="R178" s="142"/>
      <c r="S178" s="141"/>
      <c r="T178" s="141"/>
      <c r="U178" s="143"/>
      <c r="V178" s="141"/>
      <c r="W178" s="141"/>
      <c r="X178" s="11"/>
      <c r="Y178" s="11"/>
    </row>
    <row r="179" spans="1:25" ht="15.75" customHeight="1" x14ac:dyDescent="0.3">
      <c r="A179" s="140"/>
      <c r="B179" s="140"/>
      <c r="K179" s="141"/>
      <c r="L179" s="141"/>
      <c r="M179" s="143"/>
      <c r="N179" s="11"/>
      <c r="O179" s="11"/>
      <c r="P179" s="11"/>
      <c r="Q179" s="142"/>
      <c r="R179" s="142"/>
      <c r="S179" s="141"/>
      <c r="T179" s="141"/>
      <c r="U179" s="143"/>
      <c r="V179" s="141"/>
      <c r="W179" s="141"/>
      <c r="X179" s="11"/>
      <c r="Y179" s="11"/>
    </row>
    <row r="180" spans="1:25" ht="15.75" customHeight="1" x14ac:dyDescent="0.3">
      <c r="A180" s="140"/>
      <c r="B180" s="140"/>
      <c r="K180" s="141"/>
      <c r="L180" s="141"/>
      <c r="M180" s="143"/>
      <c r="N180" s="11"/>
      <c r="O180" s="11"/>
      <c r="P180" s="11"/>
      <c r="Q180" s="142"/>
      <c r="R180" s="142"/>
      <c r="S180" s="141"/>
      <c r="T180" s="141"/>
      <c r="U180" s="143"/>
      <c r="V180" s="141"/>
      <c r="W180" s="141"/>
      <c r="X180" s="11"/>
      <c r="Y180" s="11"/>
    </row>
    <row r="181" spans="1:25" ht="15.75" customHeight="1" x14ac:dyDescent="0.3">
      <c r="A181" s="140"/>
      <c r="B181" s="140"/>
      <c r="K181" s="141"/>
      <c r="L181" s="141"/>
      <c r="M181" s="143"/>
      <c r="N181" s="11"/>
      <c r="O181" s="11"/>
      <c r="P181" s="11"/>
      <c r="Q181" s="142"/>
      <c r="R181" s="142"/>
      <c r="S181" s="141"/>
      <c r="T181" s="141"/>
      <c r="U181" s="143"/>
      <c r="V181" s="141"/>
      <c r="W181" s="141"/>
      <c r="X181" s="11"/>
      <c r="Y181" s="11"/>
    </row>
    <row r="182" spans="1:25" ht="15.75" customHeight="1" x14ac:dyDescent="0.3">
      <c r="A182" s="140"/>
      <c r="B182" s="140"/>
      <c r="K182" s="141"/>
      <c r="L182" s="141"/>
      <c r="M182" s="143"/>
      <c r="N182" s="11"/>
      <c r="O182" s="11"/>
      <c r="P182" s="11"/>
      <c r="Q182" s="142"/>
      <c r="R182" s="142"/>
      <c r="S182" s="141"/>
      <c r="T182" s="141"/>
      <c r="U182" s="143"/>
      <c r="V182" s="141"/>
      <c r="W182" s="141"/>
      <c r="X182" s="11"/>
      <c r="Y182" s="11"/>
    </row>
    <row r="183" spans="1:25" ht="15.75" customHeight="1" x14ac:dyDescent="0.3">
      <c r="A183" s="140"/>
      <c r="B183" s="140"/>
      <c r="K183" s="141"/>
      <c r="L183" s="141"/>
      <c r="M183" s="143"/>
      <c r="N183" s="11"/>
      <c r="O183" s="11"/>
      <c r="P183" s="11"/>
      <c r="Q183" s="142"/>
      <c r="R183" s="142"/>
      <c r="S183" s="141"/>
      <c r="T183" s="141"/>
      <c r="U183" s="143"/>
      <c r="V183" s="141"/>
      <c r="W183" s="141"/>
      <c r="X183" s="11"/>
      <c r="Y183" s="11"/>
    </row>
    <row r="184" spans="1:25" ht="15.75" customHeight="1" x14ac:dyDescent="0.3">
      <c r="A184" s="140"/>
      <c r="B184" s="140"/>
      <c r="K184" s="141"/>
      <c r="L184" s="141"/>
      <c r="M184" s="143"/>
      <c r="N184" s="11"/>
      <c r="O184" s="11"/>
      <c r="P184" s="11"/>
      <c r="Q184" s="142"/>
      <c r="R184" s="142"/>
      <c r="S184" s="141"/>
      <c r="T184" s="141"/>
      <c r="U184" s="143"/>
      <c r="V184" s="141"/>
      <c r="W184" s="141"/>
      <c r="X184" s="11"/>
      <c r="Y184" s="11"/>
    </row>
    <row r="185" spans="1:25" ht="15.75" customHeight="1" x14ac:dyDescent="0.3">
      <c r="A185" s="140"/>
      <c r="B185" s="140"/>
      <c r="K185" s="141"/>
      <c r="L185" s="141"/>
      <c r="M185" s="143"/>
      <c r="N185" s="11"/>
      <c r="O185" s="11"/>
      <c r="P185" s="11"/>
      <c r="Q185" s="142"/>
      <c r="R185" s="142"/>
      <c r="S185" s="141"/>
      <c r="T185" s="141"/>
      <c r="U185" s="143"/>
      <c r="V185" s="141"/>
      <c r="W185" s="141"/>
      <c r="X185" s="11"/>
      <c r="Y185" s="11"/>
    </row>
    <row r="186" spans="1:25" ht="15.75" customHeight="1" x14ac:dyDescent="0.3">
      <c r="A186" s="140"/>
      <c r="B186" s="140"/>
      <c r="K186" s="141"/>
      <c r="L186" s="141"/>
      <c r="M186" s="143"/>
      <c r="N186" s="11"/>
      <c r="O186" s="11"/>
      <c r="P186" s="11"/>
      <c r="Q186" s="142"/>
      <c r="R186" s="142"/>
      <c r="S186" s="141"/>
      <c r="T186" s="141"/>
      <c r="U186" s="143"/>
      <c r="V186" s="141"/>
      <c r="W186" s="141"/>
      <c r="X186" s="11"/>
      <c r="Y186" s="11"/>
    </row>
    <row r="187" spans="1:25" ht="15.75" customHeight="1" x14ac:dyDescent="0.3">
      <c r="A187" s="140"/>
      <c r="B187" s="140"/>
      <c r="K187" s="141"/>
      <c r="L187" s="141"/>
      <c r="M187" s="143"/>
      <c r="N187" s="11"/>
      <c r="O187" s="11"/>
      <c r="P187" s="11"/>
      <c r="Q187" s="142"/>
      <c r="R187" s="142"/>
      <c r="S187" s="141"/>
      <c r="T187" s="141"/>
      <c r="U187" s="143"/>
      <c r="V187" s="141"/>
      <c r="W187" s="141"/>
      <c r="X187" s="11"/>
      <c r="Y187" s="11"/>
    </row>
    <row r="188" spans="1:25" ht="15.75" customHeight="1" x14ac:dyDescent="0.3">
      <c r="A188" s="140"/>
      <c r="B188" s="140"/>
      <c r="K188" s="141"/>
      <c r="L188" s="141"/>
      <c r="M188" s="143"/>
      <c r="N188" s="11"/>
      <c r="O188" s="11"/>
      <c r="P188" s="11"/>
      <c r="Q188" s="142"/>
      <c r="R188" s="142"/>
      <c r="S188" s="141"/>
      <c r="T188" s="141"/>
      <c r="U188" s="143"/>
      <c r="V188" s="141"/>
      <c r="W188" s="141"/>
      <c r="X188" s="11"/>
      <c r="Y188" s="11"/>
    </row>
    <row r="189" spans="1:25" ht="15.75" customHeight="1" x14ac:dyDescent="0.3">
      <c r="A189" s="140"/>
      <c r="B189" s="140"/>
      <c r="K189" s="141"/>
      <c r="L189" s="141"/>
      <c r="M189" s="143"/>
      <c r="N189" s="11"/>
      <c r="O189" s="11"/>
      <c r="P189" s="11"/>
      <c r="Q189" s="142"/>
      <c r="R189" s="142"/>
      <c r="S189" s="141"/>
      <c r="T189" s="141"/>
      <c r="U189" s="143"/>
      <c r="V189" s="141"/>
      <c r="W189" s="141"/>
      <c r="X189" s="11"/>
      <c r="Y189" s="11"/>
    </row>
    <row r="190" spans="1:25" ht="15.75" customHeight="1" x14ac:dyDescent="0.3">
      <c r="A190" s="140"/>
      <c r="B190" s="140"/>
      <c r="K190" s="141"/>
      <c r="L190" s="141"/>
      <c r="M190" s="143"/>
      <c r="N190" s="11"/>
      <c r="O190" s="11"/>
      <c r="P190" s="11"/>
      <c r="Q190" s="142"/>
      <c r="R190" s="142"/>
      <c r="S190" s="141"/>
      <c r="T190" s="141"/>
      <c r="U190" s="143"/>
      <c r="V190" s="141"/>
      <c r="W190" s="141"/>
      <c r="X190" s="11"/>
      <c r="Y190" s="11"/>
    </row>
    <row r="191" spans="1:25" ht="15.75" customHeight="1" x14ac:dyDescent="0.3">
      <c r="A191" s="140"/>
      <c r="B191" s="140"/>
      <c r="K191" s="141"/>
      <c r="L191" s="141"/>
      <c r="M191" s="143"/>
      <c r="N191" s="11"/>
      <c r="O191" s="11"/>
      <c r="P191" s="11"/>
      <c r="Q191" s="142"/>
      <c r="R191" s="142"/>
      <c r="S191" s="141"/>
      <c r="T191" s="141"/>
      <c r="U191" s="143"/>
      <c r="V191" s="141"/>
      <c r="W191" s="141"/>
      <c r="X191" s="11"/>
      <c r="Y191" s="11"/>
    </row>
    <row r="192" spans="1:25" ht="15.75" customHeight="1" x14ac:dyDescent="0.3">
      <c r="A192" s="140"/>
      <c r="B192" s="140"/>
      <c r="K192" s="141"/>
      <c r="L192" s="141"/>
      <c r="M192" s="143"/>
      <c r="N192" s="11"/>
      <c r="O192" s="11"/>
      <c r="P192" s="11"/>
      <c r="Q192" s="142"/>
      <c r="R192" s="142"/>
      <c r="S192" s="141"/>
      <c r="T192" s="141"/>
      <c r="U192" s="143"/>
      <c r="V192" s="141"/>
      <c r="W192" s="141"/>
      <c r="X192" s="11"/>
      <c r="Y192" s="11"/>
    </row>
    <row r="193" spans="1:25" ht="15.75" customHeight="1" x14ac:dyDescent="0.3">
      <c r="A193" s="140"/>
      <c r="B193" s="140"/>
      <c r="K193" s="141"/>
      <c r="L193" s="141"/>
      <c r="M193" s="143"/>
      <c r="N193" s="11"/>
      <c r="O193" s="11"/>
      <c r="P193" s="11"/>
      <c r="Q193" s="142"/>
      <c r="R193" s="142"/>
      <c r="S193" s="141"/>
      <c r="T193" s="141"/>
      <c r="U193" s="143"/>
      <c r="V193" s="141"/>
      <c r="W193" s="141"/>
      <c r="X193" s="11"/>
      <c r="Y193" s="11"/>
    </row>
    <row r="194" spans="1:25" ht="15.75" customHeight="1" x14ac:dyDescent="0.3">
      <c r="A194" s="140"/>
      <c r="B194" s="140"/>
      <c r="K194" s="141"/>
      <c r="L194" s="141"/>
      <c r="M194" s="143"/>
      <c r="N194" s="11"/>
      <c r="O194" s="11"/>
      <c r="P194" s="11"/>
      <c r="Q194" s="142"/>
      <c r="R194" s="142"/>
      <c r="S194" s="141"/>
      <c r="T194" s="141"/>
      <c r="U194" s="143"/>
      <c r="V194" s="141"/>
      <c r="W194" s="141"/>
      <c r="X194" s="11"/>
      <c r="Y194" s="11"/>
    </row>
    <row r="195" spans="1:25" ht="15.75" customHeight="1" x14ac:dyDescent="0.3">
      <c r="A195" s="140"/>
      <c r="B195" s="140"/>
      <c r="K195" s="141"/>
      <c r="L195" s="141"/>
      <c r="M195" s="143"/>
      <c r="N195" s="11"/>
      <c r="O195" s="11"/>
      <c r="P195" s="11"/>
      <c r="Q195" s="142"/>
      <c r="R195" s="142"/>
      <c r="S195" s="141"/>
      <c r="T195" s="141"/>
      <c r="U195" s="143"/>
      <c r="V195" s="141"/>
      <c r="W195" s="141"/>
      <c r="X195" s="11"/>
      <c r="Y195" s="11"/>
    </row>
    <row r="196" spans="1:25" ht="15.75" customHeight="1" x14ac:dyDescent="0.3">
      <c r="A196" s="140"/>
      <c r="B196" s="140"/>
      <c r="K196" s="141"/>
      <c r="L196" s="141"/>
      <c r="M196" s="143"/>
      <c r="N196" s="11"/>
      <c r="O196" s="11"/>
      <c r="P196" s="11"/>
      <c r="Q196" s="142"/>
      <c r="R196" s="142"/>
      <c r="S196" s="141"/>
      <c r="T196" s="141"/>
      <c r="U196" s="143"/>
      <c r="V196" s="141"/>
      <c r="W196" s="141"/>
      <c r="X196" s="11"/>
      <c r="Y196" s="11"/>
    </row>
    <row r="197" spans="1:25" ht="15.75" customHeight="1" x14ac:dyDescent="0.3">
      <c r="A197" s="140"/>
      <c r="B197" s="140"/>
      <c r="K197" s="141"/>
      <c r="L197" s="141"/>
      <c r="M197" s="143"/>
      <c r="N197" s="11"/>
      <c r="O197" s="11"/>
      <c r="P197" s="11"/>
      <c r="Q197" s="142"/>
      <c r="R197" s="142"/>
      <c r="S197" s="141"/>
      <c r="T197" s="141"/>
      <c r="U197" s="143"/>
      <c r="V197" s="141"/>
      <c r="W197" s="141"/>
      <c r="X197" s="11"/>
      <c r="Y197" s="11"/>
    </row>
    <row r="198" spans="1:25" ht="15.75" customHeight="1" x14ac:dyDescent="0.3">
      <c r="A198" s="140"/>
      <c r="B198" s="140"/>
      <c r="K198" s="141"/>
      <c r="L198" s="141"/>
      <c r="M198" s="143"/>
      <c r="N198" s="11"/>
      <c r="O198" s="11"/>
      <c r="P198" s="11"/>
      <c r="Q198" s="142"/>
      <c r="R198" s="142"/>
      <c r="S198" s="141"/>
      <c r="T198" s="141"/>
      <c r="U198" s="143"/>
      <c r="V198" s="141"/>
      <c r="W198" s="141"/>
      <c r="X198" s="11"/>
      <c r="Y198" s="11"/>
    </row>
    <row r="199" spans="1:25" ht="15.75" customHeight="1" x14ac:dyDescent="0.3">
      <c r="A199" s="140"/>
      <c r="B199" s="140"/>
      <c r="K199" s="141"/>
      <c r="L199" s="141"/>
      <c r="M199" s="143"/>
      <c r="N199" s="11"/>
      <c r="O199" s="11"/>
      <c r="P199" s="11"/>
      <c r="Q199" s="142"/>
      <c r="R199" s="142"/>
      <c r="S199" s="141"/>
      <c r="T199" s="141"/>
      <c r="U199" s="143"/>
      <c r="V199" s="141"/>
      <c r="W199" s="141"/>
      <c r="X199" s="11"/>
      <c r="Y199" s="11"/>
    </row>
    <row r="200" spans="1:25" ht="15.75" customHeight="1" x14ac:dyDescent="0.3">
      <c r="A200" s="140"/>
      <c r="B200" s="140"/>
      <c r="K200" s="141"/>
      <c r="L200" s="141"/>
      <c r="M200" s="143"/>
      <c r="N200" s="11"/>
      <c r="O200" s="11"/>
      <c r="P200" s="11"/>
      <c r="Q200" s="142"/>
      <c r="R200" s="142"/>
      <c r="S200" s="141"/>
      <c r="T200" s="141"/>
      <c r="U200" s="143"/>
      <c r="V200" s="141"/>
      <c r="W200" s="141"/>
      <c r="X200" s="11"/>
      <c r="Y200" s="11"/>
    </row>
    <row r="201" spans="1:25" ht="15.75" customHeight="1" x14ac:dyDescent="0.3">
      <c r="A201" s="140"/>
      <c r="B201" s="140"/>
      <c r="K201" s="141"/>
      <c r="L201" s="141"/>
      <c r="M201" s="143"/>
      <c r="N201" s="11"/>
      <c r="O201" s="11"/>
      <c r="P201" s="11"/>
      <c r="Q201" s="142"/>
      <c r="R201" s="142"/>
      <c r="S201" s="141"/>
      <c r="T201" s="141"/>
      <c r="U201" s="143"/>
      <c r="V201" s="141"/>
      <c r="W201" s="141"/>
      <c r="X201" s="11"/>
      <c r="Y201" s="11"/>
    </row>
    <row r="202" spans="1:25" ht="15.75" customHeight="1" x14ac:dyDescent="0.3">
      <c r="A202" s="140"/>
      <c r="B202" s="140"/>
      <c r="K202" s="141"/>
      <c r="L202" s="141"/>
      <c r="M202" s="143"/>
      <c r="N202" s="11"/>
      <c r="O202" s="11"/>
      <c r="P202" s="11"/>
      <c r="Q202" s="142"/>
      <c r="R202" s="142"/>
      <c r="S202" s="141"/>
      <c r="T202" s="141"/>
      <c r="U202" s="143"/>
      <c r="V202" s="141"/>
      <c r="W202" s="141"/>
      <c r="X202" s="11"/>
      <c r="Y202" s="11"/>
    </row>
    <row r="203" spans="1:25" ht="15.75" customHeight="1" x14ac:dyDescent="0.3">
      <c r="A203" s="140"/>
      <c r="B203" s="140"/>
      <c r="K203" s="141"/>
      <c r="L203" s="141"/>
      <c r="M203" s="143"/>
      <c r="N203" s="11"/>
      <c r="O203" s="11"/>
      <c r="P203" s="11"/>
      <c r="Q203" s="142"/>
      <c r="R203" s="142"/>
      <c r="S203" s="141"/>
      <c r="T203" s="141"/>
      <c r="U203" s="143"/>
      <c r="V203" s="141"/>
      <c r="W203" s="141"/>
      <c r="X203" s="11"/>
      <c r="Y203" s="11"/>
    </row>
    <row r="204" spans="1:25" ht="15.75" customHeight="1" x14ac:dyDescent="0.3">
      <c r="A204" s="140"/>
      <c r="B204" s="140"/>
      <c r="K204" s="141"/>
      <c r="L204" s="141"/>
      <c r="M204" s="143"/>
      <c r="N204" s="11"/>
      <c r="O204" s="11"/>
      <c r="P204" s="11"/>
      <c r="Q204" s="142"/>
      <c r="R204" s="142"/>
      <c r="S204" s="141"/>
      <c r="T204" s="141"/>
      <c r="U204" s="143"/>
      <c r="V204" s="141"/>
      <c r="W204" s="141"/>
      <c r="X204" s="11"/>
      <c r="Y204" s="11"/>
    </row>
    <row r="205" spans="1:25" ht="15.75" customHeight="1" x14ac:dyDescent="0.3">
      <c r="A205" s="140"/>
      <c r="B205" s="140"/>
      <c r="K205" s="141"/>
      <c r="L205" s="141"/>
      <c r="M205" s="143"/>
      <c r="N205" s="11"/>
      <c r="O205" s="11"/>
      <c r="P205" s="11"/>
      <c r="Q205" s="142"/>
      <c r="R205" s="142"/>
      <c r="S205" s="141"/>
      <c r="T205" s="141"/>
      <c r="U205" s="143"/>
      <c r="V205" s="141"/>
      <c r="W205" s="141"/>
      <c r="X205" s="11"/>
      <c r="Y205" s="11"/>
    </row>
    <row r="206" spans="1:25" ht="15.75" customHeight="1" x14ac:dyDescent="0.3">
      <c r="A206" s="140"/>
      <c r="B206" s="140"/>
      <c r="K206" s="141"/>
      <c r="L206" s="141"/>
      <c r="M206" s="143"/>
      <c r="N206" s="11"/>
      <c r="O206" s="11"/>
      <c r="P206" s="11"/>
      <c r="Q206" s="142"/>
      <c r="R206" s="142"/>
      <c r="S206" s="141"/>
      <c r="T206" s="141"/>
      <c r="U206" s="143"/>
      <c r="V206" s="141"/>
      <c r="W206" s="141"/>
      <c r="X206" s="11"/>
      <c r="Y206" s="11"/>
    </row>
    <row r="207" spans="1:25" ht="15.75" customHeight="1" x14ac:dyDescent="0.3">
      <c r="A207" s="140"/>
      <c r="B207" s="140"/>
      <c r="K207" s="141"/>
      <c r="L207" s="141"/>
      <c r="M207" s="143"/>
      <c r="N207" s="11"/>
      <c r="O207" s="11"/>
      <c r="P207" s="11"/>
      <c r="Q207" s="142"/>
      <c r="R207" s="142"/>
      <c r="S207" s="141"/>
      <c r="T207" s="141"/>
      <c r="U207" s="143"/>
      <c r="V207" s="141"/>
      <c r="W207" s="141"/>
      <c r="X207" s="11"/>
      <c r="Y207" s="11"/>
    </row>
    <row r="208" spans="1:25" ht="15.75" customHeight="1" x14ac:dyDescent="0.3">
      <c r="A208" s="140"/>
      <c r="B208" s="140"/>
      <c r="K208" s="141"/>
      <c r="L208" s="141"/>
      <c r="M208" s="143"/>
      <c r="N208" s="11"/>
      <c r="O208" s="11"/>
      <c r="P208" s="11"/>
      <c r="Q208" s="142"/>
      <c r="R208" s="142"/>
      <c r="S208" s="141"/>
      <c r="T208" s="141"/>
      <c r="U208" s="143"/>
      <c r="V208" s="141"/>
      <c r="W208" s="141"/>
      <c r="X208" s="11"/>
      <c r="Y208" s="11"/>
    </row>
    <row r="209" spans="1:25" ht="15.75" customHeight="1" x14ac:dyDescent="0.3">
      <c r="A209" s="140"/>
      <c r="B209" s="140"/>
      <c r="K209" s="141"/>
      <c r="L209" s="141"/>
      <c r="M209" s="143"/>
      <c r="N209" s="11"/>
      <c r="O209" s="11"/>
      <c r="P209" s="11"/>
      <c r="Q209" s="142"/>
      <c r="R209" s="142"/>
      <c r="S209" s="141"/>
      <c r="T209" s="141"/>
      <c r="U209" s="143"/>
      <c r="V209" s="141"/>
      <c r="W209" s="141"/>
      <c r="X209" s="11"/>
      <c r="Y209" s="11"/>
    </row>
    <row r="210" spans="1:25" ht="15.75" customHeight="1" x14ac:dyDescent="0.3">
      <c r="A210" s="140"/>
      <c r="B210" s="140"/>
      <c r="K210" s="141"/>
      <c r="L210" s="141"/>
      <c r="M210" s="143"/>
      <c r="N210" s="11"/>
      <c r="O210" s="11"/>
      <c r="P210" s="11"/>
      <c r="Q210" s="142"/>
      <c r="R210" s="142"/>
      <c r="S210" s="141"/>
      <c r="T210" s="141"/>
      <c r="U210" s="143"/>
      <c r="V210" s="141"/>
      <c r="W210" s="141"/>
      <c r="X210" s="11"/>
      <c r="Y210" s="11"/>
    </row>
    <row r="211" spans="1:25" ht="15.75" customHeight="1" x14ac:dyDescent="0.3">
      <c r="A211" s="140"/>
      <c r="B211" s="140"/>
      <c r="K211" s="141"/>
      <c r="L211" s="141"/>
      <c r="M211" s="143"/>
      <c r="N211" s="11"/>
      <c r="O211" s="11"/>
      <c r="P211" s="11"/>
      <c r="Q211" s="142"/>
      <c r="R211" s="142"/>
      <c r="S211" s="141"/>
      <c r="T211" s="141"/>
      <c r="U211" s="143"/>
      <c r="V211" s="141"/>
      <c r="W211" s="141"/>
      <c r="X211" s="11"/>
      <c r="Y211" s="11"/>
    </row>
    <row r="212" spans="1:25" ht="15.75" customHeight="1" x14ac:dyDescent="0.3">
      <c r="A212" s="140"/>
      <c r="B212" s="140"/>
      <c r="K212" s="141"/>
      <c r="L212" s="141"/>
      <c r="M212" s="143"/>
      <c r="N212" s="11"/>
      <c r="O212" s="11"/>
      <c r="P212" s="11"/>
      <c r="Q212" s="142"/>
      <c r="R212" s="142"/>
      <c r="S212" s="141"/>
      <c r="T212" s="141"/>
      <c r="U212" s="143"/>
      <c r="V212" s="141"/>
      <c r="W212" s="141"/>
      <c r="X212" s="11"/>
      <c r="Y212" s="11"/>
    </row>
    <row r="213" spans="1:25" ht="15.75" customHeight="1" x14ac:dyDescent="0.3">
      <c r="A213" s="140"/>
      <c r="B213" s="140"/>
      <c r="K213" s="141"/>
      <c r="L213" s="141"/>
      <c r="M213" s="143"/>
      <c r="N213" s="11"/>
      <c r="O213" s="11"/>
      <c r="P213" s="11"/>
      <c r="Q213" s="142"/>
      <c r="R213" s="142"/>
      <c r="S213" s="141"/>
      <c r="T213" s="141"/>
      <c r="U213" s="143"/>
      <c r="V213" s="141"/>
      <c r="W213" s="141"/>
      <c r="X213" s="11"/>
      <c r="Y213" s="11"/>
    </row>
    <row r="214" spans="1:25" ht="15.75" customHeight="1" x14ac:dyDescent="0.3">
      <c r="A214" s="140"/>
      <c r="B214" s="140"/>
      <c r="K214" s="141"/>
      <c r="L214" s="141"/>
      <c r="M214" s="143"/>
      <c r="N214" s="11"/>
      <c r="O214" s="11"/>
      <c r="P214" s="11"/>
      <c r="Q214" s="142"/>
      <c r="R214" s="142"/>
      <c r="S214" s="141"/>
      <c r="T214" s="141"/>
      <c r="U214" s="143"/>
      <c r="V214" s="141"/>
      <c r="W214" s="141"/>
      <c r="X214" s="11"/>
      <c r="Y214" s="11"/>
    </row>
    <row r="215" spans="1:25" ht="15.75" customHeight="1" x14ac:dyDescent="0.3">
      <c r="A215" s="140"/>
      <c r="B215" s="140"/>
      <c r="K215" s="141"/>
      <c r="L215" s="141"/>
      <c r="M215" s="143"/>
      <c r="N215" s="11"/>
      <c r="O215" s="11"/>
      <c r="P215" s="11"/>
      <c r="Q215" s="142"/>
      <c r="R215" s="142"/>
      <c r="S215" s="141"/>
      <c r="T215" s="141"/>
      <c r="U215" s="143"/>
      <c r="V215" s="141"/>
      <c r="W215" s="141"/>
      <c r="X215" s="11"/>
      <c r="Y215" s="11"/>
    </row>
    <row r="216" spans="1:25" ht="15.75" customHeight="1" x14ac:dyDescent="0.3">
      <c r="A216" s="140"/>
      <c r="B216" s="140"/>
      <c r="K216" s="141"/>
      <c r="L216" s="141"/>
      <c r="M216" s="143"/>
      <c r="N216" s="11"/>
      <c r="O216" s="11"/>
      <c r="P216" s="11"/>
      <c r="Q216" s="142"/>
      <c r="R216" s="142"/>
      <c r="S216" s="141"/>
      <c r="T216" s="141"/>
      <c r="U216" s="143"/>
      <c r="V216" s="141"/>
      <c r="W216" s="141"/>
      <c r="X216" s="11"/>
      <c r="Y216" s="11"/>
    </row>
    <row r="217" spans="1:25" ht="15.75" customHeight="1" x14ac:dyDescent="0.3">
      <c r="A217" s="140"/>
      <c r="B217" s="140"/>
      <c r="K217" s="141"/>
      <c r="L217" s="141"/>
      <c r="M217" s="143"/>
      <c r="N217" s="11"/>
      <c r="O217" s="11"/>
      <c r="P217" s="11"/>
      <c r="Q217" s="142"/>
      <c r="R217" s="142"/>
      <c r="S217" s="141"/>
      <c r="T217" s="141"/>
      <c r="U217" s="143"/>
      <c r="V217" s="141"/>
      <c r="W217" s="141"/>
      <c r="X217" s="11"/>
      <c r="Y217" s="11"/>
    </row>
    <row r="218" spans="1:25" ht="15.75" customHeight="1" x14ac:dyDescent="0.3">
      <c r="A218" s="140"/>
      <c r="B218" s="140"/>
      <c r="K218" s="141"/>
      <c r="L218" s="141"/>
      <c r="M218" s="143"/>
      <c r="N218" s="11"/>
      <c r="O218" s="11"/>
      <c r="P218" s="11"/>
      <c r="Q218" s="142"/>
      <c r="R218" s="142"/>
      <c r="S218" s="141"/>
      <c r="T218" s="141"/>
      <c r="U218" s="143"/>
      <c r="V218" s="141"/>
      <c r="W218" s="141"/>
      <c r="X218" s="11"/>
      <c r="Y218" s="11"/>
    </row>
    <row r="219" spans="1:25" ht="15.75" customHeight="1" x14ac:dyDescent="0.3">
      <c r="A219" s="140"/>
      <c r="B219" s="140"/>
      <c r="K219" s="141"/>
      <c r="L219" s="141"/>
      <c r="M219" s="143"/>
      <c r="N219" s="11"/>
      <c r="O219" s="11"/>
      <c r="P219" s="11"/>
      <c r="Q219" s="142"/>
      <c r="R219" s="142"/>
      <c r="S219" s="141"/>
      <c r="T219" s="141"/>
      <c r="U219" s="143"/>
      <c r="V219" s="141"/>
      <c r="W219" s="141"/>
      <c r="X219" s="11"/>
      <c r="Y219" s="11"/>
    </row>
    <row r="220" spans="1:25" ht="15.75" customHeight="1" x14ac:dyDescent="0.3">
      <c r="A220" s="140"/>
      <c r="B220" s="140"/>
      <c r="K220" s="141"/>
      <c r="L220" s="141"/>
      <c r="M220" s="143"/>
      <c r="N220" s="11"/>
      <c r="O220" s="11"/>
      <c r="P220" s="11"/>
      <c r="Q220" s="142"/>
      <c r="R220" s="142"/>
      <c r="S220" s="141"/>
      <c r="T220" s="141"/>
      <c r="U220" s="143"/>
      <c r="V220" s="141"/>
      <c r="W220" s="141"/>
      <c r="X220" s="11"/>
      <c r="Y220" s="11"/>
    </row>
    <row r="221" spans="1:25" ht="15.75" customHeight="1" x14ac:dyDescent="0.3">
      <c r="A221" s="140"/>
      <c r="B221" s="140"/>
      <c r="K221" s="141"/>
      <c r="L221" s="141"/>
      <c r="M221" s="143"/>
      <c r="N221" s="11"/>
      <c r="O221" s="11"/>
      <c r="P221" s="11"/>
      <c r="Q221" s="142"/>
      <c r="R221" s="142"/>
      <c r="S221" s="141"/>
      <c r="T221" s="141"/>
      <c r="U221" s="143"/>
      <c r="V221" s="141"/>
      <c r="W221" s="141"/>
      <c r="X221" s="11"/>
      <c r="Y221" s="11"/>
    </row>
    <row r="222" spans="1:25" ht="15.75" customHeight="1" x14ac:dyDescent="0.3">
      <c r="A222" s="140"/>
      <c r="B222" s="140"/>
      <c r="K222" s="141"/>
      <c r="L222" s="141"/>
      <c r="M222" s="143"/>
      <c r="N222" s="11"/>
      <c r="O222" s="11"/>
      <c r="P222" s="11"/>
      <c r="Q222" s="142"/>
      <c r="R222" s="142"/>
      <c r="S222" s="141"/>
      <c r="T222" s="141"/>
      <c r="U222" s="143"/>
      <c r="V222" s="141"/>
      <c r="W222" s="141"/>
      <c r="X222" s="11"/>
      <c r="Y222" s="11"/>
    </row>
    <row r="223" spans="1:25" ht="15.75" customHeight="1" x14ac:dyDescent="0.3">
      <c r="A223" s="140"/>
      <c r="B223" s="140"/>
      <c r="K223" s="141"/>
      <c r="L223" s="141"/>
      <c r="M223" s="143"/>
      <c r="N223" s="11"/>
      <c r="O223" s="11"/>
      <c r="P223" s="11"/>
      <c r="Q223" s="142"/>
      <c r="R223" s="142"/>
      <c r="S223" s="141"/>
      <c r="T223" s="141"/>
      <c r="U223" s="143"/>
      <c r="V223" s="141"/>
      <c r="W223" s="141"/>
      <c r="X223" s="11"/>
      <c r="Y223" s="11"/>
    </row>
    <row r="224" spans="1:25" ht="15.75" customHeight="1" x14ac:dyDescent="0.3">
      <c r="A224" s="140"/>
      <c r="B224" s="140"/>
      <c r="K224" s="141"/>
      <c r="L224" s="141"/>
      <c r="M224" s="143"/>
      <c r="N224" s="11"/>
      <c r="O224" s="11"/>
      <c r="P224" s="11"/>
      <c r="Q224" s="142"/>
      <c r="R224" s="142"/>
      <c r="S224" s="141"/>
      <c r="T224" s="141"/>
      <c r="U224" s="143"/>
      <c r="V224" s="141"/>
      <c r="W224" s="141"/>
      <c r="X224" s="11"/>
      <c r="Y224" s="11"/>
    </row>
    <row r="225" spans="1:25" ht="15.75" customHeight="1" x14ac:dyDescent="0.3">
      <c r="A225" s="140"/>
      <c r="B225" s="140"/>
      <c r="K225" s="141"/>
      <c r="L225" s="141"/>
      <c r="M225" s="143"/>
      <c r="N225" s="11"/>
      <c r="O225" s="11"/>
      <c r="P225" s="11"/>
      <c r="Q225" s="142"/>
      <c r="R225" s="142"/>
      <c r="S225" s="141"/>
      <c r="T225" s="141"/>
      <c r="U225" s="143"/>
      <c r="V225" s="141"/>
      <c r="W225" s="141"/>
      <c r="X225" s="11"/>
      <c r="Y225" s="11"/>
    </row>
    <row r="226" spans="1:25" ht="15.75" customHeight="1" x14ac:dyDescent="0.3">
      <c r="A226" s="140"/>
      <c r="B226" s="140"/>
      <c r="K226" s="141"/>
      <c r="L226" s="141"/>
      <c r="M226" s="143"/>
      <c r="N226" s="11"/>
      <c r="O226" s="11"/>
      <c r="P226" s="11"/>
      <c r="Q226" s="142"/>
      <c r="R226" s="142"/>
      <c r="S226" s="141"/>
      <c r="T226" s="141"/>
      <c r="U226" s="143"/>
      <c r="V226" s="141"/>
      <c r="W226" s="141"/>
      <c r="X226" s="11"/>
      <c r="Y226" s="11"/>
    </row>
    <row r="227" spans="1:25" ht="15.75" customHeight="1" x14ac:dyDescent="0.3">
      <c r="A227" s="140"/>
      <c r="B227" s="140"/>
      <c r="K227" s="141"/>
      <c r="L227" s="141"/>
      <c r="M227" s="143"/>
      <c r="N227" s="11"/>
      <c r="O227" s="11"/>
      <c r="P227" s="11"/>
      <c r="Q227" s="142"/>
      <c r="R227" s="142"/>
      <c r="S227" s="141"/>
      <c r="T227" s="141"/>
      <c r="U227" s="143"/>
      <c r="V227" s="141"/>
      <c r="W227" s="141"/>
      <c r="X227" s="11"/>
      <c r="Y227" s="11"/>
    </row>
    <row r="228" spans="1:25" ht="15.75" customHeight="1" x14ac:dyDescent="0.3">
      <c r="A228" s="140"/>
      <c r="B228" s="140"/>
      <c r="K228" s="141"/>
      <c r="L228" s="141"/>
      <c r="M228" s="143"/>
      <c r="N228" s="11"/>
      <c r="O228" s="11"/>
      <c r="P228" s="11"/>
      <c r="Q228" s="142"/>
      <c r="R228" s="142"/>
      <c r="S228" s="141"/>
      <c r="T228" s="141"/>
      <c r="U228" s="143"/>
      <c r="V228" s="141"/>
      <c r="W228" s="141"/>
      <c r="X228" s="11"/>
      <c r="Y228" s="11"/>
    </row>
    <row r="229" spans="1:25" ht="15.75" customHeight="1" x14ac:dyDescent="0.3">
      <c r="A229" s="140"/>
      <c r="B229" s="140"/>
      <c r="K229" s="141"/>
      <c r="L229" s="141"/>
      <c r="M229" s="143"/>
      <c r="N229" s="11"/>
      <c r="O229" s="11"/>
      <c r="P229" s="11"/>
      <c r="Q229" s="142"/>
      <c r="R229" s="142"/>
      <c r="S229" s="141"/>
      <c r="T229" s="141"/>
      <c r="U229" s="143"/>
      <c r="V229" s="141"/>
      <c r="W229" s="141"/>
      <c r="X229" s="11"/>
      <c r="Y229" s="11"/>
    </row>
    <row r="230" spans="1:25" ht="15.75" customHeight="1" x14ac:dyDescent="0.3">
      <c r="A230" s="140"/>
      <c r="B230" s="140"/>
      <c r="K230" s="141"/>
      <c r="L230" s="141"/>
      <c r="M230" s="143"/>
      <c r="N230" s="11"/>
      <c r="O230" s="11"/>
      <c r="P230" s="11"/>
      <c r="Q230" s="142"/>
      <c r="R230" s="142"/>
      <c r="S230" s="141"/>
      <c r="T230" s="141"/>
      <c r="U230" s="143"/>
      <c r="V230" s="141"/>
      <c r="W230" s="141"/>
      <c r="X230" s="11"/>
      <c r="Y230" s="11"/>
    </row>
    <row r="231" spans="1:25" ht="15.75" customHeight="1" x14ac:dyDescent="0.3">
      <c r="A231" s="140"/>
      <c r="B231" s="140"/>
      <c r="K231" s="141"/>
      <c r="L231" s="141"/>
      <c r="M231" s="143"/>
      <c r="N231" s="11"/>
      <c r="O231" s="11"/>
      <c r="P231" s="11"/>
      <c r="Q231" s="142"/>
      <c r="R231" s="142"/>
      <c r="S231" s="141"/>
      <c r="T231" s="141"/>
      <c r="U231" s="143"/>
      <c r="V231" s="141"/>
      <c r="W231" s="141"/>
      <c r="X231" s="11"/>
      <c r="Y231" s="11"/>
    </row>
    <row r="232" spans="1:25" ht="15.75" customHeight="1" x14ac:dyDescent="0.3">
      <c r="A232" s="140"/>
      <c r="B232" s="140"/>
      <c r="K232" s="141"/>
      <c r="L232" s="141"/>
      <c r="M232" s="143"/>
      <c r="N232" s="11"/>
      <c r="O232" s="11"/>
      <c r="P232" s="11"/>
      <c r="Q232" s="142"/>
      <c r="R232" s="142"/>
      <c r="S232" s="141"/>
      <c r="T232" s="141"/>
      <c r="U232" s="143"/>
      <c r="V232" s="141"/>
      <c r="W232" s="141"/>
      <c r="X232" s="11"/>
      <c r="Y232" s="11"/>
    </row>
    <row r="233" spans="1:25" ht="15.75" customHeight="1" x14ac:dyDescent="0.3">
      <c r="A233" s="140"/>
      <c r="B233" s="140"/>
      <c r="K233" s="141"/>
      <c r="L233" s="141"/>
      <c r="M233" s="143"/>
      <c r="N233" s="11"/>
      <c r="O233" s="11"/>
      <c r="P233" s="11"/>
      <c r="Q233" s="142"/>
      <c r="R233" s="142"/>
      <c r="S233" s="141"/>
      <c r="T233" s="141"/>
      <c r="U233" s="143"/>
      <c r="V233" s="141"/>
      <c r="W233" s="141"/>
      <c r="X233" s="11"/>
      <c r="Y233" s="11"/>
    </row>
    <row r="234" spans="1:25" ht="15.75" customHeight="1" x14ac:dyDescent="0.3">
      <c r="A234" s="140"/>
      <c r="B234" s="140"/>
      <c r="K234" s="141"/>
      <c r="L234" s="141"/>
      <c r="M234" s="143"/>
      <c r="N234" s="11"/>
      <c r="O234" s="11"/>
      <c r="P234" s="11"/>
      <c r="Q234" s="142"/>
      <c r="R234" s="142"/>
      <c r="S234" s="141"/>
      <c r="T234" s="141"/>
      <c r="U234" s="143"/>
      <c r="V234" s="141"/>
      <c r="W234" s="141"/>
      <c r="X234" s="11"/>
      <c r="Y234" s="11"/>
    </row>
    <row r="235" spans="1:25" ht="15.75" customHeight="1" x14ac:dyDescent="0.3">
      <c r="A235" s="140"/>
      <c r="B235" s="140"/>
      <c r="K235" s="141"/>
      <c r="L235" s="141"/>
      <c r="M235" s="143"/>
      <c r="N235" s="11"/>
      <c r="O235" s="11"/>
      <c r="P235" s="11"/>
      <c r="Q235" s="142"/>
      <c r="R235" s="142"/>
      <c r="S235" s="141"/>
      <c r="T235" s="141"/>
      <c r="U235" s="143"/>
      <c r="V235" s="141"/>
      <c r="W235" s="141"/>
      <c r="X235" s="11"/>
      <c r="Y235" s="11"/>
    </row>
    <row r="236" spans="1:25" ht="15.75" customHeight="1" x14ac:dyDescent="0.3">
      <c r="A236" s="140"/>
      <c r="B236" s="140"/>
      <c r="K236" s="141"/>
      <c r="L236" s="141"/>
      <c r="M236" s="143"/>
      <c r="N236" s="11"/>
      <c r="O236" s="11"/>
      <c r="P236" s="11"/>
      <c r="Q236" s="142"/>
      <c r="R236" s="142"/>
      <c r="S236" s="141"/>
      <c r="T236" s="141"/>
      <c r="U236" s="143"/>
      <c r="V236" s="141"/>
      <c r="W236" s="141"/>
      <c r="X236" s="11"/>
      <c r="Y236" s="11"/>
    </row>
    <row r="237" spans="1:25" ht="15.75" customHeight="1" x14ac:dyDescent="0.3">
      <c r="A237" s="140"/>
      <c r="B237" s="140"/>
      <c r="K237" s="141"/>
      <c r="L237" s="141"/>
      <c r="M237" s="143"/>
      <c r="N237" s="11"/>
      <c r="O237" s="11"/>
      <c r="P237" s="11"/>
      <c r="Q237" s="142"/>
      <c r="R237" s="142"/>
      <c r="S237" s="141"/>
      <c r="T237" s="141"/>
      <c r="U237" s="143"/>
      <c r="V237" s="141"/>
      <c r="W237" s="141"/>
      <c r="X237" s="11"/>
      <c r="Y237" s="11"/>
    </row>
    <row r="238" spans="1:25" ht="15.75" customHeight="1" x14ac:dyDescent="0.3">
      <c r="A238" s="140"/>
      <c r="B238" s="140"/>
      <c r="K238" s="141"/>
      <c r="L238" s="141"/>
      <c r="M238" s="143"/>
      <c r="N238" s="11"/>
      <c r="O238" s="11"/>
      <c r="P238" s="11"/>
      <c r="Q238" s="142"/>
      <c r="R238" s="142"/>
      <c r="S238" s="141"/>
      <c r="T238" s="141"/>
      <c r="U238" s="143"/>
      <c r="V238" s="141"/>
      <c r="W238" s="141"/>
      <c r="X238" s="11"/>
      <c r="Y238" s="11"/>
    </row>
    <row r="239" spans="1:25" ht="15.75" customHeight="1" x14ac:dyDescent="0.3">
      <c r="A239" s="140"/>
      <c r="B239" s="140"/>
      <c r="K239" s="141"/>
      <c r="L239" s="141"/>
      <c r="M239" s="143"/>
      <c r="N239" s="11"/>
      <c r="O239" s="11"/>
      <c r="P239" s="11"/>
      <c r="Q239" s="142"/>
      <c r="R239" s="142"/>
      <c r="S239" s="141"/>
      <c r="T239" s="141"/>
      <c r="U239" s="143"/>
      <c r="V239" s="141"/>
      <c r="W239" s="141"/>
      <c r="X239" s="11"/>
      <c r="Y239" s="11"/>
    </row>
    <row r="240" spans="1:25" ht="15.75" customHeight="1" x14ac:dyDescent="0.3">
      <c r="A240" s="140"/>
      <c r="B240" s="140"/>
      <c r="K240" s="141"/>
      <c r="L240" s="141"/>
      <c r="M240" s="143"/>
      <c r="N240" s="11"/>
      <c r="O240" s="11"/>
      <c r="P240" s="11"/>
      <c r="Q240" s="142"/>
      <c r="R240" s="142"/>
      <c r="S240" s="141"/>
      <c r="T240" s="141"/>
      <c r="U240" s="143"/>
      <c r="V240" s="141"/>
      <c r="W240" s="141"/>
      <c r="X240" s="11"/>
      <c r="Y240" s="11"/>
    </row>
    <row r="241" spans="1:25" ht="15.75" customHeight="1" x14ac:dyDescent="0.3">
      <c r="A241" s="140"/>
      <c r="B241" s="140"/>
      <c r="K241" s="141"/>
      <c r="L241" s="141"/>
      <c r="M241" s="143"/>
      <c r="N241" s="11"/>
      <c r="O241" s="11"/>
      <c r="P241" s="11"/>
      <c r="Q241" s="142"/>
      <c r="R241" s="142"/>
      <c r="S241" s="141"/>
      <c r="T241" s="141"/>
      <c r="U241" s="143"/>
      <c r="V241" s="141"/>
      <c r="W241" s="141"/>
      <c r="X241" s="11"/>
      <c r="Y241" s="11"/>
    </row>
    <row r="242" spans="1:25" ht="15.75" customHeight="1" x14ac:dyDescent="0.3">
      <c r="A242" s="140"/>
      <c r="B242" s="140"/>
      <c r="K242" s="141"/>
      <c r="L242" s="141"/>
      <c r="M242" s="143"/>
      <c r="N242" s="11"/>
      <c r="O242" s="11"/>
      <c r="P242" s="11"/>
      <c r="Q242" s="142"/>
      <c r="R242" s="142"/>
      <c r="S242" s="141"/>
      <c r="T242" s="141"/>
      <c r="U242" s="143"/>
      <c r="V242" s="141"/>
      <c r="W242" s="141"/>
      <c r="X242" s="11"/>
      <c r="Y242" s="11"/>
    </row>
    <row r="243" spans="1:25" ht="15.75" customHeight="1" x14ac:dyDescent="0.3">
      <c r="A243" s="140"/>
      <c r="B243" s="140"/>
      <c r="K243" s="141"/>
      <c r="L243" s="141"/>
      <c r="M243" s="143"/>
      <c r="N243" s="11"/>
      <c r="O243" s="11"/>
      <c r="P243" s="11"/>
      <c r="Q243" s="142"/>
      <c r="R243" s="142"/>
      <c r="S243" s="141"/>
      <c r="T243" s="141"/>
      <c r="U243" s="143"/>
      <c r="V243" s="141"/>
      <c r="W243" s="141"/>
      <c r="X243" s="11"/>
      <c r="Y243" s="11"/>
    </row>
    <row r="244" spans="1:25" ht="15.75" customHeight="1" x14ac:dyDescent="0.3">
      <c r="A244" s="140"/>
      <c r="B244" s="140"/>
      <c r="K244" s="141"/>
      <c r="L244" s="141"/>
      <c r="M244" s="143"/>
      <c r="N244" s="11"/>
      <c r="O244" s="11"/>
      <c r="P244" s="11"/>
      <c r="Q244" s="142"/>
      <c r="R244" s="142"/>
      <c r="S244" s="141"/>
      <c r="T244" s="141"/>
      <c r="U244" s="143"/>
      <c r="V244" s="141"/>
      <c r="W244" s="141"/>
      <c r="X244" s="11"/>
      <c r="Y244" s="11"/>
    </row>
    <row r="245" spans="1:25" ht="15.75" customHeight="1" x14ac:dyDescent="0.25">
      <c r="Q245" s="144"/>
    </row>
    <row r="246" spans="1:25" ht="15.75" customHeight="1" x14ac:dyDescent="0.25">
      <c r="Q246" s="144"/>
    </row>
    <row r="247" spans="1:25" ht="15.75" customHeight="1" x14ac:dyDescent="0.25">
      <c r="Q247" s="144"/>
    </row>
    <row r="248" spans="1:25" ht="15.75" customHeight="1" x14ac:dyDescent="0.25">
      <c r="Q248" s="144"/>
    </row>
    <row r="249" spans="1:25" ht="15.75" customHeight="1" x14ac:dyDescent="0.25">
      <c r="Q249" s="144"/>
    </row>
    <row r="250" spans="1:25" ht="15.75" customHeight="1" x14ac:dyDescent="0.25">
      <c r="Q250" s="144"/>
    </row>
    <row r="251" spans="1:25" ht="15.75" customHeight="1" x14ac:dyDescent="0.25">
      <c r="Q251" s="144"/>
    </row>
    <row r="252" spans="1:25" ht="15.75" customHeight="1" x14ac:dyDescent="0.25">
      <c r="Q252" s="144"/>
    </row>
    <row r="253" spans="1:25" ht="15.75" customHeight="1" x14ac:dyDescent="0.25">
      <c r="Q253" s="144"/>
    </row>
    <row r="254" spans="1:25" ht="15.75" customHeight="1" x14ac:dyDescent="0.25">
      <c r="Q254" s="144"/>
    </row>
    <row r="255" spans="1:25" ht="15.75" customHeight="1" x14ac:dyDescent="0.25">
      <c r="Q255" s="144"/>
    </row>
    <row r="256" spans="1:25" ht="15.75" customHeight="1" x14ac:dyDescent="0.25">
      <c r="Q256" s="144"/>
    </row>
    <row r="257" spans="17:17" ht="15.75" customHeight="1" x14ac:dyDescent="0.25">
      <c r="Q257" s="144"/>
    </row>
    <row r="258" spans="17:17" ht="15.75" customHeight="1" x14ac:dyDescent="0.25">
      <c r="Q258" s="144"/>
    </row>
    <row r="259" spans="17:17" ht="15.75" customHeight="1" x14ac:dyDescent="0.25">
      <c r="Q259" s="144"/>
    </row>
    <row r="260" spans="17:17" ht="15.75" customHeight="1" x14ac:dyDescent="0.25">
      <c r="Q260" s="144"/>
    </row>
    <row r="261" spans="17:17" ht="15.75" customHeight="1" x14ac:dyDescent="0.25">
      <c r="Q261" s="144"/>
    </row>
    <row r="262" spans="17:17" ht="15.75" customHeight="1" x14ac:dyDescent="0.25">
      <c r="Q262" s="144"/>
    </row>
    <row r="263" spans="17:17" ht="15.75" customHeight="1" x14ac:dyDescent="0.25">
      <c r="Q263" s="144"/>
    </row>
    <row r="264" spans="17:17" ht="15.75" customHeight="1" x14ac:dyDescent="0.25">
      <c r="Q264" s="144"/>
    </row>
    <row r="265" spans="17:17" ht="15.75" customHeight="1" x14ac:dyDescent="0.25">
      <c r="Q265" s="144"/>
    </row>
    <row r="266" spans="17:17" ht="15.75" customHeight="1" x14ac:dyDescent="0.25">
      <c r="Q266" s="144"/>
    </row>
    <row r="267" spans="17:17" ht="15.75" customHeight="1" x14ac:dyDescent="0.25">
      <c r="Q267" s="144"/>
    </row>
    <row r="268" spans="17:17" ht="15.75" customHeight="1" x14ac:dyDescent="0.25">
      <c r="Q268" s="144"/>
    </row>
    <row r="269" spans="17:17" ht="15.75" customHeight="1" x14ac:dyDescent="0.25">
      <c r="Q269" s="144"/>
    </row>
    <row r="270" spans="17:17" ht="15.75" customHeight="1" x14ac:dyDescent="0.25">
      <c r="Q270" s="144"/>
    </row>
    <row r="271" spans="17:17" ht="15.75" customHeight="1" x14ac:dyDescent="0.25">
      <c r="Q271" s="144"/>
    </row>
    <row r="272" spans="17:17" ht="15.75" customHeight="1" x14ac:dyDescent="0.25">
      <c r="Q272" s="144"/>
    </row>
    <row r="273" spans="17:17" ht="15.75" customHeight="1" x14ac:dyDescent="0.25">
      <c r="Q273" s="144"/>
    </row>
    <row r="274" spans="17:17" ht="15.75" customHeight="1" x14ac:dyDescent="0.25">
      <c r="Q274" s="144"/>
    </row>
    <row r="275" spans="17:17" ht="15.75" customHeight="1" x14ac:dyDescent="0.25">
      <c r="Q275" s="144"/>
    </row>
    <row r="276" spans="17:17" ht="15.75" customHeight="1" x14ac:dyDescent="0.25">
      <c r="Q276" s="144"/>
    </row>
    <row r="277" spans="17:17" ht="15.75" customHeight="1" x14ac:dyDescent="0.25">
      <c r="Q277" s="144"/>
    </row>
    <row r="278" spans="17:17" ht="15.75" customHeight="1" x14ac:dyDescent="0.25">
      <c r="Q278" s="144"/>
    </row>
    <row r="279" spans="17:17" ht="15.75" customHeight="1" x14ac:dyDescent="0.25">
      <c r="Q279" s="144"/>
    </row>
    <row r="280" spans="17:17" ht="15.75" customHeight="1" x14ac:dyDescent="0.25">
      <c r="Q280" s="144"/>
    </row>
    <row r="281" spans="17:17" ht="15.75" customHeight="1" x14ac:dyDescent="0.25">
      <c r="Q281" s="144"/>
    </row>
    <row r="282" spans="17:17" ht="15.75" customHeight="1" x14ac:dyDescent="0.25">
      <c r="Q282" s="144"/>
    </row>
    <row r="283" spans="17:17" ht="15.75" customHeight="1" x14ac:dyDescent="0.25">
      <c r="Q283" s="144"/>
    </row>
    <row r="284" spans="17:17" ht="15.75" customHeight="1" x14ac:dyDescent="0.25">
      <c r="Q284" s="144"/>
    </row>
    <row r="285" spans="17:17" ht="15.75" customHeight="1" x14ac:dyDescent="0.25">
      <c r="Q285" s="144"/>
    </row>
    <row r="286" spans="17:17" ht="15.75" customHeight="1" x14ac:dyDescent="0.25">
      <c r="Q286" s="144"/>
    </row>
    <row r="287" spans="17:17" ht="15.75" customHeight="1" x14ac:dyDescent="0.25">
      <c r="Q287" s="144"/>
    </row>
    <row r="288" spans="17:17" ht="15.75" customHeight="1" x14ac:dyDescent="0.25">
      <c r="Q288" s="144"/>
    </row>
    <row r="289" spans="17:17" ht="15.75" customHeight="1" x14ac:dyDescent="0.25">
      <c r="Q289" s="144"/>
    </row>
    <row r="290" spans="17:17" ht="15.75" customHeight="1" x14ac:dyDescent="0.25">
      <c r="Q290" s="144"/>
    </row>
    <row r="291" spans="17:17" ht="15.75" customHeight="1" x14ac:dyDescent="0.25">
      <c r="Q291" s="144"/>
    </row>
    <row r="292" spans="17:17" ht="15.75" customHeight="1" x14ac:dyDescent="0.25">
      <c r="Q292" s="144"/>
    </row>
    <row r="293" spans="17:17" ht="15.75" customHeight="1" x14ac:dyDescent="0.25">
      <c r="Q293" s="144"/>
    </row>
    <row r="294" spans="17:17" ht="15.75" customHeight="1" x14ac:dyDescent="0.25">
      <c r="Q294" s="144"/>
    </row>
    <row r="295" spans="17:17" ht="15.75" customHeight="1" x14ac:dyDescent="0.25">
      <c r="Q295" s="144"/>
    </row>
    <row r="296" spans="17:17" ht="15.75" customHeight="1" x14ac:dyDescent="0.25">
      <c r="Q296" s="144"/>
    </row>
    <row r="297" spans="17:17" ht="15.75" customHeight="1" x14ac:dyDescent="0.25">
      <c r="Q297" s="144"/>
    </row>
    <row r="298" spans="17:17" ht="15.75" customHeight="1" x14ac:dyDescent="0.25">
      <c r="Q298" s="144"/>
    </row>
    <row r="299" spans="17:17" ht="15.75" customHeight="1" x14ac:dyDescent="0.25">
      <c r="Q299" s="144"/>
    </row>
    <row r="300" spans="17:17" ht="15.75" customHeight="1" x14ac:dyDescent="0.25">
      <c r="Q300" s="144"/>
    </row>
    <row r="301" spans="17:17" ht="15.75" customHeight="1" x14ac:dyDescent="0.25">
      <c r="Q301" s="144"/>
    </row>
    <row r="302" spans="17:17" ht="15.75" customHeight="1" x14ac:dyDescent="0.25">
      <c r="Q302" s="144"/>
    </row>
    <row r="303" spans="17:17" ht="15.75" customHeight="1" x14ac:dyDescent="0.25">
      <c r="Q303" s="144"/>
    </row>
    <row r="304" spans="17:17" ht="15.75" customHeight="1" x14ac:dyDescent="0.25">
      <c r="Q304" s="144"/>
    </row>
    <row r="305" spans="17:17" ht="15.75" customHeight="1" x14ac:dyDescent="0.25">
      <c r="Q305" s="144"/>
    </row>
    <row r="306" spans="17:17" ht="15.75" customHeight="1" x14ac:dyDescent="0.25">
      <c r="Q306" s="144"/>
    </row>
    <row r="307" spans="17:17" ht="15.75" customHeight="1" x14ac:dyDescent="0.25">
      <c r="Q307" s="144"/>
    </row>
    <row r="308" spans="17:17" ht="15.75" customHeight="1" x14ac:dyDescent="0.25">
      <c r="Q308" s="144"/>
    </row>
    <row r="309" spans="17:17" ht="15.75" customHeight="1" x14ac:dyDescent="0.25">
      <c r="Q309" s="144"/>
    </row>
    <row r="310" spans="17:17" ht="15.75" customHeight="1" x14ac:dyDescent="0.25">
      <c r="Q310" s="144"/>
    </row>
    <row r="311" spans="17:17" ht="15.75" customHeight="1" x14ac:dyDescent="0.25">
      <c r="Q311" s="144"/>
    </row>
    <row r="312" spans="17:17" ht="15.75" customHeight="1" x14ac:dyDescent="0.25">
      <c r="Q312" s="144"/>
    </row>
    <row r="313" spans="17:17" ht="15.75" customHeight="1" x14ac:dyDescent="0.25">
      <c r="Q313" s="144"/>
    </row>
    <row r="314" spans="17:17" ht="15.75" customHeight="1" x14ac:dyDescent="0.25">
      <c r="Q314" s="144"/>
    </row>
    <row r="315" spans="17:17" ht="15.75" customHeight="1" x14ac:dyDescent="0.25">
      <c r="Q315" s="144"/>
    </row>
    <row r="316" spans="17:17" ht="15.75" customHeight="1" x14ac:dyDescent="0.25">
      <c r="Q316" s="144"/>
    </row>
    <row r="317" spans="17:17" ht="15.75" customHeight="1" x14ac:dyDescent="0.25">
      <c r="Q317" s="144"/>
    </row>
    <row r="318" spans="17:17" ht="15.75" customHeight="1" x14ac:dyDescent="0.25">
      <c r="Q318" s="144"/>
    </row>
    <row r="319" spans="17:17" ht="15.75" customHeight="1" x14ac:dyDescent="0.25">
      <c r="Q319" s="144"/>
    </row>
    <row r="320" spans="17:17" ht="15.75" customHeight="1" x14ac:dyDescent="0.25">
      <c r="Q320" s="144"/>
    </row>
    <row r="321" spans="17:17" ht="15.75" customHeight="1" x14ac:dyDescent="0.25">
      <c r="Q321" s="144"/>
    </row>
    <row r="322" spans="17:17" ht="15.75" customHeight="1" x14ac:dyDescent="0.25">
      <c r="Q322" s="144"/>
    </row>
    <row r="323" spans="17:17" ht="15.75" customHeight="1" x14ac:dyDescent="0.25">
      <c r="Q323" s="144"/>
    </row>
    <row r="324" spans="17:17" ht="15.75" customHeight="1" x14ac:dyDescent="0.25">
      <c r="Q324" s="144"/>
    </row>
    <row r="325" spans="17:17" ht="15.75" customHeight="1" x14ac:dyDescent="0.25">
      <c r="Q325" s="144"/>
    </row>
    <row r="326" spans="17:17" ht="15.75" customHeight="1" x14ac:dyDescent="0.25">
      <c r="Q326" s="144"/>
    </row>
    <row r="327" spans="17:17" ht="15.75" customHeight="1" x14ac:dyDescent="0.25">
      <c r="Q327" s="144"/>
    </row>
    <row r="328" spans="17:17" ht="15.75" customHeight="1" x14ac:dyDescent="0.25">
      <c r="Q328" s="144"/>
    </row>
    <row r="329" spans="17:17" ht="15.75" customHeight="1" x14ac:dyDescent="0.25">
      <c r="Q329" s="144"/>
    </row>
    <row r="330" spans="17:17" ht="15.75" customHeight="1" x14ac:dyDescent="0.25">
      <c r="Q330" s="144"/>
    </row>
    <row r="331" spans="17:17" ht="15.75" customHeight="1" x14ac:dyDescent="0.25">
      <c r="Q331" s="144"/>
    </row>
    <row r="332" spans="17:17" ht="15.75" customHeight="1" x14ac:dyDescent="0.25">
      <c r="Q332" s="144"/>
    </row>
    <row r="333" spans="17:17" ht="15.75" customHeight="1" x14ac:dyDescent="0.25">
      <c r="Q333" s="144"/>
    </row>
    <row r="334" spans="17:17" ht="15.75" customHeight="1" x14ac:dyDescent="0.25">
      <c r="Q334" s="144"/>
    </row>
    <row r="335" spans="17:17" ht="15.75" customHeight="1" x14ac:dyDescent="0.25">
      <c r="Q335" s="144"/>
    </row>
    <row r="336" spans="17:17" ht="15.75" customHeight="1" x14ac:dyDescent="0.25">
      <c r="Q336" s="144"/>
    </row>
    <row r="337" spans="17:17" ht="15.75" customHeight="1" x14ac:dyDescent="0.25">
      <c r="Q337" s="144"/>
    </row>
    <row r="338" spans="17:17" ht="15.75" customHeight="1" x14ac:dyDescent="0.25">
      <c r="Q338" s="144"/>
    </row>
    <row r="339" spans="17:17" ht="15.75" customHeight="1" x14ac:dyDescent="0.25">
      <c r="Q339" s="144"/>
    </row>
    <row r="340" spans="17:17" ht="15.75" customHeight="1" x14ac:dyDescent="0.25">
      <c r="Q340" s="144"/>
    </row>
    <row r="341" spans="17:17" ht="15.75" customHeight="1" x14ac:dyDescent="0.25">
      <c r="Q341" s="144"/>
    </row>
    <row r="342" spans="17:17" ht="15.75" customHeight="1" x14ac:dyDescent="0.25">
      <c r="Q342" s="144"/>
    </row>
    <row r="343" spans="17:17" ht="15.75" customHeight="1" x14ac:dyDescent="0.25">
      <c r="Q343" s="144"/>
    </row>
    <row r="344" spans="17:17" ht="15.75" customHeight="1" x14ac:dyDescent="0.25">
      <c r="Q344" s="144"/>
    </row>
    <row r="345" spans="17:17" ht="15.75" customHeight="1" x14ac:dyDescent="0.25">
      <c r="Q345" s="144"/>
    </row>
    <row r="346" spans="17:17" ht="15.75" customHeight="1" x14ac:dyDescent="0.25">
      <c r="Q346" s="144"/>
    </row>
    <row r="347" spans="17:17" ht="15.75" customHeight="1" x14ac:dyDescent="0.25">
      <c r="Q347" s="144"/>
    </row>
    <row r="348" spans="17:17" ht="15.75" customHeight="1" x14ac:dyDescent="0.25">
      <c r="Q348" s="144"/>
    </row>
    <row r="349" spans="17:17" ht="15.75" customHeight="1" x14ac:dyDescent="0.25">
      <c r="Q349" s="144"/>
    </row>
    <row r="350" spans="17:17" ht="15.75" customHeight="1" x14ac:dyDescent="0.25">
      <c r="Q350" s="144"/>
    </row>
    <row r="351" spans="17:17" ht="15.75" customHeight="1" x14ac:dyDescent="0.25">
      <c r="Q351" s="144"/>
    </row>
    <row r="352" spans="17:17" ht="15.75" customHeight="1" x14ac:dyDescent="0.25">
      <c r="Q352" s="144"/>
    </row>
    <row r="353" spans="17:17" ht="15.75" customHeight="1" x14ac:dyDescent="0.25">
      <c r="Q353" s="144"/>
    </row>
    <row r="354" spans="17:17" ht="15.75" customHeight="1" x14ac:dyDescent="0.25">
      <c r="Q354" s="144"/>
    </row>
    <row r="355" spans="17:17" ht="15.75" customHeight="1" x14ac:dyDescent="0.25">
      <c r="Q355" s="144"/>
    </row>
    <row r="356" spans="17:17" ht="15.75" customHeight="1" x14ac:dyDescent="0.25">
      <c r="Q356" s="144"/>
    </row>
    <row r="357" spans="17:17" ht="15.75" customHeight="1" x14ac:dyDescent="0.25">
      <c r="Q357" s="144"/>
    </row>
    <row r="358" spans="17:17" ht="15.75" customHeight="1" x14ac:dyDescent="0.25">
      <c r="Q358" s="144"/>
    </row>
    <row r="359" spans="17:17" ht="15.75" customHeight="1" x14ac:dyDescent="0.25">
      <c r="Q359" s="144"/>
    </row>
    <row r="360" spans="17:17" ht="15.75" customHeight="1" x14ac:dyDescent="0.25">
      <c r="Q360" s="144"/>
    </row>
    <row r="361" spans="17:17" ht="15.75" customHeight="1" x14ac:dyDescent="0.25">
      <c r="Q361" s="144"/>
    </row>
    <row r="362" spans="17:17" ht="15.75" customHeight="1" x14ac:dyDescent="0.25">
      <c r="Q362" s="144"/>
    </row>
    <row r="363" spans="17:17" ht="15.75" customHeight="1" x14ac:dyDescent="0.25">
      <c r="Q363" s="144"/>
    </row>
    <row r="364" spans="17:17" ht="15.75" customHeight="1" x14ac:dyDescent="0.25">
      <c r="Q364" s="144"/>
    </row>
    <row r="365" spans="17:17" ht="15.75" customHeight="1" x14ac:dyDescent="0.25">
      <c r="Q365" s="144"/>
    </row>
    <row r="366" spans="17:17" ht="15.75" customHeight="1" x14ac:dyDescent="0.25">
      <c r="Q366" s="144"/>
    </row>
    <row r="367" spans="17:17" ht="15.75" customHeight="1" x14ac:dyDescent="0.25">
      <c r="Q367" s="144"/>
    </row>
    <row r="368" spans="17:17" ht="15.75" customHeight="1" x14ac:dyDescent="0.25">
      <c r="Q368" s="144"/>
    </row>
    <row r="369" spans="17:17" ht="15.75" customHeight="1" x14ac:dyDescent="0.25">
      <c r="Q369" s="144"/>
    </row>
    <row r="370" spans="17:17" ht="15.75" customHeight="1" x14ac:dyDescent="0.25">
      <c r="Q370" s="144"/>
    </row>
    <row r="371" spans="17:17" ht="15.75" customHeight="1" x14ac:dyDescent="0.25">
      <c r="Q371" s="144"/>
    </row>
    <row r="372" spans="17:17" ht="15.75" customHeight="1" x14ac:dyDescent="0.25">
      <c r="Q372" s="144"/>
    </row>
    <row r="373" spans="17:17" ht="15.75" customHeight="1" x14ac:dyDescent="0.25">
      <c r="Q373" s="144"/>
    </row>
    <row r="374" spans="17:17" ht="15.75" customHeight="1" x14ac:dyDescent="0.25">
      <c r="Q374" s="144"/>
    </row>
    <row r="375" spans="17:17" ht="15.75" customHeight="1" x14ac:dyDescent="0.25">
      <c r="Q375" s="144"/>
    </row>
    <row r="376" spans="17:17" ht="15.75" customHeight="1" x14ac:dyDescent="0.25">
      <c r="Q376" s="144"/>
    </row>
    <row r="377" spans="17:17" ht="15.75" customHeight="1" x14ac:dyDescent="0.25">
      <c r="Q377" s="144"/>
    </row>
    <row r="378" spans="17:17" ht="15.75" customHeight="1" x14ac:dyDescent="0.25">
      <c r="Q378" s="144"/>
    </row>
    <row r="379" spans="17:17" ht="15.75" customHeight="1" x14ac:dyDescent="0.25">
      <c r="Q379" s="144"/>
    </row>
    <row r="380" spans="17:17" ht="15.75" customHeight="1" x14ac:dyDescent="0.25">
      <c r="Q380" s="144"/>
    </row>
    <row r="381" spans="17:17" ht="15.75" customHeight="1" x14ac:dyDescent="0.25">
      <c r="Q381" s="144"/>
    </row>
    <row r="382" spans="17:17" ht="15.75" customHeight="1" x14ac:dyDescent="0.25">
      <c r="Q382" s="144"/>
    </row>
    <row r="383" spans="17:17" ht="15.75" customHeight="1" x14ac:dyDescent="0.25">
      <c r="Q383" s="144"/>
    </row>
    <row r="384" spans="17:17" ht="15.75" customHeight="1" x14ac:dyDescent="0.25">
      <c r="Q384" s="144"/>
    </row>
    <row r="385" spans="17:17" ht="15.75" customHeight="1" x14ac:dyDescent="0.25">
      <c r="Q385" s="144"/>
    </row>
    <row r="386" spans="17:17" ht="15.75" customHeight="1" x14ac:dyDescent="0.25">
      <c r="Q386" s="144"/>
    </row>
    <row r="387" spans="17:17" ht="15.75" customHeight="1" x14ac:dyDescent="0.25">
      <c r="Q387" s="144"/>
    </row>
    <row r="388" spans="17:17" ht="15.75" customHeight="1" x14ac:dyDescent="0.25">
      <c r="Q388" s="144"/>
    </row>
    <row r="389" spans="17:17" ht="15.75" customHeight="1" x14ac:dyDescent="0.25">
      <c r="Q389" s="144"/>
    </row>
    <row r="390" spans="17:17" ht="15.75" customHeight="1" x14ac:dyDescent="0.25">
      <c r="Q390" s="144"/>
    </row>
    <row r="391" spans="17:17" ht="15.75" customHeight="1" x14ac:dyDescent="0.25">
      <c r="Q391" s="144"/>
    </row>
    <row r="392" spans="17:17" ht="15.75" customHeight="1" x14ac:dyDescent="0.25">
      <c r="Q392" s="144"/>
    </row>
    <row r="393" spans="17:17" ht="15.75" customHeight="1" x14ac:dyDescent="0.25">
      <c r="Q393" s="144"/>
    </row>
    <row r="394" spans="17:17" ht="15.75" customHeight="1" x14ac:dyDescent="0.25">
      <c r="Q394" s="144"/>
    </row>
    <row r="395" spans="17:17" ht="15.75" customHeight="1" x14ac:dyDescent="0.25">
      <c r="Q395" s="144"/>
    </row>
    <row r="396" spans="17:17" ht="15.75" customHeight="1" x14ac:dyDescent="0.25">
      <c r="Q396" s="144"/>
    </row>
    <row r="397" spans="17:17" ht="15.75" customHeight="1" x14ac:dyDescent="0.25">
      <c r="Q397" s="144"/>
    </row>
    <row r="398" spans="17:17" ht="15.75" customHeight="1" x14ac:dyDescent="0.25">
      <c r="Q398" s="144"/>
    </row>
    <row r="399" spans="17:17" ht="15.75" customHeight="1" x14ac:dyDescent="0.25">
      <c r="Q399" s="144"/>
    </row>
    <row r="400" spans="17:17" ht="15.75" customHeight="1" x14ac:dyDescent="0.25">
      <c r="Q400" s="144"/>
    </row>
    <row r="401" spans="17:17" ht="15.75" customHeight="1" x14ac:dyDescent="0.25">
      <c r="Q401" s="144"/>
    </row>
    <row r="402" spans="17:17" ht="15.75" customHeight="1" x14ac:dyDescent="0.25">
      <c r="Q402" s="144"/>
    </row>
    <row r="403" spans="17:17" ht="15.75" customHeight="1" x14ac:dyDescent="0.25">
      <c r="Q403" s="144"/>
    </row>
    <row r="404" spans="17:17" ht="15.75" customHeight="1" x14ac:dyDescent="0.25">
      <c r="Q404" s="144"/>
    </row>
    <row r="405" spans="17:17" ht="15.75" customHeight="1" x14ac:dyDescent="0.25">
      <c r="Q405" s="144"/>
    </row>
    <row r="406" spans="17:17" ht="15.75" customHeight="1" x14ac:dyDescent="0.25">
      <c r="Q406" s="144"/>
    </row>
    <row r="407" spans="17:17" ht="15.75" customHeight="1" x14ac:dyDescent="0.25">
      <c r="Q407" s="144"/>
    </row>
    <row r="408" spans="17:17" ht="15.75" customHeight="1" x14ac:dyDescent="0.25">
      <c r="Q408" s="144"/>
    </row>
    <row r="409" spans="17:17" ht="15.75" customHeight="1" x14ac:dyDescent="0.25">
      <c r="Q409" s="144"/>
    </row>
    <row r="410" spans="17:17" ht="15.75" customHeight="1" x14ac:dyDescent="0.25">
      <c r="Q410" s="144"/>
    </row>
    <row r="411" spans="17:17" ht="15.75" customHeight="1" x14ac:dyDescent="0.25">
      <c r="Q411" s="144"/>
    </row>
    <row r="412" spans="17:17" ht="15.75" customHeight="1" x14ac:dyDescent="0.25">
      <c r="Q412" s="144"/>
    </row>
    <row r="413" spans="17:17" ht="15.75" customHeight="1" x14ac:dyDescent="0.25">
      <c r="Q413" s="144"/>
    </row>
    <row r="414" spans="17:17" ht="15.75" customHeight="1" x14ac:dyDescent="0.25">
      <c r="Q414" s="144"/>
    </row>
    <row r="415" spans="17:17" ht="15.75" customHeight="1" x14ac:dyDescent="0.25">
      <c r="Q415" s="144"/>
    </row>
    <row r="416" spans="17:17" ht="15.75" customHeight="1" x14ac:dyDescent="0.25">
      <c r="Q416" s="144"/>
    </row>
    <row r="417" spans="17:17" ht="15.75" customHeight="1" x14ac:dyDescent="0.25">
      <c r="Q417" s="144"/>
    </row>
    <row r="418" spans="17:17" ht="15.75" customHeight="1" x14ac:dyDescent="0.25">
      <c r="Q418" s="144"/>
    </row>
    <row r="419" spans="17:17" ht="15.75" customHeight="1" x14ac:dyDescent="0.25">
      <c r="Q419" s="144"/>
    </row>
    <row r="420" spans="17:17" ht="15.75" customHeight="1" x14ac:dyDescent="0.25">
      <c r="Q420" s="144"/>
    </row>
    <row r="421" spans="17:17" ht="15.75" customHeight="1" x14ac:dyDescent="0.25">
      <c r="Q421" s="144"/>
    </row>
    <row r="422" spans="17:17" ht="15.75" customHeight="1" x14ac:dyDescent="0.25">
      <c r="Q422" s="144"/>
    </row>
    <row r="423" spans="17:17" ht="15.75" customHeight="1" x14ac:dyDescent="0.25">
      <c r="Q423" s="144"/>
    </row>
    <row r="424" spans="17:17" ht="15.75" customHeight="1" x14ac:dyDescent="0.25">
      <c r="Q424" s="144"/>
    </row>
    <row r="425" spans="17:17" ht="15.75" customHeight="1" x14ac:dyDescent="0.25">
      <c r="Q425" s="144"/>
    </row>
    <row r="426" spans="17:17" ht="15.75" customHeight="1" x14ac:dyDescent="0.25">
      <c r="Q426" s="144"/>
    </row>
    <row r="427" spans="17:17" ht="15.75" customHeight="1" x14ac:dyDescent="0.25">
      <c r="Q427" s="144"/>
    </row>
    <row r="428" spans="17:17" ht="15.75" customHeight="1" x14ac:dyDescent="0.25">
      <c r="Q428" s="144"/>
    </row>
    <row r="429" spans="17:17" ht="15.75" customHeight="1" x14ac:dyDescent="0.25">
      <c r="Q429" s="144"/>
    </row>
    <row r="430" spans="17:17" ht="15.75" customHeight="1" x14ac:dyDescent="0.25">
      <c r="Q430" s="144"/>
    </row>
    <row r="431" spans="17:17" ht="15.75" customHeight="1" x14ac:dyDescent="0.25">
      <c r="Q431" s="144"/>
    </row>
    <row r="432" spans="17:17" ht="15.75" customHeight="1" x14ac:dyDescent="0.25">
      <c r="Q432" s="144"/>
    </row>
    <row r="433" spans="17:17" ht="15.75" customHeight="1" x14ac:dyDescent="0.25">
      <c r="Q433" s="144"/>
    </row>
    <row r="434" spans="17:17" ht="15.75" customHeight="1" x14ac:dyDescent="0.25">
      <c r="Q434" s="144"/>
    </row>
    <row r="435" spans="17:17" ht="15.75" customHeight="1" x14ac:dyDescent="0.25">
      <c r="Q435" s="144"/>
    </row>
    <row r="436" spans="17:17" ht="15.75" customHeight="1" x14ac:dyDescent="0.25">
      <c r="Q436" s="144"/>
    </row>
    <row r="437" spans="17:17" ht="15.75" customHeight="1" x14ac:dyDescent="0.25">
      <c r="Q437" s="144"/>
    </row>
    <row r="438" spans="17:17" ht="15.75" customHeight="1" x14ac:dyDescent="0.25">
      <c r="Q438" s="144"/>
    </row>
    <row r="439" spans="17:17" ht="15.75" customHeight="1" x14ac:dyDescent="0.25">
      <c r="Q439" s="144"/>
    </row>
    <row r="440" spans="17:17" ht="15.75" customHeight="1" x14ac:dyDescent="0.25">
      <c r="Q440" s="144"/>
    </row>
    <row r="441" spans="17:17" ht="15.75" customHeight="1" x14ac:dyDescent="0.25">
      <c r="Q441" s="144"/>
    </row>
    <row r="442" spans="17:17" ht="15.75" customHeight="1" x14ac:dyDescent="0.25">
      <c r="Q442" s="144"/>
    </row>
    <row r="443" spans="17:17" ht="15.75" customHeight="1" x14ac:dyDescent="0.25">
      <c r="Q443" s="144"/>
    </row>
    <row r="444" spans="17:17" ht="15.75" customHeight="1" x14ac:dyDescent="0.25">
      <c r="Q444" s="144"/>
    </row>
    <row r="445" spans="17:17" ht="15.75" customHeight="1" x14ac:dyDescent="0.25">
      <c r="Q445" s="144"/>
    </row>
    <row r="446" spans="17:17" ht="15.75" customHeight="1" x14ac:dyDescent="0.25">
      <c r="Q446" s="144"/>
    </row>
    <row r="447" spans="17:17" ht="15.75" customHeight="1" x14ac:dyDescent="0.25">
      <c r="Q447" s="144"/>
    </row>
    <row r="448" spans="17:17" ht="15.75" customHeight="1" x14ac:dyDescent="0.25">
      <c r="Q448" s="144"/>
    </row>
    <row r="449" spans="17:17" ht="15.75" customHeight="1" x14ac:dyDescent="0.25">
      <c r="Q449" s="144"/>
    </row>
    <row r="450" spans="17:17" ht="15.75" customHeight="1" x14ac:dyDescent="0.25">
      <c r="Q450" s="144"/>
    </row>
    <row r="451" spans="17:17" ht="15.75" customHeight="1" x14ac:dyDescent="0.25">
      <c r="Q451" s="144"/>
    </row>
    <row r="452" spans="17:17" ht="15.75" customHeight="1" x14ac:dyDescent="0.25">
      <c r="Q452" s="144"/>
    </row>
    <row r="453" spans="17:17" ht="15.75" customHeight="1" x14ac:dyDescent="0.25">
      <c r="Q453" s="144"/>
    </row>
    <row r="454" spans="17:17" ht="15.75" customHeight="1" x14ac:dyDescent="0.25">
      <c r="Q454" s="144"/>
    </row>
    <row r="455" spans="17:17" ht="15.75" customHeight="1" x14ac:dyDescent="0.25">
      <c r="Q455" s="144"/>
    </row>
    <row r="456" spans="17:17" ht="15.75" customHeight="1" x14ac:dyDescent="0.25">
      <c r="Q456" s="144"/>
    </row>
    <row r="457" spans="17:17" ht="15.75" customHeight="1" x14ac:dyDescent="0.25">
      <c r="Q457" s="144"/>
    </row>
    <row r="458" spans="17:17" ht="15.75" customHeight="1" x14ac:dyDescent="0.25">
      <c r="Q458" s="144"/>
    </row>
    <row r="459" spans="17:17" ht="15.75" customHeight="1" x14ac:dyDescent="0.25">
      <c r="Q459" s="144"/>
    </row>
    <row r="460" spans="17:17" ht="15.75" customHeight="1" x14ac:dyDescent="0.25">
      <c r="Q460" s="144"/>
    </row>
    <row r="461" spans="17:17" ht="15.75" customHeight="1" x14ac:dyDescent="0.25">
      <c r="Q461" s="144"/>
    </row>
    <row r="462" spans="17:17" ht="15.75" customHeight="1" x14ac:dyDescent="0.25">
      <c r="Q462" s="144"/>
    </row>
    <row r="463" spans="17:17" ht="15.75" customHeight="1" x14ac:dyDescent="0.25">
      <c r="Q463" s="144"/>
    </row>
    <row r="464" spans="17:17" ht="15.75" customHeight="1" x14ac:dyDescent="0.25">
      <c r="Q464" s="144"/>
    </row>
    <row r="465" spans="17:17" ht="15.75" customHeight="1" x14ac:dyDescent="0.25">
      <c r="Q465" s="144"/>
    </row>
    <row r="466" spans="17:17" ht="15.75" customHeight="1" x14ac:dyDescent="0.25">
      <c r="Q466" s="144"/>
    </row>
    <row r="467" spans="17:17" ht="15.75" customHeight="1" x14ac:dyDescent="0.25">
      <c r="Q467" s="144"/>
    </row>
    <row r="468" spans="17:17" ht="15.75" customHeight="1" x14ac:dyDescent="0.25">
      <c r="Q468" s="144"/>
    </row>
    <row r="469" spans="17:17" ht="15.75" customHeight="1" x14ac:dyDescent="0.25">
      <c r="Q469" s="144"/>
    </row>
    <row r="470" spans="17:17" ht="15.75" customHeight="1" x14ac:dyDescent="0.25">
      <c r="Q470" s="144"/>
    </row>
    <row r="471" spans="17:17" ht="15.75" customHeight="1" x14ac:dyDescent="0.25">
      <c r="Q471" s="144"/>
    </row>
    <row r="472" spans="17:17" ht="15.75" customHeight="1" x14ac:dyDescent="0.25">
      <c r="Q472" s="144"/>
    </row>
    <row r="473" spans="17:17" ht="15.75" customHeight="1" x14ac:dyDescent="0.25">
      <c r="Q473" s="144"/>
    </row>
    <row r="474" spans="17:17" ht="15.75" customHeight="1" x14ac:dyDescent="0.25">
      <c r="Q474" s="144"/>
    </row>
    <row r="475" spans="17:17" ht="15.75" customHeight="1" x14ac:dyDescent="0.25">
      <c r="Q475" s="144"/>
    </row>
    <row r="476" spans="17:17" ht="15.75" customHeight="1" x14ac:dyDescent="0.25">
      <c r="Q476" s="144"/>
    </row>
    <row r="477" spans="17:17" ht="15.75" customHeight="1" x14ac:dyDescent="0.25">
      <c r="Q477" s="144"/>
    </row>
    <row r="478" spans="17:17" ht="15.75" customHeight="1" x14ac:dyDescent="0.25">
      <c r="Q478" s="144"/>
    </row>
    <row r="479" spans="17:17" ht="15.75" customHeight="1" x14ac:dyDescent="0.25">
      <c r="Q479" s="144"/>
    </row>
    <row r="480" spans="17:17" ht="15.75" customHeight="1" x14ac:dyDescent="0.25">
      <c r="Q480" s="144"/>
    </row>
    <row r="481" spans="17:17" ht="15.75" customHeight="1" x14ac:dyDescent="0.25">
      <c r="Q481" s="144"/>
    </row>
    <row r="482" spans="17:17" ht="15.75" customHeight="1" x14ac:dyDescent="0.25">
      <c r="Q482" s="144"/>
    </row>
    <row r="483" spans="17:17" ht="15.75" customHeight="1" x14ac:dyDescent="0.25">
      <c r="Q483" s="144"/>
    </row>
    <row r="484" spans="17:17" ht="15.75" customHeight="1" x14ac:dyDescent="0.25">
      <c r="Q484" s="144"/>
    </row>
    <row r="485" spans="17:17" ht="15.75" customHeight="1" x14ac:dyDescent="0.25">
      <c r="Q485" s="144"/>
    </row>
    <row r="486" spans="17:17" ht="15.75" customHeight="1" x14ac:dyDescent="0.25">
      <c r="Q486" s="144"/>
    </row>
    <row r="487" spans="17:17" ht="15.75" customHeight="1" x14ac:dyDescent="0.25">
      <c r="Q487" s="144"/>
    </row>
    <row r="488" spans="17:17" ht="15.75" customHeight="1" x14ac:dyDescent="0.25">
      <c r="Q488" s="144"/>
    </row>
    <row r="489" spans="17:17" ht="15.75" customHeight="1" x14ac:dyDescent="0.25">
      <c r="Q489" s="144"/>
    </row>
    <row r="490" spans="17:17" ht="15.75" customHeight="1" x14ac:dyDescent="0.25">
      <c r="Q490" s="144"/>
    </row>
    <row r="491" spans="17:17" ht="15.75" customHeight="1" x14ac:dyDescent="0.25">
      <c r="Q491" s="144"/>
    </row>
    <row r="492" spans="17:17" ht="15.75" customHeight="1" x14ac:dyDescent="0.25">
      <c r="Q492" s="144"/>
    </row>
    <row r="493" spans="17:17" ht="15.75" customHeight="1" x14ac:dyDescent="0.25">
      <c r="Q493" s="144"/>
    </row>
    <row r="494" spans="17:17" ht="15.75" customHeight="1" x14ac:dyDescent="0.25">
      <c r="Q494" s="144"/>
    </row>
    <row r="495" spans="17:17" ht="15.75" customHeight="1" x14ac:dyDescent="0.25">
      <c r="Q495" s="144"/>
    </row>
    <row r="496" spans="17:17" ht="15.75" customHeight="1" x14ac:dyDescent="0.25">
      <c r="Q496" s="144"/>
    </row>
    <row r="497" spans="17:17" ht="15.75" customHeight="1" x14ac:dyDescent="0.25">
      <c r="Q497" s="144"/>
    </row>
    <row r="498" spans="17:17" ht="15.75" customHeight="1" x14ac:dyDescent="0.25">
      <c r="Q498" s="144"/>
    </row>
    <row r="499" spans="17:17" ht="15.75" customHeight="1" x14ac:dyDescent="0.25">
      <c r="Q499" s="144"/>
    </row>
    <row r="500" spans="17:17" ht="15.75" customHeight="1" x14ac:dyDescent="0.25">
      <c r="Q500" s="144"/>
    </row>
    <row r="501" spans="17:17" ht="15.75" customHeight="1" x14ac:dyDescent="0.25">
      <c r="Q501" s="144"/>
    </row>
    <row r="502" spans="17:17" ht="15.75" customHeight="1" x14ac:dyDescent="0.25">
      <c r="Q502" s="144"/>
    </row>
    <row r="503" spans="17:17" ht="15.75" customHeight="1" x14ac:dyDescent="0.25">
      <c r="Q503" s="144"/>
    </row>
    <row r="504" spans="17:17" ht="15.75" customHeight="1" x14ac:dyDescent="0.25">
      <c r="Q504" s="144"/>
    </row>
    <row r="505" spans="17:17" ht="15.75" customHeight="1" x14ac:dyDescent="0.25">
      <c r="Q505" s="144"/>
    </row>
    <row r="506" spans="17:17" ht="15.75" customHeight="1" x14ac:dyDescent="0.25">
      <c r="Q506" s="144"/>
    </row>
    <row r="507" spans="17:17" ht="15.75" customHeight="1" x14ac:dyDescent="0.25">
      <c r="Q507" s="144"/>
    </row>
    <row r="508" spans="17:17" ht="15.75" customHeight="1" x14ac:dyDescent="0.25">
      <c r="Q508" s="144"/>
    </row>
    <row r="509" spans="17:17" ht="15.75" customHeight="1" x14ac:dyDescent="0.25">
      <c r="Q509" s="144"/>
    </row>
    <row r="510" spans="17:17" ht="15.75" customHeight="1" x14ac:dyDescent="0.25">
      <c r="Q510" s="144"/>
    </row>
    <row r="511" spans="17:17" ht="15.75" customHeight="1" x14ac:dyDescent="0.25">
      <c r="Q511" s="144"/>
    </row>
    <row r="512" spans="17:17" ht="15.75" customHeight="1" x14ac:dyDescent="0.25">
      <c r="Q512" s="144"/>
    </row>
    <row r="513" spans="17:17" ht="15.75" customHeight="1" x14ac:dyDescent="0.25">
      <c r="Q513" s="144"/>
    </row>
    <row r="514" spans="17:17" ht="15.75" customHeight="1" x14ac:dyDescent="0.25">
      <c r="Q514" s="144"/>
    </row>
    <row r="515" spans="17:17" ht="15.75" customHeight="1" x14ac:dyDescent="0.25">
      <c r="Q515" s="144"/>
    </row>
    <row r="516" spans="17:17" ht="15.75" customHeight="1" x14ac:dyDescent="0.25">
      <c r="Q516" s="144"/>
    </row>
    <row r="517" spans="17:17" ht="15.75" customHeight="1" x14ac:dyDescent="0.25">
      <c r="Q517" s="144"/>
    </row>
    <row r="518" spans="17:17" ht="15.75" customHeight="1" x14ac:dyDescent="0.25">
      <c r="Q518" s="144"/>
    </row>
    <row r="519" spans="17:17" ht="15.75" customHeight="1" x14ac:dyDescent="0.25">
      <c r="Q519" s="144"/>
    </row>
    <row r="520" spans="17:17" ht="15.75" customHeight="1" x14ac:dyDescent="0.25">
      <c r="Q520" s="144"/>
    </row>
    <row r="521" spans="17:17" ht="15.75" customHeight="1" x14ac:dyDescent="0.25">
      <c r="Q521" s="144"/>
    </row>
    <row r="522" spans="17:17" ht="15.75" customHeight="1" x14ac:dyDescent="0.25">
      <c r="Q522" s="144"/>
    </row>
    <row r="523" spans="17:17" ht="15.75" customHeight="1" x14ac:dyDescent="0.25">
      <c r="Q523" s="144"/>
    </row>
    <row r="524" spans="17:17" ht="15.75" customHeight="1" x14ac:dyDescent="0.25">
      <c r="Q524" s="144"/>
    </row>
    <row r="525" spans="17:17" ht="15.75" customHeight="1" x14ac:dyDescent="0.25">
      <c r="Q525" s="144"/>
    </row>
    <row r="526" spans="17:17" ht="15.75" customHeight="1" x14ac:dyDescent="0.25">
      <c r="Q526" s="144"/>
    </row>
    <row r="527" spans="17:17" ht="15.75" customHeight="1" x14ac:dyDescent="0.25">
      <c r="Q527" s="144"/>
    </row>
    <row r="528" spans="17:17" ht="15.75" customHeight="1" x14ac:dyDescent="0.25">
      <c r="Q528" s="144"/>
    </row>
    <row r="529" spans="17:17" ht="15.75" customHeight="1" x14ac:dyDescent="0.25">
      <c r="Q529" s="144"/>
    </row>
    <row r="530" spans="17:17" ht="15.75" customHeight="1" x14ac:dyDescent="0.25">
      <c r="Q530" s="144"/>
    </row>
    <row r="531" spans="17:17" ht="15.75" customHeight="1" x14ac:dyDescent="0.25">
      <c r="Q531" s="144"/>
    </row>
    <row r="532" spans="17:17" ht="15.75" customHeight="1" x14ac:dyDescent="0.25">
      <c r="Q532" s="144"/>
    </row>
    <row r="533" spans="17:17" ht="15.75" customHeight="1" x14ac:dyDescent="0.25">
      <c r="Q533" s="144"/>
    </row>
    <row r="534" spans="17:17" ht="15.75" customHeight="1" x14ac:dyDescent="0.25">
      <c r="Q534" s="144"/>
    </row>
    <row r="535" spans="17:17" ht="15.75" customHeight="1" x14ac:dyDescent="0.25">
      <c r="Q535" s="144"/>
    </row>
    <row r="536" spans="17:17" ht="15.75" customHeight="1" x14ac:dyDescent="0.25">
      <c r="Q536" s="144"/>
    </row>
    <row r="537" spans="17:17" ht="15.75" customHeight="1" x14ac:dyDescent="0.25">
      <c r="Q537" s="144"/>
    </row>
    <row r="538" spans="17:17" ht="15.75" customHeight="1" x14ac:dyDescent="0.25">
      <c r="Q538" s="144"/>
    </row>
    <row r="539" spans="17:17" ht="15.75" customHeight="1" x14ac:dyDescent="0.25">
      <c r="Q539" s="144"/>
    </row>
    <row r="540" spans="17:17" ht="15.75" customHeight="1" x14ac:dyDescent="0.25">
      <c r="Q540" s="144"/>
    </row>
    <row r="541" spans="17:17" ht="15.75" customHeight="1" x14ac:dyDescent="0.25">
      <c r="Q541" s="144"/>
    </row>
    <row r="542" spans="17:17" ht="15.75" customHeight="1" x14ac:dyDescent="0.25">
      <c r="Q542" s="144"/>
    </row>
    <row r="543" spans="17:17" ht="15.75" customHeight="1" x14ac:dyDescent="0.25">
      <c r="Q543" s="144"/>
    </row>
    <row r="544" spans="17:17" ht="15.75" customHeight="1" x14ac:dyDescent="0.25">
      <c r="Q544" s="144"/>
    </row>
    <row r="545" spans="17:17" ht="15.75" customHeight="1" x14ac:dyDescent="0.25">
      <c r="Q545" s="144"/>
    </row>
    <row r="546" spans="17:17" ht="15.75" customHeight="1" x14ac:dyDescent="0.25">
      <c r="Q546" s="144"/>
    </row>
    <row r="547" spans="17:17" ht="15.75" customHeight="1" x14ac:dyDescent="0.25">
      <c r="Q547" s="144"/>
    </row>
    <row r="548" spans="17:17" ht="15.75" customHeight="1" x14ac:dyDescent="0.25">
      <c r="Q548" s="144"/>
    </row>
    <row r="549" spans="17:17" ht="15.75" customHeight="1" x14ac:dyDescent="0.25">
      <c r="Q549" s="144"/>
    </row>
    <row r="550" spans="17:17" ht="15.75" customHeight="1" x14ac:dyDescent="0.25">
      <c r="Q550" s="144"/>
    </row>
    <row r="551" spans="17:17" ht="15.75" customHeight="1" x14ac:dyDescent="0.25">
      <c r="Q551" s="144"/>
    </row>
    <row r="552" spans="17:17" ht="15.75" customHeight="1" x14ac:dyDescent="0.25">
      <c r="Q552" s="144"/>
    </row>
    <row r="553" spans="17:17" ht="15.75" customHeight="1" x14ac:dyDescent="0.25">
      <c r="Q553" s="144"/>
    </row>
    <row r="554" spans="17:17" ht="15.75" customHeight="1" x14ac:dyDescent="0.25">
      <c r="Q554" s="144"/>
    </row>
    <row r="555" spans="17:17" ht="15.75" customHeight="1" x14ac:dyDescent="0.25">
      <c r="Q555" s="144"/>
    </row>
    <row r="556" spans="17:17" ht="15.75" customHeight="1" x14ac:dyDescent="0.25">
      <c r="Q556" s="144"/>
    </row>
    <row r="557" spans="17:17" ht="15.75" customHeight="1" x14ac:dyDescent="0.25">
      <c r="Q557" s="144"/>
    </row>
    <row r="558" spans="17:17" ht="15.75" customHeight="1" x14ac:dyDescent="0.25">
      <c r="Q558" s="144"/>
    </row>
    <row r="559" spans="17:17" ht="15.75" customHeight="1" x14ac:dyDescent="0.25">
      <c r="Q559" s="144"/>
    </row>
    <row r="560" spans="17:17" ht="15.75" customHeight="1" x14ac:dyDescent="0.25">
      <c r="Q560" s="144"/>
    </row>
    <row r="561" spans="17:17" ht="15.75" customHeight="1" x14ac:dyDescent="0.25">
      <c r="Q561" s="144"/>
    </row>
    <row r="562" spans="17:17" ht="15.75" customHeight="1" x14ac:dyDescent="0.25">
      <c r="Q562" s="144"/>
    </row>
    <row r="563" spans="17:17" ht="15.75" customHeight="1" x14ac:dyDescent="0.25">
      <c r="Q563" s="144"/>
    </row>
    <row r="564" spans="17:17" ht="15.75" customHeight="1" x14ac:dyDescent="0.25">
      <c r="Q564" s="144"/>
    </row>
    <row r="565" spans="17:17" ht="15.75" customHeight="1" x14ac:dyDescent="0.25">
      <c r="Q565" s="144"/>
    </row>
    <row r="566" spans="17:17" ht="15.75" customHeight="1" x14ac:dyDescent="0.25">
      <c r="Q566" s="144"/>
    </row>
    <row r="567" spans="17:17" ht="15.75" customHeight="1" x14ac:dyDescent="0.25">
      <c r="Q567" s="144"/>
    </row>
    <row r="568" spans="17:17" ht="15.75" customHeight="1" x14ac:dyDescent="0.25">
      <c r="Q568" s="144"/>
    </row>
    <row r="569" spans="17:17" ht="15.75" customHeight="1" x14ac:dyDescent="0.25">
      <c r="Q569" s="144"/>
    </row>
    <row r="570" spans="17:17" ht="15.75" customHeight="1" x14ac:dyDescent="0.25">
      <c r="Q570" s="144"/>
    </row>
    <row r="571" spans="17:17" ht="15.75" customHeight="1" x14ac:dyDescent="0.25">
      <c r="Q571" s="144"/>
    </row>
    <row r="572" spans="17:17" ht="15.75" customHeight="1" x14ac:dyDescent="0.25">
      <c r="Q572" s="144"/>
    </row>
    <row r="573" spans="17:17" ht="15.75" customHeight="1" x14ac:dyDescent="0.25">
      <c r="Q573" s="144"/>
    </row>
    <row r="574" spans="17:17" ht="15.75" customHeight="1" x14ac:dyDescent="0.25">
      <c r="Q574" s="144"/>
    </row>
    <row r="575" spans="17:17" ht="15.75" customHeight="1" x14ac:dyDescent="0.25">
      <c r="Q575" s="144"/>
    </row>
    <row r="576" spans="17:17" ht="15.75" customHeight="1" x14ac:dyDescent="0.25">
      <c r="Q576" s="144"/>
    </row>
    <row r="577" spans="17:17" ht="15.75" customHeight="1" x14ac:dyDescent="0.25">
      <c r="Q577" s="144"/>
    </row>
    <row r="578" spans="17:17" ht="15.75" customHeight="1" x14ac:dyDescent="0.25">
      <c r="Q578" s="144"/>
    </row>
    <row r="579" spans="17:17" ht="15.75" customHeight="1" x14ac:dyDescent="0.25">
      <c r="Q579" s="144"/>
    </row>
    <row r="580" spans="17:17" ht="15.75" customHeight="1" x14ac:dyDescent="0.25">
      <c r="Q580" s="144"/>
    </row>
    <row r="581" spans="17:17" ht="15.75" customHeight="1" x14ac:dyDescent="0.25">
      <c r="Q581" s="144"/>
    </row>
    <row r="582" spans="17:17" ht="15.75" customHeight="1" x14ac:dyDescent="0.25">
      <c r="Q582" s="144"/>
    </row>
    <row r="583" spans="17:17" ht="15.75" customHeight="1" x14ac:dyDescent="0.25">
      <c r="Q583" s="144"/>
    </row>
    <row r="584" spans="17:17" ht="15.75" customHeight="1" x14ac:dyDescent="0.25">
      <c r="Q584" s="144"/>
    </row>
    <row r="585" spans="17:17" ht="15.75" customHeight="1" x14ac:dyDescent="0.25">
      <c r="Q585" s="144"/>
    </row>
    <row r="586" spans="17:17" ht="15.75" customHeight="1" x14ac:dyDescent="0.25">
      <c r="Q586" s="144"/>
    </row>
    <row r="587" spans="17:17" ht="15.75" customHeight="1" x14ac:dyDescent="0.25">
      <c r="Q587" s="144"/>
    </row>
    <row r="588" spans="17:17" ht="15.75" customHeight="1" x14ac:dyDescent="0.25">
      <c r="Q588" s="144"/>
    </row>
    <row r="589" spans="17:17" ht="15.75" customHeight="1" x14ac:dyDescent="0.25">
      <c r="Q589" s="144"/>
    </row>
    <row r="590" spans="17:17" ht="15.75" customHeight="1" x14ac:dyDescent="0.25">
      <c r="Q590" s="144"/>
    </row>
    <row r="591" spans="17:17" ht="15.75" customHeight="1" x14ac:dyDescent="0.25">
      <c r="Q591" s="144"/>
    </row>
    <row r="592" spans="17:17" ht="15.75" customHeight="1" x14ac:dyDescent="0.25">
      <c r="Q592" s="144"/>
    </row>
    <row r="593" spans="17:17" ht="15.75" customHeight="1" x14ac:dyDescent="0.25">
      <c r="Q593" s="144"/>
    </row>
    <row r="594" spans="17:17" ht="15.75" customHeight="1" x14ac:dyDescent="0.25">
      <c r="Q594" s="144"/>
    </row>
    <row r="595" spans="17:17" ht="15.75" customHeight="1" x14ac:dyDescent="0.25">
      <c r="Q595" s="144"/>
    </row>
    <row r="596" spans="17:17" ht="15.75" customHeight="1" x14ac:dyDescent="0.25">
      <c r="Q596" s="144"/>
    </row>
    <row r="597" spans="17:17" ht="15.75" customHeight="1" x14ac:dyDescent="0.25">
      <c r="Q597" s="144"/>
    </row>
    <row r="598" spans="17:17" ht="15.75" customHeight="1" x14ac:dyDescent="0.25">
      <c r="Q598" s="144"/>
    </row>
    <row r="599" spans="17:17" ht="15.75" customHeight="1" x14ac:dyDescent="0.25">
      <c r="Q599" s="144"/>
    </row>
    <row r="600" spans="17:17" ht="15.75" customHeight="1" x14ac:dyDescent="0.25">
      <c r="Q600" s="144"/>
    </row>
    <row r="601" spans="17:17" ht="15.75" customHeight="1" x14ac:dyDescent="0.25">
      <c r="Q601" s="144"/>
    </row>
    <row r="602" spans="17:17" ht="15.75" customHeight="1" x14ac:dyDescent="0.25">
      <c r="Q602" s="144"/>
    </row>
    <row r="603" spans="17:17" ht="15.75" customHeight="1" x14ac:dyDescent="0.25">
      <c r="Q603" s="144"/>
    </row>
    <row r="604" spans="17:17" ht="15.75" customHeight="1" x14ac:dyDescent="0.25">
      <c r="Q604" s="144"/>
    </row>
    <row r="605" spans="17:17" ht="15.75" customHeight="1" x14ac:dyDescent="0.25">
      <c r="Q605" s="144"/>
    </row>
    <row r="606" spans="17:17" ht="15.75" customHeight="1" x14ac:dyDescent="0.25">
      <c r="Q606" s="144"/>
    </row>
    <row r="607" spans="17:17" ht="15.75" customHeight="1" x14ac:dyDescent="0.25">
      <c r="Q607" s="144"/>
    </row>
    <row r="608" spans="17:17" ht="15.75" customHeight="1" x14ac:dyDescent="0.25">
      <c r="Q608" s="144"/>
    </row>
    <row r="609" spans="17:17" ht="15.75" customHeight="1" x14ac:dyDescent="0.25">
      <c r="Q609" s="144"/>
    </row>
    <row r="610" spans="17:17" ht="15.75" customHeight="1" x14ac:dyDescent="0.25">
      <c r="Q610" s="144"/>
    </row>
    <row r="611" spans="17:17" ht="15.75" customHeight="1" x14ac:dyDescent="0.25">
      <c r="Q611" s="144"/>
    </row>
    <row r="612" spans="17:17" ht="15.75" customHeight="1" x14ac:dyDescent="0.25">
      <c r="Q612" s="144"/>
    </row>
    <row r="613" spans="17:17" ht="15.75" customHeight="1" x14ac:dyDescent="0.25">
      <c r="Q613" s="144"/>
    </row>
    <row r="614" spans="17:17" ht="15.75" customHeight="1" x14ac:dyDescent="0.25">
      <c r="Q614" s="144"/>
    </row>
    <row r="615" spans="17:17" ht="15.75" customHeight="1" x14ac:dyDescent="0.25">
      <c r="Q615" s="144"/>
    </row>
    <row r="616" spans="17:17" ht="15.75" customHeight="1" x14ac:dyDescent="0.25">
      <c r="Q616" s="144"/>
    </row>
    <row r="617" spans="17:17" ht="15.75" customHeight="1" x14ac:dyDescent="0.25">
      <c r="Q617" s="144"/>
    </row>
    <row r="618" spans="17:17" ht="15.75" customHeight="1" x14ac:dyDescent="0.25">
      <c r="Q618" s="144"/>
    </row>
    <row r="619" spans="17:17" ht="15.75" customHeight="1" x14ac:dyDescent="0.25">
      <c r="Q619" s="144"/>
    </row>
    <row r="620" spans="17:17" ht="15.75" customHeight="1" x14ac:dyDescent="0.25">
      <c r="Q620" s="144"/>
    </row>
    <row r="621" spans="17:17" ht="15.75" customHeight="1" x14ac:dyDescent="0.25">
      <c r="Q621" s="144"/>
    </row>
    <row r="622" spans="17:17" ht="15.75" customHeight="1" x14ac:dyDescent="0.25">
      <c r="Q622" s="144"/>
    </row>
    <row r="623" spans="17:17" ht="15.75" customHeight="1" x14ac:dyDescent="0.25">
      <c r="Q623" s="144"/>
    </row>
    <row r="624" spans="17:17" ht="15.75" customHeight="1" x14ac:dyDescent="0.25">
      <c r="Q624" s="144"/>
    </row>
    <row r="625" spans="17:17" ht="15.75" customHeight="1" x14ac:dyDescent="0.25">
      <c r="Q625" s="144"/>
    </row>
    <row r="626" spans="17:17" ht="15.75" customHeight="1" x14ac:dyDescent="0.25">
      <c r="Q626" s="144"/>
    </row>
    <row r="627" spans="17:17" ht="15.75" customHeight="1" x14ac:dyDescent="0.25">
      <c r="Q627" s="144"/>
    </row>
    <row r="628" spans="17:17" ht="15.75" customHeight="1" x14ac:dyDescent="0.25">
      <c r="Q628" s="144"/>
    </row>
    <row r="629" spans="17:17" ht="15.75" customHeight="1" x14ac:dyDescent="0.25">
      <c r="Q629" s="144"/>
    </row>
    <row r="630" spans="17:17" ht="15.75" customHeight="1" x14ac:dyDescent="0.25">
      <c r="Q630" s="144"/>
    </row>
    <row r="631" spans="17:17" ht="15.75" customHeight="1" x14ac:dyDescent="0.25">
      <c r="Q631" s="144"/>
    </row>
    <row r="632" spans="17:17" ht="15.75" customHeight="1" x14ac:dyDescent="0.25">
      <c r="Q632" s="144"/>
    </row>
    <row r="633" spans="17:17" ht="15.75" customHeight="1" x14ac:dyDescent="0.25">
      <c r="Q633" s="144"/>
    </row>
    <row r="634" spans="17:17" ht="15.75" customHeight="1" x14ac:dyDescent="0.25">
      <c r="Q634" s="144"/>
    </row>
    <row r="635" spans="17:17" ht="15.75" customHeight="1" x14ac:dyDescent="0.25">
      <c r="Q635" s="144"/>
    </row>
    <row r="636" spans="17:17" ht="15.75" customHeight="1" x14ac:dyDescent="0.25">
      <c r="Q636" s="144"/>
    </row>
    <row r="637" spans="17:17" ht="15.75" customHeight="1" x14ac:dyDescent="0.25">
      <c r="Q637" s="144"/>
    </row>
    <row r="638" spans="17:17" ht="15.75" customHeight="1" x14ac:dyDescent="0.25">
      <c r="Q638" s="144"/>
    </row>
    <row r="639" spans="17:17" ht="15.75" customHeight="1" x14ac:dyDescent="0.25">
      <c r="Q639" s="144"/>
    </row>
    <row r="640" spans="17:17" ht="15.75" customHeight="1" x14ac:dyDescent="0.25">
      <c r="Q640" s="144"/>
    </row>
    <row r="641" spans="17:17" ht="15.75" customHeight="1" x14ac:dyDescent="0.25">
      <c r="Q641" s="144"/>
    </row>
    <row r="642" spans="17:17" ht="15.75" customHeight="1" x14ac:dyDescent="0.25">
      <c r="Q642" s="144"/>
    </row>
    <row r="643" spans="17:17" ht="15.75" customHeight="1" x14ac:dyDescent="0.25">
      <c r="Q643" s="144"/>
    </row>
    <row r="644" spans="17:17" ht="15.75" customHeight="1" x14ac:dyDescent="0.25">
      <c r="Q644" s="144"/>
    </row>
    <row r="645" spans="17:17" ht="15.75" customHeight="1" x14ac:dyDescent="0.25">
      <c r="Q645" s="144"/>
    </row>
    <row r="646" spans="17:17" ht="15.75" customHeight="1" x14ac:dyDescent="0.25">
      <c r="Q646" s="144"/>
    </row>
    <row r="647" spans="17:17" ht="15.75" customHeight="1" x14ac:dyDescent="0.25">
      <c r="Q647" s="144"/>
    </row>
    <row r="648" spans="17:17" ht="15.75" customHeight="1" x14ac:dyDescent="0.25">
      <c r="Q648" s="144"/>
    </row>
    <row r="649" spans="17:17" ht="15.75" customHeight="1" x14ac:dyDescent="0.25">
      <c r="Q649" s="144"/>
    </row>
    <row r="650" spans="17:17" ht="15.75" customHeight="1" x14ac:dyDescent="0.25">
      <c r="Q650" s="144"/>
    </row>
    <row r="651" spans="17:17" ht="15.75" customHeight="1" x14ac:dyDescent="0.25">
      <c r="Q651" s="144"/>
    </row>
    <row r="652" spans="17:17" ht="15.75" customHeight="1" x14ac:dyDescent="0.25">
      <c r="Q652" s="144"/>
    </row>
    <row r="653" spans="17:17" ht="15.75" customHeight="1" x14ac:dyDescent="0.25">
      <c r="Q653" s="144"/>
    </row>
    <row r="654" spans="17:17" ht="15.75" customHeight="1" x14ac:dyDescent="0.25">
      <c r="Q654" s="144"/>
    </row>
    <row r="655" spans="17:17" ht="15.75" customHeight="1" x14ac:dyDescent="0.25">
      <c r="Q655" s="144"/>
    </row>
    <row r="656" spans="17:17" ht="15.75" customHeight="1" x14ac:dyDescent="0.25">
      <c r="Q656" s="144"/>
    </row>
    <row r="657" spans="17:17" ht="15.75" customHeight="1" x14ac:dyDescent="0.25">
      <c r="Q657" s="144"/>
    </row>
    <row r="658" spans="17:17" ht="15.75" customHeight="1" x14ac:dyDescent="0.25">
      <c r="Q658" s="144"/>
    </row>
    <row r="659" spans="17:17" ht="15.75" customHeight="1" x14ac:dyDescent="0.25">
      <c r="Q659" s="144"/>
    </row>
    <row r="660" spans="17:17" ht="15.75" customHeight="1" x14ac:dyDescent="0.25">
      <c r="Q660" s="144"/>
    </row>
    <row r="661" spans="17:17" ht="15.75" customHeight="1" x14ac:dyDescent="0.25">
      <c r="Q661" s="144"/>
    </row>
    <row r="662" spans="17:17" ht="15.75" customHeight="1" x14ac:dyDescent="0.25">
      <c r="Q662" s="144"/>
    </row>
    <row r="663" spans="17:17" ht="15.75" customHeight="1" x14ac:dyDescent="0.25">
      <c r="Q663" s="144"/>
    </row>
    <row r="664" spans="17:17" ht="15.75" customHeight="1" x14ac:dyDescent="0.25">
      <c r="Q664" s="144"/>
    </row>
    <row r="665" spans="17:17" ht="15.75" customHeight="1" x14ac:dyDescent="0.25">
      <c r="Q665" s="144"/>
    </row>
    <row r="666" spans="17:17" ht="15.75" customHeight="1" x14ac:dyDescent="0.25">
      <c r="Q666" s="144"/>
    </row>
    <row r="667" spans="17:17" ht="15.75" customHeight="1" x14ac:dyDescent="0.25">
      <c r="Q667" s="144"/>
    </row>
    <row r="668" spans="17:17" ht="15.75" customHeight="1" x14ac:dyDescent="0.25">
      <c r="Q668" s="144"/>
    </row>
    <row r="669" spans="17:17" ht="15.75" customHeight="1" x14ac:dyDescent="0.25">
      <c r="Q669" s="144"/>
    </row>
    <row r="670" spans="17:17" ht="15.75" customHeight="1" x14ac:dyDescent="0.25">
      <c r="Q670" s="144"/>
    </row>
    <row r="671" spans="17:17" ht="15.75" customHeight="1" x14ac:dyDescent="0.25">
      <c r="Q671" s="144"/>
    </row>
    <row r="672" spans="17:17" ht="15.75" customHeight="1" x14ac:dyDescent="0.25">
      <c r="Q672" s="144"/>
    </row>
    <row r="673" spans="17:17" ht="15.75" customHeight="1" x14ac:dyDescent="0.25">
      <c r="Q673" s="144"/>
    </row>
    <row r="674" spans="17:17" ht="15.75" customHeight="1" x14ac:dyDescent="0.25">
      <c r="Q674" s="144"/>
    </row>
    <row r="675" spans="17:17" ht="15.75" customHeight="1" x14ac:dyDescent="0.25">
      <c r="Q675" s="144"/>
    </row>
    <row r="676" spans="17:17" ht="15.75" customHeight="1" x14ac:dyDescent="0.25">
      <c r="Q676" s="144"/>
    </row>
    <row r="677" spans="17:17" ht="15.75" customHeight="1" x14ac:dyDescent="0.25">
      <c r="Q677" s="144"/>
    </row>
    <row r="678" spans="17:17" ht="15.75" customHeight="1" x14ac:dyDescent="0.25">
      <c r="Q678" s="144"/>
    </row>
    <row r="679" spans="17:17" ht="15.75" customHeight="1" x14ac:dyDescent="0.25">
      <c r="Q679" s="144"/>
    </row>
    <row r="680" spans="17:17" ht="15.75" customHeight="1" x14ac:dyDescent="0.25">
      <c r="Q680" s="144"/>
    </row>
    <row r="681" spans="17:17" ht="15.75" customHeight="1" x14ac:dyDescent="0.25">
      <c r="Q681" s="144"/>
    </row>
    <row r="682" spans="17:17" ht="15.75" customHeight="1" x14ac:dyDescent="0.25">
      <c r="Q682" s="144"/>
    </row>
    <row r="683" spans="17:17" ht="15.75" customHeight="1" x14ac:dyDescent="0.25">
      <c r="Q683" s="144"/>
    </row>
    <row r="684" spans="17:17" ht="15.75" customHeight="1" x14ac:dyDescent="0.25">
      <c r="Q684" s="144"/>
    </row>
    <row r="685" spans="17:17" ht="15.75" customHeight="1" x14ac:dyDescent="0.25">
      <c r="Q685" s="144"/>
    </row>
    <row r="686" spans="17:17" ht="15.75" customHeight="1" x14ac:dyDescent="0.25">
      <c r="Q686" s="144"/>
    </row>
    <row r="687" spans="17:17" ht="15.75" customHeight="1" x14ac:dyDescent="0.25">
      <c r="Q687" s="144"/>
    </row>
    <row r="688" spans="17:17" ht="15.75" customHeight="1" x14ac:dyDescent="0.25">
      <c r="Q688" s="144"/>
    </row>
    <row r="689" spans="17:17" ht="15.75" customHeight="1" x14ac:dyDescent="0.25">
      <c r="Q689" s="144"/>
    </row>
    <row r="690" spans="17:17" ht="15.75" customHeight="1" x14ac:dyDescent="0.25">
      <c r="Q690" s="144"/>
    </row>
    <row r="691" spans="17:17" ht="15.75" customHeight="1" x14ac:dyDescent="0.25">
      <c r="Q691" s="144"/>
    </row>
    <row r="692" spans="17:17" ht="15.75" customHeight="1" x14ac:dyDescent="0.25">
      <c r="Q692" s="144"/>
    </row>
    <row r="693" spans="17:17" ht="15.75" customHeight="1" x14ac:dyDescent="0.25">
      <c r="Q693" s="144"/>
    </row>
    <row r="694" spans="17:17" ht="15.75" customHeight="1" x14ac:dyDescent="0.25">
      <c r="Q694" s="144"/>
    </row>
    <row r="695" spans="17:17" ht="15.75" customHeight="1" x14ac:dyDescent="0.25">
      <c r="Q695" s="144"/>
    </row>
    <row r="696" spans="17:17" ht="15.75" customHeight="1" x14ac:dyDescent="0.25">
      <c r="Q696" s="144"/>
    </row>
    <row r="697" spans="17:17" ht="15.75" customHeight="1" x14ac:dyDescent="0.25">
      <c r="Q697" s="144"/>
    </row>
    <row r="698" spans="17:17" ht="15.75" customHeight="1" x14ac:dyDescent="0.25">
      <c r="Q698" s="144"/>
    </row>
    <row r="699" spans="17:17" ht="15.75" customHeight="1" x14ac:dyDescent="0.25">
      <c r="Q699" s="144"/>
    </row>
    <row r="700" spans="17:17" ht="15.75" customHeight="1" x14ac:dyDescent="0.25">
      <c r="Q700" s="144"/>
    </row>
    <row r="701" spans="17:17" ht="15.75" customHeight="1" x14ac:dyDescent="0.25">
      <c r="Q701" s="144"/>
    </row>
    <row r="702" spans="17:17" ht="15.75" customHeight="1" x14ac:dyDescent="0.25">
      <c r="Q702" s="144"/>
    </row>
    <row r="703" spans="17:17" ht="15.75" customHeight="1" x14ac:dyDescent="0.25">
      <c r="Q703" s="144"/>
    </row>
    <row r="704" spans="17:17" ht="15.75" customHeight="1" x14ac:dyDescent="0.25">
      <c r="Q704" s="144"/>
    </row>
    <row r="705" spans="17:17" ht="15.75" customHeight="1" x14ac:dyDescent="0.25">
      <c r="Q705" s="144"/>
    </row>
    <row r="706" spans="17:17" ht="15.75" customHeight="1" x14ac:dyDescent="0.25">
      <c r="Q706" s="144"/>
    </row>
    <row r="707" spans="17:17" ht="15.75" customHeight="1" x14ac:dyDescent="0.25">
      <c r="Q707" s="144"/>
    </row>
    <row r="708" spans="17:17" ht="15.75" customHeight="1" x14ac:dyDescent="0.25">
      <c r="Q708" s="144"/>
    </row>
    <row r="709" spans="17:17" ht="15.75" customHeight="1" x14ac:dyDescent="0.25">
      <c r="Q709" s="144"/>
    </row>
    <row r="710" spans="17:17" ht="15.75" customHeight="1" x14ac:dyDescent="0.25">
      <c r="Q710" s="144"/>
    </row>
    <row r="711" spans="17:17" ht="15.75" customHeight="1" x14ac:dyDescent="0.25">
      <c r="Q711" s="144"/>
    </row>
    <row r="712" spans="17:17" ht="15.75" customHeight="1" x14ac:dyDescent="0.25">
      <c r="Q712" s="144"/>
    </row>
    <row r="713" spans="17:17" ht="15.75" customHeight="1" x14ac:dyDescent="0.25">
      <c r="Q713" s="144"/>
    </row>
    <row r="714" spans="17:17" ht="15.75" customHeight="1" x14ac:dyDescent="0.25">
      <c r="Q714" s="144"/>
    </row>
    <row r="715" spans="17:17" ht="15.75" customHeight="1" x14ac:dyDescent="0.25">
      <c r="Q715" s="144"/>
    </row>
    <row r="716" spans="17:17" ht="15.75" customHeight="1" x14ac:dyDescent="0.25">
      <c r="Q716" s="144"/>
    </row>
    <row r="717" spans="17:17" ht="15.75" customHeight="1" x14ac:dyDescent="0.25">
      <c r="Q717" s="144"/>
    </row>
    <row r="718" spans="17:17" ht="15.75" customHeight="1" x14ac:dyDescent="0.25">
      <c r="Q718" s="144"/>
    </row>
    <row r="719" spans="17:17" ht="15.75" customHeight="1" x14ac:dyDescent="0.25">
      <c r="Q719" s="144"/>
    </row>
    <row r="720" spans="17:17" ht="15.75" customHeight="1" x14ac:dyDescent="0.25">
      <c r="Q720" s="144"/>
    </row>
    <row r="721" spans="17:17" ht="15.75" customHeight="1" x14ac:dyDescent="0.25">
      <c r="Q721" s="144"/>
    </row>
    <row r="722" spans="17:17" ht="15.75" customHeight="1" x14ac:dyDescent="0.25">
      <c r="Q722" s="144"/>
    </row>
    <row r="723" spans="17:17" ht="15.75" customHeight="1" x14ac:dyDescent="0.25">
      <c r="Q723" s="144"/>
    </row>
    <row r="724" spans="17:17" ht="15.75" customHeight="1" x14ac:dyDescent="0.25">
      <c r="Q724" s="144"/>
    </row>
    <row r="725" spans="17:17" ht="15.75" customHeight="1" x14ac:dyDescent="0.25">
      <c r="Q725" s="144"/>
    </row>
    <row r="726" spans="17:17" ht="15.75" customHeight="1" x14ac:dyDescent="0.25">
      <c r="Q726" s="144"/>
    </row>
    <row r="727" spans="17:17" ht="15.75" customHeight="1" x14ac:dyDescent="0.25">
      <c r="Q727" s="144"/>
    </row>
    <row r="728" spans="17:17" ht="15.75" customHeight="1" x14ac:dyDescent="0.25">
      <c r="Q728" s="144"/>
    </row>
    <row r="729" spans="17:17" ht="15.75" customHeight="1" x14ac:dyDescent="0.25">
      <c r="Q729" s="144"/>
    </row>
    <row r="730" spans="17:17" ht="15.75" customHeight="1" x14ac:dyDescent="0.25">
      <c r="Q730" s="144"/>
    </row>
    <row r="731" spans="17:17" ht="15.75" customHeight="1" x14ac:dyDescent="0.25">
      <c r="Q731" s="144"/>
    </row>
    <row r="732" spans="17:17" ht="15.75" customHeight="1" x14ac:dyDescent="0.25">
      <c r="Q732" s="144"/>
    </row>
    <row r="733" spans="17:17" ht="15.75" customHeight="1" x14ac:dyDescent="0.25">
      <c r="Q733" s="144"/>
    </row>
    <row r="734" spans="17:17" ht="15.75" customHeight="1" x14ac:dyDescent="0.25">
      <c r="Q734" s="144"/>
    </row>
    <row r="735" spans="17:17" ht="15.75" customHeight="1" x14ac:dyDescent="0.25">
      <c r="Q735" s="144"/>
    </row>
    <row r="736" spans="17:17" ht="15.75" customHeight="1" x14ac:dyDescent="0.25">
      <c r="Q736" s="144"/>
    </row>
    <row r="737" spans="17:17" ht="15.75" customHeight="1" x14ac:dyDescent="0.25">
      <c r="Q737" s="144"/>
    </row>
    <row r="738" spans="17:17" ht="15.75" customHeight="1" x14ac:dyDescent="0.25">
      <c r="Q738" s="144"/>
    </row>
    <row r="739" spans="17:17" ht="15.75" customHeight="1" x14ac:dyDescent="0.25">
      <c r="Q739" s="144"/>
    </row>
    <row r="740" spans="17:17" ht="15.75" customHeight="1" x14ac:dyDescent="0.25">
      <c r="Q740" s="144"/>
    </row>
    <row r="741" spans="17:17" ht="15.75" customHeight="1" x14ac:dyDescent="0.25">
      <c r="Q741" s="144"/>
    </row>
    <row r="742" spans="17:17" ht="15.75" customHeight="1" x14ac:dyDescent="0.25">
      <c r="Q742" s="144"/>
    </row>
    <row r="743" spans="17:17" ht="15.75" customHeight="1" x14ac:dyDescent="0.25">
      <c r="Q743" s="144"/>
    </row>
    <row r="744" spans="17:17" ht="15.75" customHeight="1" x14ac:dyDescent="0.25">
      <c r="Q744" s="144"/>
    </row>
    <row r="745" spans="17:17" ht="15.75" customHeight="1" x14ac:dyDescent="0.25">
      <c r="Q745" s="144"/>
    </row>
    <row r="746" spans="17:17" ht="15.75" customHeight="1" x14ac:dyDescent="0.25">
      <c r="Q746" s="144"/>
    </row>
    <row r="747" spans="17:17" ht="15.75" customHeight="1" x14ac:dyDescent="0.25">
      <c r="Q747" s="144"/>
    </row>
    <row r="748" spans="17:17" ht="15.75" customHeight="1" x14ac:dyDescent="0.25">
      <c r="Q748" s="144"/>
    </row>
    <row r="749" spans="17:17" ht="15.75" customHeight="1" x14ac:dyDescent="0.25">
      <c r="Q749" s="144"/>
    </row>
    <row r="750" spans="17:17" ht="15.75" customHeight="1" x14ac:dyDescent="0.25">
      <c r="Q750" s="144"/>
    </row>
    <row r="751" spans="17:17" ht="15.75" customHeight="1" x14ac:dyDescent="0.25">
      <c r="Q751" s="144"/>
    </row>
    <row r="752" spans="17:17" ht="15.75" customHeight="1" x14ac:dyDescent="0.25">
      <c r="Q752" s="144"/>
    </row>
    <row r="753" spans="17:17" ht="15.75" customHeight="1" x14ac:dyDescent="0.25">
      <c r="Q753" s="144"/>
    </row>
    <row r="754" spans="17:17" ht="15.75" customHeight="1" x14ac:dyDescent="0.25">
      <c r="Q754" s="144"/>
    </row>
    <row r="755" spans="17:17" ht="15.75" customHeight="1" x14ac:dyDescent="0.25">
      <c r="Q755" s="144"/>
    </row>
    <row r="756" spans="17:17" ht="15.75" customHeight="1" x14ac:dyDescent="0.25">
      <c r="Q756" s="144"/>
    </row>
    <row r="757" spans="17:17" ht="15.75" customHeight="1" x14ac:dyDescent="0.25">
      <c r="Q757" s="144"/>
    </row>
    <row r="758" spans="17:17" ht="15.75" customHeight="1" x14ac:dyDescent="0.25">
      <c r="Q758" s="144"/>
    </row>
    <row r="759" spans="17:17" ht="15.75" customHeight="1" x14ac:dyDescent="0.25">
      <c r="Q759" s="144"/>
    </row>
    <row r="760" spans="17:17" ht="15.75" customHeight="1" x14ac:dyDescent="0.25">
      <c r="Q760" s="144"/>
    </row>
    <row r="761" spans="17:17" ht="15.75" customHeight="1" x14ac:dyDescent="0.25">
      <c r="Q761" s="144"/>
    </row>
    <row r="762" spans="17:17" ht="15.75" customHeight="1" x14ac:dyDescent="0.25">
      <c r="Q762" s="144"/>
    </row>
    <row r="763" spans="17:17" ht="15.75" customHeight="1" x14ac:dyDescent="0.25">
      <c r="Q763" s="144"/>
    </row>
    <row r="764" spans="17:17" ht="15.75" customHeight="1" x14ac:dyDescent="0.25">
      <c r="Q764" s="144"/>
    </row>
    <row r="765" spans="17:17" ht="15.75" customHeight="1" x14ac:dyDescent="0.25">
      <c r="Q765" s="144"/>
    </row>
    <row r="766" spans="17:17" ht="15.75" customHeight="1" x14ac:dyDescent="0.25">
      <c r="Q766" s="144"/>
    </row>
    <row r="767" spans="17:17" ht="15.75" customHeight="1" x14ac:dyDescent="0.25">
      <c r="Q767" s="144"/>
    </row>
    <row r="768" spans="17:17" ht="15.75" customHeight="1" x14ac:dyDescent="0.25">
      <c r="Q768" s="144"/>
    </row>
    <row r="769" spans="17:17" ht="15.75" customHeight="1" x14ac:dyDescent="0.25">
      <c r="Q769" s="144"/>
    </row>
    <row r="770" spans="17:17" ht="15.75" customHeight="1" x14ac:dyDescent="0.25">
      <c r="Q770" s="144"/>
    </row>
    <row r="771" spans="17:17" ht="15.75" customHeight="1" x14ac:dyDescent="0.25">
      <c r="Q771" s="144"/>
    </row>
    <row r="772" spans="17:17" ht="15.75" customHeight="1" x14ac:dyDescent="0.25">
      <c r="Q772" s="144"/>
    </row>
    <row r="773" spans="17:17" ht="15.75" customHeight="1" x14ac:dyDescent="0.25">
      <c r="Q773" s="144"/>
    </row>
    <row r="774" spans="17:17" ht="15.75" customHeight="1" x14ac:dyDescent="0.25">
      <c r="Q774" s="144"/>
    </row>
    <row r="775" spans="17:17" ht="15.75" customHeight="1" x14ac:dyDescent="0.25">
      <c r="Q775" s="144"/>
    </row>
    <row r="776" spans="17:17" ht="15.75" customHeight="1" x14ac:dyDescent="0.25">
      <c r="Q776" s="144"/>
    </row>
    <row r="777" spans="17:17" ht="15.75" customHeight="1" x14ac:dyDescent="0.25">
      <c r="Q777" s="144"/>
    </row>
    <row r="778" spans="17:17" ht="15.75" customHeight="1" x14ac:dyDescent="0.25">
      <c r="Q778" s="144"/>
    </row>
    <row r="779" spans="17:17" ht="15.75" customHeight="1" x14ac:dyDescent="0.25">
      <c r="Q779" s="144"/>
    </row>
    <row r="780" spans="17:17" ht="15.75" customHeight="1" x14ac:dyDescent="0.25">
      <c r="Q780" s="144"/>
    </row>
    <row r="781" spans="17:17" ht="15.75" customHeight="1" x14ac:dyDescent="0.25">
      <c r="Q781" s="144"/>
    </row>
    <row r="782" spans="17:17" ht="15.75" customHeight="1" x14ac:dyDescent="0.25">
      <c r="Q782" s="144"/>
    </row>
    <row r="783" spans="17:17" ht="15.75" customHeight="1" x14ac:dyDescent="0.25">
      <c r="Q783" s="144"/>
    </row>
    <row r="784" spans="17:17" ht="15.75" customHeight="1" x14ac:dyDescent="0.25">
      <c r="Q784" s="144"/>
    </row>
    <row r="785" spans="17:17" ht="15.75" customHeight="1" x14ac:dyDescent="0.25">
      <c r="Q785" s="144"/>
    </row>
    <row r="786" spans="17:17" ht="15.75" customHeight="1" x14ac:dyDescent="0.25">
      <c r="Q786" s="144"/>
    </row>
    <row r="787" spans="17:17" ht="15.75" customHeight="1" x14ac:dyDescent="0.25">
      <c r="Q787" s="144"/>
    </row>
    <row r="788" spans="17:17" ht="15.75" customHeight="1" x14ac:dyDescent="0.25">
      <c r="Q788" s="144"/>
    </row>
    <row r="789" spans="17:17" ht="15.75" customHeight="1" x14ac:dyDescent="0.25">
      <c r="Q789" s="144"/>
    </row>
    <row r="790" spans="17:17" ht="15.75" customHeight="1" x14ac:dyDescent="0.25">
      <c r="Q790" s="144"/>
    </row>
    <row r="791" spans="17:17" ht="15.75" customHeight="1" x14ac:dyDescent="0.25">
      <c r="Q791" s="144"/>
    </row>
    <row r="792" spans="17:17" ht="15.75" customHeight="1" x14ac:dyDescent="0.25">
      <c r="Q792" s="144"/>
    </row>
    <row r="793" spans="17:17" ht="15.75" customHeight="1" x14ac:dyDescent="0.25">
      <c r="Q793" s="144"/>
    </row>
    <row r="794" spans="17:17" ht="15.75" customHeight="1" x14ac:dyDescent="0.25">
      <c r="Q794" s="144"/>
    </row>
    <row r="795" spans="17:17" ht="15.75" customHeight="1" x14ac:dyDescent="0.25">
      <c r="Q795" s="144"/>
    </row>
    <row r="796" spans="17:17" ht="15.75" customHeight="1" x14ac:dyDescent="0.25">
      <c r="Q796" s="144"/>
    </row>
    <row r="797" spans="17:17" ht="15.75" customHeight="1" x14ac:dyDescent="0.25">
      <c r="Q797" s="144"/>
    </row>
    <row r="798" spans="17:17" ht="15.75" customHeight="1" x14ac:dyDescent="0.25">
      <c r="Q798" s="144"/>
    </row>
    <row r="799" spans="17:17" ht="15.75" customHeight="1" x14ac:dyDescent="0.25">
      <c r="Q799" s="144"/>
    </row>
    <row r="800" spans="17:17" ht="15.75" customHeight="1" x14ac:dyDescent="0.25">
      <c r="Q800" s="144"/>
    </row>
    <row r="801" spans="17:17" ht="15.75" customHeight="1" x14ac:dyDescent="0.25">
      <c r="Q801" s="144"/>
    </row>
    <row r="802" spans="17:17" ht="15.75" customHeight="1" x14ac:dyDescent="0.25">
      <c r="Q802" s="144"/>
    </row>
    <row r="803" spans="17:17" ht="15.75" customHeight="1" x14ac:dyDescent="0.25">
      <c r="Q803" s="144"/>
    </row>
    <row r="804" spans="17:17" ht="15.75" customHeight="1" x14ac:dyDescent="0.25">
      <c r="Q804" s="144"/>
    </row>
    <row r="805" spans="17:17" ht="15.75" customHeight="1" x14ac:dyDescent="0.25">
      <c r="Q805" s="144"/>
    </row>
    <row r="806" spans="17:17" ht="15.75" customHeight="1" x14ac:dyDescent="0.25">
      <c r="Q806" s="144"/>
    </row>
    <row r="807" spans="17:17" ht="15.75" customHeight="1" x14ac:dyDescent="0.25">
      <c r="Q807" s="144"/>
    </row>
    <row r="808" spans="17:17" ht="15.75" customHeight="1" x14ac:dyDescent="0.25">
      <c r="Q808" s="144"/>
    </row>
    <row r="809" spans="17:17" ht="15.75" customHeight="1" x14ac:dyDescent="0.25">
      <c r="Q809" s="144"/>
    </row>
    <row r="810" spans="17:17" ht="15.75" customHeight="1" x14ac:dyDescent="0.25">
      <c r="Q810" s="144"/>
    </row>
    <row r="811" spans="17:17" ht="15.75" customHeight="1" x14ac:dyDescent="0.25">
      <c r="Q811" s="144"/>
    </row>
    <row r="812" spans="17:17" ht="15.75" customHeight="1" x14ac:dyDescent="0.25">
      <c r="Q812" s="144"/>
    </row>
    <row r="813" spans="17:17" ht="15.75" customHeight="1" x14ac:dyDescent="0.25">
      <c r="Q813" s="144"/>
    </row>
    <row r="814" spans="17:17" ht="15.75" customHeight="1" x14ac:dyDescent="0.25">
      <c r="Q814" s="144"/>
    </row>
    <row r="815" spans="17:17" ht="15.75" customHeight="1" x14ac:dyDescent="0.25">
      <c r="Q815" s="144"/>
    </row>
    <row r="816" spans="17:17" ht="15.75" customHeight="1" x14ac:dyDescent="0.25">
      <c r="Q816" s="144"/>
    </row>
    <row r="817" spans="17:17" ht="15.75" customHeight="1" x14ac:dyDescent="0.25">
      <c r="Q817" s="144"/>
    </row>
    <row r="818" spans="17:17" ht="15.75" customHeight="1" x14ac:dyDescent="0.25">
      <c r="Q818" s="144"/>
    </row>
    <row r="819" spans="17:17" ht="15.75" customHeight="1" x14ac:dyDescent="0.25">
      <c r="Q819" s="144"/>
    </row>
    <row r="820" spans="17:17" ht="15.75" customHeight="1" x14ac:dyDescent="0.25">
      <c r="Q820" s="144"/>
    </row>
    <row r="821" spans="17:17" ht="15.75" customHeight="1" x14ac:dyDescent="0.25">
      <c r="Q821" s="144"/>
    </row>
    <row r="822" spans="17:17" ht="15.75" customHeight="1" x14ac:dyDescent="0.25">
      <c r="Q822" s="144"/>
    </row>
    <row r="823" spans="17:17" ht="15.75" customHeight="1" x14ac:dyDescent="0.25">
      <c r="Q823" s="144"/>
    </row>
    <row r="824" spans="17:17" ht="15.75" customHeight="1" x14ac:dyDescent="0.25">
      <c r="Q824" s="144"/>
    </row>
    <row r="825" spans="17:17" ht="15.75" customHeight="1" x14ac:dyDescent="0.25">
      <c r="Q825" s="144"/>
    </row>
    <row r="826" spans="17:17" ht="15.75" customHeight="1" x14ac:dyDescent="0.25">
      <c r="Q826" s="144"/>
    </row>
    <row r="827" spans="17:17" ht="15.75" customHeight="1" x14ac:dyDescent="0.25">
      <c r="Q827" s="144"/>
    </row>
    <row r="828" spans="17:17" ht="15.75" customHeight="1" x14ac:dyDescent="0.25">
      <c r="Q828" s="144"/>
    </row>
    <row r="829" spans="17:17" ht="15.75" customHeight="1" x14ac:dyDescent="0.25">
      <c r="Q829" s="144"/>
    </row>
    <row r="830" spans="17:17" ht="15.75" customHeight="1" x14ac:dyDescent="0.25">
      <c r="Q830" s="144"/>
    </row>
    <row r="831" spans="17:17" ht="15.75" customHeight="1" x14ac:dyDescent="0.25">
      <c r="Q831" s="144"/>
    </row>
    <row r="832" spans="17:17" ht="15.75" customHeight="1" x14ac:dyDescent="0.25">
      <c r="Q832" s="144"/>
    </row>
    <row r="833" spans="17:17" ht="15.75" customHeight="1" x14ac:dyDescent="0.25">
      <c r="Q833" s="144"/>
    </row>
    <row r="834" spans="17:17" ht="15.75" customHeight="1" x14ac:dyDescent="0.25">
      <c r="Q834" s="144"/>
    </row>
    <row r="835" spans="17:17" ht="15.75" customHeight="1" x14ac:dyDescent="0.25">
      <c r="Q835" s="144"/>
    </row>
    <row r="836" spans="17:17" ht="15.75" customHeight="1" x14ac:dyDescent="0.25">
      <c r="Q836" s="144"/>
    </row>
    <row r="837" spans="17:17" ht="15.75" customHeight="1" x14ac:dyDescent="0.25">
      <c r="Q837" s="144"/>
    </row>
    <row r="838" spans="17:17" ht="15.75" customHeight="1" x14ac:dyDescent="0.25">
      <c r="Q838" s="144"/>
    </row>
    <row r="839" spans="17:17" ht="15.75" customHeight="1" x14ac:dyDescent="0.25">
      <c r="Q839" s="144"/>
    </row>
    <row r="840" spans="17:17" ht="15.75" customHeight="1" x14ac:dyDescent="0.25">
      <c r="Q840" s="144"/>
    </row>
    <row r="841" spans="17:17" ht="15.75" customHeight="1" x14ac:dyDescent="0.25">
      <c r="Q841" s="144"/>
    </row>
    <row r="842" spans="17:17" ht="15.75" customHeight="1" x14ac:dyDescent="0.25">
      <c r="Q842" s="144"/>
    </row>
    <row r="843" spans="17:17" ht="15.75" customHeight="1" x14ac:dyDescent="0.25">
      <c r="Q843" s="144"/>
    </row>
    <row r="844" spans="17:17" ht="15.75" customHeight="1" x14ac:dyDescent="0.25">
      <c r="Q844" s="144"/>
    </row>
    <row r="845" spans="17:17" ht="15.75" customHeight="1" x14ac:dyDescent="0.25">
      <c r="Q845" s="144"/>
    </row>
    <row r="846" spans="17:17" ht="15.75" customHeight="1" x14ac:dyDescent="0.25">
      <c r="Q846" s="144"/>
    </row>
    <row r="847" spans="17:17" ht="15.75" customHeight="1" x14ac:dyDescent="0.25">
      <c r="Q847" s="144"/>
    </row>
    <row r="848" spans="17:17" ht="15.75" customHeight="1" x14ac:dyDescent="0.25">
      <c r="Q848" s="144"/>
    </row>
    <row r="849" spans="17:17" ht="15.75" customHeight="1" x14ac:dyDescent="0.25">
      <c r="Q849" s="144"/>
    </row>
    <row r="850" spans="17:17" ht="15.75" customHeight="1" x14ac:dyDescent="0.25">
      <c r="Q850" s="144"/>
    </row>
    <row r="851" spans="17:17" ht="15.75" customHeight="1" x14ac:dyDescent="0.25">
      <c r="Q851" s="144"/>
    </row>
    <row r="852" spans="17:17" ht="15.75" customHeight="1" x14ac:dyDescent="0.25">
      <c r="Q852" s="144"/>
    </row>
    <row r="853" spans="17:17" ht="15.75" customHeight="1" x14ac:dyDescent="0.25">
      <c r="Q853" s="144"/>
    </row>
    <row r="854" spans="17:17" ht="15.75" customHeight="1" x14ac:dyDescent="0.25">
      <c r="Q854" s="144"/>
    </row>
    <row r="855" spans="17:17" ht="15.75" customHeight="1" x14ac:dyDescent="0.25">
      <c r="Q855" s="144"/>
    </row>
    <row r="856" spans="17:17" ht="15.75" customHeight="1" x14ac:dyDescent="0.25">
      <c r="Q856" s="144"/>
    </row>
    <row r="857" spans="17:17" ht="15.75" customHeight="1" x14ac:dyDescent="0.25">
      <c r="Q857" s="144"/>
    </row>
    <row r="858" spans="17:17" ht="15.75" customHeight="1" x14ac:dyDescent="0.25">
      <c r="Q858" s="144"/>
    </row>
    <row r="859" spans="17:17" ht="15.75" customHeight="1" x14ac:dyDescent="0.25">
      <c r="Q859" s="144"/>
    </row>
    <row r="860" spans="17:17" ht="15.75" customHeight="1" x14ac:dyDescent="0.25">
      <c r="Q860" s="144"/>
    </row>
    <row r="861" spans="17:17" ht="15.75" customHeight="1" x14ac:dyDescent="0.25">
      <c r="Q861" s="144"/>
    </row>
    <row r="862" spans="17:17" ht="15.75" customHeight="1" x14ac:dyDescent="0.25">
      <c r="Q862" s="144"/>
    </row>
    <row r="863" spans="17:17" ht="15.75" customHeight="1" x14ac:dyDescent="0.25">
      <c r="Q863" s="144"/>
    </row>
    <row r="864" spans="17:17" ht="15.75" customHeight="1" x14ac:dyDescent="0.25">
      <c r="Q864" s="144"/>
    </row>
    <row r="865" spans="17:17" ht="15.75" customHeight="1" x14ac:dyDescent="0.25">
      <c r="Q865" s="144"/>
    </row>
    <row r="866" spans="17:17" ht="15.75" customHeight="1" x14ac:dyDescent="0.25">
      <c r="Q866" s="144"/>
    </row>
    <row r="867" spans="17:17" ht="15.75" customHeight="1" x14ac:dyDescent="0.25">
      <c r="Q867" s="144"/>
    </row>
    <row r="868" spans="17:17" ht="15.75" customHeight="1" x14ac:dyDescent="0.25">
      <c r="Q868" s="144"/>
    </row>
    <row r="869" spans="17:17" ht="15.75" customHeight="1" x14ac:dyDescent="0.25">
      <c r="Q869" s="144"/>
    </row>
    <row r="870" spans="17:17" ht="15.75" customHeight="1" x14ac:dyDescent="0.25">
      <c r="Q870" s="144"/>
    </row>
    <row r="871" spans="17:17" ht="15.75" customHeight="1" x14ac:dyDescent="0.25">
      <c r="Q871" s="144"/>
    </row>
    <row r="872" spans="17:17" ht="15.75" customHeight="1" x14ac:dyDescent="0.25">
      <c r="Q872" s="144"/>
    </row>
    <row r="873" spans="17:17" ht="15.75" customHeight="1" x14ac:dyDescent="0.25">
      <c r="Q873" s="144"/>
    </row>
    <row r="874" spans="17:17" ht="15.75" customHeight="1" x14ac:dyDescent="0.25">
      <c r="Q874" s="144"/>
    </row>
    <row r="875" spans="17:17" ht="15.75" customHeight="1" x14ac:dyDescent="0.25">
      <c r="Q875" s="144"/>
    </row>
    <row r="876" spans="17:17" ht="15.75" customHeight="1" x14ac:dyDescent="0.25">
      <c r="Q876" s="144"/>
    </row>
    <row r="877" spans="17:17" ht="15.75" customHeight="1" x14ac:dyDescent="0.25">
      <c r="Q877" s="144"/>
    </row>
    <row r="878" spans="17:17" ht="15.75" customHeight="1" x14ac:dyDescent="0.25">
      <c r="Q878" s="144"/>
    </row>
    <row r="879" spans="17:17" ht="15.75" customHeight="1" x14ac:dyDescent="0.25">
      <c r="Q879" s="144"/>
    </row>
    <row r="880" spans="17:17" ht="15.75" customHeight="1" x14ac:dyDescent="0.25">
      <c r="Q880" s="144"/>
    </row>
    <row r="881" spans="17:17" ht="15.75" customHeight="1" x14ac:dyDescent="0.25">
      <c r="Q881" s="144"/>
    </row>
    <row r="882" spans="17:17" ht="15.75" customHeight="1" x14ac:dyDescent="0.25">
      <c r="Q882" s="144"/>
    </row>
    <row r="883" spans="17:17" ht="15.75" customHeight="1" x14ac:dyDescent="0.25">
      <c r="Q883" s="144"/>
    </row>
    <row r="884" spans="17:17" ht="15.75" customHeight="1" x14ac:dyDescent="0.25">
      <c r="Q884" s="144"/>
    </row>
    <row r="885" spans="17:17" ht="15.75" customHeight="1" x14ac:dyDescent="0.25">
      <c r="Q885" s="144"/>
    </row>
    <row r="886" spans="17:17" ht="15.75" customHeight="1" x14ac:dyDescent="0.25">
      <c r="Q886" s="144"/>
    </row>
    <row r="887" spans="17:17" ht="15.75" customHeight="1" x14ac:dyDescent="0.25">
      <c r="Q887" s="144"/>
    </row>
    <row r="888" spans="17:17" ht="15.75" customHeight="1" x14ac:dyDescent="0.25">
      <c r="Q888" s="144"/>
    </row>
    <row r="889" spans="17:17" ht="15.75" customHeight="1" x14ac:dyDescent="0.25">
      <c r="Q889" s="144"/>
    </row>
    <row r="890" spans="17:17" ht="15.75" customHeight="1" x14ac:dyDescent="0.25">
      <c r="Q890" s="144"/>
    </row>
    <row r="891" spans="17:17" ht="15.75" customHeight="1" x14ac:dyDescent="0.25">
      <c r="Q891" s="144"/>
    </row>
    <row r="892" spans="17:17" ht="15.75" customHeight="1" x14ac:dyDescent="0.25">
      <c r="Q892" s="144"/>
    </row>
    <row r="893" spans="17:17" ht="15.75" customHeight="1" x14ac:dyDescent="0.25">
      <c r="Q893" s="144"/>
    </row>
    <row r="894" spans="17:17" ht="15.75" customHeight="1" x14ac:dyDescent="0.25">
      <c r="Q894" s="144"/>
    </row>
    <row r="895" spans="17:17" ht="15.75" customHeight="1" x14ac:dyDescent="0.25">
      <c r="Q895" s="144"/>
    </row>
    <row r="896" spans="17:17" ht="15.75" customHeight="1" x14ac:dyDescent="0.25">
      <c r="Q896" s="144"/>
    </row>
    <row r="897" spans="17:17" ht="15.75" customHeight="1" x14ac:dyDescent="0.25">
      <c r="Q897" s="144"/>
    </row>
    <row r="898" spans="17:17" ht="15.75" customHeight="1" x14ac:dyDescent="0.25">
      <c r="Q898" s="144"/>
    </row>
    <row r="899" spans="17:17" ht="15.75" customHeight="1" x14ac:dyDescent="0.25">
      <c r="Q899" s="144"/>
    </row>
    <row r="900" spans="17:17" ht="15.75" customHeight="1" x14ac:dyDescent="0.25">
      <c r="Q900" s="144"/>
    </row>
    <row r="901" spans="17:17" ht="15.75" customHeight="1" x14ac:dyDescent="0.25">
      <c r="Q901" s="144"/>
    </row>
    <row r="902" spans="17:17" ht="15.75" customHeight="1" x14ac:dyDescent="0.25">
      <c r="Q902" s="144"/>
    </row>
    <row r="903" spans="17:17" ht="15.75" customHeight="1" x14ac:dyDescent="0.25">
      <c r="Q903" s="144"/>
    </row>
    <row r="904" spans="17:17" ht="15.75" customHeight="1" x14ac:dyDescent="0.25">
      <c r="Q904" s="144"/>
    </row>
    <row r="905" spans="17:17" ht="15.75" customHeight="1" x14ac:dyDescent="0.25">
      <c r="Q905" s="144"/>
    </row>
    <row r="906" spans="17:17" ht="15.75" customHeight="1" x14ac:dyDescent="0.25">
      <c r="Q906" s="144"/>
    </row>
    <row r="907" spans="17:17" ht="15.75" customHeight="1" x14ac:dyDescent="0.25">
      <c r="Q907" s="144"/>
    </row>
    <row r="908" spans="17:17" ht="15.75" customHeight="1" x14ac:dyDescent="0.25">
      <c r="Q908" s="144"/>
    </row>
    <row r="909" spans="17:17" ht="15.75" customHeight="1" x14ac:dyDescent="0.25">
      <c r="Q909" s="144"/>
    </row>
    <row r="910" spans="17:17" ht="15.75" customHeight="1" x14ac:dyDescent="0.25">
      <c r="Q910" s="144"/>
    </row>
    <row r="911" spans="17:17" ht="15.75" customHeight="1" x14ac:dyDescent="0.25">
      <c r="Q911" s="144"/>
    </row>
    <row r="912" spans="17:17" ht="15.75" customHeight="1" x14ac:dyDescent="0.25">
      <c r="Q912" s="144"/>
    </row>
    <row r="913" spans="17:17" ht="15.75" customHeight="1" x14ac:dyDescent="0.25">
      <c r="Q913" s="144"/>
    </row>
    <row r="914" spans="17:17" ht="15.75" customHeight="1" x14ac:dyDescent="0.25">
      <c r="Q914" s="144"/>
    </row>
    <row r="915" spans="17:17" ht="15.75" customHeight="1" x14ac:dyDescent="0.25">
      <c r="Q915" s="144"/>
    </row>
    <row r="916" spans="17:17" ht="15.75" customHeight="1" x14ac:dyDescent="0.25">
      <c r="Q916" s="144"/>
    </row>
    <row r="917" spans="17:17" ht="15.75" customHeight="1" x14ac:dyDescent="0.25">
      <c r="Q917" s="144"/>
    </row>
    <row r="918" spans="17:17" ht="15.75" customHeight="1" x14ac:dyDescent="0.25">
      <c r="Q918" s="144"/>
    </row>
    <row r="919" spans="17:17" ht="15.75" customHeight="1" x14ac:dyDescent="0.25">
      <c r="Q919" s="144"/>
    </row>
    <row r="920" spans="17:17" ht="15.75" customHeight="1" x14ac:dyDescent="0.25">
      <c r="Q920" s="144"/>
    </row>
    <row r="921" spans="17:17" ht="15.75" customHeight="1" x14ac:dyDescent="0.25">
      <c r="Q921" s="144"/>
    </row>
    <row r="922" spans="17:17" ht="15.75" customHeight="1" x14ac:dyDescent="0.25">
      <c r="Q922" s="144"/>
    </row>
    <row r="923" spans="17:17" ht="15.75" customHeight="1" x14ac:dyDescent="0.25">
      <c r="Q923" s="144"/>
    </row>
    <row r="924" spans="17:17" ht="15.75" customHeight="1" x14ac:dyDescent="0.25">
      <c r="Q924" s="144"/>
    </row>
    <row r="925" spans="17:17" ht="15.75" customHeight="1" x14ac:dyDescent="0.25">
      <c r="Q925" s="144"/>
    </row>
    <row r="926" spans="17:17" ht="15.75" customHeight="1" x14ac:dyDescent="0.25">
      <c r="Q926" s="144"/>
    </row>
    <row r="927" spans="17:17" ht="15.75" customHeight="1" x14ac:dyDescent="0.25">
      <c r="Q927" s="144"/>
    </row>
    <row r="928" spans="17:17" ht="15.75" customHeight="1" x14ac:dyDescent="0.25">
      <c r="Q928" s="144"/>
    </row>
    <row r="929" spans="17:17" ht="15.75" customHeight="1" x14ac:dyDescent="0.25">
      <c r="Q929" s="144"/>
    </row>
    <row r="930" spans="17:17" ht="15.75" customHeight="1" x14ac:dyDescent="0.25">
      <c r="Q930" s="144"/>
    </row>
    <row r="931" spans="17:17" ht="15.75" customHeight="1" x14ac:dyDescent="0.25">
      <c r="Q931" s="144"/>
    </row>
    <row r="932" spans="17:17" ht="15.75" customHeight="1" x14ac:dyDescent="0.25">
      <c r="Q932" s="144"/>
    </row>
    <row r="933" spans="17:17" ht="15.75" customHeight="1" x14ac:dyDescent="0.25">
      <c r="Q933" s="144"/>
    </row>
    <row r="934" spans="17:17" ht="15.75" customHeight="1" x14ac:dyDescent="0.25">
      <c r="Q934" s="144"/>
    </row>
    <row r="935" spans="17:17" ht="15.75" customHeight="1" x14ac:dyDescent="0.25">
      <c r="Q935" s="144"/>
    </row>
    <row r="936" spans="17:17" ht="15.75" customHeight="1" x14ac:dyDescent="0.25">
      <c r="Q936" s="144"/>
    </row>
    <row r="937" spans="17:17" ht="15.75" customHeight="1" x14ac:dyDescent="0.25">
      <c r="Q937" s="144"/>
    </row>
    <row r="938" spans="17:17" ht="15.75" customHeight="1" x14ac:dyDescent="0.25">
      <c r="Q938" s="144"/>
    </row>
    <row r="939" spans="17:17" ht="15.75" customHeight="1" x14ac:dyDescent="0.25">
      <c r="Q939" s="144"/>
    </row>
    <row r="940" spans="17:17" ht="15.75" customHeight="1" x14ac:dyDescent="0.25">
      <c r="Q940" s="144"/>
    </row>
    <row r="941" spans="17:17" ht="15.75" customHeight="1" x14ac:dyDescent="0.25">
      <c r="Q941" s="144"/>
    </row>
    <row r="942" spans="17:17" ht="15.75" customHeight="1" x14ac:dyDescent="0.25">
      <c r="Q942" s="144"/>
    </row>
    <row r="943" spans="17:17" ht="15.75" customHeight="1" x14ac:dyDescent="0.25">
      <c r="Q943" s="144"/>
    </row>
    <row r="944" spans="17:17" ht="15.75" customHeight="1" x14ac:dyDescent="0.25">
      <c r="Q944" s="144"/>
    </row>
    <row r="945" spans="17:17" ht="15.75" customHeight="1" x14ac:dyDescent="0.25">
      <c r="Q945" s="144"/>
    </row>
    <row r="946" spans="17:17" ht="15.75" customHeight="1" x14ac:dyDescent="0.25">
      <c r="Q946" s="144"/>
    </row>
    <row r="947" spans="17:17" ht="15.75" customHeight="1" x14ac:dyDescent="0.25">
      <c r="Q947" s="144"/>
    </row>
    <row r="948" spans="17:17" ht="15.75" customHeight="1" x14ac:dyDescent="0.25">
      <c r="Q948" s="144"/>
    </row>
    <row r="949" spans="17:17" ht="15.75" customHeight="1" x14ac:dyDescent="0.25">
      <c r="Q949" s="144"/>
    </row>
    <row r="950" spans="17:17" ht="15.75" customHeight="1" x14ac:dyDescent="0.25">
      <c r="Q950" s="144"/>
    </row>
    <row r="951" spans="17:17" ht="15.75" customHeight="1" x14ac:dyDescent="0.25">
      <c r="Q951" s="144"/>
    </row>
    <row r="952" spans="17:17" ht="15.75" customHeight="1" x14ac:dyDescent="0.25">
      <c r="Q952" s="144"/>
    </row>
    <row r="953" spans="17:17" ht="15.75" customHeight="1" x14ac:dyDescent="0.25">
      <c r="Q953" s="144"/>
    </row>
    <row r="954" spans="17:17" ht="15.75" customHeight="1" x14ac:dyDescent="0.25">
      <c r="Q954" s="144"/>
    </row>
    <row r="955" spans="17:17" ht="15.75" customHeight="1" x14ac:dyDescent="0.25">
      <c r="Q955" s="144"/>
    </row>
    <row r="956" spans="17:17" ht="15.75" customHeight="1" x14ac:dyDescent="0.25">
      <c r="Q956" s="144"/>
    </row>
    <row r="957" spans="17:17" ht="15.75" customHeight="1" x14ac:dyDescent="0.25">
      <c r="Q957" s="144"/>
    </row>
    <row r="958" spans="17:17" ht="15.75" customHeight="1" x14ac:dyDescent="0.25">
      <c r="Q958" s="144"/>
    </row>
    <row r="959" spans="17:17" ht="15.75" customHeight="1" x14ac:dyDescent="0.25">
      <c r="Q959" s="144"/>
    </row>
    <row r="960" spans="17:17" ht="15.75" customHeight="1" x14ac:dyDescent="0.25">
      <c r="Q960" s="144"/>
    </row>
    <row r="961" spans="17:17" ht="15.75" customHeight="1" x14ac:dyDescent="0.25">
      <c r="Q961" s="144"/>
    </row>
    <row r="962" spans="17:17" ht="15.75" customHeight="1" x14ac:dyDescent="0.25">
      <c r="Q962" s="144"/>
    </row>
    <row r="963" spans="17:17" ht="15.75" customHeight="1" x14ac:dyDescent="0.25">
      <c r="Q963" s="144"/>
    </row>
    <row r="964" spans="17:17" ht="15.75" customHeight="1" x14ac:dyDescent="0.25">
      <c r="Q964" s="144"/>
    </row>
    <row r="965" spans="17:17" ht="15.75" customHeight="1" x14ac:dyDescent="0.25">
      <c r="Q965" s="144"/>
    </row>
    <row r="966" spans="17:17" ht="15.75" customHeight="1" x14ac:dyDescent="0.25">
      <c r="Q966" s="144"/>
    </row>
    <row r="967" spans="17:17" ht="15.75" customHeight="1" x14ac:dyDescent="0.25">
      <c r="Q967" s="144"/>
    </row>
    <row r="968" spans="17:17" ht="15.75" customHeight="1" x14ac:dyDescent="0.25">
      <c r="Q968" s="144"/>
    </row>
    <row r="969" spans="17:17" ht="15.75" customHeight="1" x14ac:dyDescent="0.25">
      <c r="Q969" s="144"/>
    </row>
    <row r="970" spans="17:17" ht="15.75" customHeight="1" x14ac:dyDescent="0.25">
      <c r="Q970" s="144"/>
    </row>
    <row r="971" spans="17:17" ht="15.75" customHeight="1" x14ac:dyDescent="0.25">
      <c r="Q971" s="144"/>
    </row>
    <row r="972" spans="17:17" ht="15.75" customHeight="1" x14ac:dyDescent="0.25">
      <c r="Q972" s="144"/>
    </row>
    <row r="973" spans="17:17" ht="15.75" customHeight="1" x14ac:dyDescent="0.25">
      <c r="Q973" s="144"/>
    </row>
    <row r="974" spans="17:17" ht="15.75" customHeight="1" x14ac:dyDescent="0.25">
      <c r="Q974" s="144"/>
    </row>
    <row r="975" spans="17:17" ht="15.75" customHeight="1" x14ac:dyDescent="0.25">
      <c r="Q975" s="144"/>
    </row>
    <row r="976" spans="17:17" ht="15.75" customHeight="1" x14ac:dyDescent="0.25">
      <c r="Q976" s="144"/>
    </row>
    <row r="977" spans="17:17" ht="15.75" customHeight="1" x14ac:dyDescent="0.25">
      <c r="Q977" s="144"/>
    </row>
    <row r="978" spans="17:17" ht="15.75" customHeight="1" x14ac:dyDescent="0.25">
      <c r="Q978" s="144"/>
    </row>
    <row r="979" spans="17:17" ht="15.75" customHeight="1" x14ac:dyDescent="0.25">
      <c r="Q979" s="144"/>
    </row>
    <row r="980" spans="17:17" ht="15.75" customHeight="1" x14ac:dyDescent="0.25">
      <c r="Q980" s="144"/>
    </row>
    <row r="981" spans="17:17" ht="15.75" customHeight="1" x14ac:dyDescent="0.25">
      <c r="Q981" s="144"/>
    </row>
    <row r="982" spans="17:17" ht="15.75" customHeight="1" x14ac:dyDescent="0.25">
      <c r="Q982" s="144"/>
    </row>
    <row r="983" spans="17:17" ht="15.75" customHeight="1" x14ac:dyDescent="0.25">
      <c r="Q983" s="144"/>
    </row>
    <row r="984" spans="17:17" ht="15.75" customHeight="1" x14ac:dyDescent="0.25">
      <c r="Q984" s="144"/>
    </row>
    <row r="985" spans="17:17" ht="15.75" customHeight="1" x14ac:dyDescent="0.25">
      <c r="Q985" s="144"/>
    </row>
    <row r="986" spans="17:17" ht="15.75" customHeight="1" x14ac:dyDescent="0.25">
      <c r="Q986" s="144"/>
    </row>
    <row r="987" spans="17:17" ht="15.75" customHeight="1" x14ac:dyDescent="0.25">
      <c r="Q987" s="144"/>
    </row>
    <row r="988" spans="17:17" ht="15.75" customHeight="1" x14ac:dyDescent="0.25">
      <c r="Q988" s="144"/>
    </row>
    <row r="989" spans="17:17" ht="15.75" customHeight="1" x14ac:dyDescent="0.25">
      <c r="Q989" s="144"/>
    </row>
    <row r="990" spans="17:17" ht="15.75" customHeight="1" x14ac:dyDescent="0.25">
      <c r="Q990" s="144"/>
    </row>
    <row r="991" spans="17:17" ht="15.75" customHeight="1" x14ac:dyDescent="0.25">
      <c r="Q991" s="144"/>
    </row>
    <row r="992" spans="17:17" ht="15.75" customHeight="1" x14ac:dyDescent="0.25">
      <c r="Q992" s="144"/>
    </row>
    <row r="993" spans="17:17" ht="15.75" customHeight="1" x14ac:dyDescent="0.25">
      <c r="Q993" s="144"/>
    </row>
    <row r="994" spans="17:17" ht="15.75" customHeight="1" x14ac:dyDescent="0.25">
      <c r="Q994" s="144"/>
    </row>
    <row r="995" spans="17:17" ht="15.75" customHeight="1" x14ac:dyDescent="0.25">
      <c r="Q995" s="144"/>
    </row>
    <row r="996" spans="17:17" ht="15.75" customHeight="1" x14ac:dyDescent="0.25">
      <c r="Q996" s="144"/>
    </row>
    <row r="997" spans="17:17" ht="15.75" customHeight="1" x14ac:dyDescent="0.25">
      <c r="Q997" s="144"/>
    </row>
    <row r="998" spans="17:17" ht="15.75" customHeight="1" x14ac:dyDescent="0.25">
      <c r="Q998" s="144"/>
    </row>
    <row r="999" spans="17:17" ht="15.75" customHeight="1" x14ac:dyDescent="0.25">
      <c r="Q999" s="144"/>
    </row>
    <row r="1000" spans="17:17" ht="15.75" customHeight="1" x14ac:dyDescent="0.25">
      <c r="Q1000" s="144"/>
    </row>
    <row r="1001" spans="17:17" ht="15.75" customHeight="1" x14ac:dyDescent="0.25">
      <c r="Q1001" s="144"/>
    </row>
  </sheetData>
  <autoFilter ref="A1:Y33"/>
  <mergeCells count="2">
    <mergeCell ref="O37:Q37"/>
    <mergeCell ref="O41:P41"/>
  </mergeCells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/>
  </sheetViews>
  <sheetFormatPr defaultColWidth="12.59765625" defaultRowHeight="15" customHeight="1" x14ac:dyDescent="0.25"/>
  <cols>
    <col min="1" max="2" width="9.8984375" customWidth="1"/>
    <col min="3" max="3" width="15.09765625" customWidth="1"/>
    <col min="4" max="4" width="9.09765625" customWidth="1"/>
    <col min="5" max="5" width="43.5" customWidth="1"/>
    <col min="6" max="6" width="17.5" customWidth="1"/>
    <col min="7" max="7" width="10.3984375" customWidth="1"/>
    <col min="8" max="8" width="25" customWidth="1"/>
    <col min="9" max="9" width="11.19921875" customWidth="1"/>
    <col min="10" max="10" width="44.09765625" customWidth="1"/>
    <col min="11" max="11" width="11.19921875" customWidth="1"/>
    <col min="12" max="12" width="6.59765625" customWidth="1"/>
    <col min="13" max="13" width="18" customWidth="1"/>
    <col min="14" max="14" width="16.8984375" customWidth="1"/>
    <col min="15" max="15" width="8.19921875" customWidth="1"/>
    <col min="16" max="16" width="16" customWidth="1"/>
    <col min="17" max="17" width="30.5" customWidth="1"/>
    <col min="18" max="18" width="33.19921875" customWidth="1"/>
    <col min="19" max="19" width="19.8984375" customWidth="1"/>
    <col min="20" max="20" width="18.69921875" customWidth="1"/>
    <col min="21" max="21" width="19" customWidth="1"/>
    <col min="22" max="22" width="24.8984375" customWidth="1"/>
    <col min="23" max="23" width="21.19921875" customWidth="1"/>
    <col min="24" max="24" width="22.69921875" customWidth="1"/>
    <col min="25" max="25" width="19" customWidth="1"/>
    <col min="26" max="26" width="7.59765625" customWidth="1"/>
  </cols>
  <sheetData>
    <row r="1" spans="1:25" ht="14.25" customHeight="1" x14ac:dyDescent="0.3">
      <c r="A1" s="156" t="s">
        <v>0</v>
      </c>
      <c r="B1" s="157" t="s">
        <v>1</v>
      </c>
      <c r="C1" s="157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10</v>
      </c>
      <c r="L1" s="157" t="s">
        <v>11</v>
      </c>
      <c r="M1" s="157" t="s">
        <v>12</v>
      </c>
      <c r="N1" s="157" t="s">
        <v>13</v>
      </c>
      <c r="O1" s="157" t="s">
        <v>14</v>
      </c>
      <c r="P1" s="158" t="s">
        <v>15</v>
      </c>
      <c r="Q1" s="158" t="s">
        <v>16</v>
      </c>
      <c r="R1" s="157" t="s">
        <v>17</v>
      </c>
      <c r="S1" s="157" t="s">
        <v>18</v>
      </c>
      <c r="T1" s="157" t="s">
        <v>19</v>
      </c>
      <c r="U1" s="157" t="s">
        <v>20</v>
      </c>
      <c r="V1" s="157" t="s">
        <v>21</v>
      </c>
      <c r="W1" s="157" t="s">
        <v>22</v>
      </c>
      <c r="X1" s="157" t="s">
        <v>23</v>
      </c>
      <c r="Y1" s="159" t="s">
        <v>24</v>
      </c>
    </row>
    <row r="2" spans="1:25" ht="14.25" customHeight="1" x14ac:dyDescent="0.3">
      <c r="A2" s="174">
        <v>45923</v>
      </c>
      <c r="B2" s="174">
        <v>45923</v>
      </c>
      <c r="C2" s="5" t="s">
        <v>143</v>
      </c>
      <c r="D2" s="5" t="s">
        <v>28</v>
      </c>
      <c r="E2" s="5" t="s">
        <v>144</v>
      </c>
      <c r="F2" s="5" t="s">
        <v>32</v>
      </c>
      <c r="G2" s="5" t="s">
        <v>31</v>
      </c>
      <c r="H2" s="5" t="s">
        <v>30</v>
      </c>
      <c r="I2" s="5" t="s">
        <v>44</v>
      </c>
      <c r="J2" s="5" t="s">
        <v>30</v>
      </c>
      <c r="K2" s="7">
        <v>80</v>
      </c>
      <c r="L2" s="7">
        <v>3</v>
      </c>
      <c r="M2" s="16">
        <v>3.7499999999999999E-2</v>
      </c>
      <c r="N2" s="175" t="s">
        <v>431</v>
      </c>
      <c r="O2" s="9">
        <v>1.95</v>
      </c>
      <c r="P2" s="9">
        <v>74.819999999999993</v>
      </c>
      <c r="Q2" s="176">
        <v>2.61</v>
      </c>
      <c r="R2" s="9">
        <v>38.369999999999997</v>
      </c>
      <c r="S2" s="7">
        <v>3</v>
      </c>
      <c r="T2" s="7">
        <v>3</v>
      </c>
      <c r="U2" s="16">
        <v>1</v>
      </c>
      <c r="V2" s="7">
        <v>3</v>
      </c>
      <c r="W2" s="7">
        <v>0</v>
      </c>
      <c r="X2" s="175" t="s">
        <v>93</v>
      </c>
      <c r="Y2" s="175" t="s">
        <v>36</v>
      </c>
    </row>
    <row r="3" spans="1:25" ht="14.25" customHeight="1" x14ac:dyDescent="0.3">
      <c r="A3" s="174">
        <v>45922</v>
      </c>
      <c r="B3" s="174">
        <v>45927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30</v>
      </c>
      <c r="I3" s="5" t="s">
        <v>32</v>
      </c>
      <c r="J3" s="5" t="s">
        <v>30</v>
      </c>
      <c r="K3" s="7">
        <v>1242</v>
      </c>
      <c r="L3" s="7">
        <v>10</v>
      </c>
      <c r="M3" s="16">
        <v>8.0520000000000001E-3</v>
      </c>
      <c r="N3" s="175" t="s">
        <v>75</v>
      </c>
      <c r="O3" s="9">
        <v>36.020000000000003</v>
      </c>
      <c r="P3" s="9">
        <v>49.88</v>
      </c>
      <c r="Q3" s="176">
        <v>72.209999999999994</v>
      </c>
      <c r="R3" s="9">
        <v>1.38</v>
      </c>
      <c r="S3" s="7">
        <v>2</v>
      </c>
      <c r="T3" s="7">
        <v>2</v>
      </c>
      <c r="U3" s="16">
        <v>0.2</v>
      </c>
      <c r="V3" s="7">
        <v>2</v>
      </c>
      <c r="W3" s="7">
        <v>0</v>
      </c>
      <c r="X3" s="175" t="s">
        <v>78</v>
      </c>
      <c r="Y3" s="175" t="s">
        <v>36</v>
      </c>
    </row>
    <row r="4" spans="1:25" ht="14.25" customHeight="1" x14ac:dyDescent="0.3">
      <c r="A4" s="174">
        <v>45921</v>
      </c>
      <c r="B4" s="174">
        <v>45926</v>
      </c>
      <c r="C4" s="5" t="s">
        <v>48</v>
      </c>
      <c r="D4" s="5" t="s">
        <v>28</v>
      </c>
      <c r="E4" s="5" t="s">
        <v>62</v>
      </c>
      <c r="F4" s="5" t="s">
        <v>63</v>
      </c>
      <c r="G4" s="5" t="s">
        <v>31</v>
      </c>
      <c r="H4" s="5" t="s">
        <v>68</v>
      </c>
      <c r="I4" s="5" t="s">
        <v>65</v>
      </c>
      <c r="J4" s="5" t="s">
        <v>69</v>
      </c>
      <c r="K4" s="7">
        <v>112</v>
      </c>
      <c r="L4" s="7">
        <v>7</v>
      </c>
      <c r="M4" s="16">
        <v>6.25E-2</v>
      </c>
      <c r="N4" s="175" t="s">
        <v>455</v>
      </c>
      <c r="O4" s="9">
        <v>25.35</v>
      </c>
      <c r="P4" s="9">
        <v>21.9</v>
      </c>
      <c r="Q4" s="176">
        <v>115.75</v>
      </c>
      <c r="R4" s="9">
        <v>0.86</v>
      </c>
      <c r="S4" s="7">
        <v>1</v>
      </c>
      <c r="T4" s="7">
        <v>1</v>
      </c>
      <c r="U4" s="16">
        <v>0.14285700000000001</v>
      </c>
      <c r="V4" s="7">
        <v>1</v>
      </c>
      <c r="W4" s="7">
        <v>0</v>
      </c>
      <c r="X4" s="175" t="s">
        <v>55</v>
      </c>
      <c r="Y4" s="175" t="s">
        <v>36</v>
      </c>
    </row>
    <row r="5" spans="1:25" ht="14.25" customHeight="1" x14ac:dyDescent="0.3">
      <c r="A5" s="174">
        <v>45925</v>
      </c>
      <c r="B5" s="174">
        <v>45925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405</v>
      </c>
      <c r="I5" s="5" t="s">
        <v>32</v>
      </c>
      <c r="J5" s="5" t="s">
        <v>406</v>
      </c>
      <c r="K5" s="7">
        <v>5</v>
      </c>
      <c r="L5" s="7">
        <v>1</v>
      </c>
      <c r="M5" s="16">
        <v>0.2</v>
      </c>
      <c r="N5" s="175" t="s">
        <v>317</v>
      </c>
      <c r="O5" s="9">
        <v>4.0199999999999996</v>
      </c>
      <c r="P5" s="9">
        <v>24.94</v>
      </c>
      <c r="Q5" s="176">
        <v>16.12</v>
      </c>
      <c r="R5" s="9">
        <v>6.2</v>
      </c>
      <c r="S5" s="7">
        <v>1</v>
      </c>
      <c r="T5" s="7">
        <v>1</v>
      </c>
      <c r="U5" s="16">
        <v>1</v>
      </c>
      <c r="V5" s="7">
        <v>1</v>
      </c>
      <c r="W5" s="7">
        <v>0</v>
      </c>
      <c r="X5" s="175" t="s">
        <v>35</v>
      </c>
      <c r="Y5" s="175" t="s">
        <v>36</v>
      </c>
    </row>
    <row r="6" spans="1:25" ht="14.25" customHeight="1" x14ac:dyDescent="0.3">
      <c r="A6" s="174">
        <v>45924</v>
      </c>
      <c r="B6" s="174">
        <v>45924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30</v>
      </c>
      <c r="I6" s="5" t="s">
        <v>32</v>
      </c>
      <c r="J6" s="5" t="s">
        <v>414</v>
      </c>
      <c r="K6" s="7">
        <v>2</v>
      </c>
      <c r="L6" s="7">
        <v>1</v>
      </c>
      <c r="M6" s="16">
        <v>0.5</v>
      </c>
      <c r="N6" s="175" t="s">
        <v>309</v>
      </c>
      <c r="O6" s="9">
        <v>3.7</v>
      </c>
      <c r="P6" s="9">
        <v>24.94</v>
      </c>
      <c r="Q6" s="176">
        <v>14.84</v>
      </c>
      <c r="R6" s="9">
        <v>6.74</v>
      </c>
      <c r="S6" s="7">
        <v>1</v>
      </c>
      <c r="T6" s="7">
        <v>1</v>
      </c>
      <c r="U6" s="16">
        <v>1</v>
      </c>
      <c r="V6" s="7">
        <v>1</v>
      </c>
      <c r="W6" s="7">
        <v>0</v>
      </c>
      <c r="X6" s="175" t="s">
        <v>35</v>
      </c>
      <c r="Y6" s="175" t="s">
        <v>36</v>
      </c>
    </row>
    <row r="7" spans="1:25" ht="14.25" customHeight="1" x14ac:dyDescent="0.3">
      <c r="A7" s="174">
        <v>45924</v>
      </c>
      <c r="B7" s="174">
        <v>45925</v>
      </c>
      <c r="C7" s="5" t="s">
        <v>27</v>
      </c>
      <c r="D7" s="5" t="s">
        <v>28</v>
      </c>
      <c r="E7" s="5" t="s">
        <v>71</v>
      </c>
      <c r="F7" s="5" t="s">
        <v>72</v>
      </c>
      <c r="G7" s="5" t="s">
        <v>31</v>
      </c>
      <c r="H7" s="5" t="s">
        <v>73</v>
      </c>
      <c r="I7" s="5" t="s">
        <v>52</v>
      </c>
      <c r="J7" s="5" t="s">
        <v>162</v>
      </c>
      <c r="K7" s="7">
        <v>217</v>
      </c>
      <c r="L7" s="7">
        <v>4</v>
      </c>
      <c r="M7" s="16">
        <v>1.8433000000000001E-2</v>
      </c>
      <c r="N7" s="175" t="s">
        <v>415</v>
      </c>
      <c r="O7" s="9">
        <v>20.94</v>
      </c>
      <c r="P7" s="9">
        <v>24.94</v>
      </c>
      <c r="Q7" s="176">
        <v>83.96</v>
      </c>
      <c r="R7" s="9">
        <v>1.19</v>
      </c>
      <c r="S7" s="7">
        <v>1</v>
      </c>
      <c r="T7" s="7">
        <v>1</v>
      </c>
      <c r="U7" s="16">
        <v>0.25</v>
      </c>
      <c r="V7" s="7">
        <v>1</v>
      </c>
      <c r="W7" s="7">
        <v>0</v>
      </c>
      <c r="X7" s="175" t="s">
        <v>35</v>
      </c>
      <c r="Y7" s="175" t="s">
        <v>36</v>
      </c>
    </row>
    <row r="8" spans="1:25" ht="14.25" customHeight="1" x14ac:dyDescent="0.3">
      <c r="A8" s="174">
        <v>45925</v>
      </c>
      <c r="B8" s="174">
        <v>45926</v>
      </c>
      <c r="C8" s="5" t="s">
        <v>27</v>
      </c>
      <c r="D8" s="5" t="s">
        <v>28</v>
      </c>
      <c r="E8" s="5" t="s">
        <v>71</v>
      </c>
      <c r="F8" s="5" t="s">
        <v>72</v>
      </c>
      <c r="G8" s="5" t="s">
        <v>31</v>
      </c>
      <c r="H8" s="5" t="s">
        <v>73</v>
      </c>
      <c r="I8" s="5" t="s">
        <v>52</v>
      </c>
      <c r="J8" s="5" t="s">
        <v>74</v>
      </c>
      <c r="K8" s="7">
        <v>7</v>
      </c>
      <c r="L8" s="7">
        <v>2</v>
      </c>
      <c r="M8" s="16">
        <v>0.28571400000000002</v>
      </c>
      <c r="N8" s="175" t="s">
        <v>150</v>
      </c>
      <c r="O8" s="9">
        <v>7.77</v>
      </c>
      <c r="P8" s="9">
        <v>24.94</v>
      </c>
      <c r="Q8" s="176">
        <v>31.15</v>
      </c>
      <c r="R8" s="9">
        <v>3.21</v>
      </c>
      <c r="S8" s="7">
        <v>1</v>
      </c>
      <c r="T8" s="7">
        <v>1</v>
      </c>
      <c r="U8" s="16">
        <v>0.5</v>
      </c>
      <c r="V8" s="7">
        <v>1</v>
      </c>
      <c r="W8" s="7">
        <v>0</v>
      </c>
      <c r="X8" s="175" t="s">
        <v>35</v>
      </c>
      <c r="Y8" s="175" t="s">
        <v>36</v>
      </c>
    </row>
    <row r="9" spans="1:25" ht="14.25" customHeight="1" x14ac:dyDescent="0.3">
      <c r="A9" s="174">
        <v>45926</v>
      </c>
      <c r="B9" s="174">
        <v>45926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30</v>
      </c>
      <c r="I9" s="5" t="s">
        <v>32</v>
      </c>
      <c r="J9" s="5" t="s">
        <v>402</v>
      </c>
      <c r="K9" s="7">
        <v>1</v>
      </c>
      <c r="L9" s="7">
        <v>1</v>
      </c>
      <c r="M9" s="16">
        <v>1</v>
      </c>
      <c r="N9" s="175" t="s">
        <v>167</v>
      </c>
      <c r="O9" s="9">
        <v>5.18</v>
      </c>
      <c r="P9" s="9">
        <v>24.94</v>
      </c>
      <c r="Q9" s="176">
        <v>20.77</v>
      </c>
      <c r="R9" s="9">
        <v>4.8099999999999996</v>
      </c>
      <c r="S9" s="7">
        <v>1</v>
      </c>
      <c r="T9" s="7">
        <v>1</v>
      </c>
      <c r="U9" s="16">
        <v>1</v>
      </c>
      <c r="V9" s="7">
        <v>1</v>
      </c>
      <c r="W9" s="7">
        <v>0</v>
      </c>
      <c r="X9" s="175" t="s">
        <v>35</v>
      </c>
      <c r="Y9" s="175" t="s">
        <v>36</v>
      </c>
    </row>
    <row r="10" spans="1:25" ht="14.25" customHeight="1" x14ac:dyDescent="0.3">
      <c r="A10" s="174">
        <v>45922</v>
      </c>
      <c r="B10" s="174">
        <v>45922</v>
      </c>
      <c r="C10" s="5" t="s">
        <v>48</v>
      </c>
      <c r="D10" s="5" t="s">
        <v>28</v>
      </c>
      <c r="E10" s="5" t="s">
        <v>62</v>
      </c>
      <c r="F10" s="5" t="s">
        <v>63</v>
      </c>
      <c r="G10" s="5" t="s">
        <v>31</v>
      </c>
      <c r="H10" s="5" t="s">
        <v>68</v>
      </c>
      <c r="I10" s="5" t="s">
        <v>65</v>
      </c>
      <c r="J10" s="5" t="s">
        <v>68</v>
      </c>
      <c r="K10" s="7">
        <v>30</v>
      </c>
      <c r="L10" s="7">
        <v>1</v>
      </c>
      <c r="M10" s="16">
        <v>3.3333000000000002E-2</v>
      </c>
      <c r="N10" s="175" t="s">
        <v>440</v>
      </c>
      <c r="O10" s="9">
        <v>3.74</v>
      </c>
      <c r="P10" s="9">
        <v>21.9</v>
      </c>
      <c r="Q10" s="176">
        <v>17.079999999999998</v>
      </c>
      <c r="R10" s="9">
        <v>5.86</v>
      </c>
      <c r="S10" s="7">
        <v>1</v>
      </c>
      <c r="T10" s="7">
        <v>1</v>
      </c>
      <c r="U10" s="16">
        <v>1</v>
      </c>
      <c r="V10" s="7">
        <v>1</v>
      </c>
      <c r="W10" s="7">
        <v>0</v>
      </c>
      <c r="X10" s="175" t="s">
        <v>55</v>
      </c>
      <c r="Y10" s="175" t="s">
        <v>36</v>
      </c>
    </row>
    <row r="11" spans="1:25" ht="14.25" customHeight="1" x14ac:dyDescent="0.3">
      <c r="A11" s="174">
        <v>45925</v>
      </c>
      <c r="B11" s="174">
        <v>45927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30</v>
      </c>
      <c r="I11" s="5" t="s">
        <v>32</v>
      </c>
      <c r="J11" s="5" t="s">
        <v>408</v>
      </c>
      <c r="K11" s="7">
        <v>10</v>
      </c>
      <c r="L11" s="7">
        <v>2</v>
      </c>
      <c r="M11" s="16">
        <v>0.2</v>
      </c>
      <c r="N11" s="175" t="s">
        <v>409</v>
      </c>
      <c r="O11" s="9">
        <v>10.029999999999999</v>
      </c>
      <c r="P11" s="9">
        <v>49.88</v>
      </c>
      <c r="Q11" s="176">
        <v>20.11</v>
      </c>
      <c r="R11" s="9">
        <v>4.97</v>
      </c>
      <c r="S11" s="7">
        <v>2</v>
      </c>
      <c r="T11" s="7">
        <v>2</v>
      </c>
      <c r="U11" s="16">
        <v>1</v>
      </c>
      <c r="V11" s="7">
        <v>2</v>
      </c>
      <c r="W11" s="7">
        <v>0</v>
      </c>
      <c r="X11" s="175" t="s">
        <v>78</v>
      </c>
      <c r="Y11" s="175" t="s">
        <v>36</v>
      </c>
    </row>
    <row r="12" spans="1:25" ht="14.25" customHeight="1" x14ac:dyDescent="0.3">
      <c r="A12" s="174">
        <v>45921</v>
      </c>
      <c r="B12" s="174">
        <v>45921</v>
      </c>
      <c r="C12" s="5" t="s">
        <v>27</v>
      </c>
      <c r="D12" s="5" t="s">
        <v>28</v>
      </c>
      <c r="E12" s="5" t="s">
        <v>71</v>
      </c>
      <c r="F12" s="5" t="s">
        <v>72</v>
      </c>
      <c r="G12" s="5" t="s">
        <v>31</v>
      </c>
      <c r="H12" s="5" t="s">
        <v>73</v>
      </c>
      <c r="I12" s="5" t="s">
        <v>52</v>
      </c>
      <c r="J12" s="5" t="s">
        <v>457</v>
      </c>
      <c r="K12" s="7">
        <v>2</v>
      </c>
      <c r="L12" s="7">
        <v>1</v>
      </c>
      <c r="M12" s="16">
        <v>0.5</v>
      </c>
      <c r="N12" s="175" t="s">
        <v>128</v>
      </c>
      <c r="O12" s="9">
        <v>3.98</v>
      </c>
      <c r="P12" s="9">
        <v>24.94</v>
      </c>
      <c r="Q12" s="176">
        <v>15.96</v>
      </c>
      <c r="R12" s="9">
        <v>6.27</v>
      </c>
      <c r="S12" s="7">
        <v>1</v>
      </c>
      <c r="T12" s="7">
        <v>1</v>
      </c>
      <c r="U12" s="16">
        <v>1</v>
      </c>
      <c r="V12" s="7">
        <v>1</v>
      </c>
      <c r="W12" s="7">
        <v>0</v>
      </c>
      <c r="X12" s="175" t="s">
        <v>35</v>
      </c>
      <c r="Y12" s="175" t="s">
        <v>36</v>
      </c>
    </row>
    <row r="13" spans="1:25" ht="14.25" customHeight="1" x14ac:dyDescent="0.3">
      <c r="A13" s="174">
        <v>45921</v>
      </c>
      <c r="B13" s="174">
        <v>45927</v>
      </c>
      <c r="C13" s="5" t="s">
        <v>27</v>
      </c>
      <c r="D13" s="5" t="s">
        <v>28</v>
      </c>
      <c r="E13" s="5" t="s">
        <v>71</v>
      </c>
      <c r="F13" s="5" t="s">
        <v>72</v>
      </c>
      <c r="G13" s="5" t="s">
        <v>31</v>
      </c>
      <c r="H13" s="5" t="s">
        <v>51</v>
      </c>
      <c r="I13" s="5" t="s">
        <v>52</v>
      </c>
      <c r="J13" s="5" t="s">
        <v>145</v>
      </c>
      <c r="K13" s="7">
        <v>616</v>
      </c>
      <c r="L13" s="7">
        <v>8</v>
      </c>
      <c r="M13" s="16">
        <v>1.2987E-2</v>
      </c>
      <c r="N13" s="175" t="s">
        <v>458</v>
      </c>
      <c r="O13" s="9">
        <v>23.1</v>
      </c>
      <c r="P13" s="9">
        <v>99.76</v>
      </c>
      <c r="Q13" s="176">
        <v>23.16</v>
      </c>
      <c r="R13" s="9">
        <v>4.32</v>
      </c>
      <c r="S13" s="7">
        <v>4</v>
      </c>
      <c r="T13" s="7">
        <v>4</v>
      </c>
      <c r="U13" s="16">
        <v>0.5</v>
      </c>
      <c r="V13" s="7">
        <v>4</v>
      </c>
      <c r="W13" s="7">
        <v>0</v>
      </c>
      <c r="X13" s="175" t="s">
        <v>47</v>
      </c>
      <c r="Y13" s="175" t="s">
        <v>36</v>
      </c>
    </row>
    <row r="14" spans="1:25" ht="14.25" customHeight="1" x14ac:dyDescent="0.3">
      <c r="A14" s="174">
        <v>45923</v>
      </c>
      <c r="B14" s="174">
        <v>45923</v>
      </c>
      <c r="C14" s="5" t="s">
        <v>85</v>
      </c>
      <c r="D14" s="5" t="s">
        <v>28</v>
      </c>
      <c r="E14" s="5" t="s">
        <v>108</v>
      </c>
      <c r="F14" s="5" t="s">
        <v>109</v>
      </c>
      <c r="G14" s="5" t="s">
        <v>31</v>
      </c>
      <c r="H14" s="5" t="s">
        <v>110</v>
      </c>
      <c r="I14" s="5" t="s">
        <v>44</v>
      </c>
      <c r="J14" s="5" t="s">
        <v>111</v>
      </c>
      <c r="K14" s="7">
        <v>1</v>
      </c>
      <c r="L14" s="7">
        <v>1</v>
      </c>
      <c r="M14" s="16">
        <v>1</v>
      </c>
      <c r="N14" s="175" t="s">
        <v>433</v>
      </c>
      <c r="O14" s="9">
        <v>2.4900000000000002</v>
      </c>
      <c r="P14" s="9">
        <v>21.9</v>
      </c>
      <c r="Q14" s="176">
        <v>11.37</v>
      </c>
      <c r="R14" s="9">
        <v>8.8000000000000007</v>
      </c>
      <c r="S14" s="7">
        <v>1</v>
      </c>
      <c r="T14" s="7">
        <v>1</v>
      </c>
      <c r="U14" s="16">
        <v>1</v>
      </c>
      <c r="V14" s="7">
        <v>1</v>
      </c>
      <c r="W14" s="7">
        <v>0</v>
      </c>
      <c r="X14" s="175" t="s">
        <v>55</v>
      </c>
      <c r="Y14" s="175" t="s">
        <v>36</v>
      </c>
    </row>
    <row r="15" spans="1:25" ht="14.25" customHeight="1" x14ac:dyDescent="0.3">
      <c r="A15" s="174">
        <v>45924</v>
      </c>
      <c r="B15" s="174">
        <v>45924</v>
      </c>
      <c r="C15" s="5" t="s">
        <v>27</v>
      </c>
      <c r="D15" s="5" t="s">
        <v>28</v>
      </c>
      <c r="E15" s="5" t="s">
        <v>71</v>
      </c>
      <c r="F15" s="5" t="s">
        <v>72</v>
      </c>
      <c r="G15" s="5" t="s">
        <v>31</v>
      </c>
      <c r="H15" s="5" t="s">
        <v>51</v>
      </c>
      <c r="I15" s="5" t="s">
        <v>52</v>
      </c>
      <c r="J15" s="5" t="s">
        <v>417</v>
      </c>
      <c r="K15" s="7">
        <v>1</v>
      </c>
      <c r="L15" s="7">
        <v>1</v>
      </c>
      <c r="M15" s="16">
        <v>1</v>
      </c>
      <c r="N15" s="175" t="s">
        <v>418</v>
      </c>
      <c r="O15" s="9">
        <v>2.85</v>
      </c>
      <c r="P15" s="9">
        <v>24.94</v>
      </c>
      <c r="Q15" s="176">
        <v>11.43</v>
      </c>
      <c r="R15" s="9">
        <v>8.75</v>
      </c>
      <c r="S15" s="7">
        <v>1</v>
      </c>
      <c r="T15" s="7">
        <v>1</v>
      </c>
      <c r="U15" s="16">
        <v>1</v>
      </c>
      <c r="V15" s="7">
        <v>1</v>
      </c>
      <c r="W15" s="7">
        <v>0</v>
      </c>
      <c r="X15" s="175" t="s">
        <v>35</v>
      </c>
      <c r="Y15" s="175" t="s">
        <v>36</v>
      </c>
    </row>
    <row r="16" spans="1:25" ht="14.25" customHeight="1" x14ac:dyDescent="0.3">
      <c r="A16" s="174">
        <v>45923</v>
      </c>
      <c r="B16" s="174">
        <v>45923</v>
      </c>
      <c r="C16" s="5" t="s">
        <v>48</v>
      </c>
      <c r="D16" s="5" t="s">
        <v>28</v>
      </c>
      <c r="E16" s="5" t="s">
        <v>49</v>
      </c>
      <c r="F16" s="5" t="s">
        <v>50</v>
      </c>
      <c r="G16" s="5" t="s">
        <v>31</v>
      </c>
      <c r="H16" s="5" t="s">
        <v>51</v>
      </c>
      <c r="I16" s="5" t="s">
        <v>52</v>
      </c>
      <c r="J16" s="5" t="s">
        <v>434</v>
      </c>
      <c r="K16" s="7">
        <v>10</v>
      </c>
      <c r="L16" s="7">
        <v>1</v>
      </c>
      <c r="M16" s="16">
        <v>0.1</v>
      </c>
      <c r="N16" s="175" t="s">
        <v>435</v>
      </c>
      <c r="O16" s="9">
        <v>1.98</v>
      </c>
      <c r="P16" s="9">
        <v>21.9</v>
      </c>
      <c r="Q16" s="176">
        <v>9.0399999999999991</v>
      </c>
      <c r="R16" s="9">
        <v>11.06</v>
      </c>
      <c r="S16" s="7">
        <v>1</v>
      </c>
      <c r="T16" s="7">
        <v>1</v>
      </c>
      <c r="U16" s="16">
        <v>1</v>
      </c>
      <c r="V16" s="7">
        <v>1</v>
      </c>
      <c r="W16" s="7">
        <v>0</v>
      </c>
      <c r="X16" s="175" t="s">
        <v>55</v>
      </c>
      <c r="Y16" s="175" t="s">
        <v>36</v>
      </c>
    </row>
    <row r="17" spans="1:25" ht="14.25" customHeight="1" x14ac:dyDescent="0.3">
      <c r="A17" s="174">
        <v>45925</v>
      </c>
      <c r="B17" s="174">
        <v>45925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30</v>
      </c>
      <c r="I17" s="5" t="s">
        <v>32</v>
      </c>
      <c r="J17" s="5" t="s">
        <v>411</v>
      </c>
      <c r="K17" s="7">
        <v>4</v>
      </c>
      <c r="L17" s="7">
        <v>1</v>
      </c>
      <c r="M17" s="16">
        <v>0.25</v>
      </c>
      <c r="N17" s="175" t="s">
        <v>400</v>
      </c>
      <c r="O17" s="9">
        <v>3.34</v>
      </c>
      <c r="P17" s="9">
        <v>24.94</v>
      </c>
      <c r="Q17" s="176">
        <v>13.39</v>
      </c>
      <c r="R17" s="9">
        <v>7.47</v>
      </c>
      <c r="S17" s="7">
        <v>1</v>
      </c>
      <c r="T17" s="7">
        <v>1</v>
      </c>
      <c r="U17" s="16">
        <v>1</v>
      </c>
      <c r="V17" s="7">
        <v>1</v>
      </c>
      <c r="W17" s="7">
        <v>0</v>
      </c>
      <c r="X17" s="175" t="s">
        <v>35</v>
      </c>
      <c r="Y17" s="175" t="s">
        <v>36</v>
      </c>
    </row>
    <row r="18" spans="1:25" ht="14.25" customHeight="1" x14ac:dyDescent="0.3">
      <c r="A18" s="174">
        <v>45926</v>
      </c>
      <c r="B18" s="174">
        <v>45926</v>
      </c>
      <c r="C18" s="5" t="s">
        <v>40</v>
      </c>
      <c r="D18" s="5" t="s">
        <v>28</v>
      </c>
      <c r="E18" s="5" t="s">
        <v>41</v>
      </c>
      <c r="F18" s="5" t="s">
        <v>42</v>
      </c>
      <c r="G18" s="5" t="s">
        <v>31</v>
      </c>
      <c r="H18" s="5" t="s">
        <v>43</v>
      </c>
      <c r="I18" s="5" t="s">
        <v>44</v>
      </c>
      <c r="J18" s="5" t="s">
        <v>403</v>
      </c>
      <c r="K18" s="7">
        <v>4</v>
      </c>
      <c r="L18" s="7">
        <v>1</v>
      </c>
      <c r="M18" s="16">
        <v>0.25</v>
      </c>
      <c r="N18" s="175" t="s">
        <v>126</v>
      </c>
      <c r="O18" s="9">
        <v>3.27</v>
      </c>
      <c r="P18" s="9">
        <v>24.94</v>
      </c>
      <c r="Q18" s="176">
        <v>13.11</v>
      </c>
      <c r="R18" s="9">
        <v>7.63</v>
      </c>
      <c r="S18" s="7">
        <v>1</v>
      </c>
      <c r="T18" s="7">
        <v>1</v>
      </c>
      <c r="U18" s="16">
        <v>1</v>
      </c>
      <c r="V18" s="7">
        <v>1</v>
      </c>
      <c r="W18" s="7">
        <v>0</v>
      </c>
      <c r="X18" s="175" t="s">
        <v>35</v>
      </c>
      <c r="Y18" s="175" t="s">
        <v>36</v>
      </c>
    </row>
    <row r="19" spans="1:25" ht="14.25" customHeight="1" x14ac:dyDescent="0.3">
      <c r="A19" s="174">
        <v>45921</v>
      </c>
      <c r="B19" s="174">
        <v>45921</v>
      </c>
      <c r="C19" s="5" t="s">
        <v>48</v>
      </c>
      <c r="D19" s="5" t="s">
        <v>28</v>
      </c>
      <c r="E19" s="5" t="s">
        <v>233</v>
      </c>
      <c r="F19" s="5" t="s">
        <v>234</v>
      </c>
      <c r="G19" s="5" t="s">
        <v>31</v>
      </c>
      <c r="H19" s="5" t="s">
        <v>153</v>
      </c>
      <c r="I19" s="5" t="s">
        <v>32</v>
      </c>
      <c r="J19" s="5" t="s">
        <v>460</v>
      </c>
      <c r="K19" s="7">
        <v>40</v>
      </c>
      <c r="L19" s="7">
        <v>1</v>
      </c>
      <c r="M19" s="16">
        <v>2.5000000000000001E-2</v>
      </c>
      <c r="N19" s="175" t="s">
        <v>461</v>
      </c>
      <c r="O19" s="9">
        <v>1.86</v>
      </c>
      <c r="P19" s="9">
        <v>21.9</v>
      </c>
      <c r="Q19" s="176">
        <v>8.49</v>
      </c>
      <c r="R19" s="9">
        <v>11.77</v>
      </c>
      <c r="S19" s="7">
        <v>1</v>
      </c>
      <c r="T19" s="7">
        <v>1</v>
      </c>
      <c r="U19" s="16">
        <v>1</v>
      </c>
      <c r="V19" s="7">
        <v>1</v>
      </c>
      <c r="W19" s="7">
        <v>0</v>
      </c>
      <c r="X19" s="175" t="s">
        <v>55</v>
      </c>
      <c r="Y19" s="175" t="s">
        <v>36</v>
      </c>
    </row>
    <row r="20" spans="1:25" ht="14.25" customHeight="1" x14ac:dyDescent="0.3">
      <c r="A20" s="174">
        <v>45924</v>
      </c>
      <c r="B20" s="174">
        <v>45925</v>
      </c>
      <c r="C20" s="5" t="s">
        <v>143</v>
      </c>
      <c r="D20" s="5" t="s">
        <v>28</v>
      </c>
      <c r="E20" s="5" t="s">
        <v>144</v>
      </c>
      <c r="F20" s="5" t="s">
        <v>32</v>
      </c>
      <c r="G20" s="5" t="s">
        <v>31</v>
      </c>
      <c r="H20" s="5" t="s">
        <v>173</v>
      </c>
      <c r="I20" s="5" t="s">
        <v>65</v>
      </c>
      <c r="J20" s="5" t="s">
        <v>173</v>
      </c>
      <c r="K20" s="7">
        <v>43</v>
      </c>
      <c r="L20" s="7">
        <v>4</v>
      </c>
      <c r="M20" s="16">
        <v>9.3022999999999995E-2</v>
      </c>
      <c r="N20" s="175" t="s">
        <v>419</v>
      </c>
      <c r="O20" s="9">
        <v>4.88</v>
      </c>
      <c r="P20" s="9">
        <v>24.94</v>
      </c>
      <c r="Q20" s="176">
        <v>19.57</v>
      </c>
      <c r="R20" s="9">
        <v>5.1100000000000003</v>
      </c>
      <c r="S20" s="7">
        <v>1</v>
      </c>
      <c r="T20" s="7">
        <v>1</v>
      </c>
      <c r="U20" s="16">
        <v>0.25</v>
      </c>
      <c r="V20" s="7">
        <v>1</v>
      </c>
      <c r="W20" s="7">
        <v>0</v>
      </c>
      <c r="X20" s="175" t="s">
        <v>35</v>
      </c>
      <c r="Y20" s="175" t="s">
        <v>36</v>
      </c>
    </row>
    <row r="21" spans="1:25" ht="14.25" customHeight="1" x14ac:dyDescent="0.3">
      <c r="A21" s="174">
        <v>45923</v>
      </c>
      <c r="B21" s="174">
        <v>45923</v>
      </c>
      <c r="C21" s="5" t="s">
        <v>27</v>
      </c>
      <c r="D21" s="5" t="s">
        <v>28</v>
      </c>
      <c r="E21" s="5" t="s">
        <v>71</v>
      </c>
      <c r="F21" s="5" t="s">
        <v>72</v>
      </c>
      <c r="G21" s="5" t="s">
        <v>31</v>
      </c>
      <c r="H21" s="5" t="s">
        <v>51</v>
      </c>
      <c r="I21" s="5" t="s">
        <v>52</v>
      </c>
      <c r="J21" s="5" t="s">
        <v>436</v>
      </c>
      <c r="K21" s="7">
        <v>1</v>
      </c>
      <c r="L21" s="7">
        <v>1</v>
      </c>
      <c r="M21" s="16">
        <v>1</v>
      </c>
      <c r="N21" s="175" t="s">
        <v>237</v>
      </c>
      <c r="O21" s="9">
        <v>4.42</v>
      </c>
      <c r="P21" s="9">
        <v>24.94</v>
      </c>
      <c r="Q21" s="176">
        <v>17.72</v>
      </c>
      <c r="R21" s="9">
        <v>5.64</v>
      </c>
      <c r="S21" s="7">
        <v>1</v>
      </c>
      <c r="T21" s="7">
        <v>1</v>
      </c>
      <c r="U21" s="16">
        <v>1</v>
      </c>
      <c r="V21" s="7">
        <v>1</v>
      </c>
      <c r="W21" s="7">
        <v>0</v>
      </c>
      <c r="X21" s="175" t="s">
        <v>35</v>
      </c>
      <c r="Y21" s="175" t="s">
        <v>36</v>
      </c>
    </row>
    <row r="22" spans="1:25" ht="14.25" customHeight="1" x14ac:dyDescent="0.3">
      <c r="A22" s="174">
        <v>45926</v>
      </c>
      <c r="B22" s="174">
        <v>45926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30</v>
      </c>
      <c r="I22" s="5" t="s">
        <v>32</v>
      </c>
      <c r="J22" s="5" t="s">
        <v>404</v>
      </c>
      <c r="K22" s="7">
        <v>3</v>
      </c>
      <c r="L22" s="7">
        <v>1</v>
      </c>
      <c r="M22" s="16">
        <v>0.33333299999999999</v>
      </c>
      <c r="N22" s="175" t="s">
        <v>167</v>
      </c>
      <c r="O22" s="9">
        <v>5.18</v>
      </c>
      <c r="P22" s="9">
        <v>24.94</v>
      </c>
      <c r="Q22" s="176">
        <v>20.77</v>
      </c>
      <c r="R22" s="9">
        <v>4.8099999999999996</v>
      </c>
      <c r="S22" s="7">
        <v>1</v>
      </c>
      <c r="T22" s="7">
        <v>1</v>
      </c>
      <c r="U22" s="16">
        <v>1</v>
      </c>
      <c r="V22" s="7">
        <v>1</v>
      </c>
      <c r="W22" s="7">
        <v>0</v>
      </c>
      <c r="X22" s="175" t="s">
        <v>35</v>
      </c>
      <c r="Y22" s="175" t="s">
        <v>36</v>
      </c>
    </row>
    <row r="23" spans="1:25" ht="14.25" customHeight="1" x14ac:dyDescent="0.3">
      <c r="A23" s="174">
        <v>45923</v>
      </c>
      <c r="B23" s="174">
        <v>45923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30</v>
      </c>
      <c r="I23" s="5" t="s">
        <v>32</v>
      </c>
      <c r="J23" s="5" t="s">
        <v>437</v>
      </c>
      <c r="K23" s="7">
        <v>3</v>
      </c>
      <c r="L23" s="7">
        <v>1</v>
      </c>
      <c r="M23" s="16">
        <v>0.33333299999999999</v>
      </c>
      <c r="N23" s="175" t="s">
        <v>309</v>
      </c>
      <c r="O23" s="9">
        <v>3.7</v>
      </c>
      <c r="P23" s="9">
        <v>24.94</v>
      </c>
      <c r="Q23" s="176">
        <v>14.84</v>
      </c>
      <c r="R23" s="9">
        <v>6.74</v>
      </c>
      <c r="S23" s="7">
        <v>1</v>
      </c>
      <c r="T23" s="7">
        <v>1</v>
      </c>
      <c r="U23" s="16">
        <v>1</v>
      </c>
      <c r="V23" s="7">
        <v>1</v>
      </c>
      <c r="W23" s="7">
        <v>0</v>
      </c>
      <c r="X23" s="175" t="s">
        <v>35</v>
      </c>
      <c r="Y23" s="175" t="s">
        <v>36</v>
      </c>
    </row>
    <row r="24" spans="1:25" ht="14.25" customHeight="1" x14ac:dyDescent="0.3">
      <c r="A24" s="174">
        <v>45927</v>
      </c>
      <c r="B24" s="174">
        <v>45927</v>
      </c>
      <c r="C24" s="5" t="s">
        <v>27</v>
      </c>
      <c r="D24" s="5" t="s">
        <v>28</v>
      </c>
      <c r="E24" s="5" t="s">
        <v>71</v>
      </c>
      <c r="F24" s="5" t="s">
        <v>72</v>
      </c>
      <c r="G24" s="5" t="s">
        <v>31</v>
      </c>
      <c r="H24" s="5" t="s">
        <v>51</v>
      </c>
      <c r="I24" s="5" t="s">
        <v>52</v>
      </c>
      <c r="J24" s="5" t="s">
        <v>398</v>
      </c>
      <c r="K24" s="7">
        <v>1</v>
      </c>
      <c r="L24" s="7">
        <v>1</v>
      </c>
      <c r="M24" s="16">
        <v>1</v>
      </c>
      <c r="N24" s="175" t="s">
        <v>371</v>
      </c>
      <c r="O24" s="9">
        <v>3.16</v>
      </c>
      <c r="P24" s="9">
        <v>24.94</v>
      </c>
      <c r="Q24" s="176">
        <v>12.67</v>
      </c>
      <c r="R24" s="9">
        <v>7.89</v>
      </c>
      <c r="S24" s="7">
        <v>1</v>
      </c>
      <c r="T24" s="7">
        <v>1</v>
      </c>
      <c r="U24" s="16">
        <v>1</v>
      </c>
      <c r="V24" s="7">
        <v>1</v>
      </c>
      <c r="W24" s="7">
        <v>0</v>
      </c>
      <c r="X24" s="175" t="s">
        <v>35</v>
      </c>
      <c r="Y24" s="175" t="s">
        <v>36</v>
      </c>
    </row>
    <row r="25" spans="1:25" ht="14.25" customHeight="1" x14ac:dyDescent="0.3">
      <c r="A25" s="174">
        <v>45926</v>
      </c>
      <c r="B25" s="174">
        <v>45926</v>
      </c>
      <c r="C25" s="5" t="s">
        <v>143</v>
      </c>
      <c r="D25" s="5" t="s">
        <v>28</v>
      </c>
      <c r="E25" s="5" t="s">
        <v>144</v>
      </c>
      <c r="F25" s="5" t="s">
        <v>32</v>
      </c>
      <c r="G25" s="5" t="s">
        <v>31</v>
      </c>
      <c r="H25" s="5" t="s">
        <v>119</v>
      </c>
      <c r="I25" s="5" t="s">
        <v>32</v>
      </c>
      <c r="J25" s="5" t="s">
        <v>119</v>
      </c>
      <c r="K25" s="7">
        <v>2</v>
      </c>
      <c r="L25" s="7">
        <v>1</v>
      </c>
      <c r="M25" s="16">
        <v>0.5</v>
      </c>
      <c r="N25" s="175" t="s">
        <v>175</v>
      </c>
      <c r="O25" s="9">
        <v>0.76</v>
      </c>
      <c r="P25" s="9">
        <v>24.94</v>
      </c>
      <c r="Q25" s="176">
        <v>3.05</v>
      </c>
      <c r="R25" s="9">
        <v>32.82</v>
      </c>
      <c r="S25" s="7">
        <v>1</v>
      </c>
      <c r="T25" s="7">
        <v>1</v>
      </c>
      <c r="U25" s="16">
        <v>1</v>
      </c>
      <c r="V25" s="7">
        <v>1</v>
      </c>
      <c r="W25" s="7">
        <v>0</v>
      </c>
      <c r="X25" s="175" t="s">
        <v>35</v>
      </c>
      <c r="Y25" s="175" t="s">
        <v>36</v>
      </c>
    </row>
    <row r="26" spans="1:25" ht="14.25" customHeight="1" x14ac:dyDescent="0.3">
      <c r="A26" s="174">
        <v>45921</v>
      </c>
      <c r="B26" s="174">
        <v>45927</v>
      </c>
      <c r="C26" s="5" t="s">
        <v>27</v>
      </c>
      <c r="D26" s="5" t="s">
        <v>28</v>
      </c>
      <c r="E26" s="5" t="s">
        <v>56</v>
      </c>
      <c r="F26" s="5" t="s">
        <v>57</v>
      </c>
      <c r="G26" s="5" t="s">
        <v>31</v>
      </c>
      <c r="H26" s="35" t="e">
        <f>+maca +root</f>
        <v>#NAME?</v>
      </c>
      <c r="I26" s="5" t="s">
        <v>32</v>
      </c>
      <c r="J26" s="5" t="s">
        <v>119</v>
      </c>
      <c r="K26" s="7">
        <v>4913</v>
      </c>
      <c r="L26" s="7">
        <v>57</v>
      </c>
      <c r="M26" s="16">
        <v>1.1601999999999999E-2</v>
      </c>
      <c r="N26" s="175" t="s">
        <v>210</v>
      </c>
      <c r="O26" s="9">
        <v>179.27</v>
      </c>
      <c r="P26" s="9">
        <v>97.32</v>
      </c>
      <c r="Q26" s="176">
        <v>184.21</v>
      </c>
      <c r="R26" s="9">
        <v>0.54</v>
      </c>
      <c r="S26" s="7">
        <v>4</v>
      </c>
      <c r="T26" s="7">
        <v>4</v>
      </c>
      <c r="U26" s="16">
        <v>7.0175000000000001E-2</v>
      </c>
      <c r="V26" s="7">
        <v>4</v>
      </c>
      <c r="W26" s="7">
        <v>0</v>
      </c>
      <c r="X26" s="175" t="s">
        <v>463</v>
      </c>
      <c r="Y26" s="175" t="s">
        <v>36</v>
      </c>
    </row>
    <row r="27" spans="1:25" ht="14.25" customHeight="1" x14ac:dyDescent="0.3">
      <c r="A27" s="174">
        <v>45921</v>
      </c>
      <c r="B27" s="174">
        <v>45927</v>
      </c>
      <c r="C27" s="5" t="s">
        <v>40</v>
      </c>
      <c r="D27" s="5" t="s">
        <v>28</v>
      </c>
      <c r="E27" s="5" t="s">
        <v>41</v>
      </c>
      <c r="F27" s="5" t="s">
        <v>42</v>
      </c>
      <c r="G27" s="5" t="s">
        <v>31</v>
      </c>
      <c r="H27" s="5" t="s">
        <v>43</v>
      </c>
      <c r="I27" s="5" t="s">
        <v>44</v>
      </c>
      <c r="J27" s="5" t="s">
        <v>60</v>
      </c>
      <c r="K27" s="7">
        <v>59</v>
      </c>
      <c r="L27" s="7">
        <v>7</v>
      </c>
      <c r="M27" s="16">
        <v>0.118644</v>
      </c>
      <c r="N27" s="175" t="s">
        <v>295</v>
      </c>
      <c r="O27" s="9">
        <v>21.49</v>
      </c>
      <c r="P27" s="9">
        <v>49.88</v>
      </c>
      <c r="Q27" s="176">
        <v>43.08</v>
      </c>
      <c r="R27" s="9">
        <v>2.3199999999999998</v>
      </c>
      <c r="S27" s="7">
        <v>2</v>
      </c>
      <c r="T27" s="7">
        <v>2</v>
      </c>
      <c r="U27" s="16">
        <v>0.28571400000000002</v>
      </c>
      <c r="V27" s="7">
        <v>2</v>
      </c>
      <c r="W27" s="7">
        <v>0</v>
      </c>
      <c r="X27" s="175" t="s">
        <v>78</v>
      </c>
      <c r="Y27" s="175" t="s">
        <v>36</v>
      </c>
    </row>
    <row r="28" spans="1:25" ht="14.25" customHeight="1" x14ac:dyDescent="0.3">
      <c r="A28" s="174">
        <v>45924</v>
      </c>
      <c r="B28" s="174">
        <v>45924</v>
      </c>
      <c r="C28" s="5" t="s">
        <v>27</v>
      </c>
      <c r="D28" s="5" t="s">
        <v>28</v>
      </c>
      <c r="E28" s="5" t="s">
        <v>71</v>
      </c>
      <c r="F28" s="5" t="s">
        <v>72</v>
      </c>
      <c r="G28" s="5" t="s">
        <v>31</v>
      </c>
      <c r="H28" s="5" t="s">
        <v>73</v>
      </c>
      <c r="I28" s="5" t="s">
        <v>52</v>
      </c>
      <c r="J28" s="5" t="s">
        <v>421</v>
      </c>
      <c r="K28" s="7">
        <v>2</v>
      </c>
      <c r="L28" s="7">
        <v>1</v>
      </c>
      <c r="M28" s="16">
        <v>0.5</v>
      </c>
      <c r="N28" s="175" t="s">
        <v>422</v>
      </c>
      <c r="O28" s="9">
        <v>5.68</v>
      </c>
      <c r="P28" s="9">
        <v>24.94</v>
      </c>
      <c r="Q28" s="176">
        <v>22.77</v>
      </c>
      <c r="R28" s="9">
        <v>4.3899999999999997</v>
      </c>
      <c r="S28" s="7">
        <v>1</v>
      </c>
      <c r="T28" s="7">
        <v>1</v>
      </c>
      <c r="U28" s="16">
        <v>1</v>
      </c>
      <c r="V28" s="7">
        <v>1</v>
      </c>
      <c r="W28" s="7">
        <v>0</v>
      </c>
      <c r="X28" s="175" t="s">
        <v>35</v>
      </c>
      <c r="Y28" s="175" t="s">
        <v>36</v>
      </c>
    </row>
    <row r="29" spans="1:25" ht="14.25" customHeight="1" x14ac:dyDescent="0.3">
      <c r="A29" s="174">
        <v>45921</v>
      </c>
      <c r="B29" s="174">
        <v>45926</v>
      </c>
      <c r="C29" s="5" t="s">
        <v>27</v>
      </c>
      <c r="D29" s="5" t="s">
        <v>28</v>
      </c>
      <c r="E29" s="5" t="s">
        <v>71</v>
      </c>
      <c r="F29" s="5" t="s">
        <v>72</v>
      </c>
      <c r="G29" s="5" t="s">
        <v>31</v>
      </c>
      <c r="H29" s="5" t="s">
        <v>73</v>
      </c>
      <c r="I29" s="5" t="s">
        <v>52</v>
      </c>
      <c r="J29" s="5" t="s">
        <v>43</v>
      </c>
      <c r="K29" s="7">
        <v>43</v>
      </c>
      <c r="L29" s="7">
        <v>4</v>
      </c>
      <c r="M29" s="16">
        <v>9.3022999999999995E-2</v>
      </c>
      <c r="N29" s="175" t="s">
        <v>90</v>
      </c>
      <c r="O29" s="9">
        <v>13.64</v>
      </c>
      <c r="P29" s="9">
        <v>49.88</v>
      </c>
      <c r="Q29" s="176">
        <v>27.35</v>
      </c>
      <c r="R29" s="9">
        <v>3.66</v>
      </c>
      <c r="S29" s="7">
        <v>2</v>
      </c>
      <c r="T29" s="7">
        <v>2</v>
      </c>
      <c r="U29" s="16">
        <v>0.5</v>
      </c>
      <c r="V29" s="7">
        <v>2</v>
      </c>
      <c r="W29" s="7">
        <v>0</v>
      </c>
      <c r="X29" s="175" t="s">
        <v>78</v>
      </c>
      <c r="Y29" s="175" t="s">
        <v>36</v>
      </c>
    </row>
    <row r="30" spans="1:25" ht="14.25" customHeight="1" x14ac:dyDescent="0.3">
      <c r="A30" s="174">
        <v>45921</v>
      </c>
      <c r="B30" s="174">
        <v>45927</v>
      </c>
      <c r="C30" s="5" t="s">
        <v>40</v>
      </c>
      <c r="D30" s="5" t="s">
        <v>28</v>
      </c>
      <c r="E30" s="5" t="s">
        <v>41</v>
      </c>
      <c r="F30" s="5" t="s">
        <v>42</v>
      </c>
      <c r="G30" s="5" t="s">
        <v>31</v>
      </c>
      <c r="H30" s="5" t="s">
        <v>43</v>
      </c>
      <c r="I30" s="5" t="s">
        <v>44</v>
      </c>
      <c r="J30" s="5" t="s">
        <v>43</v>
      </c>
      <c r="K30" s="7">
        <v>560</v>
      </c>
      <c r="L30" s="7">
        <v>17</v>
      </c>
      <c r="M30" s="16">
        <v>3.0356999999999999E-2</v>
      </c>
      <c r="N30" s="175" t="s">
        <v>34</v>
      </c>
      <c r="O30" s="9">
        <v>48.05</v>
      </c>
      <c r="P30" s="9">
        <v>122.26</v>
      </c>
      <c r="Q30" s="176">
        <v>39.299999999999997</v>
      </c>
      <c r="R30" s="9">
        <v>2.54</v>
      </c>
      <c r="S30" s="7">
        <v>5</v>
      </c>
      <c r="T30" s="7">
        <v>5</v>
      </c>
      <c r="U30" s="16">
        <v>0.29411799999999999</v>
      </c>
      <c r="V30" s="7">
        <v>5</v>
      </c>
      <c r="W30" s="7">
        <v>0</v>
      </c>
      <c r="X30" s="175" t="s">
        <v>467</v>
      </c>
      <c r="Y30" s="175" t="s">
        <v>36</v>
      </c>
    </row>
    <row r="31" spans="1:25" ht="14.25" customHeight="1" x14ac:dyDescent="0.3">
      <c r="A31" s="174">
        <v>45924</v>
      </c>
      <c r="B31" s="174">
        <v>45924</v>
      </c>
      <c r="C31" s="5" t="s">
        <v>85</v>
      </c>
      <c r="D31" s="5" t="s">
        <v>28</v>
      </c>
      <c r="E31" s="5" t="s">
        <v>108</v>
      </c>
      <c r="F31" s="5" t="s">
        <v>109</v>
      </c>
      <c r="G31" s="5" t="s">
        <v>31</v>
      </c>
      <c r="H31" s="5" t="s">
        <v>110</v>
      </c>
      <c r="I31" s="5" t="s">
        <v>44</v>
      </c>
      <c r="J31" s="5" t="s">
        <v>423</v>
      </c>
      <c r="K31" s="7">
        <v>3</v>
      </c>
      <c r="L31" s="7">
        <v>1</v>
      </c>
      <c r="M31" s="16">
        <v>0.33333299999999999</v>
      </c>
      <c r="N31" s="175" t="s">
        <v>424</v>
      </c>
      <c r="O31" s="9">
        <v>1.7</v>
      </c>
      <c r="P31" s="9">
        <v>24.94</v>
      </c>
      <c r="Q31" s="176">
        <v>6.82</v>
      </c>
      <c r="R31" s="9">
        <v>14.67</v>
      </c>
      <c r="S31" s="7">
        <v>1</v>
      </c>
      <c r="T31" s="7">
        <v>1</v>
      </c>
      <c r="U31" s="16">
        <v>1</v>
      </c>
      <c r="V31" s="7">
        <v>1</v>
      </c>
      <c r="W31" s="7">
        <v>0</v>
      </c>
      <c r="X31" s="175" t="s">
        <v>35</v>
      </c>
      <c r="Y31" s="175" t="s">
        <v>36</v>
      </c>
    </row>
    <row r="32" spans="1:25" ht="14.25" customHeight="1" x14ac:dyDescent="0.3">
      <c r="A32" s="174">
        <v>45922</v>
      </c>
      <c r="B32" s="174">
        <v>45927</v>
      </c>
      <c r="C32" s="5" t="s">
        <v>27</v>
      </c>
      <c r="D32" s="5" t="s">
        <v>28</v>
      </c>
      <c r="E32" s="5" t="s">
        <v>71</v>
      </c>
      <c r="F32" s="5" t="s">
        <v>72</v>
      </c>
      <c r="G32" s="5" t="s">
        <v>31</v>
      </c>
      <c r="H32" s="5" t="s">
        <v>73</v>
      </c>
      <c r="I32" s="5" t="s">
        <v>52</v>
      </c>
      <c r="J32" s="5" t="s">
        <v>76</v>
      </c>
      <c r="K32" s="7">
        <v>151</v>
      </c>
      <c r="L32" s="7">
        <v>5</v>
      </c>
      <c r="M32" s="16">
        <v>3.3112999999999997E-2</v>
      </c>
      <c r="N32" s="175" t="s">
        <v>441</v>
      </c>
      <c r="O32" s="9">
        <v>21.44</v>
      </c>
      <c r="P32" s="9">
        <v>24.94</v>
      </c>
      <c r="Q32" s="176">
        <v>85.97</v>
      </c>
      <c r="R32" s="9">
        <v>1.1599999999999999</v>
      </c>
      <c r="S32" s="7">
        <v>1</v>
      </c>
      <c r="T32" s="7">
        <v>1</v>
      </c>
      <c r="U32" s="16">
        <v>0.2</v>
      </c>
      <c r="V32" s="7">
        <v>1</v>
      </c>
      <c r="W32" s="7">
        <v>0</v>
      </c>
      <c r="X32" s="175" t="s">
        <v>35</v>
      </c>
      <c r="Y32" s="175" t="s">
        <v>36</v>
      </c>
    </row>
    <row r="33" spans="1:25" ht="14.25" customHeight="1" x14ac:dyDescent="0.3">
      <c r="A33" s="174">
        <v>45927</v>
      </c>
      <c r="B33" s="174">
        <v>45927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30</v>
      </c>
      <c r="I33" s="5" t="s">
        <v>32</v>
      </c>
      <c r="J33" s="5" t="s">
        <v>399</v>
      </c>
      <c r="K33" s="7">
        <v>2</v>
      </c>
      <c r="L33" s="7">
        <v>1</v>
      </c>
      <c r="M33" s="16">
        <v>0.5</v>
      </c>
      <c r="N33" s="175" t="s">
        <v>400</v>
      </c>
      <c r="O33" s="9">
        <v>3.34</v>
      </c>
      <c r="P33" s="9">
        <v>24.94</v>
      </c>
      <c r="Q33" s="176">
        <v>13.39</v>
      </c>
      <c r="R33" s="9">
        <v>7.47</v>
      </c>
      <c r="S33" s="7">
        <v>1</v>
      </c>
      <c r="T33" s="7">
        <v>1</v>
      </c>
      <c r="U33" s="16">
        <v>1</v>
      </c>
      <c r="V33" s="7">
        <v>1</v>
      </c>
      <c r="W33" s="7">
        <v>0</v>
      </c>
      <c r="X33" s="175" t="s">
        <v>35</v>
      </c>
      <c r="Y33" s="175" t="s">
        <v>36</v>
      </c>
    </row>
    <row r="34" spans="1:25" ht="14.25" customHeight="1" x14ac:dyDescent="0.3">
      <c r="A34" s="174">
        <v>45921</v>
      </c>
      <c r="B34" s="174">
        <v>45927</v>
      </c>
      <c r="C34" s="5" t="s">
        <v>27</v>
      </c>
      <c r="D34" s="5" t="s">
        <v>28</v>
      </c>
      <c r="E34" s="5" t="s">
        <v>71</v>
      </c>
      <c r="F34" s="5" t="s">
        <v>72</v>
      </c>
      <c r="G34" s="5" t="s">
        <v>31</v>
      </c>
      <c r="H34" s="5" t="s">
        <v>73</v>
      </c>
      <c r="I34" s="5" t="s">
        <v>52</v>
      </c>
      <c r="J34" s="5" t="s">
        <v>101</v>
      </c>
      <c r="K34" s="7">
        <v>279</v>
      </c>
      <c r="L34" s="7">
        <v>6</v>
      </c>
      <c r="M34" s="16">
        <v>2.1505E-2</v>
      </c>
      <c r="N34" s="175" t="s">
        <v>468</v>
      </c>
      <c r="O34" s="9">
        <v>26.77</v>
      </c>
      <c r="P34" s="9">
        <v>49.88</v>
      </c>
      <c r="Q34" s="176">
        <v>53.67</v>
      </c>
      <c r="R34" s="9">
        <v>1.86</v>
      </c>
      <c r="S34" s="7">
        <v>2</v>
      </c>
      <c r="T34" s="7">
        <v>2</v>
      </c>
      <c r="U34" s="16">
        <v>0.33333299999999999</v>
      </c>
      <c r="V34" s="7">
        <v>2</v>
      </c>
      <c r="W34" s="7">
        <v>0</v>
      </c>
      <c r="X34" s="175" t="s">
        <v>78</v>
      </c>
      <c r="Y34" s="175" t="s">
        <v>36</v>
      </c>
    </row>
    <row r="35" spans="1:25" ht="14.25" customHeight="1" x14ac:dyDescent="0.3">
      <c r="A35" s="174">
        <v>45924</v>
      </c>
      <c r="B35" s="174">
        <v>45925</v>
      </c>
      <c r="C35" s="5" t="s">
        <v>27</v>
      </c>
      <c r="D35" s="5" t="s">
        <v>28</v>
      </c>
      <c r="E35" s="5" t="s">
        <v>71</v>
      </c>
      <c r="F35" s="5" t="s">
        <v>72</v>
      </c>
      <c r="G35" s="5" t="s">
        <v>31</v>
      </c>
      <c r="H35" s="5" t="s">
        <v>51</v>
      </c>
      <c r="I35" s="5" t="s">
        <v>52</v>
      </c>
      <c r="J35" s="5" t="s">
        <v>425</v>
      </c>
      <c r="K35" s="7">
        <v>4</v>
      </c>
      <c r="L35" s="7">
        <v>2</v>
      </c>
      <c r="M35" s="16">
        <v>0.5</v>
      </c>
      <c r="N35" s="175" t="s">
        <v>426</v>
      </c>
      <c r="O35" s="9">
        <v>7.35</v>
      </c>
      <c r="P35" s="9">
        <v>24.94</v>
      </c>
      <c r="Q35" s="176">
        <v>29.47</v>
      </c>
      <c r="R35" s="9">
        <v>3.39</v>
      </c>
      <c r="S35" s="7">
        <v>1</v>
      </c>
      <c r="T35" s="7">
        <v>1</v>
      </c>
      <c r="U35" s="16">
        <v>0.5</v>
      </c>
      <c r="V35" s="7">
        <v>1</v>
      </c>
      <c r="W35" s="7">
        <v>0</v>
      </c>
      <c r="X35" s="175" t="s">
        <v>35</v>
      </c>
      <c r="Y35" s="175" t="s">
        <v>36</v>
      </c>
    </row>
    <row r="36" spans="1:25" ht="14.25" customHeight="1" x14ac:dyDescent="0.3">
      <c r="A36" s="174">
        <v>45924</v>
      </c>
      <c r="B36" s="174">
        <v>45924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30</v>
      </c>
      <c r="I36" s="5" t="s">
        <v>32</v>
      </c>
      <c r="J36" s="5" t="s">
        <v>428</v>
      </c>
      <c r="K36" s="7">
        <v>5</v>
      </c>
      <c r="L36" s="7">
        <v>2</v>
      </c>
      <c r="M36" s="16">
        <v>0.4</v>
      </c>
      <c r="N36" s="175" t="s">
        <v>429</v>
      </c>
      <c r="O36" s="9">
        <v>5.16</v>
      </c>
      <c r="P36" s="9">
        <v>24.94</v>
      </c>
      <c r="Q36" s="176">
        <v>20.69</v>
      </c>
      <c r="R36" s="9">
        <v>4.83</v>
      </c>
      <c r="S36" s="7">
        <v>1</v>
      </c>
      <c r="T36" s="7">
        <v>1</v>
      </c>
      <c r="U36" s="16">
        <v>0.5</v>
      </c>
      <c r="V36" s="7">
        <v>1</v>
      </c>
      <c r="W36" s="7">
        <v>0</v>
      </c>
      <c r="X36" s="175" t="s">
        <v>35</v>
      </c>
      <c r="Y36" s="175" t="s">
        <v>36</v>
      </c>
    </row>
    <row r="37" spans="1:25" ht="14.25" customHeight="1" x14ac:dyDescent="0.3">
      <c r="A37" s="174">
        <v>45922</v>
      </c>
      <c r="B37" s="174">
        <v>45925</v>
      </c>
      <c r="C37" s="5" t="s">
        <v>48</v>
      </c>
      <c r="D37" s="5" t="s">
        <v>28</v>
      </c>
      <c r="E37" s="5" t="s">
        <v>225</v>
      </c>
      <c r="F37" s="5" t="s">
        <v>226</v>
      </c>
      <c r="G37" s="5" t="s">
        <v>31</v>
      </c>
      <c r="H37" s="5" t="s">
        <v>168</v>
      </c>
      <c r="I37" s="5" t="s">
        <v>32</v>
      </c>
      <c r="J37" s="5" t="s">
        <v>443</v>
      </c>
      <c r="K37" s="7">
        <v>7</v>
      </c>
      <c r="L37" s="7">
        <v>5</v>
      </c>
      <c r="M37" s="16">
        <v>0.71428599999999998</v>
      </c>
      <c r="N37" s="175" t="s">
        <v>444</v>
      </c>
      <c r="O37" s="9">
        <v>19.8</v>
      </c>
      <c r="P37" s="9">
        <v>43.8</v>
      </c>
      <c r="Q37" s="176">
        <v>45.21</v>
      </c>
      <c r="R37" s="9">
        <v>2.21</v>
      </c>
      <c r="S37" s="7">
        <v>1</v>
      </c>
      <c r="T37" s="7">
        <v>2</v>
      </c>
      <c r="U37" s="16">
        <v>0.2</v>
      </c>
      <c r="V37" s="7">
        <v>2</v>
      </c>
      <c r="W37" s="7">
        <v>0</v>
      </c>
      <c r="X37" s="175" t="s">
        <v>67</v>
      </c>
      <c r="Y37" s="175" t="s">
        <v>36</v>
      </c>
    </row>
    <row r="38" spans="1:25" ht="14.25" customHeight="1" x14ac:dyDescent="0.3">
      <c r="A38" s="174">
        <v>45921</v>
      </c>
      <c r="B38" s="174">
        <v>45921</v>
      </c>
      <c r="C38" s="5" t="s">
        <v>48</v>
      </c>
      <c r="D38" s="5" t="s">
        <v>28</v>
      </c>
      <c r="E38" s="5" t="s">
        <v>49</v>
      </c>
      <c r="F38" s="5" t="s">
        <v>50</v>
      </c>
      <c r="G38" s="5" t="s">
        <v>31</v>
      </c>
      <c r="H38" s="5" t="s">
        <v>51</v>
      </c>
      <c r="I38" s="5" t="s">
        <v>52</v>
      </c>
      <c r="J38" s="5" t="s">
        <v>470</v>
      </c>
      <c r="K38" s="7">
        <v>1</v>
      </c>
      <c r="L38" s="7">
        <v>1</v>
      </c>
      <c r="M38" s="16">
        <v>1</v>
      </c>
      <c r="N38" s="175" t="s">
        <v>236</v>
      </c>
      <c r="O38" s="9">
        <v>2</v>
      </c>
      <c r="P38" s="9">
        <v>21.9</v>
      </c>
      <c r="Q38" s="176">
        <v>9.1300000000000008</v>
      </c>
      <c r="R38" s="9">
        <v>10.95</v>
      </c>
      <c r="S38" s="7">
        <v>1</v>
      </c>
      <c r="T38" s="7">
        <v>1</v>
      </c>
      <c r="U38" s="16">
        <v>1</v>
      </c>
      <c r="V38" s="7">
        <v>1</v>
      </c>
      <c r="W38" s="7">
        <v>0</v>
      </c>
      <c r="X38" s="175" t="s">
        <v>55</v>
      </c>
      <c r="Y38" s="175" t="s">
        <v>36</v>
      </c>
    </row>
    <row r="39" spans="1:25" ht="14.25" customHeight="1" x14ac:dyDescent="0.3">
      <c r="A39" s="174">
        <v>45922</v>
      </c>
      <c r="B39" s="174">
        <v>45925</v>
      </c>
      <c r="C39" s="5" t="s">
        <v>48</v>
      </c>
      <c r="D39" s="5" t="s">
        <v>28</v>
      </c>
      <c r="E39" s="5" t="s">
        <v>446</v>
      </c>
      <c r="F39" s="5" t="s">
        <v>447</v>
      </c>
      <c r="G39" s="5" t="s">
        <v>31</v>
      </c>
      <c r="H39" s="5" t="s">
        <v>448</v>
      </c>
      <c r="I39" s="5" t="s">
        <v>44</v>
      </c>
      <c r="J39" s="5" t="s">
        <v>448</v>
      </c>
      <c r="K39" s="7">
        <v>14</v>
      </c>
      <c r="L39" s="7">
        <v>2</v>
      </c>
      <c r="M39" s="16">
        <v>0.14285700000000001</v>
      </c>
      <c r="N39" s="175" t="s">
        <v>369</v>
      </c>
      <c r="O39" s="9">
        <v>6.78</v>
      </c>
      <c r="P39" s="9">
        <v>21.9</v>
      </c>
      <c r="Q39" s="176">
        <v>30.96</v>
      </c>
      <c r="R39" s="9">
        <v>3.23</v>
      </c>
      <c r="S39" s="7">
        <v>1</v>
      </c>
      <c r="T39" s="7">
        <v>1</v>
      </c>
      <c r="U39" s="16">
        <v>0.5</v>
      </c>
      <c r="V39" s="7">
        <v>1</v>
      </c>
      <c r="W39" s="7">
        <v>0</v>
      </c>
      <c r="X39" s="175" t="s">
        <v>55</v>
      </c>
      <c r="Y39" s="175" t="s">
        <v>36</v>
      </c>
    </row>
    <row r="40" spans="1:25" ht="14.25" customHeight="1" x14ac:dyDescent="0.3">
      <c r="A40" s="174">
        <v>45921</v>
      </c>
      <c r="B40" s="174">
        <v>45926</v>
      </c>
      <c r="C40" s="5" t="s">
        <v>48</v>
      </c>
      <c r="D40" s="5" t="s">
        <v>28</v>
      </c>
      <c r="E40" s="5" t="s">
        <v>233</v>
      </c>
      <c r="F40" s="5" t="s">
        <v>234</v>
      </c>
      <c r="G40" s="5" t="s">
        <v>31</v>
      </c>
      <c r="H40" s="5" t="s">
        <v>223</v>
      </c>
      <c r="I40" s="5" t="s">
        <v>32</v>
      </c>
      <c r="J40" s="5" t="s">
        <v>471</v>
      </c>
      <c r="K40" s="7">
        <v>107</v>
      </c>
      <c r="L40" s="7">
        <v>7</v>
      </c>
      <c r="M40" s="16">
        <v>6.5421000000000007E-2</v>
      </c>
      <c r="N40" s="175" t="s">
        <v>128</v>
      </c>
      <c r="O40" s="9">
        <v>27.83</v>
      </c>
      <c r="P40" s="9">
        <v>21.9</v>
      </c>
      <c r="Q40" s="176">
        <v>127.08</v>
      </c>
      <c r="R40" s="9">
        <v>0.79</v>
      </c>
      <c r="S40" s="7">
        <v>1</v>
      </c>
      <c r="T40" s="7">
        <v>1</v>
      </c>
      <c r="U40" s="16">
        <v>0.14285700000000001</v>
      </c>
      <c r="V40" s="7">
        <v>1</v>
      </c>
      <c r="W40" s="7">
        <v>0</v>
      </c>
      <c r="X40" s="175" t="s">
        <v>55</v>
      </c>
      <c r="Y40" s="175" t="s">
        <v>36</v>
      </c>
    </row>
    <row r="41" spans="1:25" ht="14.25" customHeight="1" x14ac:dyDescent="0.3">
      <c r="A41" s="174">
        <v>45927</v>
      </c>
      <c r="B41" s="174">
        <v>45927</v>
      </c>
      <c r="C41" s="5" t="s">
        <v>27</v>
      </c>
      <c r="D41" s="5" t="s">
        <v>28</v>
      </c>
      <c r="E41" s="5" t="s">
        <v>56</v>
      </c>
      <c r="F41" s="5" t="s">
        <v>57</v>
      </c>
      <c r="G41" s="5" t="s">
        <v>31</v>
      </c>
      <c r="H41" s="35" t="e">
        <f>+maca +root</f>
        <v>#NAME?</v>
      </c>
      <c r="I41" s="5" t="s">
        <v>32</v>
      </c>
      <c r="J41" s="5" t="s">
        <v>401</v>
      </c>
      <c r="K41" s="7">
        <v>1</v>
      </c>
      <c r="L41" s="7">
        <v>1</v>
      </c>
      <c r="M41" s="16">
        <v>1</v>
      </c>
      <c r="N41" s="175" t="s">
        <v>371</v>
      </c>
      <c r="O41" s="9">
        <v>3.16</v>
      </c>
      <c r="P41" s="9">
        <v>24.94</v>
      </c>
      <c r="Q41" s="176">
        <v>12.67</v>
      </c>
      <c r="R41" s="9">
        <v>7.89</v>
      </c>
      <c r="S41" s="7">
        <v>1</v>
      </c>
      <c r="T41" s="7">
        <v>1</v>
      </c>
      <c r="U41" s="16">
        <v>1</v>
      </c>
      <c r="V41" s="7">
        <v>1</v>
      </c>
      <c r="W41" s="7">
        <v>0</v>
      </c>
      <c r="X41" s="175" t="s">
        <v>35</v>
      </c>
      <c r="Y41" s="175" t="s">
        <v>36</v>
      </c>
    </row>
    <row r="42" spans="1:25" ht="14.25" customHeight="1" x14ac:dyDescent="0.3">
      <c r="A42" s="174">
        <v>45922</v>
      </c>
      <c r="B42" s="174">
        <v>45925</v>
      </c>
      <c r="C42" s="5" t="s">
        <v>48</v>
      </c>
      <c r="D42" s="5" t="s">
        <v>28</v>
      </c>
      <c r="E42" s="5" t="s">
        <v>233</v>
      </c>
      <c r="F42" s="5" t="s">
        <v>234</v>
      </c>
      <c r="G42" s="5" t="s">
        <v>31</v>
      </c>
      <c r="H42" s="177" t="s">
        <v>917</v>
      </c>
      <c r="I42" s="5" t="s">
        <v>32</v>
      </c>
      <c r="J42" s="5" t="s">
        <v>450</v>
      </c>
      <c r="K42" s="7">
        <v>5</v>
      </c>
      <c r="L42" s="7">
        <v>2</v>
      </c>
      <c r="M42" s="16">
        <v>0.4</v>
      </c>
      <c r="N42" s="175" t="s">
        <v>388</v>
      </c>
      <c r="O42" s="9">
        <v>6.24</v>
      </c>
      <c r="P42" s="9">
        <v>21.9</v>
      </c>
      <c r="Q42" s="176">
        <v>28.49</v>
      </c>
      <c r="R42" s="9">
        <v>3.51</v>
      </c>
      <c r="S42" s="7">
        <v>1</v>
      </c>
      <c r="T42" s="7">
        <v>1</v>
      </c>
      <c r="U42" s="16">
        <v>0.5</v>
      </c>
      <c r="V42" s="7">
        <v>1</v>
      </c>
      <c r="W42" s="7">
        <v>0</v>
      </c>
      <c r="X42" s="175" t="s">
        <v>55</v>
      </c>
      <c r="Y42" s="175" t="s">
        <v>36</v>
      </c>
    </row>
    <row r="43" spans="1:25" ht="14.25" customHeight="1" x14ac:dyDescent="0.3">
      <c r="A43" s="174">
        <v>45922</v>
      </c>
      <c r="B43" s="174">
        <v>45927</v>
      </c>
      <c r="C43" s="5" t="s">
        <v>48</v>
      </c>
      <c r="D43" s="5" t="s">
        <v>28</v>
      </c>
      <c r="E43" s="5" t="s">
        <v>233</v>
      </c>
      <c r="F43" s="5" t="s">
        <v>234</v>
      </c>
      <c r="G43" s="5" t="s">
        <v>31</v>
      </c>
      <c r="H43" s="35" t="s">
        <v>917</v>
      </c>
      <c r="I43" s="5" t="s">
        <v>32</v>
      </c>
      <c r="J43" s="5" t="s">
        <v>221</v>
      </c>
      <c r="K43" s="7">
        <v>3</v>
      </c>
      <c r="L43" s="7">
        <v>2</v>
      </c>
      <c r="M43" s="16">
        <v>0.66666700000000001</v>
      </c>
      <c r="N43" s="175" t="s">
        <v>311</v>
      </c>
      <c r="O43" s="9">
        <v>8.06</v>
      </c>
      <c r="P43" s="9">
        <v>21.9</v>
      </c>
      <c r="Q43" s="176">
        <v>36.799999999999997</v>
      </c>
      <c r="R43" s="9">
        <v>2.72</v>
      </c>
      <c r="S43" s="7">
        <v>1</v>
      </c>
      <c r="T43" s="7">
        <v>1</v>
      </c>
      <c r="U43" s="16">
        <v>0.5</v>
      </c>
      <c r="V43" s="7">
        <v>1</v>
      </c>
      <c r="W43" s="7">
        <v>0</v>
      </c>
      <c r="X43" s="175" t="s">
        <v>55</v>
      </c>
      <c r="Y43" s="175" t="s">
        <v>36</v>
      </c>
    </row>
    <row r="44" spans="1:25" ht="14.25" customHeight="1" x14ac:dyDescent="0.3">
      <c r="A44" s="174">
        <v>45922</v>
      </c>
      <c r="B44" s="174">
        <v>45926</v>
      </c>
      <c r="C44" s="5" t="s">
        <v>85</v>
      </c>
      <c r="D44" s="5" t="s">
        <v>28</v>
      </c>
      <c r="E44" s="5" t="s">
        <v>86</v>
      </c>
      <c r="F44" s="5" t="s">
        <v>87</v>
      </c>
      <c r="G44" s="5" t="s">
        <v>31</v>
      </c>
      <c r="H44" s="5" t="s">
        <v>87</v>
      </c>
      <c r="I44" s="5" t="s">
        <v>44</v>
      </c>
      <c r="J44" s="5" t="s">
        <v>308</v>
      </c>
      <c r="K44" s="7">
        <v>13</v>
      </c>
      <c r="L44" s="7">
        <v>4</v>
      </c>
      <c r="M44" s="16">
        <v>0.30769200000000002</v>
      </c>
      <c r="N44" s="175" t="s">
        <v>453</v>
      </c>
      <c r="O44" s="9">
        <v>18.079999999999998</v>
      </c>
      <c r="P44" s="9">
        <v>21.9</v>
      </c>
      <c r="Q44" s="176">
        <v>82.56</v>
      </c>
      <c r="R44" s="9">
        <v>1.21</v>
      </c>
      <c r="S44" s="7">
        <v>1</v>
      </c>
      <c r="T44" s="7">
        <v>1</v>
      </c>
      <c r="U44" s="16">
        <v>0.25</v>
      </c>
      <c r="V44" s="7">
        <v>1</v>
      </c>
      <c r="W44" s="7">
        <v>0</v>
      </c>
      <c r="X44" s="175" t="s">
        <v>55</v>
      </c>
      <c r="Y44" s="175" t="s">
        <v>36</v>
      </c>
    </row>
    <row r="45" spans="1:25" ht="14.25" customHeight="1" x14ac:dyDescent="0.3">
      <c r="A45" s="174">
        <v>45921</v>
      </c>
      <c r="B45" s="174">
        <v>45921</v>
      </c>
      <c r="C45" s="5" t="s">
        <v>48</v>
      </c>
      <c r="D45" s="5" t="s">
        <v>28</v>
      </c>
      <c r="E45" s="5" t="s">
        <v>225</v>
      </c>
      <c r="F45" s="5" t="s">
        <v>226</v>
      </c>
      <c r="G45" s="5" t="s">
        <v>31</v>
      </c>
      <c r="H45" s="5" t="s">
        <v>168</v>
      </c>
      <c r="I45" s="5" t="s">
        <v>32</v>
      </c>
      <c r="J45" s="5" t="s">
        <v>473</v>
      </c>
      <c r="K45" s="6">
        <v>2</v>
      </c>
      <c r="L45" s="6">
        <v>1</v>
      </c>
      <c r="M45" s="8">
        <v>0.5</v>
      </c>
      <c r="N45" s="6" t="s">
        <v>350</v>
      </c>
      <c r="O45" s="9">
        <v>2.82</v>
      </c>
      <c r="P45" s="9">
        <v>21.9</v>
      </c>
      <c r="Q45" s="6">
        <v>12.88</v>
      </c>
      <c r="R45" s="6">
        <v>7.77</v>
      </c>
      <c r="S45" s="6">
        <v>1</v>
      </c>
      <c r="T45" s="6">
        <v>1</v>
      </c>
      <c r="U45" s="8">
        <v>1</v>
      </c>
      <c r="V45" s="6">
        <v>1</v>
      </c>
      <c r="W45" s="6">
        <v>0</v>
      </c>
      <c r="X45" s="6" t="s">
        <v>55</v>
      </c>
      <c r="Y45" s="6" t="s">
        <v>36</v>
      </c>
    </row>
    <row r="46" spans="1:25" ht="14.25" customHeight="1" x14ac:dyDescent="0.3">
      <c r="A46" s="174">
        <v>45923</v>
      </c>
      <c r="B46" s="174">
        <v>45923</v>
      </c>
      <c r="C46" s="5" t="s">
        <v>48</v>
      </c>
      <c r="D46" s="5" t="s">
        <v>28</v>
      </c>
      <c r="E46" s="5" t="s">
        <v>49</v>
      </c>
      <c r="F46" s="5" t="s">
        <v>50</v>
      </c>
      <c r="G46" s="5" t="s">
        <v>31</v>
      </c>
      <c r="H46" s="5" t="s">
        <v>51</v>
      </c>
      <c r="I46" s="5" t="s">
        <v>52</v>
      </c>
      <c r="J46" s="5" t="s">
        <v>438</v>
      </c>
      <c r="K46" s="6">
        <v>1</v>
      </c>
      <c r="L46" s="6">
        <v>1</v>
      </c>
      <c r="M46" s="8">
        <v>1</v>
      </c>
      <c r="N46" s="6" t="s">
        <v>131</v>
      </c>
      <c r="O46" s="9">
        <v>3</v>
      </c>
      <c r="P46" s="9">
        <v>21.9</v>
      </c>
      <c r="Q46" s="6">
        <v>13.7</v>
      </c>
      <c r="R46" s="6">
        <v>7.3</v>
      </c>
      <c r="S46" s="6">
        <v>1</v>
      </c>
      <c r="T46" s="6">
        <v>1</v>
      </c>
      <c r="U46" s="8">
        <v>1</v>
      </c>
      <c r="V46" s="6">
        <v>1</v>
      </c>
      <c r="W46" s="6">
        <v>0</v>
      </c>
      <c r="X46" s="6" t="s">
        <v>55</v>
      </c>
      <c r="Y46" s="6" t="s">
        <v>36</v>
      </c>
    </row>
    <row r="47" spans="1:25" ht="14.25" customHeight="1" x14ac:dyDescent="0.3">
      <c r="A47" s="174">
        <v>45925</v>
      </c>
      <c r="B47" s="174">
        <v>45925</v>
      </c>
      <c r="C47" s="5" t="s">
        <v>27</v>
      </c>
      <c r="D47" s="5" t="s">
        <v>28</v>
      </c>
      <c r="E47" s="5" t="s">
        <v>71</v>
      </c>
      <c r="F47" s="5" t="s">
        <v>72</v>
      </c>
      <c r="G47" s="5" t="s">
        <v>31</v>
      </c>
      <c r="H47" s="5" t="s">
        <v>51</v>
      </c>
      <c r="I47" s="5" t="s">
        <v>52</v>
      </c>
      <c r="J47" s="5" t="s">
        <v>412</v>
      </c>
      <c r="K47" s="6">
        <v>1</v>
      </c>
      <c r="L47" s="6">
        <v>1</v>
      </c>
      <c r="M47" s="8">
        <v>1</v>
      </c>
      <c r="N47" s="6" t="s">
        <v>413</v>
      </c>
      <c r="O47" s="9">
        <v>2.2200000000000002</v>
      </c>
      <c r="P47" s="9">
        <v>24.94</v>
      </c>
      <c r="Q47" s="6">
        <v>8.9</v>
      </c>
      <c r="R47" s="6">
        <v>11.23</v>
      </c>
      <c r="S47" s="6">
        <v>1</v>
      </c>
      <c r="T47" s="6">
        <v>1</v>
      </c>
      <c r="U47" s="8">
        <v>1</v>
      </c>
      <c r="V47" s="6">
        <v>1</v>
      </c>
      <c r="W47" s="6">
        <v>0</v>
      </c>
      <c r="X47" s="6" t="s">
        <v>35</v>
      </c>
      <c r="Y47" s="6" t="s">
        <v>36</v>
      </c>
    </row>
    <row r="48" spans="1:25" ht="14.25" customHeight="1" x14ac:dyDescent="0.25">
      <c r="P48" s="144"/>
    </row>
    <row r="49" spans="16:16" ht="14.25" customHeight="1" x14ac:dyDescent="0.25">
      <c r="P49" s="144"/>
    </row>
    <row r="50" spans="16:16" ht="14.25" customHeight="1" x14ac:dyDescent="0.25">
      <c r="P50" s="144"/>
    </row>
    <row r="51" spans="16:16" ht="14.25" customHeight="1" x14ac:dyDescent="0.25">
      <c r="P51" s="144"/>
    </row>
    <row r="52" spans="16:16" ht="14.25" customHeight="1" x14ac:dyDescent="0.25">
      <c r="P52" s="144"/>
    </row>
    <row r="53" spans="16:16" ht="14.25" customHeight="1" x14ac:dyDescent="0.25">
      <c r="P53" s="144"/>
    </row>
    <row r="54" spans="16:16" ht="14.25" customHeight="1" x14ac:dyDescent="0.25">
      <c r="P54" s="144"/>
    </row>
    <row r="55" spans="16:16" ht="14.25" customHeight="1" x14ac:dyDescent="0.25">
      <c r="P55" s="144"/>
    </row>
    <row r="56" spans="16:16" ht="14.25" customHeight="1" x14ac:dyDescent="0.25">
      <c r="P56" s="144"/>
    </row>
    <row r="57" spans="16:16" ht="14.25" customHeight="1" x14ac:dyDescent="0.25">
      <c r="P57" s="144"/>
    </row>
    <row r="58" spans="16:16" ht="14.25" customHeight="1" x14ac:dyDescent="0.25">
      <c r="P58" s="144"/>
    </row>
    <row r="59" spans="16:16" ht="14.25" customHeight="1" x14ac:dyDescent="0.25">
      <c r="P59" s="144"/>
    </row>
    <row r="60" spans="16:16" ht="14.25" customHeight="1" x14ac:dyDescent="0.25">
      <c r="P60" s="144"/>
    </row>
    <row r="61" spans="16:16" ht="14.25" customHeight="1" x14ac:dyDescent="0.25">
      <c r="P61" s="144"/>
    </row>
    <row r="62" spans="16:16" ht="14.25" customHeight="1" x14ac:dyDescent="0.25">
      <c r="P62" s="144"/>
    </row>
    <row r="63" spans="16:16" ht="14.25" customHeight="1" x14ac:dyDescent="0.25">
      <c r="P63" s="144"/>
    </row>
    <row r="64" spans="16:16" ht="14.25" customHeight="1" x14ac:dyDescent="0.25">
      <c r="P64" s="144"/>
    </row>
    <row r="65" spans="16:16" ht="14.25" customHeight="1" x14ac:dyDescent="0.25">
      <c r="P65" s="144"/>
    </row>
    <row r="66" spans="16:16" ht="14.25" customHeight="1" x14ac:dyDescent="0.25">
      <c r="P66" s="144"/>
    </row>
    <row r="67" spans="16:16" ht="14.25" customHeight="1" x14ac:dyDescent="0.25">
      <c r="P67" s="144"/>
    </row>
    <row r="68" spans="16:16" ht="14.25" customHeight="1" x14ac:dyDescent="0.25">
      <c r="P68" s="144"/>
    </row>
    <row r="69" spans="16:16" ht="14.25" customHeight="1" x14ac:dyDescent="0.25">
      <c r="P69" s="144"/>
    </row>
    <row r="70" spans="16:16" ht="14.25" customHeight="1" x14ac:dyDescent="0.25">
      <c r="P70" s="144"/>
    </row>
    <row r="71" spans="16:16" ht="14.25" customHeight="1" x14ac:dyDescent="0.25">
      <c r="P71" s="144"/>
    </row>
    <row r="72" spans="16:16" ht="14.25" customHeight="1" x14ac:dyDescent="0.25">
      <c r="P72" s="144"/>
    </row>
    <row r="73" spans="16:16" ht="14.25" customHeight="1" x14ac:dyDescent="0.25">
      <c r="P73" s="144"/>
    </row>
    <row r="74" spans="16:16" ht="14.25" customHeight="1" x14ac:dyDescent="0.25">
      <c r="P74" s="144"/>
    </row>
    <row r="75" spans="16:16" ht="14.25" customHeight="1" x14ac:dyDescent="0.25">
      <c r="P75" s="144"/>
    </row>
    <row r="76" spans="16:16" ht="14.25" customHeight="1" x14ac:dyDescent="0.25">
      <c r="P76" s="144"/>
    </row>
    <row r="77" spans="16:16" ht="14.25" customHeight="1" x14ac:dyDescent="0.25">
      <c r="P77" s="144"/>
    </row>
    <row r="78" spans="16:16" ht="14.25" customHeight="1" x14ac:dyDescent="0.25">
      <c r="P78" s="144"/>
    </row>
    <row r="79" spans="16:16" ht="14.25" customHeight="1" x14ac:dyDescent="0.25">
      <c r="P79" s="144"/>
    </row>
    <row r="80" spans="16:16" ht="14.25" customHeight="1" x14ac:dyDescent="0.25">
      <c r="P80" s="144"/>
    </row>
    <row r="81" spans="16:16" ht="14.25" customHeight="1" x14ac:dyDescent="0.25">
      <c r="P81" s="144"/>
    </row>
    <row r="82" spans="16:16" ht="14.25" customHeight="1" x14ac:dyDescent="0.25">
      <c r="P82" s="144"/>
    </row>
    <row r="83" spans="16:16" ht="14.25" customHeight="1" x14ac:dyDescent="0.25">
      <c r="P83" s="144"/>
    </row>
    <row r="84" spans="16:16" ht="14.25" customHeight="1" x14ac:dyDescent="0.25">
      <c r="P84" s="144"/>
    </row>
    <row r="85" spans="16:16" ht="14.25" customHeight="1" x14ac:dyDescent="0.25">
      <c r="P85" s="144"/>
    </row>
    <row r="86" spans="16:16" ht="14.25" customHeight="1" x14ac:dyDescent="0.25">
      <c r="P86" s="144"/>
    </row>
    <row r="87" spans="16:16" ht="14.25" customHeight="1" x14ac:dyDescent="0.25">
      <c r="P87" s="144"/>
    </row>
    <row r="88" spans="16:16" ht="14.25" customHeight="1" x14ac:dyDescent="0.25">
      <c r="P88" s="144"/>
    </row>
    <row r="89" spans="16:16" ht="14.25" customHeight="1" x14ac:dyDescent="0.25">
      <c r="P89" s="144"/>
    </row>
    <row r="90" spans="16:16" ht="14.25" customHeight="1" x14ac:dyDescent="0.25">
      <c r="P90" s="144"/>
    </row>
    <row r="91" spans="16:16" ht="14.25" customHeight="1" x14ac:dyDescent="0.25">
      <c r="P91" s="144"/>
    </row>
    <row r="92" spans="16:16" ht="14.25" customHeight="1" x14ac:dyDescent="0.25">
      <c r="P92" s="144"/>
    </row>
    <row r="93" spans="16:16" ht="14.25" customHeight="1" x14ac:dyDescent="0.25">
      <c r="P93" s="144"/>
    </row>
    <row r="94" spans="16:16" ht="14.25" customHeight="1" x14ac:dyDescent="0.25">
      <c r="P94" s="144"/>
    </row>
    <row r="95" spans="16:16" ht="14.25" customHeight="1" x14ac:dyDescent="0.25">
      <c r="P95" s="144"/>
    </row>
    <row r="96" spans="16:16" ht="14.25" customHeight="1" x14ac:dyDescent="0.25">
      <c r="P96" s="144"/>
    </row>
    <row r="97" spans="16:16" ht="14.25" customHeight="1" x14ac:dyDescent="0.25">
      <c r="P97" s="144"/>
    </row>
    <row r="98" spans="16:16" ht="14.25" customHeight="1" x14ac:dyDescent="0.25">
      <c r="P98" s="144"/>
    </row>
    <row r="99" spans="16:16" ht="14.25" customHeight="1" x14ac:dyDescent="0.25">
      <c r="P99" s="144"/>
    </row>
    <row r="100" spans="16:16" ht="14.25" customHeight="1" x14ac:dyDescent="0.25">
      <c r="P100" s="144"/>
    </row>
    <row r="101" spans="16:16" ht="14.25" customHeight="1" x14ac:dyDescent="0.25">
      <c r="P101" s="144"/>
    </row>
    <row r="102" spans="16:16" ht="14.25" customHeight="1" x14ac:dyDescent="0.25">
      <c r="P102" s="144"/>
    </row>
    <row r="103" spans="16:16" ht="14.25" customHeight="1" x14ac:dyDescent="0.25">
      <c r="P103" s="144"/>
    </row>
    <row r="104" spans="16:16" ht="14.25" customHeight="1" x14ac:dyDescent="0.25">
      <c r="P104" s="144"/>
    </row>
    <row r="105" spans="16:16" ht="14.25" customHeight="1" x14ac:dyDescent="0.25">
      <c r="P105" s="144"/>
    </row>
    <row r="106" spans="16:16" ht="14.25" customHeight="1" x14ac:dyDescent="0.25">
      <c r="P106" s="144"/>
    </row>
    <row r="107" spans="16:16" ht="14.25" customHeight="1" x14ac:dyDescent="0.25">
      <c r="P107" s="144"/>
    </row>
    <row r="108" spans="16:16" ht="14.25" customHeight="1" x14ac:dyDescent="0.25">
      <c r="P108" s="144"/>
    </row>
    <row r="109" spans="16:16" ht="14.25" customHeight="1" x14ac:dyDescent="0.25">
      <c r="P109" s="144"/>
    </row>
    <row r="110" spans="16:16" ht="14.25" customHeight="1" x14ac:dyDescent="0.25">
      <c r="P110" s="144"/>
    </row>
    <row r="111" spans="16:16" ht="14.25" customHeight="1" x14ac:dyDescent="0.25">
      <c r="P111" s="144"/>
    </row>
    <row r="112" spans="16:16" ht="14.25" customHeight="1" x14ac:dyDescent="0.25">
      <c r="P112" s="144"/>
    </row>
    <row r="113" spans="16:16" ht="14.25" customHeight="1" x14ac:dyDescent="0.25">
      <c r="P113" s="144"/>
    </row>
    <row r="114" spans="16:16" ht="14.25" customHeight="1" x14ac:dyDescent="0.25">
      <c r="P114" s="144"/>
    </row>
    <row r="115" spans="16:16" ht="14.25" customHeight="1" x14ac:dyDescent="0.25">
      <c r="P115" s="144"/>
    </row>
    <row r="116" spans="16:16" ht="14.25" customHeight="1" x14ac:dyDescent="0.25">
      <c r="P116" s="144"/>
    </row>
    <row r="117" spans="16:16" ht="14.25" customHeight="1" x14ac:dyDescent="0.25">
      <c r="P117" s="144"/>
    </row>
    <row r="118" spans="16:16" ht="14.25" customHeight="1" x14ac:dyDescent="0.25">
      <c r="P118" s="144"/>
    </row>
    <row r="119" spans="16:16" ht="14.25" customHeight="1" x14ac:dyDescent="0.25">
      <c r="P119" s="144"/>
    </row>
    <row r="120" spans="16:16" ht="14.25" customHeight="1" x14ac:dyDescent="0.25">
      <c r="P120" s="144"/>
    </row>
    <row r="121" spans="16:16" ht="14.25" customHeight="1" x14ac:dyDescent="0.25">
      <c r="P121" s="144"/>
    </row>
    <row r="122" spans="16:16" ht="14.25" customHeight="1" x14ac:dyDescent="0.25">
      <c r="P122" s="144"/>
    </row>
    <row r="123" spans="16:16" ht="14.25" customHeight="1" x14ac:dyDescent="0.25">
      <c r="P123" s="144"/>
    </row>
    <row r="124" spans="16:16" ht="14.25" customHeight="1" x14ac:dyDescent="0.25">
      <c r="P124" s="144"/>
    </row>
    <row r="125" spans="16:16" ht="14.25" customHeight="1" x14ac:dyDescent="0.25">
      <c r="P125" s="144"/>
    </row>
    <row r="126" spans="16:16" ht="14.25" customHeight="1" x14ac:dyDescent="0.25">
      <c r="P126" s="144"/>
    </row>
    <row r="127" spans="16:16" ht="14.25" customHeight="1" x14ac:dyDescent="0.25">
      <c r="P127" s="144"/>
    </row>
    <row r="128" spans="16:16" ht="14.25" customHeight="1" x14ac:dyDescent="0.25">
      <c r="P128" s="144"/>
    </row>
    <row r="129" spans="16:16" ht="14.25" customHeight="1" x14ac:dyDescent="0.25">
      <c r="P129" s="144"/>
    </row>
    <row r="130" spans="16:16" ht="14.25" customHeight="1" x14ac:dyDescent="0.25">
      <c r="P130" s="144"/>
    </row>
    <row r="131" spans="16:16" ht="14.25" customHeight="1" x14ac:dyDescent="0.25">
      <c r="P131" s="144"/>
    </row>
    <row r="132" spans="16:16" ht="14.25" customHeight="1" x14ac:dyDescent="0.25">
      <c r="P132" s="144"/>
    </row>
    <row r="133" spans="16:16" ht="14.25" customHeight="1" x14ac:dyDescent="0.25">
      <c r="P133" s="144"/>
    </row>
    <row r="134" spans="16:16" ht="14.25" customHeight="1" x14ac:dyDescent="0.25">
      <c r="P134" s="144"/>
    </row>
    <row r="135" spans="16:16" ht="14.25" customHeight="1" x14ac:dyDescent="0.25">
      <c r="P135" s="144"/>
    </row>
    <row r="136" spans="16:16" ht="14.25" customHeight="1" x14ac:dyDescent="0.25">
      <c r="P136" s="144"/>
    </row>
    <row r="137" spans="16:16" ht="14.25" customHeight="1" x14ac:dyDescent="0.25">
      <c r="P137" s="144"/>
    </row>
    <row r="138" spans="16:16" ht="14.25" customHeight="1" x14ac:dyDescent="0.25">
      <c r="P138" s="144"/>
    </row>
    <row r="139" spans="16:16" ht="14.25" customHeight="1" x14ac:dyDescent="0.25">
      <c r="P139" s="144"/>
    </row>
    <row r="140" spans="16:16" ht="14.25" customHeight="1" x14ac:dyDescent="0.25">
      <c r="P140" s="144"/>
    </row>
    <row r="141" spans="16:16" ht="14.25" customHeight="1" x14ac:dyDescent="0.25">
      <c r="P141" s="144"/>
    </row>
    <row r="142" spans="16:16" ht="14.25" customHeight="1" x14ac:dyDescent="0.25">
      <c r="P142" s="144"/>
    </row>
    <row r="143" spans="16:16" ht="14.25" customHeight="1" x14ac:dyDescent="0.25">
      <c r="P143" s="144"/>
    </row>
    <row r="144" spans="16:16" ht="14.25" customHeight="1" x14ac:dyDescent="0.25">
      <c r="P144" s="144"/>
    </row>
    <row r="145" spans="16:16" ht="14.25" customHeight="1" x14ac:dyDescent="0.25">
      <c r="P145" s="144"/>
    </row>
    <row r="146" spans="16:16" ht="14.25" customHeight="1" x14ac:dyDescent="0.25">
      <c r="P146" s="144"/>
    </row>
    <row r="147" spans="16:16" ht="14.25" customHeight="1" x14ac:dyDescent="0.25">
      <c r="P147" s="144"/>
    </row>
    <row r="148" spans="16:16" ht="14.25" customHeight="1" x14ac:dyDescent="0.25">
      <c r="P148" s="144"/>
    </row>
    <row r="149" spans="16:16" ht="14.25" customHeight="1" x14ac:dyDescent="0.25">
      <c r="P149" s="144"/>
    </row>
    <row r="150" spans="16:16" ht="14.25" customHeight="1" x14ac:dyDescent="0.25">
      <c r="P150" s="144"/>
    </row>
    <row r="151" spans="16:16" ht="14.25" customHeight="1" x14ac:dyDescent="0.25">
      <c r="P151" s="144"/>
    </row>
    <row r="152" spans="16:16" ht="14.25" customHeight="1" x14ac:dyDescent="0.25">
      <c r="P152" s="144"/>
    </row>
    <row r="153" spans="16:16" ht="14.25" customHeight="1" x14ac:dyDescent="0.25">
      <c r="P153" s="144"/>
    </row>
    <row r="154" spans="16:16" ht="14.25" customHeight="1" x14ac:dyDescent="0.25">
      <c r="P154" s="144"/>
    </row>
    <row r="155" spans="16:16" ht="14.25" customHeight="1" x14ac:dyDescent="0.25">
      <c r="P155" s="144"/>
    </row>
    <row r="156" spans="16:16" ht="14.25" customHeight="1" x14ac:dyDescent="0.25">
      <c r="P156" s="144"/>
    </row>
    <row r="157" spans="16:16" ht="14.25" customHeight="1" x14ac:dyDescent="0.25">
      <c r="P157" s="144"/>
    </row>
    <row r="158" spans="16:16" ht="14.25" customHeight="1" x14ac:dyDescent="0.25">
      <c r="P158" s="144"/>
    </row>
    <row r="159" spans="16:16" ht="14.25" customHeight="1" x14ac:dyDescent="0.25">
      <c r="P159" s="144"/>
    </row>
    <row r="160" spans="16:16" ht="14.25" customHeight="1" x14ac:dyDescent="0.25">
      <c r="P160" s="144"/>
    </row>
    <row r="161" spans="16:16" ht="14.25" customHeight="1" x14ac:dyDescent="0.25">
      <c r="P161" s="144"/>
    </row>
    <row r="162" spans="16:16" ht="14.25" customHeight="1" x14ac:dyDescent="0.25">
      <c r="P162" s="144"/>
    </row>
    <row r="163" spans="16:16" ht="14.25" customHeight="1" x14ac:dyDescent="0.25">
      <c r="P163" s="144"/>
    </row>
    <row r="164" spans="16:16" ht="14.25" customHeight="1" x14ac:dyDescent="0.25">
      <c r="P164" s="144"/>
    </row>
    <row r="165" spans="16:16" ht="14.25" customHeight="1" x14ac:dyDescent="0.25">
      <c r="P165" s="144"/>
    </row>
    <row r="166" spans="16:16" ht="14.25" customHeight="1" x14ac:dyDescent="0.25">
      <c r="P166" s="144"/>
    </row>
    <row r="167" spans="16:16" ht="14.25" customHeight="1" x14ac:dyDescent="0.25">
      <c r="P167" s="144"/>
    </row>
    <row r="168" spans="16:16" ht="14.25" customHeight="1" x14ac:dyDescent="0.25">
      <c r="P168" s="144"/>
    </row>
    <row r="169" spans="16:16" ht="14.25" customHeight="1" x14ac:dyDescent="0.25">
      <c r="P169" s="144"/>
    </row>
    <row r="170" spans="16:16" ht="14.25" customHeight="1" x14ac:dyDescent="0.25">
      <c r="P170" s="144"/>
    </row>
    <row r="171" spans="16:16" ht="14.25" customHeight="1" x14ac:dyDescent="0.25">
      <c r="P171" s="144"/>
    </row>
    <row r="172" spans="16:16" ht="14.25" customHeight="1" x14ac:dyDescent="0.25">
      <c r="P172" s="144"/>
    </row>
    <row r="173" spans="16:16" ht="14.25" customHeight="1" x14ac:dyDescent="0.25">
      <c r="P173" s="144"/>
    </row>
    <row r="174" spans="16:16" ht="14.25" customHeight="1" x14ac:dyDescent="0.25">
      <c r="P174" s="144"/>
    </row>
    <row r="175" spans="16:16" ht="14.25" customHeight="1" x14ac:dyDescent="0.25">
      <c r="P175" s="144"/>
    </row>
    <row r="176" spans="16:16" ht="14.25" customHeight="1" x14ac:dyDescent="0.25">
      <c r="P176" s="144"/>
    </row>
    <row r="177" spans="16:16" ht="14.25" customHeight="1" x14ac:dyDescent="0.25">
      <c r="P177" s="144"/>
    </row>
    <row r="178" spans="16:16" ht="14.25" customHeight="1" x14ac:dyDescent="0.25">
      <c r="P178" s="144"/>
    </row>
    <row r="179" spans="16:16" ht="14.25" customHeight="1" x14ac:dyDescent="0.25">
      <c r="P179" s="144"/>
    </row>
    <row r="180" spans="16:16" ht="14.25" customHeight="1" x14ac:dyDescent="0.25">
      <c r="P180" s="144"/>
    </row>
    <row r="181" spans="16:16" ht="14.25" customHeight="1" x14ac:dyDescent="0.25">
      <c r="P181" s="144"/>
    </row>
    <row r="182" spans="16:16" ht="14.25" customHeight="1" x14ac:dyDescent="0.25">
      <c r="P182" s="144"/>
    </row>
    <row r="183" spans="16:16" ht="14.25" customHeight="1" x14ac:dyDescent="0.25">
      <c r="P183" s="144"/>
    </row>
    <row r="184" spans="16:16" ht="14.25" customHeight="1" x14ac:dyDescent="0.25">
      <c r="P184" s="144"/>
    </row>
    <row r="185" spans="16:16" ht="14.25" customHeight="1" x14ac:dyDescent="0.25">
      <c r="P185" s="144"/>
    </row>
    <row r="186" spans="16:16" ht="14.25" customHeight="1" x14ac:dyDescent="0.25">
      <c r="P186" s="144"/>
    </row>
    <row r="187" spans="16:16" ht="14.25" customHeight="1" x14ac:dyDescent="0.25">
      <c r="P187" s="144"/>
    </row>
    <row r="188" spans="16:16" ht="14.25" customHeight="1" x14ac:dyDescent="0.25">
      <c r="P188" s="144"/>
    </row>
    <row r="189" spans="16:16" ht="14.25" customHeight="1" x14ac:dyDescent="0.25">
      <c r="P189" s="144"/>
    </row>
    <row r="190" spans="16:16" ht="14.25" customHeight="1" x14ac:dyDescent="0.25">
      <c r="P190" s="144"/>
    </row>
    <row r="191" spans="16:16" ht="14.25" customHeight="1" x14ac:dyDescent="0.25">
      <c r="P191" s="144"/>
    </row>
    <row r="192" spans="16:16" ht="14.25" customHeight="1" x14ac:dyDescent="0.25">
      <c r="P192" s="144"/>
    </row>
    <row r="193" spans="16:16" ht="14.25" customHeight="1" x14ac:dyDescent="0.25">
      <c r="P193" s="144"/>
    </row>
    <row r="194" spans="16:16" ht="14.25" customHeight="1" x14ac:dyDescent="0.25">
      <c r="P194" s="144"/>
    </row>
    <row r="195" spans="16:16" ht="14.25" customHeight="1" x14ac:dyDescent="0.25">
      <c r="P195" s="144"/>
    </row>
    <row r="196" spans="16:16" ht="14.25" customHeight="1" x14ac:dyDescent="0.25">
      <c r="P196" s="144"/>
    </row>
    <row r="197" spans="16:16" ht="14.25" customHeight="1" x14ac:dyDescent="0.25">
      <c r="P197" s="144"/>
    </row>
    <row r="198" spans="16:16" ht="14.25" customHeight="1" x14ac:dyDescent="0.25">
      <c r="P198" s="144"/>
    </row>
    <row r="199" spans="16:16" ht="14.25" customHeight="1" x14ac:dyDescent="0.25">
      <c r="P199" s="144"/>
    </row>
    <row r="200" spans="16:16" ht="14.25" customHeight="1" x14ac:dyDescent="0.25">
      <c r="P200" s="144"/>
    </row>
    <row r="201" spans="16:16" ht="14.25" customHeight="1" x14ac:dyDescent="0.25">
      <c r="P201" s="144"/>
    </row>
    <row r="202" spans="16:16" ht="14.25" customHeight="1" x14ac:dyDescent="0.25">
      <c r="P202" s="144"/>
    </row>
    <row r="203" spans="16:16" ht="14.25" customHeight="1" x14ac:dyDescent="0.25">
      <c r="P203" s="144"/>
    </row>
    <row r="204" spans="16:16" ht="14.25" customHeight="1" x14ac:dyDescent="0.25">
      <c r="P204" s="144"/>
    </row>
    <row r="205" spans="16:16" ht="14.25" customHeight="1" x14ac:dyDescent="0.25">
      <c r="P205" s="144"/>
    </row>
    <row r="206" spans="16:16" ht="14.25" customHeight="1" x14ac:dyDescent="0.25">
      <c r="P206" s="144"/>
    </row>
    <row r="207" spans="16:16" ht="14.25" customHeight="1" x14ac:dyDescent="0.25">
      <c r="P207" s="144"/>
    </row>
    <row r="208" spans="16:16" ht="14.25" customHeight="1" x14ac:dyDescent="0.25">
      <c r="P208" s="144"/>
    </row>
    <row r="209" spans="16:16" ht="14.25" customHeight="1" x14ac:dyDescent="0.25">
      <c r="P209" s="144"/>
    </row>
    <row r="210" spans="16:16" ht="14.25" customHeight="1" x14ac:dyDescent="0.25">
      <c r="P210" s="144"/>
    </row>
    <row r="211" spans="16:16" ht="14.25" customHeight="1" x14ac:dyDescent="0.25">
      <c r="P211" s="144"/>
    </row>
    <row r="212" spans="16:16" ht="14.25" customHeight="1" x14ac:dyDescent="0.25">
      <c r="P212" s="144"/>
    </row>
    <row r="213" spans="16:16" ht="14.25" customHeight="1" x14ac:dyDescent="0.25">
      <c r="P213" s="144"/>
    </row>
    <row r="214" spans="16:16" ht="14.25" customHeight="1" x14ac:dyDescent="0.25">
      <c r="P214" s="144"/>
    </row>
    <row r="215" spans="16:16" ht="14.25" customHeight="1" x14ac:dyDescent="0.25">
      <c r="P215" s="144"/>
    </row>
    <row r="216" spans="16:16" ht="14.25" customHeight="1" x14ac:dyDescent="0.25">
      <c r="P216" s="144"/>
    </row>
    <row r="217" spans="16:16" ht="14.25" customHeight="1" x14ac:dyDescent="0.25">
      <c r="P217" s="144"/>
    </row>
    <row r="218" spans="16:16" ht="14.25" customHeight="1" x14ac:dyDescent="0.25">
      <c r="P218" s="144"/>
    </row>
    <row r="219" spans="16:16" ht="14.25" customHeight="1" x14ac:dyDescent="0.25">
      <c r="P219" s="144"/>
    </row>
    <row r="220" spans="16:16" ht="14.25" customHeight="1" x14ac:dyDescent="0.25">
      <c r="P220" s="144"/>
    </row>
    <row r="221" spans="16:16" ht="14.25" customHeight="1" x14ac:dyDescent="0.25">
      <c r="P221" s="144"/>
    </row>
    <row r="222" spans="16:16" ht="14.25" customHeight="1" x14ac:dyDescent="0.25">
      <c r="P222" s="144"/>
    </row>
    <row r="223" spans="16:16" ht="14.25" customHeight="1" x14ac:dyDescent="0.25">
      <c r="P223" s="144"/>
    </row>
    <row r="224" spans="16:16" ht="14.25" customHeight="1" x14ac:dyDescent="0.25">
      <c r="P224" s="144"/>
    </row>
    <row r="225" spans="16:16" ht="14.25" customHeight="1" x14ac:dyDescent="0.25">
      <c r="P225" s="144"/>
    </row>
    <row r="226" spans="16:16" ht="14.25" customHeight="1" x14ac:dyDescent="0.25">
      <c r="P226" s="144"/>
    </row>
    <row r="227" spans="16:16" ht="14.25" customHeight="1" x14ac:dyDescent="0.25">
      <c r="P227" s="144"/>
    </row>
    <row r="228" spans="16:16" ht="14.25" customHeight="1" x14ac:dyDescent="0.25">
      <c r="P228" s="144"/>
    </row>
    <row r="229" spans="16:16" ht="14.25" customHeight="1" x14ac:dyDescent="0.25">
      <c r="P229" s="144"/>
    </row>
    <row r="230" spans="16:16" ht="14.25" customHeight="1" x14ac:dyDescent="0.25">
      <c r="P230" s="144"/>
    </row>
    <row r="231" spans="16:16" ht="14.25" customHeight="1" x14ac:dyDescent="0.25">
      <c r="P231" s="144"/>
    </row>
    <row r="232" spans="16:16" ht="14.25" customHeight="1" x14ac:dyDescent="0.25">
      <c r="P232" s="144"/>
    </row>
    <row r="233" spans="16:16" ht="14.25" customHeight="1" x14ac:dyDescent="0.25">
      <c r="P233" s="144"/>
    </row>
    <row r="234" spans="16:16" ht="14.25" customHeight="1" x14ac:dyDescent="0.25">
      <c r="P234" s="144"/>
    </row>
    <row r="235" spans="16:16" ht="14.25" customHeight="1" x14ac:dyDescent="0.25">
      <c r="P235" s="144"/>
    </row>
    <row r="236" spans="16:16" ht="14.25" customHeight="1" x14ac:dyDescent="0.25">
      <c r="P236" s="144"/>
    </row>
    <row r="237" spans="16:16" ht="14.25" customHeight="1" x14ac:dyDescent="0.25">
      <c r="P237" s="144"/>
    </row>
    <row r="238" spans="16:16" ht="14.25" customHeight="1" x14ac:dyDescent="0.25">
      <c r="P238" s="144"/>
    </row>
    <row r="239" spans="16:16" ht="14.25" customHeight="1" x14ac:dyDescent="0.25">
      <c r="P239" s="144"/>
    </row>
    <row r="240" spans="16:16" ht="14.25" customHeight="1" x14ac:dyDescent="0.25">
      <c r="P240" s="144"/>
    </row>
    <row r="241" spans="16:16" ht="14.25" customHeight="1" x14ac:dyDescent="0.25">
      <c r="P241" s="144"/>
    </row>
    <row r="242" spans="16:16" ht="14.25" customHeight="1" x14ac:dyDescent="0.25">
      <c r="P242" s="144"/>
    </row>
    <row r="243" spans="16:16" ht="14.25" customHeight="1" x14ac:dyDescent="0.25">
      <c r="P243" s="144"/>
    </row>
    <row r="244" spans="16:16" ht="14.25" customHeight="1" x14ac:dyDescent="0.25">
      <c r="P244" s="144"/>
    </row>
    <row r="245" spans="16:16" ht="14.25" customHeight="1" x14ac:dyDescent="0.25">
      <c r="P245" s="144"/>
    </row>
    <row r="246" spans="16:16" ht="14.25" customHeight="1" x14ac:dyDescent="0.25">
      <c r="P246" s="144"/>
    </row>
    <row r="247" spans="16:16" ht="14.25" customHeight="1" x14ac:dyDescent="0.25">
      <c r="P247" s="144"/>
    </row>
    <row r="248" spans="16:16" ht="14.25" customHeight="1" x14ac:dyDescent="0.25">
      <c r="P248" s="144"/>
    </row>
    <row r="249" spans="16:16" ht="14.25" customHeight="1" x14ac:dyDescent="0.25">
      <c r="P249" s="144"/>
    </row>
    <row r="250" spans="16:16" ht="14.25" customHeight="1" x14ac:dyDescent="0.25">
      <c r="P250" s="144"/>
    </row>
    <row r="251" spans="16:16" ht="14.25" customHeight="1" x14ac:dyDescent="0.25">
      <c r="P251" s="144"/>
    </row>
    <row r="252" spans="16:16" ht="14.25" customHeight="1" x14ac:dyDescent="0.25">
      <c r="P252" s="144"/>
    </row>
    <row r="253" spans="16:16" ht="14.25" customHeight="1" x14ac:dyDescent="0.25">
      <c r="P253" s="144"/>
    </row>
    <row r="254" spans="16:16" ht="14.25" customHeight="1" x14ac:dyDescent="0.25">
      <c r="P254" s="144"/>
    </row>
    <row r="255" spans="16:16" ht="14.25" customHeight="1" x14ac:dyDescent="0.25">
      <c r="P255" s="144"/>
    </row>
    <row r="256" spans="16:16" ht="14.25" customHeight="1" x14ac:dyDescent="0.25">
      <c r="P256" s="144"/>
    </row>
    <row r="257" spans="16:16" ht="14.25" customHeight="1" x14ac:dyDescent="0.25">
      <c r="P257" s="144"/>
    </row>
    <row r="258" spans="16:16" ht="14.25" customHeight="1" x14ac:dyDescent="0.25">
      <c r="P258" s="144"/>
    </row>
    <row r="259" spans="16:16" ht="14.25" customHeight="1" x14ac:dyDescent="0.25">
      <c r="P259" s="144"/>
    </row>
    <row r="260" spans="16:16" ht="14.25" customHeight="1" x14ac:dyDescent="0.25">
      <c r="P260" s="144"/>
    </row>
    <row r="261" spans="16:16" ht="14.25" customHeight="1" x14ac:dyDescent="0.25">
      <c r="P261" s="144"/>
    </row>
    <row r="262" spans="16:16" ht="14.25" customHeight="1" x14ac:dyDescent="0.25">
      <c r="P262" s="144"/>
    </row>
    <row r="263" spans="16:16" ht="14.25" customHeight="1" x14ac:dyDescent="0.25">
      <c r="P263" s="144"/>
    </row>
    <row r="264" spans="16:16" ht="14.25" customHeight="1" x14ac:dyDescent="0.25">
      <c r="P264" s="144"/>
    </row>
    <row r="265" spans="16:16" ht="14.25" customHeight="1" x14ac:dyDescent="0.25">
      <c r="P265" s="144"/>
    </row>
    <row r="266" spans="16:16" ht="14.25" customHeight="1" x14ac:dyDescent="0.25">
      <c r="P266" s="144"/>
    </row>
    <row r="267" spans="16:16" ht="14.25" customHeight="1" x14ac:dyDescent="0.25">
      <c r="P267" s="144"/>
    </row>
    <row r="268" spans="16:16" ht="14.25" customHeight="1" x14ac:dyDescent="0.25">
      <c r="P268" s="144"/>
    </row>
    <row r="269" spans="16:16" ht="14.25" customHeight="1" x14ac:dyDescent="0.25">
      <c r="P269" s="144"/>
    </row>
    <row r="270" spans="16:16" ht="14.25" customHeight="1" x14ac:dyDescent="0.25">
      <c r="P270" s="144"/>
    </row>
    <row r="271" spans="16:16" ht="14.25" customHeight="1" x14ac:dyDescent="0.25">
      <c r="P271" s="144"/>
    </row>
    <row r="272" spans="16:16" ht="14.25" customHeight="1" x14ac:dyDescent="0.25">
      <c r="P272" s="144"/>
    </row>
    <row r="273" spans="16:16" ht="14.25" customHeight="1" x14ac:dyDescent="0.25">
      <c r="P273" s="144"/>
    </row>
    <row r="274" spans="16:16" ht="14.25" customHeight="1" x14ac:dyDescent="0.25">
      <c r="P274" s="144"/>
    </row>
    <row r="275" spans="16:16" ht="14.25" customHeight="1" x14ac:dyDescent="0.25">
      <c r="P275" s="144"/>
    </row>
    <row r="276" spans="16:16" ht="14.25" customHeight="1" x14ac:dyDescent="0.25">
      <c r="P276" s="144"/>
    </row>
    <row r="277" spans="16:16" ht="14.25" customHeight="1" x14ac:dyDescent="0.25">
      <c r="P277" s="144"/>
    </row>
    <row r="278" spans="16:16" ht="14.25" customHeight="1" x14ac:dyDescent="0.25">
      <c r="P278" s="144"/>
    </row>
    <row r="279" spans="16:16" ht="14.25" customHeight="1" x14ac:dyDescent="0.25">
      <c r="P279" s="144"/>
    </row>
    <row r="280" spans="16:16" ht="14.25" customHeight="1" x14ac:dyDescent="0.25">
      <c r="P280" s="144"/>
    </row>
    <row r="281" spans="16:16" ht="14.25" customHeight="1" x14ac:dyDescent="0.25">
      <c r="P281" s="144"/>
    </row>
    <row r="282" spans="16:16" ht="14.25" customHeight="1" x14ac:dyDescent="0.25">
      <c r="P282" s="144"/>
    </row>
    <row r="283" spans="16:16" ht="14.25" customHeight="1" x14ac:dyDescent="0.25">
      <c r="P283" s="144"/>
    </row>
    <row r="284" spans="16:16" ht="14.25" customHeight="1" x14ac:dyDescent="0.25">
      <c r="P284" s="144"/>
    </row>
    <row r="285" spans="16:16" ht="14.25" customHeight="1" x14ac:dyDescent="0.25">
      <c r="P285" s="144"/>
    </row>
    <row r="286" spans="16:16" ht="14.25" customHeight="1" x14ac:dyDescent="0.25">
      <c r="P286" s="144"/>
    </row>
    <row r="287" spans="16:16" ht="14.25" customHeight="1" x14ac:dyDescent="0.25">
      <c r="P287" s="144"/>
    </row>
    <row r="288" spans="16:16" ht="14.25" customHeight="1" x14ac:dyDescent="0.25">
      <c r="P288" s="144"/>
    </row>
    <row r="289" spans="16:16" ht="14.25" customHeight="1" x14ac:dyDescent="0.25">
      <c r="P289" s="144"/>
    </row>
    <row r="290" spans="16:16" ht="14.25" customHeight="1" x14ac:dyDescent="0.25">
      <c r="P290" s="144"/>
    </row>
    <row r="291" spans="16:16" ht="14.25" customHeight="1" x14ac:dyDescent="0.25">
      <c r="P291" s="144"/>
    </row>
    <row r="292" spans="16:16" ht="14.25" customHeight="1" x14ac:dyDescent="0.25">
      <c r="P292" s="144"/>
    </row>
    <row r="293" spans="16:16" ht="14.25" customHeight="1" x14ac:dyDescent="0.25">
      <c r="P293" s="144"/>
    </row>
    <row r="294" spans="16:16" ht="14.25" customHeight="1" x14ac:dyDescent="0.25">
      <c r="P294" s="144"/>
    </row>
    <row r="295" spans="16:16" ht="14.25" customHeight="1" x14ac:dyDescent="0.25">
      <c r="P295" s="144"/>
    </row>
    <row r="296" spans="16:16" ht="14.25" customHeight="1" x14ac:dyDescent="0.25">
      <c r="P296" s="144"/>
    </row>
    <row r="297" spans="16:16" ht="14.25" customHeight="1" x14ac:dyDescent="0.25">
      <c r="P297" s="144"/>
    </row>
    <row r="298" spans="16:16" ht="14.25" customHeight="1" x14ac:dyDescent="0.25">
      <c r="P298" s="144"/>
    </row>
    <row r="299" spans="16:16" ht="14.25" customHeight="1" x14ac:dyDescent="0.25">
      <c r="P299" s="144"/>
    </row>
    <row r="300" spans="16:16" ht="14.25" customHeight="1" x14ac:dyDescent="0.25">
      <c r="P300" s="144"/>
    </row>
    <row r="301" spans="16:16" ht="14.25" customHeight="1" x14ac:dyDescent="0.25">
      <c r="P301" s="144"/>
    </row>
    <row r="302" spans="16:16" ht="14.25" customHeight="1" x14ac:dyDescent="0.25">
      <c r="P302" s="144"/>
    </row>
    <row r="303" spans="16:16" ht="14.25" customHeight="1" x14ac:dyDescent="0.25">
      <c r="P303" s="144"/>
    </row>
    <row r="304" spans="16:16" ht="14.25" customHeight="1" x14ac:dyDescent="0.25">
      <c r="P304" s="144"/>
    </row>
    <row r="305" spans="16:16" ht="14.25" customHeight="1" x14ac:dyDescent="0.25">
      <c r="P305" s="144"/>
    </row>
    <row r="306" spans="16:16" ht="14.25" customHeight="1" x14ac:dyDescent="0.25">
      <c r="P306" s="144"/>
    </row>
    <row r="307" spans="16:16" ht="14.25" customHeight="1" x14ac:dyDescent="0.25">
      <c r="P307" s="144"/>
    </row>
    <row r="308" spans="16:16" ht="14.25" customHeight="1" x14ac:dyDescent="0.25">
      <c r="P308" s="144"/>
    </row>
    <row r="309" spans="16:16" ht="14.25" customHeight="1" x14ac:dyDescent="0.25">
      <c r="P309" s="144"/>
    </row>
    <row r="310" spans="16:16" ht="14.25" customHeight="1" x14ac:dyDescent="0.25">
      <c r="P310" s="144"/>
    </row>
    <row r="311" spans="16:16" ht="14.25" customHeight="1" x14ac:dyDescent="0.25">
      <c r="P311" s="144"/>
    </row>
    <row r="312" spans="16:16" ht="14.25" customHeight="1" x14ac:dyDescent="0.25">
      <c r="P312" s="144"/>
    </row>
    <row r="313" spans="16:16" ht="14.25" customHeight="1" x14ac:dyDescent="0.25">
      <c r="P313" s="144"/>
    </row>
    <row r="314" spans="16:16" ht="14.25" customHeight="1" x14ac:dyDescent="0.25">
      <c r="P314" s="144"/>
    </row>
    <row r="315" spans="16:16" ht="14.25" customHeight="1" x14ac:dyDescent="0.25">
      <c r="P315" s="144"/>
    </row>
    <row r="316" spans="16:16" ht="14.25" customHeight="1" x14ac:dyDescent="0.25">
      <c r="P316" s="144"/>
    </row>
    <row r="317" spans="16:16" ht="14.25" customHeight="1" x14ac:dyDescent="0.25">
      <c r="P317" s="144"/>
    </row>
    <row r="318" spans="16:16" ht="14.25" customHeight="1" x14ac:dyDescent="0.25">
      <c r="P318" s="144"/>
    </row>
    <row r="319" spans="16:16" ht="14.25" customHeight="1" x14ac:dyDescent="0.25">
      <c r="P319" s="144"/>
    </row>
    <row r="320" spans="16:16" ht="14.25" customHeight="1" x14ac:dyDescent="0.25">
      <c r="P320" s="144"/>
    </row>
    <row r="321" spans="16:16" ht="14.25" customHeight="1" x14ac:dyDescent="0.25">
      <c r="P321" s="144"/>
    </row>
    <row r="322" spans="16:16" ht="14.25" customHeight="1" x14ac:dyDescent="0.25">
      <c r="P322" s="144"/>
    </row>
    <row r="323" spans="16:16" ht="14.25" customHeight="1" x14ac:dyDescent="0.25">
      <c r="P323" s="144"/>
    </row>
    <row r="324" spans="16:16" ht="14.25" customHeight="1" x14ac:dyDescent="0.25">
      <c r="P324" s="144"/>
    </row>
    <row r="325" spans="16:16" ht="14.25" customHeight="1" x14ac:dyDescent="0.25">
      <c r="P325" s="144"/>
    </row>
    <row r="326" spans="16:16" ht="14.25" customHeight="1" x14ac:dyDescent="0.25">
      <c r="P326" s="144"/>
    </row>
    <row r="327" spans="16:16" ht="14.25" customHeight="1" x14ac:dyDescent="0.25">
      <c r="P327" s="144"/>
    </row>
    <row r="328" spans="16:16" ht="14.25" customHeight="1" x14ac:dyDescent="0.25">
      <c r="P328" s="144"/>
    </row>
    <row r="329" spans="16:16" ht="14.25" customHeight="1" x14ac:dyDescent="0.25">
      <c r="P329" s="144"/>
    </row>
    <row r="330" spans="16:16" ht="14.25" customHeight="1" x14ac:dyDescent="0.25">
      <c r="P330" s="144"/>
    </row>
    <row r="331" spans="16:16" ht="14.25" customHeight="1" x14ac:dyDescent="0.25">
      <c r="P331" s="144"/>
    </row>
    <row r="332" spans="16:16" ht="14.25" customHeight="1" x14ac:dyDescent="0.25">
      <c r="P332" s="144"/>
    </row>
    <row r="333" spans="16:16" ht="14.25" customHeight="1" x14ac:dyDescent="0.25">
      <c r="P333" s="144"/>
    </row>
    <row r="334" spans="16:16" ht="14.25" customHeight="1" x14ac:dyDescent="0.25">
      <c r="P334" s="144"/>
    </row>
    <row r="335" spans="16:16" ht="14.25" customHeight="1" x14ac:dyDescent="0.25">
      <c r="P335" s="144"/>
    </row>
    <row r="336" spans="16:16" ht="14.25" customHeight="1" x14ac:dyDescent="0.25">
      <c r="P336" s="144"/>
    </row>
    <row r="337" spans="16:16" ht="14.25" customHeight="1" x14ac:dyDescent="0.25">
      <c r="P337" s="144"/>
    </row>
    <row r="338" spans="16:16" ht="14.25" customHeight="1" x14ac:dyDescent="0.25">
      <c r="P338" s="144"/>
    </row>
    <row r="339" spans="16:16" ht="14.25" customHeight="1" x14ac:dyDescent="0.25">
      <c r="P339" s="144"/>
    </row>
    <row r="340" spans="16:16" ht="14.25" customHeight="1" x14ac:dyDescent="0.25">
      <c r="P340" s="144"/>
    </row>
    <row r="341" spans="16:16" ht="14.25" customHeight="1" x14ac:dyDescent="0.25">
      <c r="P341" s="144"/>
    </row>
    <row r="342" spans="16:16" ht="14.25" customHeight="1" x14ac:dyDescent="0.25">
      <c r="P342" s="144"/>
    </row>
    <row r="343" spans="16:16" ht="14.25" customHeight="1" x14ac:dyDescent="0.25">
      <c r="P343" s="144"/>
    </row>
    <row r="344" spans="16:16" ht="14.25" customHeight="1" x14ac:dyDescent="0.25">
      <c r="P344" s="144"/>
    </row>
    <row r="345" spans="16:16" ht="14.25" customHeight="1" x14ac:dyDescent="0.25">
      <c r="P345" s="144"/>
    </row>
    <row r="346" spans="16:16" ht="14.25" customHeight="1" x14ac:dyDescent="0.25">
      <c r="P346" s="144"/>
    </row>
    <row r="347" spans="16:16" ht="14.25" customHeight="1" x14ac:dyDescent="0.25">
      <c r="P347" s="144"/>
    </row>
    <row r="348" spans="16:16" ht="14.25" customHeight="1" x14ac:dyDescent="0.25">
      <c r="P348" s="144"/>
    </row>
    <row r="349" spans="16:16" ht="14.25" customHeight="1" x14ac:dyDescent="0.25">
      <c r="P349" s="144"/>
    </row>
    <row r="350" spans="16:16" ht="14.25" customHeight="1" x14ac:dyDescent="0.25">
      <c r="P350" s="144"/>
    </row>
    <row r="351" spans="16:16" ht="14.25" customHeight="1" x14ac:dyDescent="0.25">
      <c r="P351" s="144"/>
    </row>
    <row r="352" spans="16:16" ht="14.25" customHeight="1" x14ac:dyDescent="0.25">
      <c r="P352" s="144"/>
    </row>
    <row r="353" spans="16:16" ht="14.25" customHeight="1" x14ac:dyDescent="0.25">
      <c r="P353" s="144"/>
    </row>
    <row r="354" spans="16:16" ht="14.25" customHeight="1" x14ac:dyDescent="0.25">
      <c r="P354" s="144"/>
    </row>
    <row r="355" spans="16:16" ht="14.25" customHeight="1" x14ac:dyDescent="0.25">
      <c r="P355" s="144"/>
    </row>
    <row r="356" spans="16:16" ht="14.25" customHeight="1" x14ac:dyDescent="0.25">
      <c r="P356" s="144"/>
    </row>
    <row r="357" spans="16:16" ht="14.25" customHeight="1" x14ac:dyDescent="0.25">
      <c r="P357" s="144"/>
    </row>
    <row r="358" spans="16:16" ht="14.25" customHeight="1" x14ac:dyDescent="0.25">
      <c r="P358" s="144"/>
    </row>
    <row r="359" spans="16:16" ht="14.25" customHeight="1" x14ac:dyDescent="0.25">
      <c r="P359" s="144"/>
    </row>
    <row r="360" spans="16:16" ht="14.25" customHeight="1" x14ac:dyDescent="0.25">
      <c r="P360" s="144"/>
    </row>
    <row r="361" spans="16:16" ht="14.25" customHeight="1" x14ac:dyDescent="0.25">
      <c r="P361" s="144"/>
    </row>
    <row r="362" spans="16:16" ht="14.25" customHeight="1" x14ac:dyDescent="0.25">
      <c r="P362" s="144"/>
    </row>
    <row r="363" spans="16:16" ht="14.25" customHeight="1" x14ac:dyDescent="0.25">
      <c r="P363" s="144"/>
    </row>
    <row r="364" spans="16:16" ht="14.25" customHeight="1" x14ac:dyDescent="0.25">
      <c r="P364" s="144"/>
    </row>
    <row r="365" spans="16:16" ht="14.25" customHeight="1" x14ac:dyDescent="0.25">
      <c r="P365" s="144"/>
    </row>
    <row r="366" spans="16:16" ht="14.25" customHeight="1" x14ac:dyDescent="0.25">
      <c r="P366" s="144"/>
    </row>
    <row r="367" spans="16:16" ht="14.25" customHeight="1" x14ac:dyDescent="0.25">
      <c r="P367" s="144"/>
    </row>
    <row r="368" spans="16:16" ht="14.25" customHeight="1" x14ac:dyDescent="0.25">
      <c r="P368" s="144"/>
    </row>
    <row r="369" spans="16:16" ht="14.25" customHeight="1" x14ac:dyDescent="0.25">
      <c r="P369" s="144"/>
    </row>
    <row r="370" spans="16:16" ht="14.25" customHeight="1" x14ac:dyDescent="0.25">
      <c r="P370" s="144"/>
    </row>
    <row r="371" spans="16:16" ht="14.25" customHeight="1" x14ac:dyDescent="0.25">
      <c r="P371" s="144"/>
    </row>
    <row r="372" spans="16:16" ht="14.25" customHeight="1" x14ac:dyDescent="0.25">
      <c r="P372" s="144"/>
    </row>
    <row r="373" spans="16:16" ht="14.25" customHeight="1" x14ac:dyDescent="0.25">
      <c r="P373" s="144"/>
    </row>
    <row r="374" spans="16:16" ht="14.25" customHeight="1" x14ac:dyDescent="0.25">
      <c r="P374" s="144"/>
    </row>
    <row r="375" spans="16:16" ht="14.25" customHeight="1" x14ac:dyDescent="0.25">
      <c r="P375" s="144"/>
    </row>
    <row r="376" spans="16:16" ht="14.25" customHeight="1" x14ac:dyDescent="0.25">
      <c r="P376" s="144"/>
    </row>
    <row r="377" spans="16:16" ht="14.25" customHeight="1" x14ac:dyDescent="0.25">
      <c r="P377" s="144"/>
    </row>
    <row r="378" spans="16:16" ht="14.25" customHeight="1" x14ac:dyDescent="0.25">
      <c r="P378" s="144"/>
    </row>
    <row r="379" spans="16:16" ht="14.25" customHeight="1" x14ac:dyDescent="0.25">
      <c r="P379" s="144"/>
    </row>
    <row r="380" spans="16:16" ht="14.25" customHeight="1" x14ac:dyDescent="0.25">
      <c r="P380" s="144"/>
    </row>
    <row r="381" spans="16:16" ht="14.25" customHeight="1" x14ac:dyDescent="0.25">
      <c r="P381" s="144"/>
    </row>
    <row r="382" spans="16:16" ht="14.25" customHeight="1" x14ac:dyDescent="0.25">
      <c r="P382" s="144"/>
    </row>
    <row r="383" spans="16:16" ht="14.25" customHeight="1" x14ac:dyDescent="0.25">
      <c r="P383" s="144"/>
    </row>
    <row r="384" spans="16:16" ht="14.25" customHeight="1" x14ac:dyDescent="0.25">
      <c r="P384" s="144"/>
    </row>
    <row r="385" spans="16:16" ht="14.25" customHeight="1" x14ac:dyDescent="0.25">
      <c r="P385" s="144"/>
    </row>
    <row r="386" spans="16:16" ht="14.25" customHeight="1" x14ac:dyDescent="0.25">
      <c r="P386" s="144"/>
    </row>
    <row r="387" spans="16:16" ht="14.25" customHeight="1" x14ac:dyDescent="0.25">
      <c r="P387" s="144"/>
    </row>
    <row r="388" spans="16:16" ht="14.25" customHeight="1" x14ac:dyDescent="0.25">
      <c r="P388" s="144"/>
    </row>
    <row r="389" spans="16:16" ht="14.25" customHeight="1" x14ac:dyDescent="0.25">
      <c r="P389" s="144"/>
    </row>
    <row r="390" spans="16:16" ht="14.25" customHeight="1" x14ac:dyDescent="0.25">
      <c r="P390" s="144"/>
    </row>
    <row r="391" spans="16:16" ht="14.25" customHeight="1" x14ac:dyDescent="0.25">
      <c r="P391" s="144"/>
    </row>
    <row r="392" spans="16:16" ht="14.25" customHeight="1" x14ac:dyDescent="0.25">
      <c r="P392" s="144"/>
    </row>
    <row r="393" spans="16:16" ht="14.25" customHeight="1" x14ac:dyDescent="0.25">
      <c r="P393" s="144"/>
    </row>
    <row r="394" spans="16:16" ht="14.25" customHeight="1" x14ac:dyDescent="0.25">
      <c r="P394" s="144"/>
    </row>
    <row r="395" spans="16:16" ht="14.25" customHeight="1" x14ac:dyDescent="0.25">
      <c r="P395" s="144"/>
    </row>
    <row r="396" spans="16:16" ht="14.25" customHeight="1" x14ac:dyDescent="0.25">
      <c r="P396" s="144"/>
    </row>
    <row r="397" spans="16:16" ht="14.25" customHeight="1" x14ac:dyDescent="0.25">
      <c r="P397" s="144"/>
    </row>
    <row r="398" spans="16:16" ht="14.25" customHeight="1" x14ac:dyDescent="0.25">
      <c r="P398" s="144"/>
    </row>
    <row r="399" spans="16:16" ht="14.25" customHeight="1" x14ac:dyDescent="0.25">
      <c r="P399" s="144"/>
    </row>
    <row r="400" spans="16:16" ht="14.25" customHeight="1" x14ac:dyDescent="0.25">
      <c r="P400" s="144"/>
    </row>
    <row r="401" spans="16:16" ht="14.25" customHeight="1" x14ac:dyDescent="0.25">
      <c r="P401" s="144"/>
    </row>
    <row r="402" spans="16:16" ht="14.25" customHeight="1" x14ac:dyDescent="0.25">
      <c r="P402" s="144"/>
    </row>
    <row r="403" spans="16:16" ht="14.25" customHeight="1" x14ac:dyDescent="0.25">
      <c r="P403" s="144"/>
    </row>
    <row r="404" spans="16:16" ht="14.25" customHeight="1" x14ac:dyDescent="0.25">
      <c r="P404" s="144"/>
    </row>
    <row r="405" spans="16:16" ht="14.25" customHeight="1" x14ac:dyDescent="0.25">
      <c r="P405" s="144"/>
    </row>
    <row r="406" spans="16:16" ht="14.25" customHeight="1" x14ac:dyDescent="0.25">
      <c r="P406" s="144"/>
    </row>
    <row r="407" spans="16:16" ht="14.25" customHeight="1" x14ac:dyDescent="0.25">
      <c r="P407" s="144"/>
    </row>
    <row r="408" spans="16:16" ht="14.25" customHeight="1" x14ac:dyDescent="0.25">
      <c r="P408" s="144"/>
    </row>
    <row r="409" spans="16:16" ht="14.25" customHeight="1" x14ac:dyDescent="0.25">
      <c r="P409" s="144"/>
    </row>
    <row r="410" spans="16:16" ht="14.25" customHeight="1" x14ac:dyDescent="0.25">
      <c r="P410" s="144"/>
    </row>
    <row r="411" spans="16:16" ht="14.25" customHeight="1" x14ac:dyDescent="0.25">
      <c r="P411" s="144"/>
    </row>
    <row r="412" spans="16:16" ht="14.25" customHeight="1" x14ac:dyDescent="0.25">
      <c r="P412" s="144"/>
    </row>
    <row r="413" spans="16:16" ht="14.25" customHeight="1" x14ac:dyDescent="0.25">
      <c r="P413" s="144"/>
    </row>
    <row r="414" spans="16:16" ht="14.25" customHeight="1" x14ac:dyDescent="0.25">
      <c r="P414" s="144"/>
    </row>
    <row r="415" spans="16:16" ht="14.25" customHeight="1" x14ac:dyDescent="0.25">
      <c r="P415" s="144"/>
    </row>
    <row r="416" spans="16:16" ht="14.25" customHeight="1" x14ac:dyDescent="0.25">
      <c r="P416" s="144"/>
    </row>
    <row r="417" spans="16:16" ht="14.25" customHeight="1" x14ac:dyDescent="0.25">
      <c r="P417" s="144"/>
    </row>
    <row r="418" spans="16:16" ht="14.25" customHeight="1" x14ac:dyDescent="0.25">
      <c r="P418" s="144"/>
    </row>
    <row r="419" spans="16:16" ht="14.25" customHeight="1" x14ac:dyDescent="0.25">
      <c r="P419" s="144"/>
    </row>
    <row r="420" spans="16:16" ht="14.25" customHeight="1" x14ac:dyDescent="0.25">
      <c r="P420" s="144"/>
    </row>
    <row r="421" spans="16:16" ht="14.25" customHeight="1" x14ac:dyDescent="0.25">
      <c r="P421" s="144"/>
    </row>
    <row r="422" spans="16:16" ht="14.25" customHeight="1" x14ac:dyDescent="0.25">
      <c r="P422" s="144"/>
    </row>
    <row r="423" spans="16:16" ht="14.25" customHeight="1" x14ac:dyDescent="0.25">
      <c r="P423" s="144"/>
    </row>
    <row r="424" spans="16:16" ht="14.25" customHeight="1" x14ac:dyDescent="0.25">
      <c r="P424" s="144"/>
    </row>
    <row r="425" spans="16:16" ht="14.25" customHeight="1" x14ac:dyDescent="0.25">
      <c r="P425" s="144"/>
    </row>
    <row r="426" spans="16:16" ht="14.25" customHeight="1" x14ac:dyDescent="0.25">
      <c r="P426" s="144"/>
    </row>
    <row r="427" spans="16:16" ht="14.25" customHeight="1" x14ac:dyDescent="0.25">
      <c r="P427" s="144"/>
    </row>
    <row r="428" spans="16:16" ht="14.25" customHeight="1" x14ac:dyDescent="0.25">
      <c r="P428" s="144"/>
    </row>
    <row r="429" spans="16:16" ht="14.25" customHeight="1" x14ac:dyDescent="0.25">
      <c r="P429" s="144"/>
    </row>
    <row r="430" spans="16:16" ht="14.25" customHeight="1" x14ac:dyDescent="0.25">
      <c r="P430" s="144"/>
    </row>
    <row r="431" spans="16:16" ht="14.25" customHeight="1" x14ac:dyDescent="0.25">
      <c r="P431" s="144"/>
    </row>
    <row r="432" spans="16:16" ht="14.25" customHeight="1" x14ac:dyDescent="0.25">
      <c r="P432" s="144"/>
    </row>
    <row r="433" spans="16:16" ht="14.25" customHeight="1" x14ac:dyDescent="0.25">
      <c r="P433" s="144"/>
    </row>
    <row r="434" spans="16:16" ht="14.25" customHeight="1" x14ac:dyDescent="0.25">
      <c r="P434" s="144"/>
    </row>
    <row r="435" spans="16:16" ht="14.25" customHeight="1" x14ac:dyDescent="0.25">
      <c r="P435" s="144"/>
    </row>
    <row r="436" spans="16:16" ht="14.25" customHeight="1" x14ac:dyDescent="0.25">
      <c r="P436" s="144"/>
    </row>
    <row r="437" spans="16:16" ht="14.25" customHeight="1" x14ac:dyDescent="0.25">
      <c r="P437" s="144"/>
    </row>
    <row r="438" spans="16:16" ht="14.25" customHeight="1" x14ac:dyDescent="0.25">
      <c r="P438" s="144"/>
    </row>
    <row r="439" spans="16:16" ht="14.25" customHeight="1" x14ac:dyDescent="0.25">
      <c r="P439" s="144"/>
    </row>
    <row r="440" spans="16:16" ht="14.25" customHeight="1" x14ac:dyDescent="0.25">
      <c r="P440" s="144"/>
    </row>
    <row r="441" spans="16:16" ht="14.25" customHeight="1" x14ac:dyDescent="0.25">
      <c r="P441" s="144"/>
    </row>
    <row r="442" spans="16:16" ht="14.25" customHeight="1" x14ac:dyDescent="0.25">
      <c r="P442" s="144"/>
    </row>
    <row r="443" spans="16:16" ht="14.25" customHeight="1" x14ac:dyDescent="0.25">
      <c r="P443" s="144"/>
    </row>
    <row r="444" spans="16:16" ht="14.25" customHeight="1" x14ac:dyDescent="0.25">
      <c r="P444" s="144"/>
    </row>
    <row r="445" spans="16:16" ht="14.25" customHeight="1" x14ac:dyDescent="0.25">
      <c r="P445" s="144"/>
    </row>
    <row r="446" spans="16:16" ht="14.25" customHeight="1" x14ac:dyDescent="0.25">
      <c r="P446" s="144"/>
    </row>
    <row r="447" spans="16:16" ht="14.25" customHeight="1" x14ac:dyDescent="0.25">
      <c r="P447" s="144"/>
    </row>
    <row r="448" spans="16:16" ht="14.25" customHeight="1" x14ac:dyDescent="0.25">
      <c r="P448" s="144"/>
    </row>
    <row r="449" spans="16:16" ht="14.25" customHeight="1" x14ac:dyDescent="0.25">
      <c r="P449" s="144"/>
    </row>
    <row r="450" spans="16:16" ht="14.25" customHeight="1" x14ac:dyDescent="0.25">
      <c r="P450" s="144"/>
    </row>
    <row r="451" spans="16:16" ht="14.25" customHeight="1" x14ac:dyDescent="0.25">
      <c r="P451" s="144"/>
    </row>
    <row r="452" spans="16:16" ht="14.25" customHeight="1" x14ac:dyDescent="0.25">
      <c r="P452" s="144"/>
    </row>
    <row r="453" spans="16:16" ht="14.25" customHeight="1" x14ac:dyDescent="0.25">
      <c r="P453" s="144"/>
    </row>
    <row r="454" spans="16:16" ht="14.25" customHeight="1" x14ac:dyDescent="0.25">
      <c r="P454" s="144"/>
    </row>
    <row r="455" spans="16:16" ht="14.25" customHeight="1" x14ac:dyDescent="0.25">
      <c r="P455" s="144"/>
    </row>
    <row r="456" spans="16:16" ht="14.25" customHeight="1" x14ac:dyDescent="0.25">
      <c r="P456" s="144"/>
    </row>
    <row r="457" spans="16:16" ht="14.25" customHeight="1" x14ac:dyDescent="0.25">
      <c r="P457" s="144"/>
    </row>
    <row r="458" spans="16:16" ht="14.25" customHeight="1" x14ac:dyDescent="0.25">
      <c r="P458" s="144"/>
    </row>
    <row r="459" spans="16:16" ht="14.25" customHeight="1" x14ac:dyDescent="0.25">
      <c r="P459" s="144"/>
    </row>
    <row r="460" spans="16:16" ht="14.25" customHeight="1" x14ac:dyDescent="0.25">
      <c r="P460" s="144"/>
    </row>
    <row r="461" spans="16:16" ht="14.25" customHeight="1" x14ac:dyDescent="0.25">
      <c r="P461" s="144"/>
    </row>
    <row r="462" spans="16:16" ht="14.25" customHeight="1" x14ac:dyDescent="0.25">
      <c r="P462" s="144"/>
    </row>
    <row r="463" spans="16:16" ht="14.25" customHeight="1" x14ac:dyDescent="0.25">
      <c r="P463" s="144"/>
    </row>
    <row r="464" spans="16:16" ht="14.25" customHeight="1" x14ac:dyDescent="0.25">
      <c r="P464" s="144"/>
    </row>
    <row r="465" spans="16:16" ht="14.25" customHeight="1" x14ac:dyDescent="0.25">
      <c r="P465" s="144"/>
    </row>
    <row r="466" spans="16:16" ht="14.25" customHeight="1" x14ac:dyDescent="0.25">
      <c r="P466" s="144"/>
    </row>
    <row r="467" spans="16:16" ht="14.25" customHeight="1" x14ac:dyDescent="0.25">
      <c r="P467" s="144"/>
    </row>
    <row r="468" spans="16:16" ht="14.25" customHeight="1" x14ac:dyDescent="0.25">
      <c r="P468" s="144"/>
    </row>
    <row r="469" spans="16:16" ht="14.25" customHeight="1" x14ac:dyDescent="0.25">
      <c r="P469" s="144"/>
    </row>
    <row r="470" spans="16:16" ht="14.25" customHeight="1" x14ac:dyDescent="0.25">
      <c r="P470" s="144"/>
    </row>
    <row r="471" spans="16:16" ht="14.25" customHeight="1" x14ac:dyDescent="0.25">
      <c r="P471" s="144"/>
    </row>
    <row r="472" spans="16:16" ht="14.25" customHeight="1" x14ac:dyDescent="0.25">
      <c r="P472" s="144"/>
    </row>
    <row r="473" spans="16:16" ht="14.25" customHeight="1" x14ac:dyDescent="0.25">
      <c r="P473" s="144"/>
    </row>
    <row r="474" spans="16:16" ht="14.25" customHeight="1" x14ac:dyDescent="0.25">
      <c r="P474" s="144"/>
    </row>
    <row r="475" spans="16:16" ht="14.25" customHeight="1" x14ac:dyDescent="0.25">
      <c r="P475" s="144"/>
    </row>
    <row r="476" spans="16:16" ht="14.25" customHeight="1" x14ac:dyDescent="0.25">
      <c r="P476" s="144"/>
    </row>
    <row r="477" spans="16:16" ht="14.25" customHeight="1" x14ac:dyDescent="0.25">
      <c r="P477" s="144"/>
    </row>
    <row r="478" spans="16:16" ht="14.25" customHeight="1" x14ac:dyDescent="0.25">
      <c r="P478" s="144"/>
    </row>
    <row r="479" spans="16:16" ht="14.25" customHeight="1" x14ac:dyDescent="0.25">
      <c r="P479" s="144"/>
    </row>
    <row r="480" spans="16:16" ht="14.25" customHeight="1" x14ac:dyDescent="0.25">
      <c r="P480" s="144"/>
    </row>
    <row r="481" spans="16:16" ht="14.25" customHeight="1" x14ac:dyDescent="0.25">
      <c r="P481" s="144"/>
    </row>
    <row r="482" spans="16:16" ht="14.25" customHeight="1" x14ac:dyDescent="0.25">
      <c r="P482" s="144"/>
    </row>
    <row r="483" spans="16:16" ht="14.25" customHeight="1" x14ac:dyDescent="0.25">
      <c r="P483" s="144"/>
    </row>
    <row r="484" spans="16:16" ht="14.25" customHeight="1" x14ac:dyDescent="0.25">
      <c r="P484" s="144"/>
    </row>
    <row r="485" spans="16:16" ht="14.25" customHeight="1" x14ac:dyDescent="0.25">
      <c r="P485" s="144"/>
    </row>
    <row r="486" spans="16:16" ht="14.25" customHeight="1" x14ac:dyDescent="0.25">
      <c r="P486" s="144"/>
    </row>
    <row r="487" spans="16:16" ht="14.25" customHeight="1" x14ac:dyDescent="0.25">
      <c r="P487" s="144"/>
    </row>
    <row r="488" spans="16:16" ht="14.25" customHeight="1" x14ac:dyDescent="0.25">
      <c r="P488" s="144"/>
    </row>
    <row r="489" spans="16:16" ht="14.25" customHeight="1" x14ac:dyDescent="0.25">
      <c r="P489" s="144"/>
    </row>
    <row r="490" spans="16:16" ht="14.25" customHeight="1" x14ac:dyDescent="0.25">
      <c r="P490" s="144"/>
    </row>
    <row r="491" spans="16:16" ht="14.25" customHeight="1" x14ac:dyDescent="0.25">
      <c r="P491" s="144"/>
    </row>
    <row r="492" spans="16:16" ht="14.25" customHeight="1" x14ac:dyDescent="0.25">
      <c r="P492" s="144"/>
    </row>
    <row r="493" spans="16:16" ht="14.25" customHeight="1" x14ac:dyDescent="0.25">
      <c r="P493" s="144"/>
    </row>
    <row r="494" spans="16:16" ht="14.25" customHeight="1" x14ac:dyDescent="0.25">
      <c r="P494" s="144"/>
    </row>
    <row r="495" spans="16:16" ht="14.25" customHeight="1" x14ac:dyDescent="0.25">
      <c r="P495" s="144"/>
    </row>
    <row r="496" spans="16:16" ht="14.25" customHeight="1" x14ac:dyDescent="0.25">
      <c r="P496" s="144"/>
    </row>
    <row r="497" spans="16:16" ht="14.25" customHeight="1" x14ac:dyDescent="0.25">
      <c r="P497" s="144"/>
    </row>
    <row r="498" spans="16:16" ht="14.25" customHeight="1" x14ac:dyDescent="0.25">
      <c r="P498" s="144"/>
    </row>
    <row r="499" spans="16:16" ht="14.25" customHeight="1" x14ac:dyDescent="0.25">
      <c r="P499" s="144"/>
    </row>
    <row r="500" spans="16:16" ht="14.25" customHeight="1" x14ac:dyDescent="0.25">
      <c r="P500" s="144"/>
    </row>
    <row r="501" spans="16:16" ht="14.25" customHeight="1" x14ac:dyDescent="0.25">
      <c r="P501" s="144"/>
    </row>
    <row r="502" spans="16:16" ht="14.25" customHeight="1" x14ac:dyDescent="0.25">
      <c r="P502" s="144"/>
    </row>
    <row r="503" spans="16:16" ht="14.25" customHeight="1" x14ac:dyDescent="0.25">
      <c r="P503" s="144"/>
    </row>
    <row r="504" spans="16:16" ht="14.25" customHeight="1" x14ac:dyDescent="0.25">
      <c r="P504" s="144"/>
    </row>
    <row r="505" spans="16:16" ht="14.25" customHeight="1" x14ac:dyDescent="0.25">
      <c r="P505" s="144"/>
    </row>
    <row r="506" spans="16:16" ht="14.25" customHeight="1" x14ac:dyDescent="0.25">
      <c r="P506" s="144"/>
    </row>
    <row r="507" spans="16:16" ht="14.25" customHeight="1" x14ac:dyDescent="0.25">
      <c r="P507" s="144"/>
    </row>
    <row r="508" spans="16:16" ht="14.25" customHeight="1" x14ac:dyDescent="0.25">
      <c r="P508" s="144"/>
    </row>
    <row r="509" spans="16:16" ht="14.25" customHeight="1" x14ac:dyDescent="0.25">
      <c r="P509" s="144"/>
    </row>
    <row r="510" spans="16:16" ht="14.25" customHeight="1" x14ac:dyDescent="0.25">
      <c r="P510" s="144"/>
    </row>
    <row r="511" spans="16:16" ht="14.25" customHeight="1" x14ac:dyDescent="0.25">
      <c r="P511" s="144"/>
    </row>
    <row r="512" spans="16:16" ht="14.25" customHeight="1" x14ac:dyDescent="0.25">
      <c r="P512" s="144"/>
    </row>
    <row r="513" spans="16:16" ht="14.25" customHeight="1" x14ac:dyDescent="0.25">
      <c r="P513" s="144"/>
    </row>
    <row r="514" spans="16:16" ht="14.25" customHeight="1" x14ac:dyDescent="0.25">
      <c r="P514" s="144"/>
    </row>
    <row r="515" spans="16:16" ht="14.25" customHeight="1" x14ac:dyDescent="0.25">
      <c r="P515" s="144"/>
    </row>
    <row r="516" spans="16:16" ht="14.25" customHeight="1" x14ac:dyDescent="0.25">
      <c r="P516" s="144"/>
    </row>
    <row r="517" spans="16:16" ht="14.25" customHeight="1" x14ac:dyDescent="0.25">
      <c r="P517" s="144"/>
    </row>
    <row r="518" spans="16:16" ht="14.25" customHeight="1" x14ac:dyDescent="0.25">
      <c r="P518" s="144"/>
    </row>
    <row r="519" spans="16:16" ht="14.25" customHeight="1" x14ac:dyDescent="0.25">
      <c r="P519" s="144"/>
    </row>
    <row r="520" spans="16:16" ht="14.25" customHeight="1" x14ac:dyDescent="0.25">
      <c r="P520" s="144"/>
    </row>
    <row r="521" spans="16:16" ht="14.25" customHeight="1" x14ac:dyDescent="0.25">
      <c r="P521" s="144"/>
    </row>
    <row r="522" spans="16:16" ht="14.25" customHeight="1" x14ac:dyDescent="0.25">
      <c r="P522" s="144"/>
    </row>
    <row r="523" spans="16:16" ht="14.25" customHeight="1" x14ac:dyDescent="0.25">
      <c r="P523" s="144"/>
    </row>
    <row r="524" spans="16:16" ht="14.25" customHeight="1" x14ac:dyDescent="0.25">
      <c r="P524" s="144"/>
    </row>
    <row r="525" spans="16:16" ht="14.25" customHeight="1" x14ac:dyDescent="0.25">
      <c r="P525" s="144"/>
    </row>
    <row r="526" spans="16:16" ht="14.25" customHeight="1" x14ac:dyDescent="0.25">
      <c r="P526" s="144"/>
    </row>
    <row r="527" spans="16:16" ht="14.25" customHeight="1" x14ac:dyDescent="0.25">
      <c r="P527" s="144"/>
    </row>
    <row r="528" spans="16:16" ht="14.25" customHeight="1" x14ac:dyDescent="0.25">
      <c r="P528" s="144"/>
    </row>
    <row r="529" spans="16:16" ht="14.25" customHeight="1" x14ac:dyDescent="0.25">
      <c r="P529" s="144"/>
    </row>
    <row r="530" spans="16:16" ht="14.25" customHeight="1" x14ac:dyDescent="0.25">
      <c r="P530" s="144"/>
    </row>
    <row r="531" spans="16:16" ht="14.25" customHeight="1" x14ac:dyDescent="0.25">
      <c r="P531" s="144"/>
    </row>
    <row r="532" spans="16:16" ht="14.25" customHeight="1" x14ac:dyDescent="0.25">
      <c r="P532" s="144"/>
    </row>
    <row r="533" spans="16:16" ht="14.25" customHeight="1" x14ac:dyDescent="0.25">
      <c r="P533" s="144"/>
    </row>
    <row r="534" spans="16:16" ht="14.25" customHeight="1" x14ac:dyDescent="0.25">
      <c r="P534" s="144"/>
    </row>
    <row r="535" spans="16:16" ht="14.25" customHeight="1" x14ac:dyDescent="0.25">
      <c r="P535" s="144"/>
    </row>
    <row r="536" spans="16:16" ht="14.25" customHeight="1" x14ac:dyDescent="0.25">
      <c r="P536" s="144"/>
    </row>
    <row r="537" spans="16:16" ht="14.25" customHeight="1" x14ac:dyDescent="0.25">
      <c r="P537" s="144"/>
    </row>
    <row r="538" spans="16:16" ht="14.25" customHeight="1" x14ac:dyDescent="0.25">
      <c r="P538" s="144"/>
    </row>
    <row r="539" spans="16:16" ht="14.25" customHeight="1" x14ac:dyDescent="0.25">
      <c r="P539" s="144"/>
    </row>
    <row r="540" spans="16:16" ht="14.25" customHeight="1" x14ac:dyDescent="0.25">
      <c r="P540" s="144"/>
    </row>
    <row r="541" spans="16:16" ht="14.25" customHeight="1" x14ac:dyDescent="0.25">
      <c r="P541" s="144"/>
    </row>
    <row r="542" spans="16:16" ht="14.25" customHeight="1" x14ac:dyDescent="0.25">
      <c r="P542" s="144"/>
    </row>
    <row r="543" spans="16:16" ht="14.25" customHeight="1" x14ac:dyDescent="0.25">
      <c r="P543" s="144"/>
    </row>
    <row r="544" spans="16:16" ht="14.25" customHeight="1" x14ac:dyDescent="0.25">
      <c r="P544" s="144"/>
    </row>
    <row r="545" spans="16:16" ht="14.25" customHeight="1" x14ac:dyDescent="0.25">
      <c r="P545" s="144"/>
    </row>
    <row r="546" spans="16:16" ht="14.25" customHeight="1" x14ac:dyDescent="0.25">
      <c r="P546" s="144"/>
    </row>
    <row r="547" spans="16:16" ht="14.25" customHeight="1" x14ac:dyDescent="0.25">
      <c r="P547" s="144"/>
    </row>
    <row r="548" spans="16:16" ht="14.25" customHeight="1" x14ac:dyDescent="0.25">
      <c r="P548" s="144"/>
    </row>
    <row r="549" spans="16:16" ht="14.25" customHeight="1" x14ac:dyDescent="0.25">
      <c r="P549" s="144"/>
    </row>
    <row r="550" spans="16:16" ht="14.25" customHeight="1" x14ac:dyDescent="0.25">
      <c r="P550" s="144"/>
    </row>
    <row r="551" spans="16:16" ht="14.25" customHeight="1" x14ac:dyDescent="0.25">
      <c r="P551" s="144"/>
    </row>
    <row r="552" spans="16:16" ht="14.25" customHeight="1" x14ac:dyDescent="0.25">
      <c r="P552" s="144"/>
    </row>
    <row r="553" spans="16:16" ht="14.25" customHeight="1" x14ac:dyDescent="0.25">
      <c r="P553" s="144"/>
    </row>
    <row r="554" spans="16:16" ht="14.25" customHeight="1" x14ac:dyDescent="0.25">
      <c r="P554" s="144"/>
    </row>
    <row r="555" spans="16:16" ht="14.25" customHeight="1" x14ac:dyDescent="0.25">
      <c r="P555" s="144"/>
    </row>
    <row r="556" spans="16:16" ht="14.25" customHeight="1" x14ac:dyDescent="0.25">
      <c r="P556" s="144"/>
    </row>
    <row r="557" spans="16:16" ht="14.25" customHeight="1" x14ac:dyDescent="0.25">
      <c r="P557" s="144"/>
    </row>
    <row r="558" spans="16:16" ht="14.25" customHeight="1" x14ac:dyDescent="0.25">
      <c r="P558" s="144"/>
    </row>
    <row r="559" spans="16:16" ht="14.25" customHeight="1" x14ac:dyDescent="0.25">
      <c r="P559" s="144"/>
    </row>
    <row r="560" spans="16:16" ht="14.25" customHeight="1" x14ac:dyDescent="0.25">
      <c r="P560" s="144"/>
    </row>
    <row r="561" spans="16:16" ht="14.25" customHeight="1" x14ac:dyDescent="0.25">
      <c r="P561" s="144"/>
    </row>
    <row r="562" spans="16:16" ht="14.25" customHeight="1" x14ac:dyDescent="0.25">
      <c r="P562" s="144"/>
    </row>
    <row r="563" spans="16:16" ht="14.25" customHeight="1" x14ac:dyDescent="0.25">
      <c r="P563" s="144"/>
    </row>
    <row r="564" spans="16:16" ht="14.25" customHeight="1" x14ac:dyDescent="0.25">
      <c r="P564" s="144"/>
    </row>
    <row r="565" spans="16:16" ht="14.25" customHeight="1" x14ac:dyDescent="0.25">
      <c r="P565" s="144"/>
    </row>
    <row r="566" spans="16:16" ht="14.25" customHeight="1" x14ac:dyDescent="0.25">
      <c r="P566" s="144"/>
    </row>
    <row r="567" spans="16:16" ht="14.25" customHeight="1" x14ac:dyDescent="0.25">
      <c r="P567" s="144"/>
    </row>
    <row r="568" spans="16:16" ht="14.25" customHeight="1" x14ac:dyDescent="0.25">
      <c r="P568" s="144"/>
    </row>
    <row r="569" spans="16:16" ht="14.25" customHeight="1" x14ac:dyDescent="0.25">
      <c r="P569" s="144"/>
    </row>
    <row r="570" spans="16:16" ht="14.25" customHeight="1" x14ac:dyDescent="0.25">
      <c r="P570" s="144"/>
    </row>
    <row r="571" spans="16:16" ht="14.25" customHeight="1" x14ac:dyDescent="0.25">
      <c r="P571" s="144"/>
    </row>
    <row r="572" spans="16:16" ht="14.25" customHeight="1" x14ac:dyDescent="0.25">
      <c r="P572" s="144"/>
    </row>
    <row r="573" spans="16:16" ht="14.25" customHeight="1" x14ac:dyDescent="0.25">
      <c r="P573" s="144"/>
    </row>
    <row r="574" spans="16:16" ht="14.25" customHeight="1" x14ac:dyDescent="0.25">
      <c r="P574" s="144"/>
    </row>
    <row r="575" spans="16:16" ht="14.25" customHeight="1" x14ac:dyDescent="0.25">
      <c r="P575" s="144"/>
    </row>
    <row r="576" spans="16:16" ht="14.25" customHeight="1" x14ac:dyDescent="0.25">
      <c r="P576" s="144"/>
    </row>
    <row r="577" spans="16:16" ht="14.25" customHeight="1" x14ac:dyDescent="0.25">
      <c r="P577" s="144"/>
    </row>
    <row r="578" spans="16:16" ht="14.25" customHeight="1" x14ac:dyDescent="0.25">
      <c r="P578" s="144"/>
    </row>
    <row r="579" spans="16:16" ht="14.25" customHeight="1" x14ac:dyDescent="0.25">
      <c r="P579" s="144"/>
    </row>
    <row r="580" spans="16:16" ht="14.25" customHeight="1" x14ac:dyDescent="0.25">
      <c r="P580" s="144"/>
    </row>
    <row r="581" spans="16:16" ht="14.25" customHeight="1" x14ac:dyDescent="0.25">
      <c r="P581" s="144"/>
    </row>
    <row r="582" spans="16:16" ht="14.25" customHeight="1" x14ac:dyDescent="0.25">
      <c r="P582" s="144"/>
    </row>
    <row r="583" spans="16:16" ht="14.25" customHeight="1" x14ac:dyDescent="0.25">
      <c r="P583" s="144"/>
    </row>
    <row r="584" spans="16:16" ht="14.25" customHeight="1" x14ac:dyDescent="0.25">
      <c r="P584" s="144"/>
    </row>
    <row r="585" spans="16:16" ht="14.25" customHeight="1" x14ac:dyDescent="0.25">
      <c r="P585" s="144"/>
    </row>
    <row r="586" spans="16:16" ht="14.25" customHeight="1" x14ac:dyDescent="0.25">
      <c r="P586" s="144"/>
    </row>
    <row r="587" spans="16:16" ht="14.25" customHeight="1" x14ac:dyDescent="0.25">
      <c r="P587" s="144"/>
    </row>
    <row r="588" spans="16:16" ht="14.25" customHeight="1" x14ac:dyDescent="0.25">
      <c r="P588" s="144"/>
    </row>
    <row r="589" spans="16:16" ht="14.25" customHeight="1" x14ac:dyDescent="0.25">
      <c r="P589" s="144"/>
    </row>
    <row r="590" spans="16:16" ht="14.25" customHeight="1" x14ac:dyDescent="0.25">
      <c r="P590" s="144"/>
    </row>
    <row r="591" spans="16:16" ht="14.25" customHeight="1" x14ac:dyDescent="0.25">
      <c r="P591" s="144"/>
    </row>
    <row r="592" spans="16:16" ht="14.25" customHeight="1" x14ac:dyDescent="0.25">
      <c r="P592" s="144"/>
    </row>
    <row r="593" spans="16:16" ht="14.25" customHeight="1" x14ac:dyDescent="0.25">
      <c r="P593" s="144"/>
    </row>
    <row r="594" spans="16:16" ht="14.25" customHeight="1" x14ac:dyDescent="0.25">
      <c r="P594" s="144"/>
    </row>
    <row r="595" spans="16:16" ht="14.25" customHeight="1" x14ac:dyDescent="0.25">
      <c r="P595" s="144"/>
    </row>
    <row r="596" spans="16:16" ht="14.25" customHeight="1" x14ac:dyDescent="0.25">
      <c r="P596" s="144"/>
    </row>
    <row r="597" spans="16:16" ht="14.25" customHeight="1" x14ac:dyDescent="0.25">
      <c r="P597" s="144"/>
    </row>
    <row r="598" spans="16:16" ht="14.25" customHeight="1" x14ac:dyDescent="0.25">
      <c r="P598" s="144"/>
    </row>
    <row r="599" spans="16:16" ht="14.25" customHeight="1" x14ac:dyDescent="0.25">
      <c r="P599" s="144"/>
    </row>
    <row r="600" spans="16:16" ht="14.25" customHeight="1" x14ac:dyDescent="0.25">
      <c r="P600" s="144"/>
    </row>
    <row r="601" spans="16:16" ht="14.25" customHeight="1" x14ac:dyDescent="0.25">
      <c r="P601" s="144"/>
    </row>
    <row r="602" spans="16:16" ht="14.25" customHeight="1" x14ac:dyDescent="0.25">
      <c r="P602" s="144"/>
    </row>
    <row r="603" spans="16:16" ht="14.25" customHeight="1" x14ac:dyDescent="0.25">
      <c r="P603" s="144"/>
    </row>
    <row r="604" spans="16:16" ht="14.25" customHeight="1" x14ac:dyDescent="0.25">
      <c r="P604" s="144"/>
    </row>
    <row r="605" spans="16:16" ht="14.25" customHeight="1" x14ac:dyDescent="0.25">
      <c r="P605" s="144"/>
    </row>
    <row r="606" spans="16:16" ht="14.25" customHeight="1" x14ac:dyDescent="0.25">
      <c r="P606" s="144"/>
    </row>
    <row r="607" spans="16:16" ht="14.25" customHeight="1" x14ac:dyDescent="0.25">
      <c r="P607" s="144"/>
    </row>
    <row r="608" spans="16:16" ht="14.25" customHeight="1" x14ac:dyDescent="0.25">
      <c r="P608" s="144"/>
    </row>
    <row r="609" spans="16:16" ht="14.25" customHeight="1" x14ac:dyDescent="0.25">
      <c r="P609" s="144"/>
    </row>
    <row r="610" spans="16:16" ht="14.25" customHeight="1" x14ac:dyDescent="0.25">
      <c r="P610" s="144"/>
    </row>
    <row r="611" spans="16:16" ht="14.25" customHeight="1" x14ac:dyDescent="0.25">
      <c r="P611" s="144"/>
    </row>
    <row r="612" spans="16:16" ht="14.25" customHeight="1" x14ac:dyDescent="0.25">
      <c r="P612" s="144"/>
    </row>
    <row r="613" spans="16:16" ht="14.25" customHeight="1" x14ac:dyDescent="0.25">
      <c r="P613" s="144"/>
    </row>
    <row r="614" spans="16:16" ht="14.25" customHeight="1" x14ac:dyDescent="0.25">
      <c r="P614" s="144"/>
    </row>
    <row r="615" spans="16:16" ht="14.25" customHeight="1" x14ac:dyDescent="0.25">
      <c r="P615" s="144"/>
    </row>
    <row r="616" spans="16:16" ht="14.25" customHeight="1" x14ac:dyDescent="0.25">
      <c r="P616" s="144"/>
    </row>
    <row r="617" spans="16:16" ht="14.25" customHeight="1" x14ac:dyDescent="0.25">
      <c r="P617" s="144"/>
    </row>
    <row r="618" spans="16:16" ht="14.25" customHeight="1" x14ac:dyDescent="0.25">
      <c r="P618" s="144"/>
    </row>
    <row r="619" spans="16:16" ht="14.25" customHeight="1" x14ac:dyDescent="0.25">
      <c r="P619" s="144"/>
    </row>
    <row r="620" spans="16:16" ht="14.25" customHeight="1" x14ac:dyDescent="0.25">
      <c r="P620" s="144"/>
    </row>
    <row r="621" spans="16:16" ht="14.25" customHeight="1" x14ac:dyDescent="0.25">
      <c r="P621" s="144"/>
    </row>
    <row r="622" spans="16:16" ht="14.25" customHeight="1" x14ac:dyDescent="0.25">
      <c r="P622" s="144"/>
    </row>
    <row r="623" spans="16:16" ht="14.25" customHeight="1" x14ac:dyDescent="0.25">
      <c r="P623" s="144"/>
    </row>
    <row r="624" spans="16:16" ht="14.25" customHeight="1" x14ac:dyDescent="0.25">
      <c r="P624" s="144"/>
    </row>
    <row r="625" spans="16:16" ht="14.25" customHeight="1" x14ac:dyDescent="0.25">
      <c r="P625" s="144"/>
    </row>
    <row r="626" spans="16:16" ht="14.25" customHeight="1" x14ac:dyDescent="0.25">
      <c r="P626" s="144"/>
    </row>
    <row r="627" spans="16:16" ht="14.25" customHeight="1" x14ac:dyDescent="0.25">
      <c r="P627" s="144"/>
    </row>
    <row r="628" spans="16:16" ht="14.25" customHeight="1" x14ac:dyDescent="0.25">
      <c r="P628" s="144"/>
    </row>
    <row r="629" spans="16:16" ht="14.25" customHeight="1" x14ac:dyDescent="0.25">
      <c r="P629" s="144"/>
    </row>
    <row r="630" spans="16:16" ht="14.25" customHeight="1" x14ac:dyDescent="0.25">
      <c r="P630" s="144"/>
    </row>
    <row r="631" spans="16:16" ht="14.25" customHeight="1" x14ac:dyDescent="0.25">
      <c r="P631" s="144"/>
    </row>
    <row r="632" spans="16:16" ht="14.25" customHeight="1" x14ac:dyDescent="0.25">
      <c r="P632" s="144"/>
    </row>
    <row r="633" spans="16:16" ht="14.25" customHeight="1" x14ac:dyDescent="0.25">
      <c r="P633" s="144"/>
    </row>
    <row r="634" spans="16:16" ht="14.25" customHeight="1" x14ac:dyDescent="0.25">
      <c r="P634" s="144"/>
    </row>
    <row r="635" spans="16:16" ht="14.25" customHeight="1" x14ac:dyDescent="0.25">
      <c r="P635" s="144"/>
    </row>
    <row r="636" spans="16:16" ht="14.25" customHeight="1" x14ac:dyDescent="0.25">
      <c r="P636" s="144"/>
    </row>
    <row r="637" spans="16:16" ht="14.25" customHeight="1" x14ac:dyDescent="0.25">
      <c r="P637" s="144"/>
    </row>
    <row r="638" spans="16:16" ht="14.25" customHeight="1" x14ac:dyDescent="0.25">
      <c r="P638" s="144"/>
    </row>
    <row r="639" spans="16:16" ht="14.25" customHeight="1" x14ac:dyDescent="0.25">
      <c r="P639" s="144"/>
    </row>
    <row r="640" spans="16:16" ht="14.25" customHeight="1" x14ac:dyDescent="0.25">
      <c r="P640" s="144"/>
    </row>
    <row r="641" spans="16:16" ht="14.25" customHeight="1" x14ac:dyDescent="0.25">
      <c r="P641" s="144"/>
    </row>
    <row r="642" spans="16:16" ht="14.25" customHeight="1" x14ac:dyDescent="0.25">
      <c r="P642" s="144"/>
    </row>
    <row r="643" spans="16:16" ht="14.25" customHeight="1" x14ac:dyDescent="0.25">
      <c r="P643" s="144"/>
    </row>
    <row r="644" spans="16:16" ht="14.25" customHeight="1" x14ac:dyDescent="0.25">
      <c r="P644" s="144"/>
    </row>
    <row r="645" spans="16:16" ht="14.25" customHeight="1" x14ac:dyDescent="0.25">
      <c r="P645" s="144"/>
    </row>
    <row r="646" spans="16:16" ht="14.25" customHeight="1" x14ac:dyDescent="0.25">
      <c r="P646" s="144"/>
    </row>
    <row r="647" spans="16:16" ht="14.25" customHeight="1" x14ac:dyDescent="0.25">
      <c r="P647" s="144"/>
    </row>
    <row r="648" spans="16:16" ht="14.25" customHeight="1" x14ac:dyDescent="0.25">
      <c r="P648" s="144"/>
    </row>
    <row r="649" spans="16:16" ht="14.25" customHeight="1" x14ac:dyDescent="0.25">
      <c r="P649" s="144"/>
    </row>
    <row r="650" spans="16:16" ht="14.25" customHeight="1" x14ac:dyDescent="0.25">
      <c r="P650" s="144"/>
    </row>
    <row r="651" spans="16:16" ht="14.25" customHeight="1" x14ac:dyDescent="0.25">
      <c r="P651" s="144"/>
    </row>
    <row r="652" spans="16:16" ht="14.25" customHeight="1" x14ac:dyDescent="0.25">
      <c r="P652" s="144"/>
    </row>
    <row r="653" spans="16:16" ht="14.25" customHeight="1" x14ac:dyDescent="0.25">
      <c r="P653" s="144"/>
    </row>
    <row r="654" spans="16:16" ht="14.25" customHeight="1" x14ac:dyDescent="0.25">
      <c r="P654" s="144"/>
    </row>
    <row r="655" spans="16:16" ht="14.25" customHeight="1" x14ac:dyDescent="0.25">
      <c r="P655" s="144"/>
    </row>
    <row r="656" spans="16:16" ht="14.25" customHeight="1" x14ac:dyDescent="0.25">
      <c r="P656" s="144"/>
    </row>
    <row r="657" spans="16:16" ht="14.25" customHeight="1" x14ac:dyDescent="0.25">
      <c r="P657" s="144"/>
    </row>
    <row r="658" spans="16:16" ht="14.25" customHeight="1" x14ac:dyDescent="0.25">
      <c r="P658" s="144"/>
    </row>
    <row r="659" spans="16:16" ht="14.25" customHeight="1" x14ac:dyDescent="0.25">
      <c r="P659" s="144"/>
    </row>
    <row r="660" spans="16:16" ht="14.25" customHeight="1" x14ac:dyDescent="0.25">
      <c r="P660" s="144"/>
    </row>
    <row r="661" spans="16:16" ht="14.25" customHeight="1" x14ac:dyDescent="0.25">
      <c r="P661" s="144"/>
    </row>
    <row r="662" spans="16:16" ht="14.25" customHeight="1" x14ac:dyDescent="0.25">
      <c r="P662" s="144"/>
    </row>
    <row r="663" spans="16:16" ht="14.25" customHeight="1" x14ac:dyDescent="0.25">
      <c r="P663" s="144"/>
    </row>
    <row r="664" spans="16:16" ht="14.25" customHeight="1" x14ac:dyDescent="0.25">
      <c r="P664" s="144"/>
    </row>
    <row r="665" spans="16:16" ht="14.25" customHeight="1" x14ac:dyDescent="0.25">
      <c r="P665" s="144"/>
    </row>
    <row r="666" spans="16:16" ht="14.25" customHeight="1" x14ac:dyDescent="0.25">
      <c r="P666" s="144"/>
    </row>
    <row r="667" spans="16:16" ht="14.25" customHeight="1" x14ac:dyDescent="0.25">
      <c r="P667" s="144"/>
    </row>
    <row r="668" spans="16:16" ht="14.25" customHeight="1" x14ac:dyDescent="0.25">
      <c r="P668" s="144"/>
    </row>
    <row r="669" spans="16:16" ht="14.25" customHeight="1" x14ac:dyDescent="0.25">
      <c r="P669" s="144"/>
    </row>
    <row r="670" spans="16:16" ht="14.25" customHeight="1" x14ac:dyDescent="0.25">
      <c r="P670" s="144"/>
    </row>
    <row r="671" spans="16:16" ht="14.25" customHeight="1" x14ac:dyDescent="0.25">
      <c r="P671" s="144"/>
    </row>
    <row r="672" spans="16:16" ht="14.25" customHeight="1" x14ac:dyDescent="0.25">
      <c r="P672" s="144"/>
    </row>
    <row r="673" spans="16:16" ht="14.25" customHeight="1" x14ac:dyDescent="0.25">
      <c r="P673" s="144"/>
    </row>
    <row r="674" spans="16:16" ht="14.25" customHeight="1" x14ac:dyDescent="0.25">
      <c r="P674" s="144"/>
    </row>
    <row r="675" spans="16:16" ht="14.25" customHeight="1" x14ac:dyDescent="0.25">
      <c r="P675" s="144"/>
    </row>
    <row r="676" spans="16:16" ht="14.25" customHeight="1" x14ac:dyDescent="0.25">
      <c r="P676" s="144"/>
    </row>
    <row r="677" spans="16:16" ht="14.25" customHeight="1" x14ac:dyDescent="0.25">
      <c r="P677" s="144"/>
    </row>
    <row r="678" spans="16:16" ht="14.25" customHeight="1" x14ac:dyDescent="0.25">
      <c r="P678" s="144"/>
    </row>
    <row r="679" spans="16:16" ht="14.25" customHeight="1" x14ac:dyDescent="0.25">
      <c r="P679" s="144"/>
    </row>
    <row r="680" spans="16:16" ht="14.25" customHeight="1" x14ac:dyDescent="0.25">
      <c r="P680" s="144"/>
    </row>
    <row r="681" spans="16:16" ht="14.25" customHeight="1" x14ac:dyDescent="0.25">
      <c r="P681" s="144"/>
    </row>
    <row r="682" spans="16:16" ht="14.25" customHeight="1" x14ac:dyDescent="0.25">
      <c r="P682" s="144"/>
    </row>
    <row r="683" spans="16:16" ht="14.25" customHeight="1" x14ac:dyDescent="0.25">
      <c r="P683" s="144"/>
    </row>
    <row r="684" spans="16:16" ht="14.25" customHeight="1" x14ac:dyDescent="0.25">
      <c r="P684" s="144"/>
    </row>
    <row r="685" spans="16:16" ht="14.25" customHeight="1" x14ac:dyDescent="0.25">
      <c r="P685" s="144"/>
    </row>
    <row r="686" spans="16:16" ht="14.25" customHeight="1" x14ac:dyDescent="0.25">
      <c r="P686" s="144"/>
    </row>
    <row r="687" spans="16:16" ht="14.25" customHeight="1" x14ac:dyDescent="0.25">
      <c r="P687" s="144"/>
    </row>
    <row r="688" spans="16:16" ht="14.25" customHeight="1" x14ac:dyDescent="0.25">
      <c r="P688" s="144"/>
    </row>
    <row r="689" spans="16:16" ht="14.25" customHeight="1" x14ac:dyDescent="0.25">
      <c r="P689" s="144"/>
    </row>
    <row r="690" spans="16:16" ht="14.25" customHeight="1" x14ac:dyDescent="0.25">
      <c r="P690" s="144"/>
    </row>
    <row r="691" spans="16:16" ht="14.25" customHeight="1" x14ac:dyDescent="0.25">
      <c r="P691" s="144"/>
    </row>
    <row r="692" spans="16:16" ht="14.25" customHeight="1" x14ac:dyDescent="0.25">
      <c r="P692" s="144"/>
    </row>
    <row r="693" spans="16:16" ht="14.25" customHeight="1" x14ac:dyDescent="0.25">
      <c r="P693" s="144"/>
    </row>
    <row r="694" spans="16:16" ht="14.25" customHeight="1" x14ac:dyDescent="0.25">
      <c r="P694" s="144"/>
    </row>
    <row r="695" spans="16:16" ht="14.25" customHeight="1" x14ac:dyDescent="0.25">
      <c r="P695" s="144"/>
    </row>
    <row r="696" spans="16:16" ht="14.25" customHeight="1" x14ac:dyDescent="0.25">
      <c r="P696" s="144"/>
    </row>
    <row r="697" spans="16:16" ht="14.25" customHeight="1" x14ac:dyDescent="0.25">
      <c r="P697" s="144"/>
    </row>
    <row r="698" spans="16:16" ht="14.25" customHeight="1" x14ac:dyDescent="0.25">
      <c r="P698" s="144"/>
    </row>
    <row r="699" spans="16:16" ht="14.25" customHeight="1" x14ac:dyDescent="0.25">
      <c r="P699" s="144"/>
    </row>
    <row r="700" spans="16:16" ht="14.25" customHeight="1" x14ac:dyDescent="0.25">
      <c r="P700" s="144"/>
    </row>
    <row r="701" spans="16:16" ht="14.25" customHeight="1" x14ac:dyDescent="0.25">
      <c r="P701" s="144"/>
    </row>
    <row r="702" spans="16:16" ht="14.25" customHeight="1" x14ac:dyDescent="0.25">
      <c r="P702" s="144"/>
    </row>
    <row r="703" spans="16:16" ht="14.25" customHeight="1" x14ac:dyDescent="0.25">
      <c r="P703" s="144"/>
    </row>
    <row r="704" spans="16:16" ht="14.25" customHeight="1" x14ac:dyDescent="0.25">
      <c r="P704" s="144"/>
    </row>
    <row r="705" spans="16:16" ht="14.25" customHeight="1" x14ac:dyDescent="0.25">
      <c r="P705" s="144"/>
    </row>
    <row r="706" spans="16:16" ht="14.25" customHeight="1" x14ac:dyDescent="0.25">
      <c r="P706" s="144"/>
    </row>
    <row r="707" spans="16:16" ht="14.25" customHeight="1" x14ac:dyDescent="0.25">
      <c r="P707" s="144"/>
    </row>
    <row r="708" spans="16:16" ht="14.25" customHeight="1" x14ac:dyDescent="0.25">
      <c r="P708" s="144"/>
    </row>
    <row r="709" spans="16:16" ht="14.25" customHeight="1" x14ac:dyDescent="0.25">
      <c r="P709" s="144"/>
    </row>
    <row r="710" spans="16:16" ht="14.25" customHeight="1" x14ac:dyDescent="0.25">
      <c r="P710" s="144"/>
    </row>
    <row r="711" spans="16:16" ht="14.25" customHeight="1" x14ac:dyDescent="0.25">
      <c r="P711" s="144"/>
    </row>
    <row r="712" spans="16:16" ht="14.25" customHeight="1" x14ac:dyDescent="0.25">
      <c r="P712" s="144"/>
    </row>
    <row r="713" spans="16:16" ht="14.25" customHeight="1" x14ac:dyDescent="0.25">
      <c r="P713" s="144"/>
    </row>
    <row r="714" spans="16:16" ht="14.25" customHeight="1" x14ac:dyDescent="0.25">
      <c r="P714" s="144"/>
    </row>
    <row r="715" spans="16:16" ht="14.25" customHeight="1" x14ac:dyDescent="0.25">
      <c r="P715" s="144"/>
    </row>
    <row r="716" spans="16:16" ht="14.25" customHeight="1" x14ac:dyDescent="0.25">
      <c r="P716" s="144"/>
    </row>
    <row r="717" spans="16:16" ht="14.25" customHeight="1" x14ac:dyDescent="0.25">
      <c r="P717" s="144"/>
    </row>
    <row r="718" spans="16:16" ht="14.25" customHeight="1" x14ac:dyDescent="0.25">
      <c r="P718" s="144"/>
    </row>
    <row r="719" spans="16:16" ht="14.25" customHeight="1" x14ac:dyDescent="0.25">
      <c r="P719" s="144"/>
    </row>
    <row r="720" spans="16:16" ht="14.25" customHeight="1" x14ac:dyDescent="0.25">
      <c r="P720" s="144"/>
    </row>
    <row r="721" spans="16:16" ht="14.25" customHeight="1" x14ac:dyDescent="0.25">
      <c r="P721" s="144"/>
    </row>
    <row r="722" spans="16:16" ht="14.25" customHeight="1" x14ac:dyDescent="0.25">
      <c r="P722" s="144"/>
    </row>
    <row r="723" spans="16:16" ht="14.25" customHeight="1" x14ac:dyDescent="0.25">
      <c r="P723" s="144"/>
    </row>
    <row r="724" spans="16:16" ht="14.25" customHeight="1" x14ac:dyDescent="0.25">
      <c r="P724" s="144"/>
    </row>
    <row r="725" spans="16:16" ht="14.25" customHeight="1" x14ac:dyDescent="0.25">
      <c r="P725" s="144"/>
    </row>
    <row r="726" spans="16:16" ht="14.25" customHeight="1" x14ac:dyDescent="0.25">
      <c r="P726" s="144"/>
    </row>
    <row r="727" spans="16:16" ht="14.25" customHeight="1" x14ac:dyDescent="0.25">
      <c r="P727" s="144"/>
    </row>
    <row r="728" spans="16:16" ht="14.25" customHeight="1" x14ac:dyDescent="0.25">
      <c r="P728" s="144"/>
    </row>
    <row r="729" spans="16:16" ht="14.25" customHeight="1" x14ac:dyDescent="0.25">
      <c r="P729" s="144"/>
    </row>
    <row r="730" spans="16:16" ht="14.25" customHeight="1" x14ac:dyDescent="0.25">
      <c r="P730" s="144"/>
    </row>
    <row r="731" spans="16:16" ht="14.25" customHeight="1" x14ac:dyDescent="0.25">
      <c r="P731" s="144"/>
    </row>
    <row r="732" spans="16:16" ht="14.25" customHeight="1" x14ac:dyDescent="0.25">
      <c r="P732" s="144"/>
    </row>
    <row r="733" spans="16:16" ht="14.25" customHeight="1" x14ac:dyDescent="0.25">
      <c r="P733" s="144"/>
    </row>
    <row r="734" spans="16:16" ht="14.25" customHeight="1" x14ac:dyDescent="0.25">
      <c r="P734" s="144"/>
    </row>
    <row r="735" spans="16:16" ht="14.25" customHeight="1" x14ac:dyDescent="0.25">
      <c r="P735" s="144"/>
    </row>
    <row r="736" spans="16:16" ht="14.25" customHeight="1" x14ac:dyDescent="0.25">
      <c r="P736" s="144"/>
    </row>
    <row r="737" spans="16:16" ht="14.25" customHeight="1" x14ac:dyDescent="0.25">
      <c r="P737" s="144"/>
    </row>
    <row r="738" spans="16:16" ht="14.25" customHeight="1" x14ac:dyDescent="0.25">
      <c r="P738" s="144"/>
    </row>
    <row r="739" spans="16:16" ht="14.25" customHeight="1" x14ac:dyDescent="0.25">
      <c r="P739" s="144"/>
    </row>
    <row r="740" spans="16:16" ht="14.25" customHeight="1" x14ac:dyDescent="0.25">
      <c r="P740" s="144"/>
    </row>
    <row r="741" spans="16:16" ht="14.25" customHeight="1" x14ac:dyDescent="0.25">
      <c r="P741" s="144"/>
    </row>
    <row r="742" spans="16:16" ht="14.25" customHeight="1" x14ac:dyDescent="0.25">
      <c r="P742" s="144"/>
    </row>
    <row r="743" spans="16:16" ht="14.25" customHeight="1" x14ac:dyDescent="0.25">
      <c r="P743" s="144"/>
    </row>
    <row r="744" spans="16:16" ht="14.25" customHeight="1" x14ac:dyDescent="0.25">
      <c r="P744" s="144"/>
    </row>
    <row r="745" spans="16:16" ht="14.25" customHeight="1" x14ac:dyDescent="0.25">
      <c r="P745" s="144"/>
    </row>
    <row r="746" spans="16:16" ht="14.25" customHeight="1" x14ac:dyDescent="0.25">
      <c r="P746" s="144"/>
    </row>
    <row r="747" spans="16:16" ht="14.25" customHeight="1" x14ac:dyDescent="0.25">
      <c r="P747" s="144"/>
    </row>
    <row r="748" spans="16:16" ht="14.25" customHeight="1" x14ac:dyDescent="0.25">
      <c r="P748" s="144"/>
    </row>
    <row r="749" spans="16:16" ht="14.25" customHeight="1" x14ac:dyDescent="0.25">
      <c r="P749" s="144"/>
    </row>
    <row r="750" spans="16:16" ht="14.25" customHeight="1" x14ac:dyDescent="0.25">
      <c r="P750" s="144"/>
    </row>
    <row r="751" spans="16:16" ht="14.25" customHeight="1" x14ac:dyDescent="0.25">
      <c r="P751" s="144"/>
    </row>
    <row r="752" spans="16:16" ht="14.25" customHeight="1" x14ac:dyDescent="0.25">
      <c r="P752" s="144"/>
    </row>
    <row r="753" spans="16:16" ht="14.25" customHeight="1" x14ac:dyDescent="0.25">
      <c r="P753" s="144"/>
    </row>
    <row r="754" spans="16:16" ht="14.25" customHeight="1" x14ac:dyDescent="0.25">
      <c r="P754" s="144"/>
    </row>
    <row r="755" spans="16:16" ht="14.25" customHeight="1" x14ac:dyDescent="0.25">
      <c r="P755" s="144"/>
    </row>
    <row r="756" spans="16:16" ht="14.25" customHeight="1" x14ac:dyDescent="0.25">
      <c r="P756" s="144"/>
    </row>
    <row r="757" spans="16:16" ht="14.25" customHeight="1" x14ac:dyDescent="0.25">
      <c r="P757" s="144"/>
    </row>
    <row r="758" spans="16:16" ht="14.25" customHeight="1" x14ac:dyDescent="0.25">
      <c r="P758" s="144"/>
    </row>
    <row r="759" spans="16:16" ht="14.25" customHeight="1" x14ac:dyDescent="0.25">
      <c r="P759" s="144"/>
    </row>
    <row r="760" spans="16:16" ht="14.25" customHeight="1" x14ac:dyDescent="0.25">
      <c r="P760" s="144"/>
    </row>
    <row r="761" spans="16:16" ht="14.25" customHeight="1" x14ac:dyDescent="0.25">
      <c r="P761" s="144"/>
    </row>
    <row r="762" spans="16:16" ht="14.25" customHeight="1" x14ac:dyDescent="0.25">
      <c r="P762" s="144"/>
    </row>
    <row r="763" spans="16:16" ht="14.25" customHeight="1" x14ac:dyDescent="0.25">
      <c r="P763" s="144"/>
    </row>
    <row r="764" spans="16:16" ht="14.25" customHeight="1" x14ac:dyDescent="0.25">
      <c r="P764" s="144"/>
    </row>
    <row r="765" spans="16:16" ht="14.25" customHeight="1" x14ac:dyDescent="0.25">
      <c r="P765" s="144"/>
    </row>
    <row r="766" spans="16:16" ht="14.25" customHeight="1" x14ac:dyDescent="0.25">
      <c r="P766" s="144"/>
    </row>
    <row r="767" spans="16:16" ht="14.25" customHeight="1" x14ac:dyDescent="0.25">
      <c r="P767" s="144"/>
    </row>
    <row r="768" spans="16:16" ht="14.25" customHeight="1" x14ac:dyDescent="0.25">
      <c r="P768" s="144"/>
    </row>
    <row r="769" spans="16:16" ht="14.25" customHeight="1" x14ac:dyDescent="0.25">
      <c r="P769" s="144"/>
    </row>
    <row r="770" spans="16:16" ht="14.25" customHeight="1" x14ac:dyDescent="0.25">
      <c r="P770" s="144"/>
    </row>
    <row r="771" spans="16:16" ht="14.25" customHeight="1" x14ac:dyDescent="0.25">
      <c r="P771" s="144"/>
    </row>
    <row r="772" spans="16:16" ht="14.25" customHeight="1" x14ac:dyDescent="0.25">
      <c r="P772" s="144"/>
    </row>
    <row r="773" spans="16:16" ht="14.25" customHeight="1" x14ac:dyDescent="0.25">
      <c r="P773" s="144"/>
    </row>
    <row r="774" spans="16:16" ht="14.25" customHeight="1" x14ac:dyDescent="0.25">
      <c r="P774" s="144"/>
    </row>
    <row r="775" spans="16:16" ht="14.25" customHeight="1" x14ac:dyDescent="0.25">
      <c r="P775" s="144"/>
    </row>
    <row r="776" spans="16:16" ht="14.25" customHeight="1" x14ac:dyDescent="0.25">
      <c r="P776" s="144"/>
    </row>
    <row r="777" spans="16:16" ht="14.25" customHeight="1" x14ac:dyDescent="0.25">
      <c r="P777" s="144"/>
    </row>
    <row r="778" spans="16:16" ht="14.25" customHeight="1" x14ac:dyDescent="0.25">
      <c r="P778" s="144"/>
    </row>
    <row r="779" spans="16:16" ht="14.25" customHeight="1" x14ac:dyDescent="0.25">
      <c r="P779" s="144"/>
    </row>
    <row r="780" spans="16:16" ht="14.25" customHeight="1" x14ac:dyDescent="0.25">
      <c r="P780" s="144"/>
    </row>
    <row r="781" spans="16:16" ht="14.25" customHeight="1" x14ac:dyDescent="0.25">
      <c r="P781" s="144"/>
    </row>
    <row r="782" spans="16:16" ht="14.25" customHeight="1" x14ac:dyDescent="0.25">
      <c r="P782" s="144"/>
    </row>
    <row r="783" spans="16:16" ht="14.25" customHeight="1" x14ac:dyDescent="0.25">
      <c r="P783" s="144"/>
    </row>
    <row r="784" spans="16:16" ht="14.25" customHeight="1" x14ac:dyDescent="0.25">
      <c r="P784" s="144"/>
    </row>
    <row r="785" spans="16:16" ht="14.25" customHeight="1" x14ac:dyDescent="0.25">
      <c r="P785" s="144"/>
    </row>
    <row r="786" spans="16:16" ht="14.25" customHeight="1" x14ac:dyDescent="0.25">
      <c r="P786" s="144"/>
    </row>
    <row r="787" spans="16:16" ht="14.25" customHeight="1" x14ac:dyDescent="0.25">
      <c r="P787" s="144"/>
    </row>
    <row r="788" spans="16:16" ht="14.25" customHeight="1" x14ac:dyDescent="0.25">
      <c r="P788" s="144"/>
    </row>
    <row r="789" spans="16:16" ht="14.25" customHeight="1" x14ac:dyDescent="0.25">
      <c r="P789" s="144"/>
    </row>
    <row r="790" spans="16:16" ht="14.25" customHeight="1" x14ac:dyDescent="0.25">
      <c r="P790" s="144"/>
    </row>
    <row r="791" spans="16:16" ht="14.25" customHeight="1" x14ac:dyDescent="0.25">
      <c r="P791" s="144"/>
    </row>
    <row r="792" spans="16:16" ht="14.25" customHeight="1" x14ac:dyDescent="0.25">
      <c r="P792" s="144"/>
    </row>
    <row r="793" spans="16:16" ht="14.25" customHeight="1" x14ac:dyDescent="0.25">
      <c r="P793" s="144"/>
    </row>
    <row r="794" spans="16:16" ht="14.25" customHeight="1" x14ac:dyDescent="0.25">
      <c r="P794" s="144"/>
    </row>
    <row r="795" spans="16:16" ht="14.25" customHeight="1" x14ac:dyDescent="0.25">
      <c r="P795" s="144"/>
    </row>
    <row r="796" spans="16:16" ht="14.25" customHeight="1" x14ac:dyDescent="0.25">
      <c r="P796" s="144"/>
    </row>
    <row r="797" spans="16:16" ht="14.25" customHeight="1" x14ac:dyDescent="0.25">
      <c r="P797" s="144"/>
    </row>
    <row r="798" spans="16:16" ht="14.25" customHeight="1" x14ac:dyDescent="0.25">
      <c r="P798" s="144"/>
    </row>
    <row r="799" spans="16:16" ht="14.25" customHeight="1" x14ac:dyDescent="0.25">
      <c r="P799" s="144"/>
    </row>
    <row r="800" spans="16:16" ht="14.25" customHeight="1" x14ac:dyDescent="0.25">
      <c r="P800" s="144"/>
    </row>
    <row r="801" spans="16:16" ht="14.25" customHeight="1" x14ac:dyDescent="0.25">
      <c r="P801" s="144"/>
    </row>
    <row r="802" spans="16:16" ht="14.25" customHeight="1" x14ac:dyDescent="0.25">
      <c r="P802" s="144"/>
    </row>
    <row r="803" spans="16:16" ht="14.25" customHeight="1" x14ac:dyDescent="0.25">
      <c r="P803" s="144"/>
    </row>
    <row r="804" spans="16:16" ht="14.25" customHeight="1" x14ac:dyDescent="0.25">
      <c r="P804" s="144"/>
    </row>
    <row r="805" spans="16:16" ht="14.25" customHeight="1" x14ac:dyDescent="0.25">
      <c r="P805" s="144"/>
    </row>
    <row r="806" spans="16:16" ht="14.25" customHeight="1" x14ac:dyDescent="0.25">
      <c r="P806" s="144"/>
    </row>
    <row r="807" spans="16:16" ht="14.25" customHeight="1" x14ac:dyDescent="0.25">
      <c r="P807" s="144"/>
    </row>
    <row r="808" spans="16:16" ht="14.25" customHeight="1" x14ac:dyDescent="0.25">
      <c r="P808" s="144"/>
    </row>
    <row r="809" spans="16:16" ht="14.25" customHeight="1" x14ac:dyDescent="0.25">
      <c r="P809" s="144"/>
    </row>
    <row r="810" spans="16:16" ht="14.25" customHeight="1" x14ac:dyDescent="0.25">
      <c r="P810" s="144"/>
    </row>
    <row r="811" spans="16:16" ht="14.25" customHeight="1" x14ac:dyDescent="0.25">
      <c r="P811" s="144"/>
    </row>
    <row r="812" spans="16:16" ht="14.25" customHeight="1" x14ac:dyDescent="0.25">
      <c r="P812" s="144"/>
    </row>
    <row r="813" spans="16:16" ht="14.25" customHeight="1" x14ac:dyDescent="0.25">
      <c r="P813" s="144"/>
    </row>
    <row r="814" spans="16:16" ht="14.25" customHeight="1" x14ac:dyDescent="0.25">
      <c r="P814" s="144"/>
    </row>
    <row r="815" spans="16:16" ht="14.25" customHeight="1" x14ac:dyDescent="0.25">
      <c r="P815" s="144"/>
    </row>
    <row r="816" spans="16:16" ht="14.25" customHeight="1" x14ac:dyDescent="0.25">
      <c r="P816" s="144"/>
    </row>
    <row r="817" spans="16:16" ht="14.25" customHeight="1" x14ac:dyDescent="0.25">
      <c r="P817" s="144"/>
    </row>
    <row r="818" spans="16:16" ht="14.25" customHeight="1" x14ac:dyDescent="0.25">
      <c r="P818" s="144"/>
    </row>
    <row r="819" spans="16:16" ht="14.25" customHeight="1" x14ac:dyDescent="0.25">
      <c r="P819" s="144"/>
    </row>
    <row r="820" spans="16:16" ht="14.25" customHeight="1" x14ac:dyDescent="0.25">
      <c r="P820" s="144"/>
    </row>
    <row r="821" spans="16:16" ht="14.25" customHeight="1" x14ac:dyDescent="0.25">
      <c r="P821" s="144"/>
    </row>
    <row r="822" spans="16:16" ht="14.25" customHeight="1" x14ac:dyDescent="0.25">
      <c r="P822" s="144"/>
    </row>
    <row r="823" spans="16:16" ht="14.25" customHeight="1" x14ac:dyDescent="0.25">
      <c r="P823" s="144"/>
    </row>
    <row r="824" spans="16:16" ht="14.25" customHeight="1" x14ac:dyDescent="0.25">
      <c r="P824" s="144"/>
    </row>
    <row r="825" spans="16:16" ht="14.25" customHeight="1" x14ac:dyDescent="0.25">
      <c r="P825" s="144"/>
    </row>
    <row r="826" spans="16:16" ht="14.25" customHeight="1" x14ac:dyDescent="0.25">
      <c r="P826" s="144"/>
    </row>
    <row r="827" spans="16:16" ht="14.25" customHeight="1" x14ac:dyDescent="0.25">
      <c r="P827" s="144"/>
    </row>
    <row r="828" spans="16:16" ht="14.25" customHeight="1" x14ac:dyDescent="0.25">
      <c r="P828" s="144"/>
    </row>
    <row r="829" spans="16:16" ht="14.25" customHeight="1" x14ac:dyDescent="0.25">
      <c r="P829" s="144"/>
    </row>
    <row r="830" spans="16:16" ht="14.25" customHeight="1" x14ac:dyDescent="0.25">
      <c r="P830" s="144"/>
    </row>
    <row r="831" spans="16:16" ht="14.25" customHeight="1" x14ac:dyDescent="0.25">
      <c r="P831" s="144"/>
    </row>
    <row r="832" spans="16:16" ht="14.25" customHeight="1" x14ac:dyDescent="0.25">
      <c r="P832" s="144"/>
    </row>
    <row r="833" spans="16:16" ht="14.25" customHeight="1" x14ac:dyDescent="0.25">
      <c r="P833" s="144"/>
    </row>
    <row r="834" spans="16:16" ht="14.25" customHeight="1" x14ac:dyDescent="0.25">
      <c r="P834" s="144"/>
    </row>
    <row r="835" spans="16:16" ht="14.25" customHeight="1" x14ac:dyDescent="0.25">
      <c r="P835" s="144"/>
    </row>
    <row r="836" spans="16:16" ht="14.25" customHeight="1" x14ac:dyDescent="0.25">
      <c r="P836" s="144"/>
    </row>
    <row r="837" spans="16:16" ht="14.25" customHeight="1" x14ac:dyDescent="0.25">
      <c r="P837" s="144"/>
    </row>
    <row r="838" spans="16:16" ht="14.25" customHeight="1" x14ac:dyDescent="0.25">
      <c r="P838" s="144"/>
    </row>
    <row r="839" spans="16:16" ht="14.25" customHeight="1" x14ac:dyDescent="0.25">
      <c r="P839" s="144"/>
    </row>
    <row r="840" spans="16:16" ht="14.25" customHeight="1" x14ac:dyDescent="0.25">
      <c r="P840" s="144"/>
    </row>
    <row r="841" spans="16:16" ht="14.25" customHeight="1" x14ac:dyDescent="0.25">
      <c r="P841" s="144"/>
    </row>
    <row r="842" spans="16:16" ht="14.25" customHeight="1" x14ac:dyDescent="0.25">
      <c r="P842" s="144"/>
    </row>
    <row r="843" spans="16:16" ht="14.25" customHeight="1" x14ac:dyDescent="0.25">
      <c r="P843" s="144"/>
    </row>
    <row r="844" spans="16:16" ht="14.25" customHeight="1" x14ac:dyDescent="0.25">
      <c r="P844" s="144"/>
    </row>
    <row r="845" spans="16:16" ht="14.25" customHeight="1" x14ac:dyDescent="0.25">
      <c r="P845" s="144"/>
    </row>
    <row r="846" spans="16:16" ht="14.25" customHeight="1" x14ac:dyDescent="0.25">
      <c r="P846" s="144"/>
    </row>
    <row r="847" spans="16:16" ht="14.25" customHeight="1" x14ac:dyDescent="0.25">
      <c r="P847" s="144"/>
    </row>
    <row r="848" spans="16:16" ht="14.25" customHeight="1" x14ac:dyDescent="0.25">
      <c r="P848" s="144"/>
    </row>
    <row r="849" spans="16:16" ht="14.25" customHeight="1" x14ac:dyDescent="0.25">
      <c r="P849" s="144"/>
    </row>
    <row r="850" spans="16:16" ht="14.25" customHeight="1" x14ac:dyDescent="0.25">
      <c r="P850" s="144"/>
    </row>
    <row r="851" spans="16:16" ht="14.25" customHeight="1" x14ac:dyDescent="0.25">
      <c r="P851" s="144"/>
    </row>
    <row r="852" spans="16:16" ht="14.25" customHeight="1" x14ac:dyDescent="0.25">
      <c r="P852" s="144"/>
    </row>
    <row r="853" spans="16:16" ht="14.25" customHeight="1" x14ac:dyDescent="0.25">
      <c r="P853" s="144"/>
    </row>
    <row r="854" spans="16:16" ht="14.25" customHeight="1" x14ac:dyDescent="0.25">
      <c r="P854" s="144"/>
    </row>
    <row r="855" spans="16:16" ht="14.25" customHeight="1" x14ac:dyDescent="0.25">
      <c r="P855" s="144"/>
    </row>
    <row r="856" spans="16:16" ht="14.25" customHeight="1" x14ac:dyDescent="0.25">
      <c r="P856" s="144"/>
    </row>
    <row r="857" spans="16:16" ht="14.25" customHeight="1" x14ac:dyDescent="0.25">
      <c r="P857" s="144"/>
    </row>
    <row r="858" spans="16:16" ht="14.25" customHeight="1" x14ac:dyDescent="0.25">
      <c r="P858" s="144"/>
    </row>
    <row r="859" spans="16:16" ht="14.25" customHeight="1" x14ac:dyDescent="0.25">
      <c r="P859" s="144"/>
    </row>
    <row r="860" spans="16:16" ht="14.25" customHeight="1" x14ac:dyDescent="0.25">
      <c r="P860" s="144"/>
    </row>
    <row r="861" spans="16:16" ht="14.25" customHeight="1" x14ac:dyDescent="0.25">
      <c r="P861" s="144"/>
    </row>
    <row r="862" spans="16:16" ht="14.25" customHeight="1" x14ac:dyDescent="0.25">
      <c r="P862" s="144"/>
    </row>
    <row r="863" spans="16:16" ht="14.25" customHeight="1" x14ac:dyDescent="0.25">
      <c r="P863" s="144"/>
    </row>
    <row r="864" spans="16:16" ht="14.25" customHeight="1" x14ac:dyDescent="0.25">
      <c r="P864" s="144"/>
    </row>
    <row r="865" spans="16:16" ht="14.25" customHeight="1" x14ac:dyDescent="0.25">
      <c r="P865" s="144"/>
    </row>
    <row r="866" spans="16:16" ht="14.25" customHeight="1" x14ac:dyDescent="0.25">
      <c r="P866" s="144"/>
    </row>
    <row r="867" spans="16:16" ht="14.25" customHeight="1" x14ac:dyDescent="0.25">
      <c r="P867" s="144"/>
    </row>
    <row r="868" spans="16:16" ht="14.25" customHeight="1" x14ac:dyDescent="0.25">
      <c r="P868" s="144"/>
    </row>
    <row r="869" spans="16:16" ht="14.25" customHeight="1" x14ac:dyDescent="0.25">
      <c r="P869" s="144"/>
    </row>
    <row r="870" spans="16:16" ht="14.25" customHeight="1" x14ac:dyDescent="0.25">
      <c r="P870" s="144"/>
    </row>
    <row r="871" spans="16:16" ht="14.25" customHeight="1" x14ac:dyDescent="0.25">
      <c r="P871" s="144"/>
    </row>
    <row r="872" spans="16:16" ht="14.25" customHeight="1" x14ac:dyDescent="0.25">
      <c r="P872" s="144"/>
    </row>
    <row r="873" spans="16:16" ht="14.25" customHeight="1" x14ac:dyDescent="0.25">
      <c r="P873" s="144"/>
    </row>
    <row r="874" spans="16:16" ht="14.25" customHeight="1" x14ac:dyDescent="0.25">
      <c r="P874" s="144"/>
    </row>
    <row r="875" spans="16:16" ht="14.25" customHeight="1" x14ac:dyDescent="0.25">
      <c r="P875" s="144"/>
    </row>
    <row r="876" spans="16:16" ht="14.25" customHeight="1" x14ac:dyDescent="0.25">
      <c r="P876" s="144"/>
    </row>
    <row r="877" spans="16:16" ht="14.25" customHeight="1" x14ac:dyDescent="0.25">
      <c r="P877" s="144"/>
    </row>
    <row r="878" spans="16:16" ht="14.25" customHeight="1" x14ac:dyDescent="0.25">
      <c r="P878" s="144"/>
    </row>
    <row r="879" spans="16:16" ht="14.25" customHeight="1" x14ac:dyDescent="0.25">
      <c r="P879" s="144"/>
    </row>
    <row r="880" spans="16:16" ht="14.25" customHeight="1" x14ac:dyDescent="0.25">
      <c r="P880" s="144"/>
    </row>
    <row r="881" spans="16:16" ht="14.25" customHeight="1" x14ac:dyDescent="0.25">
      <c r="P881" s="144"/>
    </row>
    <row r="882" spans="16:16" ht="14.25" customHeight="1" x14ac:dyDescent="0.25">
      <c r="P882" s="144"/>
    </row>
    <row r="883" spans="16:16" ht="14.25" customHeight="1" x14ac:dyDescent="0.25">
      <c r="P883" s="144"/>
    </row>
    <row r="884" spans="16:16" ht="14.25" customHeight="1" x14ac:dyDescent="0.25">
      <c r="P884" s="144"/>
    </row>
    <row r="885" spans="16:16" ht="14.25" customHeight="1" x14ac:dyDescent="0.25">
      <c r="P885" s="144"/>
    </row>
    <row r="886" spans="16:16" ht="14.25" customHeight="1" x14ac:dyDescent="0.25">
      <c r="P886" s="144"/>
    </row>
    <row r="887" spans="16:16" ht="14.25" customHeight="1" x14ac:dyDescent="0.25">
      <c r="P887" s="144"/>
    </row>
    <row r="888" spans="16:16" ht="14.25" customHeight="1" x14ac:dyDescent="0.25">
      <c r="P888" s="144"/>
    </row>
    <row r="889" spans="16:16" ht="14.25" customHeight="1" x14ac:dyDescent="0.25">
      <c r="P889" s="144"/>
    </row>
    <row r="890" spans="16:16" ht="14.25" customHeight="1" x14ac:dyDescent="0.25">
      <c r="P890" s="144"/>
    </row>
    <row r="891" spans="16:16" ht="14.25" customHeight="1" x14ac:dyDescent="0.25">
      <c r="P891" s="144"/>
    </row>
    <row r="892" spans="16:16" ht="14.25" customHeight="1" x14ac:dyDescent="0.25">
      <c r="P892" s="144"/>
    </row>
    <row r="893" spans="16:16" ht="14.25" customHeight="1" x14ac:dyDescent="0.25">
      <c r="P893" s="144"/>
    </row>
    <row r="894" spans="16:16" ht="14.25" customHeight="1" x14ac:dyDescent="0.25">
      <c r="P894" s="144"/>
    </row>
    <row r="895" spans="16:16" ht="14.25" customHeight="1" x14ac:dyDescent="0.25">
      <c r="P895" s="144"/>
    </row>
    <row r="896" spans="16:16" ht="14.25" customHeight="1" x14ac:dyDescent="0.25">
      <c r="P896" s="144"/>
    </row>
    <row r="897" spans="16:16" ht="14.25" customHeight="1" x14ac:dyDescent="0.25">
      <c r="P897" s="144"/>
    </row>
    <row r="898" spans="16:16" ht="14.25" customHeight="1" x14ac:dyDescent="0.25">
      <c r="P898" s="144"/>
    </row>
    <row r="899" spans="16:16" ht="14.25" customHeight="1" x14ac:dyDescent="0.25">
      <c r="P899" s="144"/>
    </row>
    <row r="900" spans="16:16" ht="14.25" customHeight="1" x14ac:dyDescent="0.25">
      <c r="P900" s="144"/>
    </row>
    <row r="901" spans="16:16" ht="14.25" customHeight="1" x14ac:dyDescent="0.25">
      <c r="P901" s="144"/>
    </row>
    <row r="902" spans="16:16" ht="14.25" customHeight="1" x14ac:dyDescent="0.25">
      <c r="P902" s="144"/>
    </row>
    <row r="903" spans="16:16" ht="14.25" customHeight="1" x14ac:dyDescent="0.25">
      <c r="P903" s="144"/>
    </row>
    <row r="904" spans="16:16" ht="14.25" customHeight="1" x14ac:dyDescent="0.25">
      <c r="P904" s="144"/>
    </row>
    <row r="905" spans="16:16" ht="14.25" customHeight="1" x14ac:dyDescent="0.25">
      <c r="P905" s="144"/>
    </row>
    <row r="906" spans="16:16" ht="14.25" customHeight="1" x14ac:dyDescent="0.25">
      <c r="P906" s="144"/>
    </row>
    <row r="907" spans="16:16" ht="14.25" customHeight="1" x14ac:dyDescent="0.25">
      <c r="P907" s="144"/>
    </row>
    <row r="908" spans="16:16" ht="14.25" customHeight="1" x14ac:dyDescent="0.25">
      <c r="P908" s="144"/>
    </row>
    <row r="909" spans="16:16" ht="14.25" customHeight="1" x14ac:dyDescent="0.25">
      <c r="P909" s="144"/>
    </row>
    <row r="910" spans="16:16" ht="14.25" customHeight="1" x14ac:dyDescent="0.25">
      <c r="P910" s="144"/>
    </row>
    <row r="911" spans="16:16" ht="14.25" customHeight="1" x14ac:dyDescent="0.25">
      <c r="P911" s="144"/>
    </row>
    <row r="912" spans="16:16" ht="14.25" customHeight="1" x14ac:dyDescent="0.25">
      <c r="P912" s="144"/>
    </row>
    <row r="913" spans="16:16" ht="14.25" customHeight="1" x14ac:dyDescent="0.25">
      <c r="P913" s="144"/>
    </row>
    <row r="914" spans="16:16" ht="14.25" customHeight="1" x14ac:dyDescent="0.25">
      <c r="P914" s="144"/>
    </row>
    <row r="915" spans="16:16" ht="14.25" customHeight="1" x14ac:dyDescent="0.25">
      <c r="P915" s="144"/>
    </row>
    <row r="916" spans="16:16" ht="14.25" customHeight="1" x14ac:dyDescent="0.25">
      <c r="P916" s="144"/>
    </row>
    <row r="917" spans="16:16" ht="14.25" customHeight="1" x14ac:dyDescent="0.25">
      <c r="P917" s="144"/>
    </row>
    <row r="918" spans="16:16" ht="14.25" customHeight="1" x14ac:dyDescent="0.25">
      <c r="P918" s="144"/>
    </row>
    <row r="919" spans="16:16" ht="14.25" customHeight="1" x14ac:dyDescent="0.25">
      <c r="P919" s="144"/>
    </row>
    <row r="920" spans="16:16" ht="14.25" customHeight="1" x14ac:dyDescent="0.25">
      <c r="P920" s="144"/>
    </row>
    <row r="921" spans="16:16" ht="14.25" customHeight="1" x14ac:dyDescent="0.25">
      <c r="P921" s="144"/>
    </row>
    <row r="922" spans="16:16" ht="14.25" customHeight="1" x14ac:dyDescent="0.25">
      <c r="P922" s="144"/>
    </row>
    <row r="923" spans="16:16" ht="14.25" customHeight="1" x14ac:dyDescent="0.25">
      <c r="P923" s="144"/>
    </row>
    <row r="924" spans="16:16" ht="14.25" customHeight="1" x14ac:dyDescent="0.25">
      <c r="P924" s="144"/>
    </row>
    <row r="925" spans="16:16" ht="14.25" customHeight="1" x14ac:dyDescent="0.25">
      <c r="P925" s="144"/>
    </row>
    <row r="926" spans="16:16" ht="14.25" customHeight="1" x14ac:dyDescent="0.25">
      <c r="P926" s="144"/>
    </row>
    <row r="927" spans="16:16" ht="14.25" customHeight="1" x14ac:dyDescent="0.25">
      <c r="P927" s="144"/>
    </row>
    <row r="928" spans="16:16" ht="14.25" customHeight="1" x14ac:dyDescent="0.25">
      <c r="P928" s="144"/>
    </row>
    <row r="929" spans="16:16" ht="14.25" customHeight="1" x14ac:dyDescent="0.25">
      <c r="P929" s="144"/>
    </row>
    <row r="930" spans="16:16" ht="14.25" customHeight="1" x14ac:dyDescent="0.25">
      <c r="P930" s="144"/>
    </row>
    <row r="931" spans="16:16" ht="14.25" customHeight="1" x14ac:dyDescent="0.25">
      <c r="P931" s="144"/>
    </row>
    <row r="932" spans="16:16" ht="14.25" customHeight="1" x14ac:dyDescent="0.25">
      <c r="P932" s="144"/>
    </row>
    <row r="933" spans="16:16" ht="14.25" customHeight="1" x14ac:dyDescent="0.25">
      <c r="P933" s="144"/>
    </row>
    <row r="934" spans="16:16" ht="14.25" customHeight="1" x14ac:dyDescent="0.25">
      <c r="P934" s="144"/>
    </row>
    <row r="935" spans="16:16" ht="14.25" customHeight="1" x14ac:dyDescent="0.25">
      <c r="P935" s="144"/>
    </row>
    <row r="936" spans="16:16" ht="14.25" customHeight="1" x14ac:dyDescent="0.25">
      <c r="P936" s="144"/>
    </row>
    <row r="937" spans="16:16" ht="14.25" customHeight="1" x14ac:dyDescent="0.25">
      <c r="P937" s="144"/>
    </row>
    <row r="938" spans="16:16" ht="14.25" customHeight="1" x14ac:dyDescent="0.25">
      <c r="P938" s="144"/>
    </row>
    <row r="939" spans="16:16" ht="14.25" customHeight="1" x14ac:dyDescent="0.25">
      <c r="P939" s="144"/>
    </row>
    <row r="940" spans="16:16" ht="14.25" customHeight="1" x14ac:dyDescent="0.25">
      <c r="P940" s="144"/>
    </row>
    <row r="941" spans="16:16" ht="14.25" customHeight="1" x14ac:dyDescent="0.25">
      <c r="P941" s="144"/>
    </row>
    <row r="942" spans="16:16" ht="14.25" customHeight="1" x14ac:dyDescent="0.25">
      <c r="P942" s="144"/>
    </row>
    <row r="943" spans="16:16" ht="14.25" customHeight="1" x14ac:dyDescent="0.25">
      <c r="P943" s="144"/>
    </row>
    <row r="944" spans="16:16" ht="14.25" customHeight="1" x14ac:dyDescent="0.25">
      <c r="P944" s="144"/>
    </row>
    <row r="945" spans="16:16" ht="14.25" customHeight="1" x14ac:dyDescent="0.25">
      <c r="P945" s="144"/>
    </row>
    <row r="946" spans="16:16" ht="14.25" customHeight="1" x14ac:dyDescent="0.25">
      <c r="P946" s="144"/>
    </row>
    <row r="947" spans="16:16" ht="14.25" customHeight="1" x14ac:dyDescent="0.25">
      <c r="P947" s="144"/>
    </row>
    <row r="948" spans="16:16" ht="14.25" customHeight="1" x14ac:dyDescent="0.25">
      <c r="P948" s="144"/>
    </row>
    <row r="949" spans="16:16" ht="14.25" customHeight="1" x14ac:dyDescent="0.25">
      <c r="P949" s="144"/>
    </row>
    <row r="950" spans="16:16" ht="14.25" customHeight="1" x14ac:dyDescent="0.25">
      <c r="P950" s="144"/>
    </row>
    <row r="951" spans="16:16" ht="14.25" customHeight="1" x14ac:dyDescent="0.25">
      <c r="P951" s="144"/>
    </row>
    <row r="952" spans="16:16" ht="14.25" customHeight="1" x14ac:dyDescent="0.25">
      <c r="P952" s="144"/>
    </row>
    <row r="953" spans="16:16" ht="14.25" customHeight="1" x14ac:dyDescent="0.25">
      <c r="P953" s="144"/>
    </row>
    <row r="954" spans="16:16" ht="14.25" customHeight="1" x14ac:dyDescent="0.25">
      <c r="P954" s="144"/>
    </row>
    <row r="955" spans="16:16" ht="14.25" customHeight="1" x14ac:dyDescent="0.25">
      <c r="P955" s="144"/>
    </row>
    <row r="956" spans="16:16" ht="14.25" customHeight="1" x14ac:dyDescent="0.25">
      <c r="P956" s="144"/>
    </row>
    <row r="957" spans="16:16" ht="14.25" customHeight="1" x14ac:dyDescent="0.25">
      <c r="P957" s="144"/>
    </row>
    <row r="958" spans="16:16" ht="14.25" customHeight="1" x14ac:dyDescent="0.25">
      <c r="P958" s="144"/>
    </row>
    <row r="959" spans="16:16" ht="14.25" customHeight="1" x14ac:dyDescent="0.25">
      <c r="P959" s="144"/>
    </row>
    <row r="960" spans="16:16" ht="14.25" customHeight="1" x14ac:dyDescent="0.25">
      <c r="P960" s="144"/>
    </row>
    <row r="961" spans="16:16" ht="14.25" customHeight="1" x14ac:dyDescent="0.25">
      <c r="P961" s="144"/>
    </row>
    <row r="962" spans="16:16" ht="14.25" customHeight="1" x14ac:dyDescent="0.25">
      <c r="P962" s="144"/>
    </row>
    <row r="963" spans="16:16" ht="14.25" customHeight="1" x14ac:dyDescent="0.25">
      <c r="P963" s="144"/>
    </row>
    <row r="964" spans="16:16" ht="14.25" customHeight="1" x14ac:dyDescent="0.25">
      <c r="P964" s="144"/>
    </row>
    <row r="965" spans="16:16" ht="14.25" customHeight="1" x14ac:dyDescent="0.25">
      <c r="P965" s="144"/>
    </row>
    <row r="966" spans="16:16" ht="14.25" customHeight="1" x14ac:dyDescent="0.25">
      <c r="P966" s="144"/>
    </row>
    <row r="967" spans="16:16" ht="14.25" customHeight="1" x14ac:dyDescent="0.25">
      <c r="P967" s="144"/>
    </row>
    <row r="968" spans="16:16" ht="14.25" customHeight="1" x14ac:dyDescent="0.25">
      <c r="P968" s="144"/>
    </row>
    <row r="969" spans="16:16" ht="14.25" customHeight="1" x14ac:dyDescent="0.25">
      <c r="P969" s="144"/>
    </row>
    <row r="970" spans="16:16" ht="14.25" customHeight="1" x14ac:dyDescent="0.25">
      <c r="P970" s="144"/>
    </row>
    <row r="971" spans="16:16" ht="14.25" customHeight="1" x14ac:dyDescent="0.25">
      <c r="P971" s="144"/>
    </row>
    <row r="972" spans="16:16" ht="14.25" customHeight="1" x14ac:dyDescent="0.25">
      <c r="P972" s="144"/>
    </row>
    <row r="973" spans="16:16" ht="14.25" customHeight="1" x14ac:dyDescent="0.25">
      <c r="P973" s="144"/>
    </row>
    <row r="974" spans="16:16" ht="14.25" customHeight="1" x14ac:dyDescent="0.25">
      <c r="P974" s="144"/>
    </row>
    <row r="975" spans="16:16" ht="14.25" customHeight="1" x14ac:dyDescent="0.25">
      <c r="P975" s="144"/>
    </row>
    <row r="976" spans="16:16" ht="14.25" customHeight="1" x14ac:dyDescent="0.25">
      <c r="P976" s="144"/>
    </row>
    <row r="977" spans="16:16" ht="14.25" customHeight="1" x14ac:dyDescent="0.25">
      <c r="P977" s="144"/>
    </row>
    <row r="978" spans="16:16" ht="14.25" customHeight="1" x14ac:dyDescent="0.25">
      <c r="P978" s="144"/>
    </row>
    <row r="979" spans="16:16" ht="14.25" customHeight="1" x14ac:dyDescent="0.25">
      <c r="P979" s="144"/>
    </row>
    <row r="980" spans="16:16" ht="14.25" customHeight="1" x14ac:dyDescent="0.25">
      <c r="P980" s="144"/>
    </row>
    <row r="981" spans="16:16" ht="14.25" customHeight="1" x14ac:dyDescent="0.25">
      <c r="P981" s="144"/>
    </row>
    <row r="982" spans="16:16" ht="14.25" customHeight="1" x14ac:dyDescent="0.25">
      <c r="P982" s="144"/>
    </row>
    <row r="983" spans="16:16" ht="14.25" customHeight="1" x14ac:dyDescent="0.25">
      <c r="P983" s="144"/>
    </row>
    <row r="984" spans="16:16" ht="14.25" customHeight="1" x14ac:dyDescent="0.25">
      <c r="P984" s="144"/>
    </row>
    <row r="985" spans="16:16" ht="14.25" customHeight="1" x14ac:dyDescent="0.25">
      <c r="P985" s="144"/>
    </row>
    <row r="986" spans="16:16" ht="14.25" customHeight="1" x14ac:dyDescent="0.25">
      <c r="P986" s="144"/>
    </row>
    <row r="987" spans="16:16" ht="14.25" customHeight="1" x14ac:dyDescent="0.25">
      <c r="P987" s="144"/>
    </row>
    <row r="988" spans="16:16" ht="14.25" customHeight="1" x14ac:dyDescent="0.25">
      <c r="P988" s="144"/>
    </row>
    <row r="989" spans="16:16" ht="14.25" customHeight="1" x14ac:dyDescent="0.25">
      <c r="P989" s="144"/>
    </row>
    <row r="990" spans="16:16" ht="14.25" customHeight="1" x14ac:dyDescent="0.25">
      <c r="P990" s="144"/>
    </row>
    <row r="991" spans="16:16" ht="14.25" customHeight="1" x14ac:dyDescent="0.25">
      <c r="P991" s="144"/>
    </row>
    <row r="992" spans="16:16" ht="14.25" customHeight="1" x14ac:dyDescent="0.25">
      <c r="P992" s="144"/>
    </row>
    <row r="993" spans="16:16" ht="14.25" customHeight="1" x14ac:dyDescent="0.25">
      <c r="P993" s="144"/>
    </row>
    <row r="994" spans="16:16" ht="14.25" customHeight="1" x14ac:dyDescent="0.25">
      <c r="P994" s="144"/>
    </row>
    <row r="995" spans="16:16" ht="14.25" customHeight="1" x14ac:dyDescent="0.25">
      <c r="P995" s="144"/>
    </row>
    <row r="996" spans="16:16" ht="14.25" customHeight="1" x14ac:dyDescent="0.25">
      <c r="P996" s="144"/>
    </row>
    <row r="997" spans="16:16" ht="14.25" customHeight="1" x14ac:dyDescent="0.25">
      <c r="P997" s="144"/>
    </row>
    <row r="998" spans="16:16" ht="14.25" customHeight="1" x14ac:dyDescent="0.25">
      <c r="P998" s="144"/>
    </row>
    <row r="999" spans="16:16" ht="14.25" customHeight="1" x14ac:dyDescent="0.25">
      <c r="P999" s="144"/>
    </row>
    <row r="1000" spans="16:16" ht="14.25" customHeight="1" x14ac:dyDescent="0.25">
      <c r="P1000" s="144"/>
    </row>
  </sheetData>
  <autoFilter ref="A1:Z4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2" width="9.8984375" customWidth="1"/>
    <col min="3" max="3" width="15.09765625" customWidth="1"/>
    <col min="4" max="4" width="9.09765625" customWidth="1"/>
    <col min="5" max="5" width="43.5" customWidth="1"/>
    <col min="6" max="6" width="17.5" customWidth="1"/>
    <col min="7" max="7" width="10.3984375" customWidth="1"/>
    <col min="8" max="8" width="25" customWidth="1"/>
    <col min="9" max="9" width="11.19921875" customWidth="1"/>
    <col min="10" max="10" width="44.09765625" customWidth="1"/>
    <col min="11" max="11" width="11.19921875" customWidth="1"/>
    <col min="12" max="12" width="6.59765625" customWidth="1"/>
    <col min="13" max="13" width="18" customWidth="1"/>
    <col min="14" max="14" width="16.8984375" customWidth="1"/>
    <col min="15" max="15" width="7.19921875" customWidth="1"/>
    <col min="16" max="16" width="15.09765625" customWidth="1"/>
    <col min="17" max="17" width="30.5" customWidth="1"/>
    <col min="18" max="18" width="33.19921875" customWidth="1"/>
    <col min="19" max="19" width="19.8984375" customWidth="1"/>
    <col min="20" max="20" width="18.69921875" customWidth="1"/>
    <col min="21" max="21" width="19" customWidth="1"/>
    <col min="22" max="22" width="24.8984375" customWidth="1"/>
    <col min="23" max="23" width="21.19921875" customWidth="1"/>
    <col min="24" max="24" width="22.69921875" customWidth="1"/>
    <col min="25" max="25" width="19" customWidth="1"/>
    <col min="26" max="26" width="7.59765625" customWidth="1"/>
  </cols>
  <sheetData>
    <row r="1" spans="1:25" ht="14.25" customHeight="1" x14ac:dyDescent="0.3">
      <c r="A1" s="156" t="s">
        <v>0</v>
      </c>
      <c r="B1" s="157" t="s">
        <v>1</v>
      </c>
      <c r="C1" s="157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10</v>
      </c>
      <c r="L1" s="157" t="s">
        <v>11</v>
      </c>
      <c r="M1" s="157" t="s">
        <v>12</v>
      </c>
      <c r="N1" s="157" t="s">
        <v>13</v>
      </c>
      <c r="O1" s="157" t="s">
        <v>14</v>
      </c>
      <c r="P1" s="158" t="s">
        <v>15</v>
      </c>
      <c r="Q1" s="158" t="s">
        <v>16</v>
      </c>
      <c r="R1" s="157" t="s">
        <v>17</v>
      </c>
      <c r="S1" s="157" t="s">
        <v>18</v>
      </c>
      <c r="T1" s="157" t="s">
        <v>19</v>
      </c>
      <c r="U1" s="157" t="s">
        <v>20</v>
      </c>
      <c r="V1" s="157" t="s">
        <v>21</v>
      </c>
      <c r="W1" s="157" t="s">
        <v>22</v>
      </c>
      <c r="X1" s="157" t="s">
        <v>23</v>
      </c>
      <c r="Y1" s="159" t="s">
        <v>24</v>
      </c>
    </row>
    <row r="2" spans="1:25" ht="14.25" customHeight="1" x14ac:dyDescent="0.3">
      <c r="A2" s="178">
        <v>45914</v>
      </c>
      <c r="B2" s="179">
        <v>45916</v>
      </c>
      <c r="C2" s="46" t="s">
        <v>143</v>
      </c>
      <c r="D2" s="46" t="s">
        <v>28</v>
      </c>
      <c r="E2" s="46" t="s">
        <v>144</v>
      </c>
      <c r="F2" s="46" t="s">
        <v>32</v>
      </c>
      <c r="G2" s="46" t="s">
        <v>31</v>
      </c>
      <c r="H2" s="46" t="s">
        <v>30</v>
      </c>
      <c r="I2" s="46" t="s">
        <v>44</v>
      </c>
      <c r="J2" s="46" t="s">
        <v>30</v>
      </c>
      <c r="K2" s="180">
        <v>868</v>
      </c>
      <c r="L2" s="180">
        <v>2</v>
      </c>
      <c r="M2" s="181">
        <v>2.3040000000000001E-3</v>
      </c>
      <c r="N2" s="182" t="s">
        <v>524</v>
      </c>
      <c r="O2" s="183">
        <v>3.13</v>
      </c>
      <c r="P2" s="183">
        <v>24.94</v>
      </c>
      <c r="Q2" s="184">
        <v>12.55</v>
      </c>
      <c r="R2" s="185">
        <v>7.97</v>
      </c>
      <c r="S2" s="186">
        <v>1</v>
      </c>
      <c r="T2" s="186">
        <v>1</v>
      </c>
      <c r="U2" s="187">
        <v>0.5</v>
      </c>
      <c r="V2" s="186">
        <v>1</v>
      </c>
      <c r="W2" s="186">
        <v>0</v>
      </c>
      <c r="X2" s="188" t="s">
        <v>35</v>
      </c>
      <c r="Y2" s="189" t="s">
        <v>36</v>
      </c>
    </row>
    <row r="3" spans="1:25" ht="14.25" customHeight="1" x14ac:dyDescent="0.3">
      <c r="A3" s="178">
        <v>45914</v>
      </c>
      <c r="B3" s="179">
        <v>45919</v>
      </c>
      <c r="C3" s="46" t="s">
        <v>27</v>
      </c>
      <c r="D3" s="46" t="s">
        <v>28</v>
      </c>
      <c r="E3" s="46" t="s">
        <v>29</v>
      </c>
      <c r="F3" s="46" t="s">
        <v>30</v>
      </c>
      <c r="G3" s="46" t="s">
        <v>31</v>
      </c>
      <c r="H3" s="46" t="s">
        <v>30</v>
      </c>
      <c r="I3" s="46" t="s">
        <v>32</v>
      </c>
      <c r="J3" s="46" t="s">
        <v>30</v>
      </c>
      <c r="K3" s="180">
        <v>670</v>
      </c>
      <c r="L3" s="180">
        <v>15</v>
      </c>
      <c r="M3" s="181">
        <v>2.2388000000000002E-2</v>
      </c>
      <c r="N3" s="182" t="s">
        <v>525</v>
      </c>
      <c r="O3" s="183">
        <v>69.52</v>
      </c>
      <c r="P3" s="183">
        <v>74.819999999999993</v>
      </c>
      <c r="Q3" s="190">
        <v>92.92</v>
      </c>
      <c r="R3" s="191">
        <v>1.08</v>
      </c>
      <c r="S3" s="192">
        <v>3</v>
      </c>
      <c r="T3" s="192">
        <v>3</v>
      </c>
      <c r="U3" s="193">
        <v>0.2</v>
      </c>
      <c r="V3" s="192">
        <v>3</v>
      </c>
      <c r="W3" s="192">
        <v>0</v>
      </c>
      <c r="X3" s="194" t="s">
        <v>93</v>
      </c>
      <c r="Y3" s="195" t="s">
        <v>36</v>
      </c>
    </row>
    <row r="4" spans="1:25" ht="14.25" customHeight="1" x14ac:dyDescent="0.3">
      <c r="A4" s="178">
        <v>45914</v>
      </c>
      <c r="B4" s="179">
        <v>45914</v>
      </c>
      <c r="C4" s="46" t="s">
        <v>27</v>
      </c>
      <c r="D4" s="46" t="s">
        <v>28</v>
      </c>
      <c r="E4" s="46" t="s">
        <v>71</v>
      </c>
      <c r="F4" s="46" t="s">
        <v>72</v>
      </c>
      <c r="G4" s="46" t="s">
        <v>31</v>
      </c>
      <c r="H4" s="46" t="s">
        <v>73</v>
      </c>
      <c r="I4" s="46" t="s">
        <v>52</v>
      </c>
      <c r="J4" s="46" t="s">
        <v>527</v>
      </c>
      <c r="K4" s="180">
        <v>1</v>
      </c>
      <c r="L4" s="180">
        <v>1</v>
      </c>
      <c r="M4" s="181">
        <v>1</v>
      </c>
      <c r="N4" s="182" t="s">
        <v>422</v>
      </c>
      <c r="O4" s="183">
        <v>5.68</v>
      </c>
      <c r="P4" s="183">
        <v>24.94</v>
      </c>
      <c r="Q4" s="184">
        <v>22.77</v>
      </c>
      <c r="R4" s="185">
        <v>4.3899999999999997</v>
      </c>
      <c r="S4" s="186">
        <v>1</v>
      </c>
      <c r="T4" s="186">
        <v>1</v>
      </c>
      <c r="U4" s="187">
        <v>1</v>
      </c>
      <c r="V4" s="186">
        <v>1</v>
      </c>
      <c r="W4" s="186">
        <v>0</v>
      </c>
      <c r="X4" s="188" t="s">
        <v>35</v>
      </c>
      <c r="Y4" s="189" t="s">
        <v>36</v>
      </c>
    </row>
    <row r="5" spans="1:25" ht="14.25" customHeight="1" x14ac:dyDescent="0.3">
      <c r="A5" s="178">
        <v>45914</v>
      </c>
      <c r="B5" s="179">
        <v>45914</v>
      </c>
      <c r="C5" s="46" t="s">
        <v>27</v>
      </c>
      <c r="D5" s="46" t="s">
        <v>28</v>
      </c>
      <c r="E5" s="46" t="s">
        <v>71</v>
      </c>
      <c r="F5" s="46" t="s">
        <v>72</v>
      </c>
      <c r="G5" s="46" t="s">
        <v>31</v>
      </c>
      <c r="H5" s="46" t="s">
        <v>51</v>
      </c>
      <c r="I5" s="46" t="s">
        <v>52</v>
      </c>
      <c r="J5" s="46" t="s">
        <v>528</v>
      </c>
      <c r="K5" s="180">
        <v>2</v>
      </c>
      <c r="L5" s="180">
        <v>1</v>
      </c>
      <c r="M5" s="181">
        <v>0.5</v>
      </c>
      <c r="N5" s="182" t="s">
        <v>529</v>
      </c>
      <c r="O5" s="183">
        <v>2.98</v>
      </c>
      <c r="P5" s="183">
        <v>24.94</v>
      </c>
      <c r="Q5" s="190">
        <v>11.95</v>
      </c>
      <c r="R5" s="191">
        <v>8.3699999999999992</v>
      </c>
      <c r="S5" s="192">
        <v>1</v>
      </c>
      <c r="T5" s="192">
        <v>1</v>
      </c>
      <c r="U5" s="193">
        <v>1</v>
      </c>
      <c r="V5" s="192">
        <v>1</v>
      </c>
      <c r="W5" s="192">
        <v>0</v>
      </c>
      <c r="X5" s="194" t="s">
        <v>35</v>
      </c>
      <c r="Y5" s="195" t="s">
        <v>36</v>
      </c>
    </row>
    <row r="6" spans="1:25" ht="14.25" customHeight="1" x14ac:dyDescent="0.3">
      <c r="A6" s="178">
        <v>45914</v>
      </c>
      <c r="B6" s="179">
        <v>45914</v>
      </c>
      <c r="C6" s="46" t="s">
        <v>27</v>
      </c>
      <c r="D6" s="46" t="s">
        <v>28</v>
      </c>
      <c r="E6" s="46" t="s">
        <v>29</v>
      </c>
      <c r="F6" s="46" t="s">
        <v>30</v>
      </c>
      <c r="G6" s="46" t="s">
        <v>31</v>
      </c>
      <c r="H6" s="46" t="s">
        <v>145</v>
      </c>
      <c r="I6" s="46" t="s">
        <v>32</v>
      </c>
      <c r="J6" s="46" t="s">
        <v>183</v>
      </c>
      <c r="K6" s="180">
        <v>4</v>
      </c>
      <c r="L6" s="180">
        <v>1</v>
      </c>
      <c r="M6" s="181">
        <v>0.25</v>
      </c>
      <c r="N6" s="182" t="s">
        <v>186</v>
      </c>
      <c r="O6" s="183">
        <v>2.99</v>
      </c>
      <c r="P6" s="183">
        <v>24.94</v>
      </c>
      <c r="Q6" s="184">
        <v>11.99</v>
      </c>
      <c r="R6" s="185">
        <v>8.34</v>
      </c>
      <c r="S6" s="186">
        <v>1</v>
      </c>
      <c r="T6" s="186">
        <v>1</v>
      </c>
      <c r="U6" s="187">
        <v>1</v>
      </c>
      <c r="V6" s="186">
        <v>1</v>
      </c>
      <c r="W6" s="186">
        <v>0</v>
      </c>
      <c r="X6" s="188" t="s">
        <v>35</v>
      </c>
      <c r="Y6" s="189" t="s">
        <v>36</v>
      </c>
    </row>
    <row r="7" spans="1:25" ht="14.25" customHeight="1" x14ac:dyDescent="0.3">
      <c r="A7" s="178">
        <v>45914</v>
      </c>
      <c r="B7" s="179">
        <v>45920</v>
      </c>
      <c r="C7" s="46" t="s">
        <v>27</v>
      </c>
      <c r="D7" s="46" t="s">
        <v>28</v>
      </c>
      <c r="E7" s="46" t="s">
        <v>56</v>
      </c>
      <c r="F7" s="46" t="s">
        <v>57</v>
      </c>
      <c r="G7" s="46" t="s">
        <v>31</v>
      </c>
      <c r="H7" s="196" t="e">
        <f>+maca +root</f>
        <v>#NAME?</v>
      </c>
      <c r="I7" s="46" t="s">
        <v>32</v>
      </c>
      <c r="J7" s="46" t="s">
        <v>119</v>
      </c>
      <c r="K7" s="180">
        <v>5195</v>
      </c>
      <c r="L7" s="180">
        <v>75</v>
      </c>
      <c r="M7" s="181">
        <v>1.4437E-2</v>
      </c>
      <c r="N7" s="182" t="s">
        <v>46</v>
      </c>
      <c r="O7" s="183">
        <v>239.51</v>
      </c>
      <c r="P7" s="183">
        <v>199.52</v>
      </c>
      <c r="Q7" s="190">
        <v>120.04</v>
      </c>
      <c r="R7" s="191">
        <v>0.83</v>
      </c>
      <c r="S7" s="192">
        <v>8</v>
      </c>
      <c r="T7" s="192">
        <v>8</v>
      </c>
      <c r="U7" s="193">
        <v>0.106667</v>
      </c>
      <c r="V7" s="192">
        <v>8</v>
      </c>
      <c r="W7" s="192">
        <v>0</v>
      </c>
      <c r="X7" s="194" t="s">
        <v>531</v>
      </c>
      <c r="Y7" s="195" t="s">
        <v>36</v>
      </c>
    </row>
    <row r="8" spans="1:25" ht="14.25" customHeight="1" x14ac:dyDescent="0.3">
      <c r="A8" s="178">
        <v>45914</v>
      </c>
      <c r="B8" s="179">
        <v>45914</v>
      </c>
      <c r="C8" s="46" t="s">
        <v>27</v>
      </c>
      <c r="D8" s="46" t="s">
        <v>28</v>
      </c>
      <c r="E8" s="46" t="s">
        <v>71</v>
      </c>
      <c r="F8" s="46" t="s">
        <v>72</v>
      </c>
      <c r="G8" s="46" t="s">
        <v>31</v>
      </c>
      <c r="H8" s="46" t="s">
        <v>51</v>
      </c>
      <c r="I8" s="46" t="s">
        <v>52</v>
      </c>
      <c r="J8" s="46" t="s">
        <v>532</v>
      </c>
      <c r="K8" s="180">
        <v>1</v>
      </c>
      <c r="L8" s="180">
        <v>1</v>
      </c>
      <c r="M8" s="181">
        <v>1</v>
      </c>
      <c r="N8" s="182" t="s">
        <v>371</v>
      </c>
      <c r="O8" s="183">
        <v>3.16</v>
      </c>
      <c r="P8" s="183">
        <v>24.94</v>
      </c>
      <c r="Q8" s="184">
        <v>12.67</v>
      </c>
      <c r="R8" s="185">
        <v>7.89</v>
      </c>
      <c r="S8" s="186">
        <v>1</v>
      </c>
      <c r="T8" s="186">
        <v>1</v>
      </c>
      <c r="U8" s="187">
        <v>1</v>
      </c>
      <c r="V8" s="186">
        <v>1</v>
      </c>
      <c r="W8" s="186">
        <v>0</v>
      </c>
      <c r="X8" s="188" t="s">
        <v>35</v>
      </c>
      <c r="Y8" s="189" t="s">
        <v>36</v>
      </c>
    </row>
    <row r="9" spans="1:25" ht="14.25" customHeight="1" x14ac:dyDescent="0.3">
      <c r="A9" s="178">
        <v>45914</v>
      </c>
      <c r="B9" s="179">
        <v>45914</v>
      </c>
      <c r="C9" s="46" t="s">
        <v>40</v>
      </c>
      <c r="D9" s="46" t="s">
        <v>28</v>
      </c>
      <c r="E9" s="46" t="s">
        <v>41</v>
      </c>
      <c r="F9" s="46" t="s">
        <v>42</v>
      </c>
      <c r="G9" s="46" t="s">
        <v>31</v>
      </c>
      <c r="H9" s="46" t="s">
        <v>43</v>
      </c>
      <c r="I9" s="46" t="s">
        <v>44</v>
      </c>
      <c r="J9" s="46" t="s">
        <v>533</v>
      </c>
      <c r="K9" s="180">
        <v>2</v>
      </c>
      <c r="L9" s="180">
        <v>1</v>
      </c>
      <c r="M9" s="181">
        <v>0.5</v>
      </c>
      <c r="N9" s="182" t="s">
        <v>126</v>
      </c>
      <c r="O9" s="183">
        <v>3.27</v>
      </c>
      <c r="P9" s="183">
        <v>24.94</v>
      </c>
      <c r="Q9" s="190">
        <v>13.11</v>
      </c>
      <c r="R9" s="191">
        <v>7.63</v>
      </c>
      <c r="S9" s="192">
        <v>1</v>
      </c>
      <c r="T9" s="192">
        <v>1</v>
      </c>
      <c r="U9" s="193">
        <v>1</v>
      </c>
      <c r="V9" s="192">
        <v>1</v>
      </c>
      <c r="W9" s="192">
        <v>0</v>
      </c>
      <c r="X9" s="194" t="s">
        <v>35</v>
      </c>
      <c r="Y9" s="195" t="s">
        <v>36</v>
      </c>
    </row>
    <row r="10" spans="1:25" ht="14.25" customHeight="1" x14ac:dyDescent="0.3">
      <c r="A10" s="178">
        <v>45914</v>
      </c>
      <c r="B10" s="179">
        <v>45920</v>
      </c>
      <c r="C10" s="46" t="s">
        <v>27</v>
      </c>
      <c r="D10" s="46" t="s">
        <v>28</v>
      </c>
      <c r="E10" s="46" t="s">
        <v>71</v>
      </c>
      <c r="F10" s="46" t="s">
        <v>72</v>
      </c>
      <c r="G10" s="46" t="s">
        <v>31</v>
      </c>
      <c r="H10" s="46" t="s">
        <v>73</v>
      </c>
      <c r="I10" s="46" t="s">
        <v>52</v>
      </c>
      <c r="J10" s="46" t="s">
        <v>101</v>
      </c>
      <c r="K10" s="180">
        <v>633</v>
      </c>
      <c r="L10" s="180">
        <v>9</v>
      </c>
      <c r="M10" s="181">
        <v>1.4218E-2</v>
      </c>
      <c r="N10" s="182" t="s">
        <v>519</v>
      </c>
      <c r="O10" s="183">
        <v>36.56</v>
      </c>
      <c r="P10" s="183">
        <v>24.94</v>
      </c>
      <c r="Q10" s="184">
        <v>146.59</v>
      </c>
      <c r="R10" s="185">
        <v>0.68</v>
      </c>
      <c r="S10" s="186">
        <v>1</v>
      </c>
      <c r="T10" s="186">
        <v>1</v>
      </c>
      <c r="U10" s="187">
        <v>0.111111</v>
      </c>
      <c r="V10" s="186">
        <v>1</v>
      </c>
      <c r="W10" s="186">
        <v>0</v>
      </c>
      <c r="X10" s="188" t="s">
        <v>35</v>
      </c>
      <c r="Y10" s="189" t="s">
        <v>36</v>
      </c>
    </row>
    <row r="11" spans="1:25" ht="14.25" customHeight="1" x14ac:dyDescent="0.3">
      <c r="A11" s="178">
        <v>45914</v>
      </c>
      <c r="B11" s="179">
        <v>45916</v>
      </c>
      <c r="C11" s="46" t="s">
        <v>48</v>
      </c>
      <c r="D11" s="46" t="s">
        <v>28</v>
      </c>
      <c r="E11" s="46" t="s">
        <v>225</v>
      </c>
      <c r="F11" s="46" t="s">
        <v>226</v>
      </c>
      <c r="G11" s="46" t="s">
        <v>31</v>
      </c>
      <c r="H11" s="46" t="s">
        <v>168</v>
      </c>
      <c r="I11" s="46" t="s">
        <v>32</v>
      </c>
      <c r="J11" s="46" t="s">
        <v>169</v>
      </c>
      <c r="K11" s="180">
        <v>6</v>
      </c>
      <c r="L11" s="180">
        <v>2</v>
      </c>
      <c r="M11" s="181">
        <v>0.33333299999999999</v>
      </c>
      <c r="N11" s="182" t="s">
        <v>535</v>
      </c>
      <c r="O11" s="183">
        <v>8.34</v>
      </c>
      <c r="P11" s="183">
        <v>43.8</v>
      </c>
      <c r="Q11" s="190">
        <v>19.04</v>
      </c>
      <c r="R11" s="191">
        <v>5.25</v>
      </c>
      <c r="S11" s="192">
        <v>2</v>
      </c>
      <c r="T11" s="192">
        <v>2</v>
      </c>
      <c r="U11" s="193">
        <v>1</v>
      </c>
      <c r="V11" s="192">
        <v>2</v>
      </c>
      <c r="W11" s="192">
        <v>0</v>
      </c>
      <c r="X11" s="194" t="s">
        <v>67</v>
      </c>
      <c r="Y11" s="195" t="s">
        <v>36</v>
      </c>
    </row>
    <row r="12" spans="1:25" ht="14.25" customHeight="1" x14ac:dyDescent="0.3">
      <c r="A12" s="178">
        <v>45915</v>
      </c>
      <c r="B12" s="179">
        <v>45915</v>
      </c>
      <c r="C12" s="46" t="s">
        <v>27</v>
      </c>
      <c r="D12" s="46" t="s">
        <v>28</v>
      </c>
      <c r="E12" s="46" t="s">
        <v>71</v>
      </c>
      <c r="F12" s="46" t="s">
        <v>72</v>
      </c>
      <c r="G12" s="46" t="s">
        <v>31</v>
      </c>
      <c r="H12" s="46" t="s">
        <v>73</v>
      </c>
      <c r="I12" s="46" t="s">
        <v>52</v>
      </c>
      <c r="J12" s="46" t="s">
        <v>159</v>
      </c>
      <c r="K12" s="180">
        <v>3</v>
      </c>
      <c r="L12" s="180">
        <v>1</v>
      </c>
      <c r="M12" s="181">
        <v>0.33333299999999999</v>
      </c>
      <c r="N12" s="182" t="s">
        <v>510</v>
      </c>
      <c r="O12" s="183">
        <v>4.05</v>
      </c>
      <c r="P12" s="183">
        <v>24.94</v>
      </c>
      <c r="Q12" s="184">
        <v>16.239999999999998</v>
      </c>
      <c r="R12" s="185">
        <v>6.16</v>
      </c>
      <c r="S12" s="186">
        <v>1</v>
      </c>
      <c r="T12" s="186">
        <v>1</v>
      </c>
      <c r="U12" s="187">
        <v>1</v>
      </c>
      <c r="V12" s="186">
        <v>1</v>
      </c>
      <c r="W12" s="186">
        <v>0</v>
      </c>
      <c r="X12" s="188" t="s">
        <v>35</v>
      </c>
      <c r="Y12" s="189" t="s">
        <v>36</v>
      </c>
    </row>
    <row r="13" spans="1:25" ht="14.25" customHeight="1" x14ac:dyDescent="0.3">
      <c r="A13" s="178">
        <v>45915</v>
      </c>
      <c r="B13" s="179">
        <v>45915</v>
      </c>
      <c r="C13" s="46" t="s">
        <v>27</v>
      </c>
      <c r="D13" s="46" t="s">
        <v>28</v>
      </c>
      <c r="E13" s="46" t="s">
        <v>71</v>
      </c>
      <c r="F13" s="46" t="s">
        <v>72</v>
      </c>
      <c r="G13" s="46" t="s">
        <v>31</v>
      </c>
      <c r="H13" s="46" t="s">
        <v>73</v>
      </c>
      <c r="I13" s="46" t="s">
        <v>52</v>
      </c>
      <c r="J13" s="46" t="s">
        <v>511</v>
      </c>
      <c r="K13" s="180">
        <v>2</v>
      </c>
      <c r="L13" s="180">
        <v>1</v>
      </c>
      <c r="M13" s="181">
        <v>0.5</v>
      </c>
      <c r="N13" s="182" t="s">
        <v>316</v>
      </c>
      <c r="O13" s="183">
        <v>2.84</v>
      </c>
      <c r="P13" s="183">
        <v>24.94</v>
      </c>
      <c r="Q13" s="190">
        <v>11.39</v>
      </c>
      <c r="R13" s="191">
        <v>8.7799999999999994</v>
      </c>
      <c r="S13" s="192">
        <v>1</v>
      </c>
      <c r="T13" s="192">
        <v>1</v>
      </c>
      <c r="U13" s="193">
        <v>1</v>
      </c>
      <c r="V13" s="192">
        <v>1</v>
      </c>
      <c r="W13" s="192">
        <v>0</v>
      </c>
      <c r="X13" s="194" t="s">
        <v>35</v>
      </c>
      <c r="Y13" s="195" t="s">
        <v>36</v>
      </c>
    </row>
    <row r="14" spans="1:25" ht="14.25" customHeight="1" x14ac:dyDescent="0.3">
      <c r="A14" s="178">
        <v>45915</v>
      </c>
      <c r="B14" s="179">
        <v>45917</v>
      </c>
      <c r="C14" s="46" t="s">
        <v>494</v>
      </c>
      <c r="D14" s="46" t="s">
        <v>28</v>
      </c>
      <c r="E14" s="46" t="s">
        <v>495</v>
      </c>
      <c r="F14" s="46" t="s">
        <v>496</v>
      </c>
      <c r="G14" s="46" t="s">
        <v>31</v>
      </c>
      <c r="H14" s="46" t="s">
        <v>73</v>
      </c>
      <c r="I14" s="46" t="s">
        <v>52</v>
      </c>
      <c r="J14" s="46" t="s">
        <v>512</v>
      </c>
      <c r="K14" s="180">
        <v>30</v>
      </c>
      <c r="L14" s="180">
        <v>2</v>
      </c>
      <c r="M14" s="181">
        <v>6.6667000000000004E-2</v>
      </c>
      <c r="N14" s="182" t="s">
        <v>513</v>
      </c>
      <c r="O14" s="183">
        <v>10.199999999999999</v>
      </c>
      <c r="P14" s="183">
        <v>29.99</v>
      </c>
      <c r="Q14" s="184">
        <v>34.01</v>
      </c>
      <c r="R14" s="185">
        <v>2.94</v>
      </c>
      <c r="S14" s="186">
        <v>1</v>
      </c>
      <c r="T14" s="186">
        <v>1</v>
      </c>
      <c r="U14" s="187">
        <v>0.5</v>
      </c>
      <c r="V14" s="186">
        <v>1</v>
      </c>
      <c r="W14" s="186">
        <v>0</v>
      </c>
      <c r="X14" s="188" t="s">
        <v>498</v>
      </c>
      <c r="Y14" s="189" t="s">
        <v>36</v>
      </c>
    </row>
    <row r="15" spans="1:25" ht="14.25" customHeight="1" x14ac:dyDescent="0.3">
      <c r="A15" s="178">
        <v>45915</v>
      </c>
      <c r="B15" s="179">
        <v>45919</v>
      </c>
      <c r="C15" s="46" t="s">
        <v>27</v>
      </c>
      <c r="D15" s="46" t="s">
        <v>28</v>
      </c>
      <c r="E15" s="46" t="s">
        <v>29</v>
      </c>
      <c r="F15" s="46" t="s">
        <v>30</v>
      </c>
      <c r="G15" s="46" t="s">
        <v>31</v>
      </c>
      <c r="H15" s="46" t="s">
        <v>30</v>
      </c>
      <c r="I15" s="46" t="s">
        <v>32</v>
      </c>
      <c r="J15" s="46" t="s">
        <v>183</v>
      </c>
      <c r="K15" s="180">
        <v>24</v>
      </c>
      <c r="L15" s="180">
        <v>4</v>
      </c>
      <c r="M15" s="181">
        <v>0.16666700000000001</v>
      </c>
      <c r="N15" s="182" t="s">
        <v>313</v>
      </c>
      <c r="O15" s="183">
        <v>14.21</v>
      </c>
      <c r="P15" s="183">
        <v>24.94</v>
      </c>
      <c r="Q15" s="190">
        <v>56.98</v>
      </c>
      <c r="R15" s="191">
        <v>1.76</v>
      </c>
      <c r="S15" s="192">
        <v>1</v>
      </c>
      <c r="T15" s="192">
        <v>1</v>
      </c>
      <c r="U15" s="193">
        <v>0.25</v>
      </c>
      <c r="V15" s="192">
        <v>1</v>
      </c>
      <c r="W15" s="192">
        <v>0</v>
      </c>
      <c r="X15" s="194" t="s">
        <v>35</v>
      </c>
      <c r="Y15" s="195" t="s">
        <v>36</v>
      </c>
    </row>
    <row r="16" spans="1:25" ht="14.25" customHeight="1" x14ac:dyDescent="0.3">
      <c r="A16" s="178">
        <v>45915</v>
      </c>
      <c r="B16" s="179">
        <v>45919</v>
      </c>
      <c r="C16" s="46" t="s">
        <v>40</v>
      </c>
      <c r="D16" s="46" t="s">
        <v>28</v>
      </c>
      <c r="E16" s="46" t="s">
        <v>41</v>
      </c>
      <c r="F16" s="46" t="s">
        <v>42</v>
      </c>
      <c r="G16" s="46" t="s">
        <v>31</v>
      </c>
      <c r="H16" s="46" t="s">
        <v>43</v>
      </c>
      <c r="I16" s="46" t="s">
        <v>44</v>
      </c>
      <c r="J16" s="46" t="s">
        <v>43</v>
      </c>
      <c r="K16" s="180">
        <v>102</v>
      </c>
      <c r="L16" s="180">
        <v>12</v>
      </c>
      <c r="M16" s="181">
        <v>0.117647</v>
      </c>
      <c r="N16" s="182" t="s">
        <v>367</v>
      </c>
      <c r="O16" s="183">
        <v>38.549999999999997</v>
      </c>
      <c r="P16" s="183">
        <v>24.94</v>
      </c>
      <c r="Q16" s="184">
        <v>154.57</v>
      </c>
      <c r="R16" s="185">
        <v>0.65</v>
      </c>
      <c r="S16" s="186">
        <v>1</v>
      </c>
      <c r="T16" s="186">
        <v>1</v>
      </c>
      <c r="U16" s="187">
        <v>8.3333000000000004E-2</v>
      </c>
      <c r="V16" s="186">
        <v>1</v>
      </c>
      <c r="W16" s="186">
        <v>0</v>
      </c>
      <c r="X16" s="188" t="s">
        <v>35</v>
      </c>
      <c r="Y16" s="189" t="s">
        <v>36</v>
      </c>
    </row>
    <row r="17" spans="1:25" ht="14.25" customHeight="1" x14ac:dyDescent="0.3">
      <c r="A17" s="178">
        <v>45915</v>
      </c>
      <c r="B17" s="179">
        <v>45916</v>
      </c>
      <c r="C17" s="46" t="s">
        <v>48</v>
      </c>
      <c r="D17" s="46" t="s">
        <v>28</v>
      </c>
      <c r="E17" s="46" t="s">
        <v>233</v>
      </c>
      <c r="F17" s="46" t="s">
        <v>234</v>
      </c>
      <c r="G17" s="46" t="s">
        <v>31</v>
      </c>
      <c r="H17" s="196" t="s">
        <v>917</v>
      </c>
      <c r="I17" s="46" t="s">
        <v>32</v>
      </c>
      <c r="J17" s="46" t="s">
        <v>450</v>
      </c>
      <c r="K17" s="180">
        <v>7</v>
      </c>
      <c r="L17" s="180">
        <v>2</v>
      </c>
      <c r="M17" s="181">
        <v>0.28571400000000002</v>
      </c>
      <c r="N17" s="182" t="s">
        <v>517</v>
      </c>
      <c r="O17" s="183">
        <v>8.15</v>
      </c>
      <c r="P17" s="183">
        <v>21.9</v>
      </c>
      <c r="Q17" s="190">
        <v>37.21</v>
      </c>
      <c r="R17" s="191">
        <v>2.69</v>
      </c>
      <c r="S17" s="192">
        <v>1</v>
      </c>
      <c r="T17" s="192">
        <v>1</v>
      </c>
      <c r="U17" s="193">
        <v>0.5</v>
      </c>
      <c r="V17" s="192">
        <v>1</v>
      </c>
      <c r="W17" s="192">
        <v>0</v>
      </c>
      <c r="X17" s="194" t="s">
        <v>55</v>
      </c>
      <c r="Y17" s="195" t="s">
        <v>36</v>
      </c>
    </row>
    <row r="18" spans="1:25" ht="14.25" customHeight="1" x14ac:dyDescent="0.3">
      <c r="A18" s="178">
        <v>45915</v>
      </c>
      <c r="B18" s="179">
        <v>45920</v>
      </c>
      <c r="C18" s="46" t="s">
        <v>85</v>
      </c>
      <c r="D18" s="46" t="s">
        <v>28</v>
      </c>
      <c r="E18" s="46" t="s">
        <v>86</v>
      </c>
      <c r="F18" s="46" t="s">
        <v>87</v>
      </c>
      <c r="G18" s="46" t="s">
        <v>31</v>
      </c>
      <c r="H18" s="46" t="s">
        <v>87</v>
      </c>
      <c r="I18" s="46" t="s">
        <v>44</v>
      </c>
      <c r="J18" s="46" t="s">
        <v>87</v>
      </c>
      <c r="K18" s="180">
        <v>34</v>
      </c>
      <c r="L18" s="180">
        <v>4</v>
      </c>
      <c r="M18" s="181">
        <v>0.117647</v>
      </c>
      <c r="N18" s="182" t="s">
        <v>519</v>
      </c>
      <c r="O18" s="183">
        <v>16.25</v>
      </c>
      <c r="P18" s="183">
        <v>43.8</v>
      </c>
      <c r="Q18" s="184">
        <v>37.1</v>
      </c>
      <c r="R18" s="185">
        <v>2.7</v>
      </c>
      <c r="S18" s="186">
        <v>2</v>
      </c>
      <c r="T18" s="186">
        <v>2</v>
      </c>
      <c r="U18" s="187">
        <v>0.5</v>
      </c>
      <c r="V18" s="186">
        <v>2</v>
      </c>
      <c r="W18" s="186">
        <v>0</v>
      </c>
      <c r="X18" s="188" t="s">
        <v>67</v>
      </c>
      <c r="Y18" s="189" t="s">
        <v>36</v>
      </c>
    </row>
    <row r="19" spans="1:25" ht="14.25" customHeight="1" x14ac:dyDescent="0.3">
      <c r="A19" s="178">
        <v>45915</v>
      </c>
      <c r="B19" s="179">
        <v>45919</v>
      </c>
      <c r="C19" s="46" t="s">
        <v>48</v>
      </c>
      <c r="D19" s="46" t="s">
        <v>28</v>
      </c>
      <c r="E19" s="46" t="s">
        <v>225</v>
      </c>
      <c r="F19" s="46" t="s">
        <v>226</v>
      </c>
      <c r="G19" s="46" t="s">
        <v>31</v>
      </c>
      <c r="H19" s="46" t="s">
        <v>168</v>
      </c>
      <c r="I19" s="46" t="s">
        <v>32</v>
      </c>
      <c r="J19" s="46" t="s">
        <v>171</v>
      </c>
      <c r="K19" s="180">
        <v>10</v>
      </c>
      <c r="L19" s="180">
        <v>2</v>
      </c>
      <c r="M19" s="181">
        <v>0.2</v>
      </c>
      <c r="N19" s="182" t="s">
        <v>521</v>
      </c>
      <c r="O19" s="183">
        <v>7.93</v>
      </c>
      <c r="P19" s="183">
        <v>21.9</v>
      </c>
      <c r="Q19" s="190">
        <v>36.21</v>
      </c>
      <c r="R19" s="191">
        <v>2.76</v>
      </c>
      <c r="S19" s="192">
        <v>1</v>
      </c>
      <c r="T19" s="192">
        <v>1</v>
      </c>
      <c r="U19" s="193">
        <v>0.5</v>
      </c>
      <c r="V19" s="192">
        <v>1</v>
      </c>
      <c r="W19" s="192">
        <v>0</v>
      </c>
      <c r="X19" s="194" t="s">
        <v>55</v>
      </c>
      <c r="Y19" s="195" t="s">
        <v>36</v>
      </c>
    </row>
    <row r="20" spans="1:25" ht="14.25" customHeight="1" x14ac:dyDescent="0.3">
      <c r="A20" s="178">
        <v>45915</v>
      </c>
      <c r="B20" s="179">
        <v>45915</v>
      </c>
      <c r="C20" s="46" t="s">
        <v>48</v>
      </c>
      <c r="D20" s="46" t="s">
        <v>28</v>
      </c>
      <c r="E20" s="46" t="s">
        <v>49</v>
      </c>
      <c r="F20" s="46" t="s">
        <v>50</v>
      </c>
      <c r="G20" s="46" t="s">
        <v>31</v>
      </c>
      <c r="H20" s="46" t="s">
        <v>51</v>
      </c>
      <c r="I20" s="46" t="s">
        <v>52</v>
      </c>
      <c r="J20" s="46" t="s">
        <v>523</v>
      </c>
      <c r="K20" s="180">
        <v>1</v>
      </c>
      <c r="L20" s="180">
        <v>1</v>
      </c>
      <c r="M20" s="181">
        <v>1</v>
      </c>
      <c r="N20" s="182" t="s">
        <v>236</v>
      </c>
      <c r="O20" s="183">
        <v>2</v>
      </c>
      <c r="P20" s="183">
        <v>21.9</v>
      </c>
      <c r="Q20" s="184">
        <v>9.1300000000000008</v>
      </c>
      <c r="R20" s="185">
        <v>10.95</v>
      </c>
      <c r="S20" s="186">
        <v>1</v>
      </c>
      <c r="T20" s="186">
        <v>1</v>
      </c>
      <c r="U20" s="187">
        <v>1</v>
      </c>
      <c r="V20" s="186">
        <v>1</v>
      </c>
      <c r="W20" s="186">
        <v>0</v>
      </c>
      <c r="X20" s="188" t="s">
        <v>55</v>
      </c>
      <c r="Y20" s="189" t="s">
        <v>36</v>
      </c>
    </row>
    <row r="21" spans="1:25" ht="14.25" customHeight="1" x14ac:dyDescent="0.3">
      <c r="A21" s="178">
        <v>45916</v>
      </c>
      <c r="B21" s="179">
        <v>45918</v>
      </c>
      <c r="C21" s="46" t="s">
        <v>27</v>
      </c>
      <c r="D21" s="46" t="s">
        <v>28</v>
      </c>
      <c r="E21" s="46" t="s">
        <v>29</v>
      </c>
      <c r="F21" s="46" t="s">
        <v>30</v>
      </c>
      <c r="G21" s="46" t="s">
        <v>31</v>
      </c>
      <c r="H21" s="46" t="s">
        <v>30</v>
      </c>
      <c r="I21" s="46" t="s">
        <v>32</v>
      </c>
      <c r="J21" s="46" t="s">
        <v>162</v>
      </c>
      <c r="K21" s="180">
        <v>110</v>
      </c>
      <c r="L21" s="180">
        <v>4</v>
      </c>
      <c r="M21" s="181">
        <v>3.6364E-2</v>
      </c>
      <c r="N21" s="182" t="s">
        <v>167</v>
      </c>
      <c r="O21" s="183">
        <v>20.72</v>
      </c>
      <c r="P21" s="183">
        <v>24.94</v>
      </c>
      <c r="Q21" s="190">
        <v>83.08</v>
      </c>
      <c r="R21" s="191">
        <v>1.2</v>
      </c>
      <c r="S21" s="192">
        <v>1</v>
      </c>
      <c r="T21" s="192">
        <v>1</v>
      </c>
      <c r="U21" s="193">
        <v>0.25</v>
      </c>
      <c r="V21" s="192">
        <v>1</v>
      </c>
      <c r="W21" s="192">
        <v>0</v>
      </c>
      <c r="X21" s="194" t="s">
        <v>35</v>
      </c>
      <c r="Y21" s="195" t="s">
        <v>36</v>
      </c>
    </row>
    <row r="22" spans="1:25" ht="14.25" customHeight="1" x14ac:dyDescent="0.3">
      <c r="A22" s="178">
        <v>45916</v>
      </c>
      <c r="B22" s="179">
        <v>45916</v>
      </c>
      <c r="C22" s="46" t="s">
        <v>48</v>
      </c>
      <c r="D22" s="46" t="s">
        <v>28</v>
      </c>
      <c r="E22" s="46" t="s">
        <v>225</v>
      </c>
      <c r="F22" s="46" t="s">
        <v>226</v>
      </c>
      <c r="G22" s="46" t="s">
        <v>31</v>
      </c>
      <c r="H22" s="46" t="s">
        <v>504</v>
      </c>
      <c r="I22" s="46" t="s">
        <v>32</v>
      </c>
      <c r="J22" s="46" t="s">
        <v>505</v>
      </c>
      <c r="K22" s="180">
        <v>1</v>
      </c>
      <c r="L22" s="180">
        <v>1</v>
      </c>
      <c r="M22" s="181">
        <v>1</v>
      </c>
      <c r="N22" s="182" t="s">
        <v>388</v>
      </c>
      <c r="O22" s="183">
        <v>3.12</v>
      </c>
      <c r="P22" s="183">
        <v>21.9</v>
      </c>
      <c r="Q22" s="184">
        <v>14.25</v>
      </c>
      <c r="R22" s="185">
        <v>7.02</v>
      </c>
      <c r="S22" s="186">
        <v>1</v>
      </c>
      <c r="T22" s="186">
        <v>1</v>
      </c>
      <c r="U22" s="187">
        <v>1</v>
      </c>
      <c r="V22" s="186">
        <v>1</v>
      </c>
      <c r="W22" s="186">
        <v>0</v>
      </c>
      <c r="X22" s="188" t="s">
        <v>55</v>
      </c>
      <c r="Y22" s="189" t="s">
        <v>36</v>
      </c>
    </row>
    <row r="23" spans="1:25" ht="14.25" customHeight="1" x14ac:dyDescent="0.3">
      <c r="A23" s="178">
        <v>45916</v>
      </c>
      <c r="B23" s="179">
        <v>45916</v>
      </c>
      <c r="C23" s="46" t="s">
        <v>85</v>
      </c>
      <c r="D23" s="46" t="s">
        <v>28</v>
      </c>
      <c r="E23" s="46" t="s">
        <v>108</v>
      </c>
      <c r="F23" s="46" t="s">
        <v>109</v>
      </c>
      <c r="G23" s="46" t="s">
        <v>31</v>
      </c>
      <c r="H23" s="46" t="s">
        <v>110</v>
      </c>
      <c r="I23" s="46" t="s">
        <v>44</v>
      </c>
      <c r="J23" s="46" t="s">
        <v>151</v>
      </c>
      <c r="K23" s="180">
        <v>3</v>
      </c>
      <c r="L23" s="180">
        <v>1</v>
      </c>
      <c r="M23" s="181">
        <v>0.33333299999999999</v>
      </c>
      <c r="N23" s="182" t="s">
        <v>506</v>
      </c>
      <c r="O23" s="183">
        <v>5.73</v>
      </c>
      <c r="P23" s="183">
        <v>24.94</v>
      </c>
      <c r="Q23" s="190">
        <v>22.98</v>
      </c>
      <c r="R23" s="191">
        <v>4.3499999999999996</v>
      </c>
      <c r="S23" s="192">
        <v>1</v>
      </c>
      <c r="T23" s="192">
        <v>1</v>
      </c>
      <c r="U23" s="193">
        <v>1</v>
      </c>
      <c r="V23" s="192">
        <v>1</v>
      </c>
      <c r="W23" s="192">
        <v>0</v>
      </c>
      <c r="X23" s="194" t="s">
        <v>35</v>
      </c>
      <c r="Y23" s="195" t="s">
        <v>36</v>
      </c>
    </row>
    <row r="24" spans="1:25" ht="14.25" customHeight="1" x14ac:dyDescent="0.3">
      <c r="A24" s="178">
        <v>45916</v>
      </c>
      <c r="B24" s="179">
        <v>45916</v>
      </c>
      <c r="C24" s="46" t="s">
        <v>48</v>
      </c>
      <c r="D24" s="46" t="s">
        <v>28</v>
      </c>
      <c r="E24" s="46" t="s">
        <v>62</v>
      </c>
      <c r="F24" s="46" t="s">
        <v>63</v>
      </c>
      <c r="G24" s="46" t="s">
        <v>31</v>
      </c>
      <c r="H24" s="46" t="s">
        <v>372</v>
      </c>
      <c r="I24" s="46" t="s">
        <v>65</v>
      </c>
      <c r="J24" s="46" t="s">
        <v>507</v>
      </c>
      <c r="K24" s="180">
        <v>4</v>
      </c>
      <c r="L24" s="180">
        <v>1</v>
      </c>
      <c r="M24" s="181">
        <v>0.25</v>
      </c>
      <c r="N24" s="182" t="s">
        <v>59</v>
      </c>
      <c r="O24" s="183">
        <v>4.3499999999999996</v>
      </c>
      <c r="P24" s="183">
        <v>21.9</v>
      </c>
      <c r="Q24" s="184">
        <v>19.86</v>
      </c>
      <c r="R24" s="185">
        <v>5.03</v>
      </c>
      <c r="S24" s="186">
        <v>1</v>
      </c>
      <c r="T24" s="186">
        <v>1</v>
      </c>
      <c r="U24" s="187">
        <v>1</v>
      </c>
      <c r="V24" s="186">
        <v>1</v>
      </c>
      <c r="W24" s="186">
        <v>0</v>
      </c>
      <c r="X24" s="188" t="s">
        <v>55</v>
      </c>
      <c r="Y24" s="189" t="s">
        <v>36</v>
      </c>
    </row>
    <row r="25" spans="1:25" ht="14.25" customHeight="1" x14ac:dyDescent="0.3">
      <c r="A25" s="178">
        <v>45916</v>
      </c>
      <c r="B25" s="179">
        <v>45916</v>
      </c>
      <c r="C25" s="46" t="s">
        <v>48</v>
      </c>
      <c r="D25" s="46" t="s">
        <v>28</v>
      </c>
      <c r="E25" s="46" t="s">
        <v>49</v>
      </c>
      <c r="F25" s="46" t="s">
        <v>50</v>
      </c>
      <c r="G25" s="46" t="s">
        <v>31</v>
      </c>
      <c r="H25" s="46" t="s">
        <v>51</v>
      </c>
      <c r="I25" s="46" t="s">
        <v>52</v>
      </c>
      <c r="J25" s="46" t="s">
        <v>508</v>
      </c>
      <c r="K25" s="180">
        <v>2</v>
      </c>
      <c r="L25" s="180">
        <v>1</v>
      </c>
      <c r="M25" s="181">
        <v>0.5</v>
      </c>
      <c r="N25" s="182" t="s">
        <v>509</v>
      </c>
      <c r="O25" s="183">
        <v>2.52</v>
      </c>
      <c r="P25" s="183">
        <v>21.9</v>
      </c>
      <c r="Q25" s="190">
        <v>11.51</v>
      </c>
      <c r="R25" s="191">
        <v>8.69</v>
      </c>
      <c r="S25" s="192">
        <v>1</v>
      </c>
      <c r="T25" s="192">
        <v>1</v>
      </c>
      <c r="U25" s="193">
        <v>1</v>
      </c>
      <c r="V25" s="192">
        <v>1</v>
      </c>
      <c r="W25" s="192">
        <v>0</v>
      </c>
      <c r="X25" s="194" t="s">
        <v>55</v>
      </c>
      <c r="Y25" s="195" t="s">
        <v>36</v>
      </c>
    </row>
    <row r="26" spans="1:25" ht="14.25" customHeight="1" x14ac:dyDescent="0.3">
      <c r="A26" s="178">
        <v>45917</v>
      </c>
      <c r="B26" s="179">
        <v>45917</v>
      </c>
      <c r="C26" s="46" t="s">
        <v>85</v>
      </c>
      <c r="D26" s="46" t="s">
        <v>28</v>
      </c>
      <c r="E26" s="46" t="s">
        <v>108</v>
      </c>
      <c r="F26" s="46" t="s">
        <v>109</v>
      </c>
      <c r="G26" s="46" t="s">
        <v>31</v>
      </c>
      <c r="H26" s="46" t="s">
        <v>110</v>
      </c>
      <c r="I26" s="46" t="s">
        <v>44</v>
      </c>
      <c r="J26" s="46" t="s">
        <v>492</v>
      </c>
      <c r="K26" s="180">
        <v>8</v>
      </c>
      <c r="L26" s="180">
        <v>1</v>
      </c>
      <c r="M26" s="181">
        <v>0.125</v>
      </c>
      <c r="N26" s="182" t="s">
        <v>493</v>
      </c>
      <c r="O26" s="183">
        <v>6</v>
      </c>
      <c r="P26" s="183">
        <v>24.94</v>
      </c>
      <c r="Q26" s="184">
        <v>24.06</v>
      </c>
      <c r="R26" s="185">
        <v>4.16</v>
      </c>
      <c r="S26" s="186">
        <v>1</v>
      </c>
      <c r="T26" s="186">
        <v>1</v>
      </c>
      <c r="U26" s="187">
        <v>1</v>
      </c>
      <c r="V26" s="186">
        <v>1</v>
      </c>
      <c r="W26" s="186">
        <v>0</v>
      </c>
      <c r="X26" s="188" t="s">
        <v>35</v>
      </c>
      <c r="Y26" s="189" t="s">
        <v>36</v>
      </c>
    </row>
    <row r="27" spans="1:25" ht="14.25" customHeight="1" x14ac:dyDescent="0.3">
      <c r="A27" s="178">
        <v>45917</v>
      </c>
      <c r="B27" s="179">
        <v>45917</v>
      </c>
      <c r="C27" s="46" t="s">
        <v>494</v>
      </c>
      <c r="D27" s="46" t="s">
        <v>28</v>
      </c>
      <c r="E27" s="46" t="s">
        <v>495</v>
      </c>
      <c r="F27" s="46" t="s">
        <v>496</v>
      </c>
      <c r="G27" s="46" t="s">
        <v>31</v>
      </c>
      <c r="H27" s="46" t="s">
        <v>51</v>
      </c>
      <c r="I27" s="46" t="s">
        <v>52</v>
      </c>
      <c r="J27" s="46" t="s">
        <v>497</v>
      </c>
      <c r="K27" s="180">
        <v>1</v>
      </c>
      <c r="L27" s="180">
        <v>1</v>
      </c>
      <c r="M27" s="181">
        <v>1</v>
      </c>
      <c r="N27" s="182" t="s">
        <v>262</v>
      </c>
      <c r="O27" s="183">
        <v>3.24</v>
      </c>
      <c r="P27" s="183">
        <v>29.99</v>
      </c>
      <c r="Q27" s="190">
        <v>10.8</v>
      </c>
      <c r="R27" s="191">
        <v>9.26</v>
      </c>
      <c r="S27" s="192">
        <v>1</v>
      </c>
      <c r="T27" s="192">
        <v>1</v>
      </c>
      <c r="U27" s="193">
        <v>1</v>
      </c>
      <c r="V27" s="192">
        <v>1</v>
      </c>
      <c r="W27" s="192">
        <v>0</v>
      </c>
      <c r="X27" s="194" t="s">
        <v>498</v>
      </c>
      <c r="Y27" s="195" t="s">
        <v>36</v>
      </c>
    </row>
    <row r="28" spans="1:25" ht="14.25" customHeight="1" x14ac:dyDescent="0.3">
      <c r="A28" s="178">
        <v>45917</v>
      </c>
      <c r="B28" s="179">
        <v>45917</v>
      </c>
      <c r="C28" s="46" t="s">
        <v>27</v>
      </c>
      <c r="D28" s="46" t="s">
        <v>28</v>
      </c>
      <c r="E28" s="46" t="s">
        <v>29</v>
      </c>
      <c r="F28" s="46" t="s">
        <v>30</v>
      </c>
      <c r="G28" s="46" t="s">
        <v>31</v>
      </c>
      <c r="H28" s="46" t="s">
        <v>30</v>
      </c>
      <c r="I28" s="46" t="s">
        <v>32</v>
      </c>
      <c r="J28" s="46" t="s">
        <v>499</v>
      </c>
      <c r="K28" s="180">
        <v>2</v>
      </c>
      <c r="L28" s="180">
        <v>1</v>
      </c>
      <c r="M28" s="181">
        <v>0.5</v>
      </c>
      <c r="N28" s="182" t="s">
        <v>122</v>
      </c>
      <c r="O28" s="183">
        <v>3.65</v>
      </c>
      <c r="P28" s="183">
        <v>24.94</v>
      </c>
      <c r="Q28" s="184">
        <v>14.64</v>
      </c>
      <c r="R28" s="185">
        <v>6.83</v>
      </c>
      <c r="S28" s="186">
        <v>2</v>
      </c>
      <c r="T28" s="186">
        <v>2</v>
      </c>
      <c r="U28" s="187">
        <v>2</v>
      </c>
      <c r="V28" s="186">
        <v>2</v>
      </c>
      <c r="W28" s="186">
        <v>0</v>
      </c>
      <c r="X28" s="188" t="s">
        <v>35</v>
      </c>
      <c r="Y28" s="189" t="s">
        <v>36</v>
      </c>
    </row>
    <row r="29" spans="1:25" ht="14.25" customHeight="1" x14ac:dyDescent="0.3">
      <c r="A29" s="178">
        <v>45917</v>
      </c>
      <c r="B29" s="179">
        <v>45917</v>
      </c>
      <c r="C29" s="46" t="s">
        <v>27</v>
      </c>
      <c r="D29" s="46" t="s">
        <v>28</v>
      </c>
      <c r="E29" s="46" t="s">
        <v>29</v>
      </c>
      <c r="F29" s="46" t="s">
        <v>30</v>
      </c>
      <c r="G29" s="46" t="s">
        <v>31</v>
      </c>
      <c r="H29" s="46" t="s">
        <v>30</v>
      </c>
      <c r="I29" s="46" t="s">
        <v>32</v>
      </c>
      <c r="J29" s="46" t="s">
        <v>500</v>
      </c>
      <c r="K29" s="180">
        <v>1</v>
      </c>
      <c r="L29" s="180">
        <v>1</v>
      </c>
      <c r="M29" s="181">
        <v>1</v>
      </c>
      <c r="N29" s="182" t="s">
        <v>167</v>
      </c>
      <c r="O29" s="183">
        <v>5.18</v>
      </c>
      <c r="P29" s="183">
        <v>49.88</v>
      </c>
      <c r="Q29" s="190">
        <v>10.38</v>
      </c>
      <c r="R29" s="191">
        <v>9.6300000000000008</v>
      </c>
      <c r="S29" s="192">
        <v>2</v>
      </c>
      <c r="T29" s="192">
        <v>2</v>
      </c>
      <c r="U29" s="193">
        <v>2</v>
      </c>
      <c r="V29" s="192">
        <v>2</v>
      </c>
      <c r="W29" s="192">
        <v>0</v>
      </c>
      <c r="X29" s="194" t="s">
        <v>78</v>
      </c>
      <c r="Y29" s="195" t="s">
        <v>36</v>
      </c>
    </row>
    <row r="30" spans="1:25" ht="14.25" customHeight="1" x14ac:dyDescent="0.3">
      <c r="A30" s="178">
        <v>45917</v>
      </c>
      <c r="B30" s="179">
        <v>45917</v>
      </c>
      <c r="C30" s="46" t="s">
        <v>27</v>
      </c>
      <c r="D30" s="46" t="s">
        <v>28</v>
      </c>
      <c r="E30" s="46" t="s">
        <v>71</v>
      </c>
      <c r="F30" s="46" t="s">
        <v>72</v>
      </c>
      <c r="G30" s="46" t="s">
        <v>31</v>
      </c>
      <c r="H30" s="46" t="s">
        <v>51</v>
      </c>
      <c r="I30" s="46" t="s">
        <v>52</v>
      </c>
      <c r="J30" s="46" t="s">
        <v>501</v>
      </c>
      <c r="K30" s="180">
        <v>2</v>
      </c>
      <c r="L30" s="180">
        <v>1</v>
      </c>
      <c r="M30" s="181">
        <v>0.5</v>
      </c>
      <c r="N30" s="182" t="s">
        <v>371</v>
      </c>
      <c r="O30" s="183">
        <v>3.16</v>
      </c>
      <c r="P30" s="183">
        <v>24.94</v>
      </c>
      <c r="Q30" s="184">
        <v>12.67</v>
      </c>
      <c r="R30" s="185">
        <v>7.89</v>
      </c>
      <c r="S30" s="186">
        <v>1</v>
      </c>
      <c r="T30" s="186">
        <v>1</v>
      </c>
      <c r="U30" s="187">
        <v>1</v>
      </c>
      <c r="V30" s="186">
        <v>1</v>
      </c>
      <c r="W30" s="186">
        <v>0</v>
      </c>
      <c r="X30" s="188" t="s">
        <v>35</v>
      </c>
      <c r="Y30" s="189" t="s">
        <v>36</v>
      </c>
    </row>
    <row r="31" spans="1:25" ht="14.25" customHeight="1" x14ac:dyDescent="0.3">
      <c r="A31" s="178">
        <v>45917</v>
      </c>
      <c r="B31" s="179">
        <v>45917</v>
      </c>
      <c r="C31" s="46" t="s">
        <v>48</v>
      </c>
      <c r="D31" s="46" t="s">
        <v>28</v>
      </c>
      <c r="E31" s="46" t="s">
        <v>49</v>
      </c>
      <c r="F31" s="46" t="s">
        <v>50</v>
      </c>
      <c r="G31" s="46" t="s">
        <v>31</v>
      </c>
      <c r="H31" s="46" t="s">
        <v>51</v>
      </c>
      <c r="I31" s="46" t="s">
        <v>52</v>
      </c>
      <c r="J31" s="46" t="s">
        <v>502</v>
      </c>
      <c r="K31" s="180">
        <v>1</v>
      </c>
      <c r="L31" s="180">
        <v>1</v>
      </c>
      <c r="M31" s="181">
        <v>1</v>
      </c>
      <c r="N31" s="182" t="s">
        <v>316</v>
      </c>
      <c r="O31" s="183">
        <v>2.84</v>
      </c>
      <c r="P31" s="183">
        <v>21.9</v>
      </c>
      <c r="Q31" s="190">
        <v>12.97</v>
      </c>
      <c r="R31" s="191">
        <v>7.71</v>
      </c>
      <c r="S31" s="192">
        <v>1</v>
      </c>
      <c r="T31" s="192">
        <v>1</v>
      </c>
      <c r="U31" s="193">
        <v>1</v>
      </c>
      <c r="V31" s="192">
        <v>1</v>
      </c>
      <c r="W31" s="192">
        <v>0</v>
      </c>
      <c r="X31" s="194" t="s">
        <v>55</v>
      </c>
      <c r="Y31" s="195" t="s">
        <v>36</v>
      </c>
    </row>
    <row r="32" spans="1:25" ht="14.25" customHeight="1" x14ac:dyDescent="0.3">
      <c r="A32" s="178">
        <v>45918</v>
      </c>
      <c r="B32" s="179">
        <v>45918</v>
      </c>
      <c r="C32" s="46" t="s">
        <v>27</v>
      </c>
      <c r="D32" s="46" t="s">
        <v>28</v>
      </c>
      <c r="E32" s="46" t="s">
        <v>29</v>
      </c>
      <c r="F32" s="46" t="s">
        <v>30</v>
      </c>
      <c r="G32" s="46" t="s">
        <v>31</v>
      </c>
      <c r="H32" s="46" t="s">
        <v>30</v>
      </c>
      <c r="I32" s="46" t="s">
        <v>32</v>
      </c>
      <c r="J32" s="46" t="s">
        <v>487</v>
      </c>
      <c r="K32" s="180">
        <v>3</v>
      </c>
      <c r="L32" s="180">
        <v>1</v>
      </c>
      <c r="M32" s="181">
        <v>0.33333299999999999</v>
      </c>
      <c r="N32" s="182" t="s">
        <v>309</v>
      </c>
      <c r="O32" s="183">
        <v>3.7</v>
      </c>
      <c r="P32" s="183">
        <v>24.94</v>
      </c>
      <c r="Q32" s="184">
        <v>14.84</v>
      </c>
      <c r="R32" s="185">
        <v>6.74</v>
      </c>
      <c r="S32" s="186">
        <v>1</v>
      </c>
      <c r="T32" s="186">
        <v>1</v>
      </c>
      <c r="U32" s="187">
        <v>1</v>
      </c>
      <c r="V32" s="186">
        <v>1</v>
      </c>
      <c r="W32" s="186">
        <v>0</v>
      </c>
      <c r="X32" s="188" t="s">
        <v>35</v>
      </c>
      <c r="Y32" s="189" t="s">
        <v>36</v>
      </c>
    </row>
    <row r="33" spans="1:25" ht="14.25" customHeight="1" x14ac:dyDescent="0.3">
      <c r="A33" s="178">
        <v>45918</v>
      </c>
      <c r="B33" s="179">
        <v>45920</v>
      </c>
      <c r="C33" s="46" t="s">
        <v>143</v>
      </c>
      <c r="D33" s="46" t="s">
        <v>28</v>
      </c>
      <c r="E33" s="46" t="s">
        <v>144</v>
      </c>
      <c r="F33" s="46" t="s">
        <v>32</v>
      </c>
      <c r="G33" s="46" t="s">
        <v>31</v>
      </c>
      <c r="H33" s="46" t="s">
        <v>173</v>
      </c>
      <c r="I33" s="46" t="s">
        <v>65</v>
      </c>
      <c r="J33" s="46" t="s">
        <v>173</v>
      </c>
      <c r="K33" s="180">
        <v>393</v>
      </c>
      <c r="L33" s="180">
        <v>3</v>
      </c>
      <c r="M33" s="181">
        <v>7.6340000000000002E-3</v>
      </c>
      <c r="N33" s="182" t="s">
        <v>488</v>
      </c>
      <c r="O33" s="183">
        <v>0.23</v>
      </c>
      <c r="P33" s="183">
        <v>24.94</v>
      </c>
      <c r="Q33" s="190">
        <v>0.92</v>
      </c>
      <c r="R33" s="191">
        <v>108.43</v>
      </c>
      <c r="S33" s="192">
        <v>1</v>
      </c>
      <c r="T33" s="192">
        <v>1</v>
      </c>
      <c r="U33" s="193">
        <v>0.33333299999999999</v>
      </c>
      <c r="V33" s="192">
        <v>1</v>
      </c>
      <c r="W33" s="192">
        <v>0</v>
      </c>
      <c r="X33" s="194" t="s">
        <v>35</v>
      </c>
      <c r="Y33" s="195" t="s">
        <v>36</v>
      </c>
    </row>
    <row r="34" spans="1:25" ht="14.25" customHeight="1" x14ac:dyDescent="0.3">
      <c r="A34" s="178">
        <v>45918</v>
      </c>
      <c r="B34" s="179">
        <v>45918</v>
      </c>
      <c r="C34" s="46" t="s">
        <v>27</v>
      </c>
      <c r="D34" s="46" t="s">
        <v>28</v>
      </c>
      <c r="E34" s="46" t="s">
        <v>56</v>
      </c>
      <c r="F34" s="46" t="s">
        <v>57</v>
      </c>
      <c r="G34" s="46" t="s">
        <v>31</v>
      </c>
      <c r="H34" s="196" t="e">
        <f>+maca +root</f>
        <v>#NAME?</v>
      </c>
      <c r="I34" s="46" t="s">
        <v>32</v>
      </c>
      <c r="J34" s="46" t="s">
        <v>490</v>
      </c>
      <c r="K34" s="180">
        <v>5</v>
      </c>
      <c r="L34" s="180">
        <v>1</v>
      </c>
      <c r="M34" s="181">
        <v>0.2</v>
      </c>
      <c r="N34" s="182" t="s">
        <v>481</v>
      </c>
      <c r="O34" s="183">
        <v>3.45</v>
      </c>
      <c r="P34" s="183">
        <v>24.94</v>
      </c>
      <c r="Q34" s="184">
        <v>13.83</v>
      </c>
      <c r="R34" s="185">
        <v>7.23</v>
      </c>
      <c r="S34" s="186">
        <v>1</v>
      </c>
      <c r="T34" s="186">
        <v>1</v>
      </c>
      <c r="U34" s="187">
        <v>1</v>
      </c>
      <c r="V34" s="186">
        <v>1</v>
      </c>
      <c r="W34" s="186">
        <v>0</v>
      </c>
      <c r="X34" s="188" t="s">
        <v>35</v>
      </c>
      <c r="Y34" s="189" t="s">
        <v>36</v>
      </c>
    </row>
    <row r="35" spans="1:25" ht="14.25" customHeight="1" x14ac:dyDescent="0.3">
      <c r="A35" s="178">
        <v>45918</v>
      </c>
      <c r="B35" s="179">
        <v>45918</v>
      </c>
      <c r="C35" s="46" t="s">
        <v>27</v>
      </c>
      <c r="D35" s="46" t="s">
        <v>28</v>
      </c>
      <c r="E35" s="46" t="s">
        <v>71</v>
      </c>
      <c r="F35" s="46" t="s">
        <v>72</v>
      </c>
      <c r="G35" s="46" t="s">
        <v>31</v>
      </c>
      <c r="H35" s="46" t="s">
        <v>51</v>
      </c>
      <c r="I35" s="46" t="s">
        <v>52</v>
      </c>
      <c r="J35" s="46" t="s">
        <v>491</v>
      </c>
      <c r="K35" s="180">
        <v>2</v>
      </c>
      <c r="L35" s="180">
        <v>1</v>
      </c>
      <c r="M35" s="181">
        <v>0.5</v>
      </c>
      <c r="N35" s="182" t="s">
        <v>237</v>
      </c>
      <c r="O35" s="183">
        <v>4.42</v>
      </c>
      <c r="P35" s="183">
        <v>24.94</v>
      </c>
      <c r="Q35" s="190">
        <v>17.72</v>
      </c>
      <c r="R35" s="191">
        <v>5.64</v>
      </c>
      <c r="S35" s="192">
        <v>1</v>
      </c>
      <c r="T35" s="192">
        <v>1</v>
      </c>
      <c r="U35" s="193">
        <v>1</v>
      </c>
      <c r="V35" s="192">
        <v>1</v>
      </c>
      <c r="W35" s="192">
        <v>0</v>
      </c>
      <c r="X35" s="194" t="s">
        <v>35</v>
      </c>
      <c r="Y35" s="195" t="s">
        <v>36</v>
      </c>
    </row>
    <row r="36" spans="1:25" ht="14.25" customHeight="1" x14ac:dyDescent="0.3">
      <c r="A36" s="178">
        <v>45919</v>
      </c>
      <c r="B36" s="179">
        <v>45919</v>
      </c>
      <c r="C36" s="46" t="s">
        <v>27</v>
      </c>
      <c r="D36" s="46" t="s">
        <v>28</v>
      </c>
      <c r="E36" s="46" t="s">
        <v>71</v>
      </c>
      <c r="F36" s="46" t="s">
        <v>72</v>
      </c>
      <c r="G36" s="46" t="s">
        <v>31</v>
      </c>
      <c r="H36" s="46" t="s">
        <v>73</v>
      </c>
      <c r="I36" s="46" t="s">
        <v>52</v>
      </c>
      <c r="J36" s="46" t="s">
        <v>480</v>
      </c>
      <c r="K36" s="180">
        <v>4</v>
      </c>
      <c r="L36" s="180">
        <v>1</v>
      </c>
      <c r="M36" s="181">
        <v>0.25</v>
      </c>
      <c r="N36" s="182" t="s">
        <v>422</v>
      </c>
      <c r="O36" s="183">
        <v>5.68</v>
      </c>
      <c r="P36" s="183">
        <v>24.94</v>
      </c>
      <c r="Q36" s="184">
        <v>22.77</v>
      </c>
      <c r="R36" s="185">
        <v>4.3899999999999997</v>
      </c>
      <c r="S36" s="186">
        <v>1</v>
      </c>
      <c r="T36" s="186">
        <v>1</v>
      </c>
      <c r="U36" s="187">
        <v>1</v>
      </c>
      <c r="V36" s="186">
        <v>1</v>
      </c>
      <c r="W36" s="186">
        <v>0</v>
      </c>
      <c r="X36" s="188" t="s">
        <v>35</v>
      </c>
      <c r="Y36" s="189" t="s">
        <v>36</v>
      </c>
    </row>
    <row r="37" spans="1:25" ht="14.25" customHeight="1" x14ac:dyDescent="0.3">
      <c r="A37" s="178">
        <v>45919</v>
      </c>
      <c r="B37" s="179">
        <v>45919</v>
      </c>
      <c r="C37" s="46" t="s">
        <v>27</v>
      </c>
      <c r="D37" s="46" t="s">
        <v>28</v>
      </c>
      <c r="E37" s="46" t="s">
        <v>71</v>
      </c>
      <c r="F37" s="46" t="s">
        <v>72</v>
      </c>
      <c r="G37" s="46" t="s">
        <v>31</v>
      </c>
      <c r="H37" s="46" t="s">
        <v>73</v>
      </c>
      <c r="I37" s="46" t="s">
        <v>52</v>
      </c>
      <c r="J37" s="46" t="s">
        <v>408</v>
      </c>
      <c r="K37" s="180">
        <v>47</v>
      </c>
      <c r="L37" s="180">
        <v>2</v>
      </c>
      <c r="M37" s="181">
        <v>4.2553000000000001E-2</v>
      </c>
      <c r="N37" s="182" t="s">
        <v>481</v>
      </c>
      <c r="O37" s="183">
        <v>6.89</v>
      </c>
      <c r="P37" s="183">
        <v>24.94</v>
      </c>
      <c r="Q37" s="190">
        <v>27.63</v>
      </c>
      <c r="R37" s="191">
        <v>3.62</v>
      </c>
      <c r="S37" s="192">
        <v>1</v>
      </c>
      <c r="T37" s="192">
        <v>1</v>
      </c>
      <c r="U37" s="193">
        <v>0.5</v>
      </c>
      <c r="V37" s="192">
        <v>1</v>
      </c>
      <c r="W37" s="192">
        <v>0</v>
      </c>
      <c r="X37" s="194" t="s">
        <v>35</v>
      </c>
      <c r="Y37" s="195" t="s">
        <v>36</v>
      </c>
    </row>
    <row r="38" spans="1:25" ht="14.25" customHeight="1" x14ac:dyDescent="0.3">
      <c r="A38" s="178">
        <v>45919</v>
      </c>
      <c r="B38" s="179">
        <v>45919</v>
      </c>
      <c r="C38" s="46" t="s">
        <v>48</v>
      </c>
      <c r="D38" s="46" t="s">
        <v>28</v>
      </c>
      <c r="E38" s="46" t="s">
        <v>49</v>
      </c>
      <c r="F38" s="46" t="s">
        <v>50</v>
      </c>
      <c r="G38" s="46" t="s">
        <v>31</v>
      </c>
      <c r="H38" s="46" t="s">
        <v>51</v>
      </c>
      <c r="I38" s="46" t="s">
        <v>52</v>
      </c>
      <c r="J38" s="46" t="s">
        <v>483</v>
      </c>
      <c r="K38" s="180">
        <v>1</v>
      </c>
      <c r="L38" s="180">
        <v>1</v>
      </c>
      <c r="M38" s="181">
        <v>1</v>
      </c>
      <c r="N38" s="182" t="s">
        <v>484</v>
      </c>
      <c r="O38" s="183">
        <v>2.4500000000000002</v>
      </c>
      <c r="P38" s="183">
        <v>21.9</v>
      </c>
      <c r="Q38" s="184">
        <v>11.19</v>
      </c>
      <c r="R38" s="185">
        <v>8.94</v>
      </c>
      <c r="S38" s="186">
        <v>1</v>
      </c>
      <c r="T38" s="186">
        <v>1</v>
      </c>
      <c r="U38" s="187">
        <v>1</v>
      </c>
      <c r="V38" s="186">
        <v>1</v>
      </c>
      <c r="W38" s="186">
        <v>0</v>
      </c>
      <c r="X38" s="188" t="s">
        <v>55</v>
      </c>
      <c r="Y38" s="189" t="s">
        <v>36</v>
      </c>
    </row>
    <row r="39" spans="1:25" ht="14.25" customHeight="1" x14ac:dyDescent="0.3">
      <c r="A39" s="178">
        <v>45919</v>
      </c>
      <c r="B39" s="179">
        <v>45919</v>
      </c>
      <c r="C39" s="46" t="s">
        <v>27</v>
      </c>
      <c r="D39" s="46" t="s">
        <v>28</v>
      </c>
      <c r="E39" s="46" t="s">
        <v>29</v>
      </c>
      <c r="F39" s="46" t="s">
        <v>30</v>
      </c>
      <c r="G39" s="46" t="s">
        <v>31</v>
      </c>
      <c r="H39" s="46" t="s">
        <v>30</v>
      </c>
      <c r="I39" s="46" t="s">
        <v>32</v>
      </c>
      <c r="J39" s="46" t="s">
        <v>485</v>
      </c>
      <c r="K39" s="180">
        <v>1</v>
      </c>
      <c r="L39" s="180">
        <v>1</v>
      </c>
      <c r="M39" s="181">
        <v>1</v>
      </c>
      <c r="N39" s="182" t="s">
        <v>309</v>
      </c>
      <c r="O39" s="183">
        <v>3.7</v>
      </c>
      <c r="P39" s="183">
        <v>24.94</v>
      </c>
      <c r="Q39" s="190">
        <v>14.84</v>
      </c>
      <c r="R39" s="191">
        <v>6.74</v>
      </c>
      <c r="S39" s="192">
        <v>1</v>
      </c>
      <c r="T39" s="192">
        <v>1</v>
      </c>
      <c r="U39" s="193">
        <v>1</v>
      </c>
      <c r="V39" s="192">
        <v>1</v>
      </c>
      <c r="W39" s="192">
        <v>0</v>
      </c>
      <c r="X39" s="194" t="s">
        <v>35</v>
      </c>
      <c r="Y39" s="195" t="s">
        <v>36</v>
      </c>
    </row>
    <row r="40" spans="1:25" ht="14.25" customHeight="1" x14ac:dyDescent="0.3">
      <c r="A40" s="178">
        <v>45919</v>
      </c>
      <c r="B40" s="179">
        <v>45919</v>
      </c>
      <c r="C40" s="46" t="s">
        <v>48</v>
      </c>
      <c r="D40" s="46" t="s">
        <v>28</v>
      </c>
      <c r="E40" s="46" t="s">
        <v>49</v>
      </c>
      <c r="F40" s="46" t="s">
        <v>50</v>
      </c>
      <c r="G40" s="46" t="s">
        <v>31</v>
      </c>
      <c r="H40" s="46" t="s">
        <v>51</v>
      </c>
      <c r="I40" s="46" t="s">
        <v>52</v>
      </c>
      <c r="J40" s="46" t="s">
        <v>486</v>
      </c>
      <c r="K40" s="180">
        <v>1</v>
      </c>
      <c r="L40" s="180">
        <v>1</v>
      </c>
      <c r="M40" s="181">
        <v>1</v>
      </c>
      <c r="N40" s="182" t="s">
        <v>131</v>
      </c>
      <c r="O40" s="183">
        <v>3</v>
      </c>
      <c r="P40" s="183">
        <v>21.9</v>
      </c>
      <c r="Q40" s="184">
        <v>13.7</v>
      </c>
      <c r="R40" s="185">
        <v>7.3</v>
      </c>
      <c r="S40" s="186">
        <v>1</v>
      </c>
      <c r="T40" s="186">
        <v>1</v>
      </c>
      <c r="U40" s="187">
        <v>1</v>
      </c>
      <c r="V40" s="186">
        <v>1</v>
      </c>
      <c r="W40" s="186">
        <v>0</v>
      </c>
      <c r="X40" s="188" t="s">
        <v>55</v>
      </c>
      <c r="Y40" s="189" t="s">
        <v>36</v>
      </c>
    </row>
    <row r="41" spans="1:25" ht="14.25" customHeight="1" x14ac:dyDescent="0.3">
      <c r="A41" s="178">
        <v>45920</v>
      </c>
      <c r="B41" s="179">
        <v>45920</v>
      </c>
      <c r="C41" s="46" t="s">
        <v>27</v>
      </c>
      <c r="D41" s="46" t="s">
        <v>28</v>
      </c>
      <c r="E41" s="46" t="s">
        <v>71</v>
      </c>
      <c r="F41" s="46" t="s">
        <v>72</v>
      </c>
      <c r="G41" s="46" t="s">
        <v>31</v>
      </c>
      <c r="H41" s="46" t="s">
        <v>73</v>
      </c>
      <c r="I41" s="46" t="s">
        <v>52</v>
      </c>
      <c r="J41" s="46" t="s">
        <v>74</v>
      </c>
      <c r="K41" s="180">
        <v>7</v>
      </c>
      <c r="L41" s="180">
        <v>2</v>
      </c>
      <c r="M41" s="181">
        <v>0.28571400000000002</v>
      </c>
      <c r="N41" s="182" t="s">
        <v>474</v>
      </c>
      <c r="O41" s="183">
        <v>7.97</v>
      </c>
      <c r="P41" s="183">
        <v>24.94</v>
      </c>
      <c r="Q41" s="190">
        <v>31.96</v>
      </c>
      <c r="R41" s="191">
        <v>3.13</v>
      </c>
      <c r="S41" s="192">
        <v>1</v>
      </c>
      <c r="T41" s="192">
        <v>1</v>
      </c>
      <c r="U41" s="193">
        <v>0.5</v>
      </c>
      <c r="V41" s="192">
        <v>1</v>
      </c>
      <c r="W41" s="192">
        <v>0</v>
      </c>
      <c r="X41" s="194" t="s">
        <v>35</v>
      </c>
      <c r="Y41" s="195" t="s">
        <v>36</v>
      </c>
    </row>
    <row r="42" spans="1:25" ht="14.25" customHeight="1" x14ac:dyDescent="0.3">
      <c r="A42" s="178">
        <v>45920</v>
      </c>
      <c r="B42" s="179">
        <v>45920</v>
      </c>
      <c r="C42" s="46" t="s">
        <v>27</v>
      </c>
      <c r="D42" s="46" t="s">
        <v>28</v>
      </c>
      <c r="E42" s="46" t="s">
        <v>56</v>
      </c>
      <c r="F42" s="46" t="s">
        <v>57</v>
      </c>
      <c r="G42" s="46" t="s">
        <v>31</v>
      </c>
      <c r="H42" s="196" t="e">
        <f>+maca +root</f>
        <v>#NAME?</v>
      </c>
      <c r="I42" s="46" t="s">
        <v>32</v>
      </c>
      <c r="J42" s="46" t="s">
        <v>476</v>
      </c>
      <c r="K42" s="180">
        <v>1</v>
      </c>
      <c r="L42" s="180">
        <v>1</v>
      </c>
      <c r="M42" s="181">
        <v>1</v>
      </c>
      <c r="N42" s="182" t="s">
        <v>210</v>
      </c>
      <c r="O42" s="183">
        <v>3.15</v>
      </c>
      <c r="P42" s="183">
        <v>24.94</v>
      </c>
      <c r="Q42" s="184">
        <v>12.63</v>
      </c>
      <c r="R42" s="185">
        <v>7.92</v>
      </c>
      <c r="S42" s="186">
        <v>1</v>
      </c>
      <c r="T42" s="186">
        <v>1</v>
      </c>
      <c r="U42" s="187">
        <v>1</v>
      </c>
      <c r="V42" s="186">
        <v>1</v>
      </c>
      <c r="W42" s="186">
        <v>0</v>
      </c>
      <c r="X42" s="188" t="s">
        <v>35</v>
      </c>
      <c r="Y42" s="189" t="s">
        <v>36</v>
      </c>
    </row>
    <row r="43" spans="1:25" ht="14.25" customHeight="1" x14ac:dyDescent="0.3">
      <c r="A43" s="178">
        <v>45920</v>
      </c>
      <c r="B43" s="179">
        <v>45920</v>
      </c>
      <c r="C43" s="46" t="s">
        <v>27</v>
      </c>
      <c r="D43" s="46" t="s">
        <v>28</v>
      </c>
      <c r="E43" s="46" t="s">
        <v>71</v>
      </c>
      <c r="F43" s="46" t="s">
        <v>72</v>
      </c>
      <c r="G43" s="46" t="s">
        <v>31</v>
      </c>
      <c r="H43" s="46" t="s">
        <v>51</v>
      </c>
      <c r="I43" s="46" t="s">
        <v>52</v>
      </c>
      <c r="J43" s="46" t="s">
        <v>477</v>
      </c>
      <c r="K43" s="180">
        <v>1</v>
      </c>
      <c r="L43" s="180">
        <v>1</v>
      </c>
      <c r="M43" s="181">
        <v>1</v>
      </c>
      <c r="N43" s="182" t="s">
        <v>371</v>
      </c>
      <c r="O43" s="183">
        <v>3.16</v>
      </c>
      <c r="P43" s="183">
        <v>24.94</v>
      </c>
      <c r="Q43" s="190">
        <v>12.67</v>
      </c>
      <c r="R43" s="191">
        <v>7.89</v>
      </c>
      <c r="S43" s="192">
        <v>1</v>
      </c>
      <c r="T43" s="192">
        <v>1</v>
      </c>
      <c r="U43" s="193">
        <v>1</v>
      </c>
      <c r="V43" s="192">
        <v>1</v>
      </c>
      <c r="W43" s="192">
        <v>0</v>
      </c>
      <c r="X43" s="194" t="s">
        <v>35</v>
      </c>
      <c r="Y43" s="195" t="s">
        <v>36</v>
      </c>
    </row>
    <row r="44" spans="1:25" ht="14.25" customHeight="1" x14ac:dyDescent="0.3">
      <c r="A44" s="178">
        <v>45920</v>
      </c>
      <c r="B44" s="179">
        <v>45920</v>
      </c>
      <c r="C44" s="46" t="s">
        <v>48</v>
      </c>
      <c r="D44" s="46" t="s">
        <v>28</v>
      </c>
      <c r="E44" s="46" t="s">
        <v>233</v>
      </c>
      <c r="F44" s="46" t="s">
        <v>234</v>
      </c>
      <c r="G44" s="46" t="s">
        <v>31</v>
      </c>
      <c r="H44" s="46" t="s">
        <v>223</v>
      </c>
      <c r="I44" s="46" t="s">
        <v>32</v>
      </c>
      <c r="J44" s="46" t="s">
        <v>478</v>
      </c>
      <c r="K44" s="180">
        <v>1</v>
      </c>
      <c r="L44" s="180">
        <v>1</v>
      </c>
      <c r="M44" s="181">
        <v>1</v>
      </c>
      <c r="N44" s="182" t="s">
        <v>479</v>
      </c>
      <c r="O44" s="183">
        <v>2.93</v>
      </c>
      <c r="P44" s="183">
        <v>21.9</v>
      </c>
      <c r="Q44" s="184">
        <v>13.38</v>
      </c>
      <c r="R44" s="185">
        <v>7.47</v>
      </c>
      <c r="S44" s="186">
        <v>1</v>
      </c>
      <c r="T44" s="186">
        <v>1</v>
      </c>
      <c r="U44" s="187">
        <v>1</v>
      </c>
      <c r="V44" s="186">
        <v>1</v>
      </c>
      <c r="W44" s="186">
        <v>0</v>
      </c>
      <c r="X44" s="188" t="s">
        <v>55</v>
      </c>
      <c r="Y44" s="189" t="s">
        <v>36</v>
      </c>
    </row>
    <row r="45" spans="1:25" ht="14.25" customHeight="1" x14ac:dyDescent="0.25"/>
    <row r="46" spans="1:25" ht="14.25" customHeight="1" x14ac:dyDescent="0.25"/>
    <row r="47" spans="1:25" ht="14.25" customHeight="1" x14ac:dyDescent="0.25"/>
    <row r="48" spans="1:2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2" width="9.8984375" customWidth="1"/>
    <col min="3" max="3" width="15.09765625" customWidth="1"/>
    <col min="4" max="4" width="7.5" customWidth="1"/>
    <col min="5" max="5" width="43.5" customWidth="1"/>
    <col min="6" max="6" width="17.5" customWidth="1"/>
    <col min="7" max="7" width="10.3984375" customWidth="1"/>
    <col min="8" max="8" width="26" customWidth="1"/>
    <col min="9" max="9" width="9.59765625" customWidth="1"/>
    <col min="10" max="10" width="30.19921875" customWidth="1"/>
    <col min="11" max="11" width="9.59765625" customWidth="1"/>
    <col min="12" max="12" width="5" customWidth="1"/>
    <col min="13" max="13" width="16.5" customWidth="1"/>
    <col min="14" max="14" width="15.3984375" customWidth="1"/>
    <col min="15" max="15" width="6.59765625" customWidth="1"/>
    <col min="16" max="16" width="13.59765625" customWidth="1"/>
    <col min="17" max="17" width="29.5" customWidth="1"/>
    <col min="18" max="18" width="32.09765625" customWidth="1"/>
    <col min="19" max="19" width="16.8984375" customWidth="1"/>
    <col min="20" max="20" width="15.8984375" customWidth="1"/>
    <col min="21" max="21" width="17.5" customWidth="1"/>
    <col min="22" max="22" width="23.59765625" customWidth="1"/>
    <col min="23" max="23" width="19.8984375" customWidth="1"/>
    <col min="24" max="24" width="21.3984375" customWidth="1"/>
    <col min="25" max="25" width="17.59765625" customWidth="1"/>
    <col min="26" max="26" width="7.59765625" customWidth="1"/>
  </cols>
  <sheetData>
    <row r="1" spans="1:25" ht="14.25" customHeight="1" x14ac:dyDescent="0.3">
      <c r="A1" s="197" t="s">
        <v>0</v>
      </c>
      <c r="B1" s="198" t="s">
        <v>1</v>
      </c>
      <c r="C1" s="198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8" t="s">
        <v>8</v>
      </c>
      <c r="J1" s="198" t="s">
        <v>9</v>
      </c>
      <c r="K1" s="198" t="s">
        <v>10</v>
      </c>
      <c r="L1" s="198" t="s">
        <v>11</v>
      </c>
      <c r="M1" s="198" t="s">
        <v>12</v>
      </c>
      <c r="N1" s="198" t="s">
        <v>13</v>
      </c>
      <c r="O1" s="198" t="s">
        <v>14</v>
      </c>
      <c r="P1" s="199" t="s">
        <v>910</v>
      </c>
      <c r="Q1" s="199" t="s">
        <v>911</v>
      </c>
      <c r="R1" s="198" t="s">
        <v>17</v>
      </c>
      <c r="S1" s="198" t="s">
        <v>18</v>
      </c>
      <c r="T1" s="198" t="s">
        <v>19</v>
      </c>
      <c r="U1" s="198" t="s">
        <v>20</v>
      </c>
      <c r="V1" s="198" t="s">
        <v>21</v>
      </c>
      <c r="W1" s="198" t="s">
        <v>22</v>
      </c>
      <c r="X1" s="198" t="s">
        <v>912</v>
      </c>
      <c r="Y1" s="200" t="s">
        <v>913</v>
      </c>
    </row>
    <row r="2" spans="1:25" ht="14.25" customHeight="1" x14ac:dyDescent="0.3">
      <c r="A2" s="201">
        <v>45908</v>
      </c>
      <c r="B2" s="202">
        <v>45913</v>
      </c>
      <c r="C2" s="203" t="s">
        <v>48</v>
      </c>
      <c r="D2" s="203" t="s">
        <v>28</v>
      </c>
      <c r="E2" s="203" t="s">
        <v>225</v>
      </c>
      <c r="F2" s="203" t="s">
        <v>226</v>
      </c>
      <c r="G2" s="203" t="s">
        <v>31</v>
      </c>
      <c r="H2" s="203" t="s">
        <v>88</v>
      </c>
      <c r="I2" s="203" t="s">
        <v>32</v>
      </c>
      <c r="J2" s="203" t="s">
        <v>130</v>
      </c>
      <c r="K2" s="204">
        <v>12</v>
      </c>
      <c r="L2" s="204">
        <v>3</v>
      </c>
      <c r="M2" s="205">
        <v>0.25</v>
      </c>
      <c r="N2" s="206">
        <v>4.623333333333334</v>
      </c>
      <c r="O2" s="207">
        <v>13.87</v>
      </c>
      <c r="P2" s="208">
        <v>65.699999999999989</v>
      </c>
      <c r="Q2" s="209">
        <v>21.11</v>
      </c>
      <c r="R2" s="210">
        <v>4.7368421052631566</v>
      </c>
      <c r="S2" s="211">
        <v>2</v>
      </c>
      <c r="T2" s="211">
        <v>3</v>
      </c>
      <c r="U2" s="212">
        <v>0.66666666666666663</v>
      </c>
      <c r="V2" s="211">
        <v>3</v>
      </c>
      <c r="W2" s="211">
        <v>0</v>
      </c>
      <c r="X2" s="213">
        <v>65.699999999999989</v>
      </c>
      <c r="Y2" s="214">
        <v>0</v>
      </c>
    </row>
    <row r="3" spans="1:25" ht="14.25" customHeight="1" x14ac:dyDescent="0.3">
      <c r="A3" s="201">
        <v>45908</v>
      </c>
      <c r="B3" s="202">
        <v>45913</v>
      </c>
      <c r="C3" s="203" t="s">
        <v>27</v>
      </c>
      <c r="D3" s="203" t="s">
        <v>28</v>
      </c>
      <c r="E3" s="203" t="s">
        <v>71</v>
      </c>
      <c r="F3" s="203" t="s">
        <v>72</v>
      </c>
      <c r="G3" s="203" t="s">
        <v>31</v>
      </c>
      <c r="H3" s="203" t="s">
        <v>73</v>
      </c>
      <c r="I3" s="203" t="s">
        <v>52</v>
      </c>
      <c r="J3" s="203" t="s">
        <v>162</v>
      </c>
      <c r="K3" s="204">
        <v>182</v>
      </c>
      <c r="L3" s="204">
        <v>7</v>
      </c>
      <c r="M3" s="205">
        <v>3.8461538461538464E-2</v>
      </c>
      <c r="N3" s="206">
        <v>4.1342857142857143</v>
      </c>
      <c r="O3" s="207">
        <v>28.94</v>
      </c>
      <c r="P3" s="208">
        <v>74.820000000000007</v>
      </c>
      <c r="Q3" s="215">
        <v>38.68</v>
      </c>
      <c r="R3" s="216">
        <v>2.585348997926745</v>
      </c>
      <c r="S3" s="217">
        <v>3</v>
      </c>
      <c r="T3" s="217">
        <v>3</v>
      </c>
      <c r="U3" s="218">
        <v>0.42857142857142855</v>
      </c>
      <c r="V3" s="217">
        <v>3</v>
      </c>
      <c r="W3" s="217">
        <v>0</v>
      </c>
      <c r="X3" s="219">
        <v>74.820000000000007</v>
      </c>
      <c r="Y3" s="220">
        <v>0</v>
      </c>
    </row>
    <row r="4" spans="1:25" ht="14.25" customHeight="1" x14ac:dyDescent="0.3">
      <c r="A4" s="201">
        <v>45907</v>
      </c>
      <c r="B4" s="202">
        <v>45913</v>
      </c>
      <c r="C4" s="203" t="s">
        <v>27</v>
      </c>
      <c r="D4" s="203" t="s">
        <v>28</v>
      </c>
      <c r="E4" s="203" t="s">
        <v>56</v>
      </c>
      <c r="F4" s="203" t="s">
        <v>57</v>
      </c>
      <c r="G4" s="203" t="s">
        <v>31</v>
      </c>
      <c r="H4" s="203" t="s">
        <v>914</v>
      </c>
      <c r="I4" s="203" t="s">
        <v>32</v>
      </c>
      <c r="J4" s="203" t="s">
        <v>119</v>
      </c>
      <c r="K4" s="204">
        <v>5173</v>
      </c>
      <c r="L4" s="204">
        <v>66</v>
      </c>
      <c r="M4" s="205">
        <v>1.2758554030543205E-2</v>
      </c>
      <c r="N4" s="206">
        <v>2.9418181818181823</v>
      </c>
      <c r="O4" s="207">
        <v>194.16</v>
      </c>
      <c r="P4" s="208">
        <v>374.1</v>
      </c>
      <c r="Q4" s="209">
        <v>51.9</v>
      </c>
      <c r="R4" s="210">
        <v>1.9267614338689738</v>
      </c>
      <c r="S4" s="211">
        <v>15</v>
      </c>
      <c r="T4" s="211">
        <v>15</v>
      </c>
      <c r="U4" s="212">
        <v>0.22727272727272727</v>
      </c>
      <c r="V4" s="211">
        <v>15</v>
      </c>
      <c r="W4" s="211">
        <v>0</v>
      </c>
      <c r="X4" s="213">
        <v>374.1</v>
      </c>
      <c r="Y4" s="214">
        <v>0</v>
      </c>
    </row>
    <row r="5" spans="1:25" ht="14.25" customHeight="1" x14ac:dyDescent="0.3">
      <c r="A5" s="201">
        <v>45908</v>
      </c>
      <c r="B5" s="202">
        <v>45910</v>
      </c>
      <c r="C5" s="203" t="s">
        <v>27</v>
      </c>
      <c r="D5" s="203" t="s">
        <v>28</v>
      </c>
      <c r="E5" s="203" t="s">
        <v>71</v>
      </c>
      <c r="F5" s="203" t="s">
        <v>72</v>
      </c>
      <c r="G5" s="203" t="s">
        <v>31</v>
      </c>
      <c r="H5" s="203" t="s">
        <v>73</v>
      </c>
      <c r="I5" s="203" t="s">
        <v>52</v>
      </c>
      <c r="J5" s="203" t="s">
        <v>421</v>
      </c>
      <c r="K5" s="204">
        <v>5</v>
      </c>
      <c r="L5" s="204">
        <v>2</v>
      </c>
      <c r="M5" s="205">
        <v>0.4</v>
      </c>
      <c r="N5" s="206">
        <v>3.19</v>
      </c>
      <c r="O5" s="207">
        <v>6.38</v>
      </c>
      <c r="P5" s="208">
        <v>49.88</v>
      </c>
      <c r="Q5" s="215">
        <v>12.79</v>
      </c>
      <c r="R5" s="216">
        <v>7.8181818181818183</v>
      </c>
      <c r="S5" s="217">
        <v>2</v>
      </c>
      <c r="T5" s="217">
        <v>2</v>
      </c>
      <c r="U5" s="218">
        <v>1</v>
      </c>
      <c r="V5" s="217">
        <v>2</v>
      </c>
      <c r="W5" s="217">
        <v>0</v>
      </c>
      <c r="X5" s="219">
        <v>49.88</v>
      </c>
      <c r="Y5" s="220">
        <v>0</v>
      </c>
    </row>
    <row r="6" spans="1:25" ht="14.25" customHeight="1" x14ac:dyDescent="0.3">
      <c r="A6" s="201">
        <v>45907</v>
      </c>
      <c r="B6" s="202">
        <v>45912</v>
      </c>
      <c r="C6" s="203" t="s">
        <v>27</v>
      </c>
      <c r="D6" s="203" t="s">
        <v>28</v>
      </c>
      <c r="E6" s="203" t="s">
        <v>71</v>
      </c>
      <c r="F6" s="203" t="s">
        <v>72</v>
      </c>
      <c r="G6" s="203" t="s">
        <v>31</v>
      </c>
      <c r="H6" s="203" t="s">
        <v>73</v>
      </c>
      <c r="I6" s="203" t="s">
        <v>52</v>
      </c>
      <c r="J6" s="203" t="s">
        <v>43</v>
      </c>
      <c r="K6" s="204">
        <v>151</v>
      </c>
      <c r="L6" s="204">
        <v>7</v>
      </c>
      <c r="M6" s="205">
        <v>4.6357615894039729E-2</v>
      </c>
      <c r="N6" s="206">
        <v>3.5357142857142856</v>
      </c>
      <c r="O6" s="207">
        <v>24.75</v>
      </c>
      <c r="P6" s="208">
        <v>124.7</v>
      </c>
      <c r="Q6" s="209">
        <v>19.850000000000001</v>
      </c>
      <c r="R6" s="210">
        <v>5.0383838383838384</v>
      </c>
      <c r="S6" s="211">
        <v>5</v>
      </c>
      <c r="T6" s="211">
        <v>5</v>
      </c>
      <c r="U6" s="212">
        <v>0.7142857142857143</v>
      </c>
      <c r="V6" s="211">
        <v>5</v>
      </c>
      <c r="W6" s="211">
        <v>0</v>
      </c>
      <c r="X6" s="213">
        <v>124.7</v>
      </c>
      <c r="Y6" s="214">
        <v>0</v>
      </c>
    </row>
    <row r="7" spans="1:25" ht="14.25" customHeight="1" x14ac:dyDescent="0.3">
      <c r="A7" s="201">
        <v>45907</v>
      </c>
      <c r="B7" s="202">
        <v>45911</v>
      </c>
      <c r="C7" s="203" t="s">
        <v>40</v>
      </c>
      <c r="D7" s="203" t="s">
        <v>28</v>
      </c>
      <c r="E7" s="203" t="s">
        <v>41</v>
      </c>
      <c r="F7" s="203" t="s">
        <v>42</v>
      </c>
      <c r="G7" s="203" t="s">
        <v>31</v>
      </c>
      <c r="H7" s="203" t="s">
        <v>43</v>
      </c>
      <c r="I7" s="203" t="s">
        <v>44</v>
      </c>
      <c r="J7" s="203" t="s">
        <v>43</v>
      </c>
      <c r="K7" s="204">
        <v>90</v>
      </c>
      <c r="L7" s="204">
        <v>9</v>
      </c>
      <c r="M7" s="205">
        <v>0.1</v>
      </c>
      <c r="N7" s="206">
        <v>3.3066666666666666</v>
      </c>
      <c r="O7" s="207">
        <v>29.76</v>
      </c>
      <c r="P7" s="208">
        <v>49.88</v>
      </c>
      <c r="Q7" s="215">
        <v>59.66</v>
      </c>
      <c r="R7" s="216">
        <v>1.6760752688172045</v>
      </c>
      <c r="S7" s="217">
        <v>2</v>
      </c>
      <c r="T7" s="217">
        <v>2</v>
      </c>
      <c r="U7" s="218">
        <v>0.22222222222222221</v>
      </c>
      <c r="V7" s="217">
        <v>2</v>
      </c>
      <c r="W7" s="217">
        <v>0</v>
      </c>
      <c r="X7" s="219">
        <v>49.88</v>
      </c>
      <c r="Y7" s="220">
        <v>0</v>
      </c>
    </row>
    <row r="8" spans="1:25" ht="14.25" customHeight="1" x14ac:dyDescent="0.3">
      <c r="A8" s="201">
        <v>45910</v>
      </c>
      <c r="B8" s="202">
        <v>45913</v>
      </c>
      <c r="C8" s="203" t="s">
        <v>85</v>
      </c>
      <c r="D8" s="203" t="s">
        <v>28</v>
      </c>
      <c r="E8" s="203" t="s">
        <v>86</v>
      </c>
      <c r="F8" s="203" t="s">
        <v>87</v>
      </c>
      <c r="G8" s="203" t="s">
        <v>31</v>
      </c>
      <c r="H8" s="203" t="s">
        <v>88</v>
      </c>
      <c r="I8" s="203" t="s">
        <v>44</v>
      </c>
      <c r="J8" s="203" t="s">
        <v>88</v>
      </c>
      <c r="K8" s="204">
        <v>2</v>
      </c>
      <c r="L8" s="204">
        <v>2</v>
      </c>
      <c r="M8" s="205">
        <v>1</v>
      </c>
      <c r="N8" s="206">
        <v>3.79</v>
      </c>
      <c r="O8" s="207">
        <v>7.58</v>
      </c>
      <c r="P8" s="208">
        <v>43.8</v>
      </c>
      <c r="Q8" s="209">
        <v>17.309999999999999</v>
      </c>
      <c r="R8" s="210">
        <v>5.7783641160949868</v>
      </c>
      <c r="S8" s="211">
        <v>2</v>
      </c>
      <c r="T8" s="211">
        <v>2</v>
      </c>
      <c r="U8" s="212">
        <v>1</v>
      </c>
      <c r="V8" s="211">
        <v>2</v>
      </c>
      <c r="W8" s="211">
        <v>0</v>
      </c>
      <c r="X8" s="213">
        <v>43.8</v>
      </c>
      <c r="Y8" s="214">
        <v>0</v>
      </c>
    </row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1000"/>
  <sheetViews>
    <sheetView workbookViewId="0"/>
  </sheetViews>
  <sheetFormatPr defaultColWidth="12.59765625" defaultRowHeight="15" customHeight="1" x14ac:dyDescent="0.25"/>
  <cols>
    <col min="1" max="1" width="10.09765625" customWidth="1"/>
    <col min="2" max="2" width="9.8984375" customWidth="1"/>
    <col min="3" max="3" width="15.09765625" customWidth="1"/>
    <col min="4" max="4" width="9.3984375" customWidth="1"/>
    <col min="5" max="5" width="43.5" customWidth="1"/>
    <col min="6" max="6" width="17.5" customWidth="1"/>
    <col min="7" max="7" width="10.3984375" customWidth="1"/>
    <col min="8" max="8" width="28.19921875" customWidth="1"/>
    <col min="9" max="9" width="11.59765625" customWidth="1"/>
    <col min="10" max="10" width="54.8984375" customWidth="1"/>
    <col min="11" max="11" width="11.59765625" customWidth="1"/>
    <col min="12" max="12" width="6.8984375" customWidth="1"/>
    <col min="13" max="13" width="18.5" customWidth="1"/>
    <col min="14" max="14" width="17.19921875" customWidth="1"/>
    <col min="15" max="15" width="7.5" customWidth="1"/>
    <col min="16" max="16" width="15.5" customWidth="1"/>
    <col min="17" max="17" width="31.3984375" customWidth="1"/>
    <col min="18" max="18" width="34.09765625" customWidth="1"/>
    <col min="19" max="19" width="18.8984375" customWidth="1"/>
    <col min="20" max="20" width="17.69921875" customWidth="1"/>
    <col min="21" max="21" width="19.5" customWidth="1"/>
    <col min="22" max="22" width="25.59765625" customWidth="1"/>
    <col min="23" max="23" width="21.69921875" customWidth="1"/>
    <col min="24" max="24" width="23.3984375" customWidth="1"/>
    <col min="25" max="25" width="19.5" customWidth="1"/>
    <col min="26" max="26" width="7.59765625" customWidth="1"/>
  </cols>
  <sheetData>
    <row r="1" spans="1:25" ht="14.25" customHeight="1" x14ac:dyDescent="0.3">
      <c r="A1" s="197" t="s">
        <v>0</v>
      </c>
      <c r="B1" s="198" t="s">
        <v>1</v>
      </c>
      <c r="C1" s="198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8" t="s">
        <v>8</v>
      </c>
      <c r="J1" s="198" t="s">
        <v>9</v>
      </c>
      <c r="K1" s="198" t="s">
        <v>10</v>
      </c>
      <c r="L1" s="198" t="s">
        <v>11</v>
      </c>
      <c r="M1" s="198" t="s">
        <v>12</v>
      </c>
      <c r="N1" s="198" t="s">
        <v>13</v>
      </c>
      <c r="O1" s="198" t="s">
        <v>14</v>
      </c>
      <c r="P1" s="199" t="s">
        <v>910</v>
      </c>
      <c r="Q1" s="199" t="s">
        <v>911</v>
      </c>
      <c r="R1" s="198" t="s">
        <v>17</v>
      </c>
      <c r="S1" s="198" t="s">
        <v>18</v>
      </c>
      <c r="T1" s="198" t="s">
        <v>19</v>
      </c>
      <c r="U1" s="198" t="s">
        <v>20</v>
      </c>
      <c r="V1" s="198" t="s">
        <v>21</v>
      </c>
      <c r="W1" s="198" t="s">
        <v>22</v>
      </c>
      <c r="X1" s="198" t="s">
        <v>912</v>
      </c>
      <c r="Y1" s="200" t="s">
        <v>913</v>
      </c>
    </row>
    <row r="2" spans="1:25" ht="14.25" hidden="1" customHeight="1" x14ac:dyDescent="0.3">
      <c r="A2" s="201">
        <v>45900</v>
      </c>
      <c r="B2" s="202">
        <v>45900</v>
      </c>
      <c r="C2" s="203" t="s">
        <v>27</v>
      </c>
      <c r="D2" s="203" t="s">
        <v>28</v>
      </c>
      <c r="E2" s="203" t="s">
        <v>71</v>
      </c>
      <c r="F2" s="203" t="s">
        <v>72</v>
      </c>
      <c r="G2" s="203" t="s">
        <v>31</v>
      </c>
      <c r="H2" s="203" t="s">
        <v>73</v>
      </c>
      <c r="I2" s="203" t="s">
        <v>52</v>
      </c>
      <c r="J2" s="203" t="s">
        <v>583</v>
      </c>
      <c r="K2" s="204">
        <v>2</v>
      </c>
      <c r="L2" s="204">
        <v>1</v>
      </c>
      <c r="M2" s="205">
        <v>0.5</v>
      </c>
      <c r="N2" s="206">
        <v>3.33</v>
      </c>
      <c r="O2" s="208">
        <v>3.33</v>
      </c>
      <c r="P2" s="208">
        <v>24.94</v>
      </c>
      <c r="Q2" s="208">
        <v>13.352044907778668</v>
      </c>
      <c r="R2" s="221">
        <v>7.4894894894894897</v>
      </c>
      <c r="S2" s="204">
        <v>1</v>
      </c>
      <c r="T2" s="204">
        <v>1</v>
      </c>
      <c r="U2" s="205">
        <v>1</v>
      </c>
      <c r="V2" s="204">
        <v>1</v>
      </c>
      <c r="W2" s="204">
        <v>0</v>
      </c>
      <c r="X2" s="206">
        <v>24.94</v>
      </c>
      <c r="Y2" s="222">
        <v>0</v>
      </c>
    </row>
    <row r="3" spans="1:25" ht="14.25" hidden="1" customHeight="1" x14ac:dyDescent="0.3">
      <c r="A3" s="201">
        <v>45900</v>
      </c>
      <c r="B3" s="202">
        <v>45900</v>
      </c>
      <c r="C3" s="203" t="s">
        <v>27</v>
      </c>
      <c r="D3" s="203" t="s">
        <v>28</v>
      </c>
      <c r="E3" s="203" t="s">
        <v>71</v>
      </c>
      <c r="F3" s="203" t="s">
        <v>72</v>
      </c>
      <c r="G3" s="203" t="s">
        <v>31</v>
      </c>
      <c r="H3" s="203" t="s">
        <v>51</v>
      </c>
      <c r="I3" s="203" t="s">
        <v>52</v>
      </c>
      <c r="J3" s="203" t="s">
        <v>585</v>
      </c>
      <c r="K3" s="204">
        <v>3</v>
      </c>
      <c r="L3" s="204">
        <v>1</v>
      </c>
      <c r="M3" s="205">
        <v>0.33333333333333331</v>
      </c>
      <c r="N3" s="206">
        <v>1.62</v>
      </c>
      <c r="O3" s="208">
        <v>1.62</v>
      </c>
      <c r="P3" s="208">
        <v>24.94</v>
      </c>
      <c r="Q3" s="208">
        <v>6.4955894145950284</v>
      </c>
      <c r="R3" s="221">
        <v>15.395061728395062</v>
      </c>
      <c r="S3" s="204">
        <v>1</v>
      </c>
      <c r="T3" s="204">
        <v>1</v>
      </c>
      <c r="U3" s="205">
        <v>1</v>
      </c>
      <c r="V3" s="204">
        <v>1</v>
      </c>
      <c r="W3" s="204">
        <v>0</v>
      </c>
      <c r="X3" s="206">
        <v>24.94</v>
      </c>
      <c r="Y3" s="222">
        <v>0</v>
      </c>
    </row>
    <row r="4" spans="1:25" ht="14.25" customHeight="1" x14ac:dyDescent="0.3">
      <c r="A4" s="201">
        <v>45900</v>
      </c>
      <c r="B4" s="202">
        <v>45904</v>
      </c>
      <c r="C4" s="203" t="s">
        <v>143</v>
      </c>
      <c r="D4" s="203" t="s">
        <v>28</v>
      </c>
      <c r="E4" s="203" t="s">
        <v>144</v>
      </c>
      <c r="F4" s="203" t="s">
        <v>32</v>
      </c>
      <c r="G4" s="203" t="s">
        <v>31</v>
      </c>
      <c r="H4" s="203" t="s">
        <v>119</v>
      </c>
      <c r="I4" s="203" t="s">
        <v>32</v>
      </c>
      <c r="J4" s="203" t="s">
        <v>119</v>
      </c>
      <c r="K4" s="204">
        <v>8</v>
      </c>
      <c r="L4" s="204">
        <v>3</v>
      </c>
      <c r="M4" s="205">
        <v>0.375</v>
      </c>
      <c r="N4" s="206">
        <v>0.84666666666666668</v>
      </c>
      <c r="O4" s="208">
        <v>2.54</v>
      </c>
      <c r="P4" s="208">
        <v>24.94</v>
      </c>
      <c r="Q4" s="208">
        <v>10.184442662389735</v>
      </c>
      <c r="R4" s="221">
        <v>9.8188976377952759</v>
      </c>
      <c r="S4" s="204">
        <v>1</v>
      </c>
      <c r="T4" s="204">
        <v>1</v>
      </c>
      <c r="U4" s="205">
        <v>0.33333333333333331</v>
      </c>
      <c r="V4" s="204">
        <v>1</v>
      </c>
      <c r="W4" s="204">
        <v>0</v>
      </c>
      <c r="X4" s="206">
        <v>24.94</v>
      </c>
      <c r="Y4" s="222">
        <v>0</v>
      </c>
    </row>
    <row r="5" spans="1:25" ht="14.25" customHeight="1" x14ac:dyDescent="0.3">
      <c r="A5" s="201">
        <v>45900</v>
      </c>
      <c r="B5" s="202">
        <v>45906</v>
      </c>
      <c r="C5" s="203" t="s">
        <v>27</v>
      </c>
      <c r="D5" s="203" t="s">
        <v>28</v>
      </c>
      <c r="E5" s="203" t="s">
        <v>56</v>
      </c>
      <c r="F5" s="203" t="s">
        <v>57</v>
      </c>
      <c r="G5" s="203" t="s">
        <v>31</v>
      </c>
      <c r="H5" s="203" t="s">
        <v>914</v>
      </c>
      <c r="I5" s="203" t="s">
        <v>32</v>
      </c>
      <c r="J5" s="203" t="s">
        <v>119</v>
      </c>
      <c r="K5" s="204">
        <v>4648</v>
      </c>
      <c r="L5" s="204">
        <v>73</v>
      </c>
      <c r="M5" s="205">
        <v>1.5705679862306369E-2</v>
      </c>
      <c r="N5" s="206">
        <v>2.8342465753424655</v>
      </c>
      <c r="O5" s="208">
        <v>206.9</v>
      </c>
      <c r="P5" s="208">
        <v>336.84</v>
      </c>
      <c r="Q5" s="208">
        <v>61.423821398883739</v>
      </c>
      <c r="R5" s="221">
        <v>1.6280328661188981</v>
      </c>
      <c r="S5" s="204">
        <v>13</v>
      </c>
      <c r="T5" s="204">
        <v>14</v>
      </c>
      <c r="U5" s="205">
        <v>0.17808219178082191</v>
      </c>
      <c r="V5" s="204">
        <v>13</v>
      </c>
      <c r="W5" s="204">
        <v>1</v>
      </c>
      <c r="X5" s="206">
        <v>315</v>
      </c>
      <c r="Y5" s="222">
        <v>21.84</v>
      </c>
    </row>
    <row r="6" spans="1:25" ht="14.25" hidden="1" customHeight="1" x14ac:dyDescent="0.3">
      <c r="A6" s="201">
        <v>45900</v>
      </c>
      <c r="B6" s="202">
        <v>45906</v>
      </c>
      <c r="C6" s="203" t="s">
        <v>27</v>
      </c>
      <c r="D6" s="203" t="s">
        <v>28</v>
      </c>
      <c r="E6" s="203" t="s">
        <v>71</v>
      </c>
      <c r="F6" s="203" t="s">
        <v>72</v>
      </c>
      <c r="G6" s="203" t="s">
        <v>31</v>
      </c>
      <c r="H6" s="203" t="s">
        <v>73</v>
      </c>
      <c r="I6" s="203" t="s">
        <v>52</v>
      </c>
      <c r="J6" s="203" t="s">
        <v>101</v>
      </c>
      <c r="K6" s="204">
        <v>1212</v>
      </c>
      <c r="L6" s="204">
        <v>14</v>
      </c>
      <c r="M6" s="205">
        <v>1.155115511551155E-2</v>
      </c>
      <c r="N6" s="206">
        <v>3.7571428571428571</v>
      </c>
      <c r="O6" s="208">
        <v>52.6</v>
      </c>
      <c r="P6" s="208">
        <v>99.76</v>
      </c>
      <c r="Q6" s="208">
        <v>52.726543704891739</v>
      </c>
      <c r="R6" s="221">
        <v>1.8965779467680608</v>
      </c>
      <c r="S6" s="204">
        <v>4</v>
      </c>
      <c r="T6" s="204">
        <v>4</v>
      </c>
      <c r="U6" s="205">
        <v>0.2857142857142857</v>
      </c>
      <c r="V6" s="204">
        <v>4</v>
      </c>
      <c r="W6" s="204">
        <v>0</v>
      </c>
      <c r="X6" s="206">
        <v>99.76</v>
      </c>
      <c r="Y6" s="222">
        <v>0</v>
      </c>
    </row>
    <row r="7" spans="1:25" ht="14.25" hidden="1" customHeight="1" x14ac:dyDescent="0.3">
      <c r="A7" s="201">
        <v>45900</v>
      </c>
      <c r="B7" s="202">
        <v>45901</v>
      </c>
      <c r="C7" s="203" t="s">
        <v>48</v>
      </c>
      <c r="D7" s="203" t="s">
        <v>28</v>
      </c>
      <c r="E7" s="203" t="s">
        <v>62</v>
      </c>
      <c r="F7" s="203" t="s">
        <v>63</v>
      </c>
      <c r="G7" s="203" t="s">
        <v>31</v>
      </c>
      <c r="H7" s="203" t="s">
        <v>372</v>
      </c>
      <c r="I7" s="203" t="s">
        <v>65</v>
      </c>
      <c r="J7" s="203" t="s">
        <v>372</v>
      </c>
      <c r="K7" s="204">
        <v>4</v>
      </c>
      <c r="L7" s="204">
        <v>2</v>
      </c>
      <c r="M7" s="205">
        <v>0.5</v>
      </c>
      <c r="N7" s="206">
        <v>5.9749999999999996</v>
      </c>
      <c r="O7" s="208">
        <v>11.95</v>
      </c>
      <c r="P7" s="208">
        <v>21.9</v>
      </c>
      <c r="Q7" s="208">
        <v>54.566210045662103</v>
      </c>
      <c r="R7" s="221">
        <v>1.8326359832635983</v>
      </c>
      <c r="S7" s="204">
        <v>1</v>
      </c>
      <c r="T7" s="204">
        <v>1</v>
      </c>
      <c r="U7" s="205">
        <v>0.5</v>
      </c>
      <c r="V7" s="204">
        <v>1</v>
      </c>
      <c r="W7" s="204">
        <v>0</v>
      </c>
      <c r="X7" s="206">
        <v>21.9</v>
      </c>
      <c r="Y7" s="222">
        <v>0</v>
      </c>
    </row>
    <row r="8" spans="1:25" ht="14.25" hidden="1" customHeight="1" x14ac:dyDescent="0.3">
      <c r="A8" s="201">
        <v>45900</v>
      </c>
      <c r="B8" s="202">
        <v>45900</v>
      </c>
      <c r="C8" s="203" t="s">
        <v>27</v>
      </c>
      <c r="D8" s="203" t="s">
        <v>28</v>
      </c>
      <c r="E8" s="203" t="s">
        <v>29</v>
      </c>
      <c r="F8" s="203" t="s">
        <v>30</v>
      </c>
      <c r="G8" s="203" t="s">
        <v>31</v>
      </c>
      <c r="H8" s="203" t="s">
        <v>592</v>
      </c>
      <c r="I8" s="203" t="s">
        <v>32</v>
      </c>
      <c r="J8" s="203" t="s">
        <v>593</v>
      </c>
      <c r="K8" s="204">
        <v>2</v>
      </c>
      <c r="L8" s="204">
        <v>1</v>
      </c>
      <c r="M8" s="205">
        <v>0.5</v>
      </c>
      <c r="N8" s="206">
        <v>1.82</v>
      </c>
      <c r="O8" s="208">
        <v>1.82</v>
      </c>
      <c r="P8" s="208">
        <v>24.94</v>
      </c>
      <c r="Q8" s="208">
        <v>7.2975140336808337</v>
      </c>
      <c r="R8" s="221">
        <v>13.703296703296704</v>
      </c>
      <c r="S8" s="204">
        <v>1</v>
      </c>
      <c r="T8" s="204">
        <v>1</v>
      </c>
      <c r="U8" s="205">
        <v>1</v>
      </c>
      <c r="V8" s="204">
        <v>1</v>
      </c>
      <c r="W8" s="204">
        <v>0</v>
      </c>
      <c r="X8" s="206">
        <v>24.94</v>
      </c>
      <c r="Y8" s="222">
        <v>0</v>
      </c>
    </row>
    <row r="9" spans="1:25" ht="14.25" hidden="1" customHeight="1" x14ac:dyDescent="0.3">
      <c r="A9" s="201">
        <v>45900</v>
      </c>
      <c r="B9" s="202">
        <v>45906</v>
      </c>
      <c r="C9" s="203" t="s">
        <v>85</v>
      </c>
      <c r="D9" s="203" t="s">
        <v>28</v>
      </c>
      <c r="E9" s="203" t="s">
        <v>86</v>
      </c>
      <c r="F9" s="203" t="s">
        <v>87</v>
      </c>
      <c r="G9" s="203" t="s">
        <v>31</v>
      </c>
      <c r="H9" s="203" t="s">
        <v>87</v>
      </c>
      <c r="I9" s="203" t="s">
        <v>44</v>
      </c>
      <c r="J9" s="203" t="s">
        <v>308</v>
      </c>
      <c r="K9" s="204">
        <v>21</v>
      </c>
      <c r="L9" s="204">
        <v>5</v>
      </c>
      <c r="M9" s="205">
        <v>0.23809523809523808</v>
      </c>
      <c r="N9" s="206">
        <v>3.508</v>
      </c>
      <c r="O9" s="208">
        <v>17.54</v>
      </c>
      <c r="P9" s="208">
        <v>21.9</v>
      </c>
      <c r="Q9" s="208">
        <v>80.09132420091322</v>
      </c>
      <c r="R9" s="221">
        <v>1.2485746864310148</v>
      </c>
      <c r="S9" s="204">
        <v>1</v>
      </c>
      <c r="T9" s="204">
        <v>1</v>
      </c>
      <c r="U9" s="205">
        <v>0.2</v>
      </c>
      <c r="V9" s="204">
        <v>1</v>
      </c>
      <c r="W9" s="204">
        <v>0</v>
      </c>
      <c r="X9" s="206">
        <v>21.9</v>
      </c>
      <c r="Y9" s="222">
        <v>0</v>
      </c>
    </row>
    <row r="10" spans="1:25" ht="14.25" hidden="1" customHeight="1" x14ac:dyDescent="0.3">
      <c r="A10" s="201">
        <v>45900</v>
      </c>
      <c r="B10" s="202">
        <v>45906</v>
      </c>
      <c r="C10" s="203" t="s">
        <v>85</v>
      </c>
      <c r="D10" s="203" t="s">
        <v>28</v>
      </c>
      <c r="E10" s="203" t="s">
        <v>86</v>
      </c>
      <c r="F10" s="203" t="s">
        <v>87</v>
      </c>
      <c r="G10" s="203" t="s">
        <v>31</v>
      </c>
      <c r="H10" s="203" t="s">
        <v>88</v>
      </c>
      <c r="I10" s="203" t="s">
        <v>44</v>
      </c>
      <c r="J10" s="203" t="s">
        <v>89</v>
      </c>
      <c r="K10" s="204">
        <v>16</v>
      </c>
      <c r="L10" s="204">
        <v>3</v>
      </c>
      <c r="M10" s="205">
        <v>0.1875</v>
      </c>
      <c r="N10" s="206">
        <v>3.0933333333333337</v>
      </c>
      <c r="O10" s="208">
        <v>9.2799999999999994</v>
      </c>
      <c r="P10" s="208">
        <v>21.9</v>
      </c>
      <c r="Q10" s="208">
        <v>42.374429223744301</v>
      </c>
      <c r="R10" s="221">
        <v>2.359913793103448</v>
      </c>
      <c r="S10" s="204">
        <v>1</v>
      </c>
      <c r="T10" s="204">
        <v>1</v>
      </c>
      <c r="U10" s="205">
        <v>0.33333333333333331</v>
      </c>
      <c r="V10" s="204">
        <v>1</v>
      </c>
      <c r="W10" s="204">
        <v>0</v>
      </c>
      <c r="X10" s="206">
        <v>21.9</v>
      </c>
      <c r="Y10" s="222">
        <v>0</v>
      </c>
    </row>
    <row r="11" spans="1:25" ht="14.25" hidden="1" customHeight="1" x14ac:dyDescent="0.3">
      <c r="A11" s="201">
        <v>45901</v>
      </c>
      <c r="B11" s="202">
        <v>45905</v>
      </c>
      <c r="C11" s="203" t="s">
        <v>27</v>
      </c>
      <c r="D11" s="203" t="s">
        <v>28</v>
      </c>
      <c r="E11" s="203" t="s">
        <v>29</v>
      </c>
      <c r="F11" s="203" t="s">
        <v>30</v>
      </c>
      <c r="G11" s="203" t="s">
        <v>31</v>
      </c>
      <c r="H11" s="203" t="s">
        <v>30</v>
      </c>
      <c r="I11" s="203" t="s">
        <v>32</v>
      </c>
      <c r="J11" s="203" t="s">
        <v>30</v>
      </c>
      <c r="K11" s="204">
        <v>960</v>
      </c>
      <c r="L11" s="204">
        <v>9</v>
      </c>
      <c r="M11" s="205">
        <v>9.3749999999999997E-3</v>
      </c>
      <c r="N11" s="206">
        <v>3.3533333333333335</v>
      </c>
      <c r="O11" s="208">
        <v>30.18</v>
      </c>
      <c r="P11" s="208">
        <v>174.57999999999998</v>
      </c>
      <c r="Q11" s="208">
        <v>17.28720357429259</v>
      </c>
      <c r="R11" s="221">
        <v>5.7846255798542074</v>
      </c>
      <c r="S11" s="204">
        <v>5</v>
      </c>
      <c r="T11" s="204">
        <v>7</v>
      </c>
      <c r="U11" s="205">
        <v>0.55555555555555558</v>
      </c>
      <c r="V11" s="204">
        <v>7</v>
      </c>
      <c r="W11" s="204">
        <v>0</v>
      </c>
      <c r="X11" s="206">
        <v>174.57999999999998</v>
      </c>
      <c r="Y11" s="222">
        <v>0</v>
      </c>
    </row>
    <row r="12" spans="1:25" ht="14.25" hidden="1" customHeight="1" x14ac:dyDescent="0.3">
      <c r="A12" s="201">
        <v>45901</v>
      </c>
      <c r="B12" s="202">
        <v>45901</v>
      </c>
      <c r="C12" s="203" t="s">
        <v>27</v>
      </c>
      <c r="D12" s="203" t="s">
        <v>28</v>
      </c>
      <c r="E12" s="203" t="s">
        <v>71</v>
      </c>
      <c r="F12" s="203" t="s">
        <v>72</v>
      </c>
      <c r="G12" s="203" t="s">
        <v>31</v>
      </c>
      <c r="H12" s="203" t="s">
        <v>51</v>
      </c>
      <c r="I12" s="203" t="s">
        <v>52</v>
      </c>
      <c r="J12" s="203" t="s">
        <v>574</v>
      </c>
      <c r="K12" s="204">
        <v>1</v>
      </c>
      <c r="L12" s="204">
        <v>1</v>
      </c>
      <c r="M12" s="205">
        <v>1</v>
      </c>
      <c r="N12" s="206">
        <v>2.5</v>
      </c>
      <c r="O12" s="208">
        <v>2.5</v>
      </c>
      <c r="P12" s="208">
        <v>24.94</v>
      </c>
      <c r="Q12" s="208">
        <v>10.024057738572575</v>
      </c>
      <c r="R12" s="221">
        <v>9.9760000000000009</v>
      </c>
      <c r="S12" s="204">
        <v>1</v>
      </c>
      <c r="T12" s="204">
        <v>1</v>
      </c>
      <c r="U12" s="205">
        <v>1</v>
      </c>
      <c r="V12" s="204">
        <v>1</v>
      </c>
      <c r="W12" s="204">
        <v>0</v>
      </c>
      <c r="X12" s="206">
        <v>24.94</v>
      </c>
      <c r="Y12" s="222">
        <v>0</v>
      </c>
    </row>
    <row r="13" spans="1:25" ht="14.25" hidden="1" customHeight="1" x14ac:dyDescent="0.3">
      <c r="A13" s="201">
        <v>45901</v>
      </c>
      <c r="B13" s="202">
        <v>45905</v>
      </c>
      <c r="C13" s="203" t="s">
        <v>40</v>
      </c>
      <c r="D13" s="203" t="s">
        <v>28</v>
      </c>
      <c r="E13" s="203" t="s">
        <v>41</v>
      </c>
      <c r="F13" s="203" t="s">
        <v>42</v>
      </c>
      <c r="G13" s="203" t="s">
        <v>31</v>
      </c>
      <c r="H13" s="203" t="s">
        <v>43</v>
      </c>
      <c r="I13" s="203" t="s">
        <v>44</v>
      </c>
      <c r="J13" s="203" t="s">
        <v>60</v>
      </c>
      <c r="K13" s="204">
        <v>66</v>
      </c>
      <c r="L13" s="204">
        <v>3</v>
      </c>
      <c r="M13" s="205">
        <v>4.5454545454545463E-2</v>
      </c>
      <c r="N13" s="206">
        <v>3.35</v>
      </c>
      <c r="O13" s="208">
        <v>10.050000000000001</v>
      </c>
      <c r="P13" s="208">
        <v>24.94</v>
      </c>
      <c r="Q13" s="208">
        <v>40.296712109061751</v>
      </c>
      <c r="R13" s="221">
        <v>2.481592039800995</v>
      </c>
      <c r="S13" s="204">
        <v>1</v>
      </c>
      <c r="T13" s="204">
        <v>1</v>
      </c>
      <c r="U13" s="205">
        <v>0.33333333333333331</v>
      </c>
      <c r="V13" s="204">
        <v>1</v>
      </c>
      <c r="W13" s="204">
        <v>0</v>
      </c>
      <c r="X13" s="206">
        <v>24.94</v>
      </c>
      <c r="Y13" s="222">
        <v>0</v>
      </c>
    </row>
    <row r="14" spans="1:25" ht="14.25" hidden="1" customHeight="1" x14ac:dyDescent="0.3">
      <c r="A14" s="201">
        <v>45901</v>
      </c>
      <c r="B14" s="202">
        <v>45901</v>
      </c>
      <c r="C14" s="203" t="s">
        <v>40</v>
      </c>
      <c r="D14" s="203" t="s">
        <v>28</v>
      </c>
      <c r="E14" s="203" t="s">
        <v>41</v>
      </c>
      <c r="F14" s="203" t="s">
        <v>42</v>
      </c>
      <c r="G14" s="203" t="s">
        <v>31</v>
      </c>
      <c r="H14" s="203" t="s">
        <v>43</v>
      </c>
      <c r="I14" s="203" t="s">
        <v>44</v>
      </c>
      <c r="J14" s="203" t="s">
        <v>576</v>
      </c>
      <c r="K14" s="204">
        <v>1</v>
      </c>
      <c r="L14" s="204">
        <v>1</v>
      </c>
      <c r="M14" s="205">
        <v>1</v>
      </c>
      <c r="N14" s="206">
        <v>2.39</v>
      </c>
      <c r="O14" s="208">
        <v>2.39</v>
      </c>
      <c r="P14" s="208">
        <v>24.94</v>
      </c>
      <c r="Q14" s="208">
        <v>9.582999198075381</v>
      </c>
      <c r="R14" s="221">
        <v>10.435146443514645</v>
      </c>
      <c r="S14" s="204">
        <v>1</v>
      </c>
      <c r="T14" s="204">
        <v>1</v>
      </c>
      <c r="U14" s="205">
        <v>1</v>
      </c>
      <c r="V14" s="204">
        <v>1</v>
      </c>
      <c r="W14" s="204">
        <v>0</v>
      </c>
      <c r="X14" s="206">
        <v>24.94</v>
      </c>
      <c r="Y14" s="222">
        <v>0</v>
      </c>
    </row>
    <row r="15" spans="1:25" ht="14.25" hidden="1" customHeight="1" x14ac:dyDescent="0.3">
      <c r="A15" s="201">
        <v>45901</v>
      </c>
      <c r="B15" s="202">
        <v>45901</v>
      </c>
      <c r="C15" s="203" t="s">
        <v>27</v>
      </c>
      <c r="D15" s="203" t="s">
        <v>28</v>
      </c>
      <c r="E15" s="203" t="s">
        <v>56</v>
      </c>
      <c r="F15" s="203" t="s">
        <v>57</v>
      </c>
      <c r="G15" s="203" t="s">
        <v>31</v>
      </c>
      <c r="H15" s="203" t="s">
        <v>914</v>
      </c>
      <c r="I15" s="203" t="s">
        <v>32</v>
      </c>
      <c r="J15" s="203" t="s">
        <v>578</v>
      </c>
      <c r="K15" s="204">
        <v>10</v>
      </c>
      <c r="L15" s="204">
        <v>2</v>
      </c>
      <c r="M15" s="205">
        <v>0.2</v>
      </c>
      <c r="N15" s="206">
        <v>2.5</v>
      </c>
      <c r="O15" s="208">
        <v>5</v>
      </c>
      <c r="P15" s="208">
        <v>24.94</v>
      </c>
      <c r="Q15" s="208">
        <v>20.048115477145149</v>
      </c>
      <c r="R15" s="221">
        <v>4.9880000000000004</v>
      </c>
      <c r="S15" s="204">
        <v>1</v>
      </c>
      <c r="T15" s="204">
        <v>1</v>
      </c>
      <c r="U15" s="205">
        <v>0.5</v>
      </c>
      <c r="V15" s="204">
        <v>1</v>
      </c>
      <c r="W15" s="204">
        <v>0</v>
      </c>
      <c r="X15" s="206">
        <v>24.94</v>
      </c>
      <c r="Y15" s="222">
        <v>0</v>
      </c>
    </row>
    <row r="16" spans="1:25" ht="14.25" hidden="1" customHeight="1" x14ac:dyDescent="0.3">
      <c r="A16" s="201">
        <v>45901</v>
      </c>
      <c r="B16" s="202">
        <v>45904</v>
      </c>
      <c r="C16" s="203" t="s">
        <v>48</v>
      </c>
      <c r="D16" s="203" t="s">
        <v>28</v>
      </c>
      <c r="E16" s="203" t="s">
        <v>62</v>
      </c>
      <c r="F16" s="203" t="s">
        <v>63</v>
      </c>
      <c r="G16" s="203" t="s">
        <v>31</v>
      </c>
      <c r="H16" s="203" t="s">
        <v>64</v>
      </c>
      <c r="I16" s="203" t="s">
        <v>65</v>
      </c>
      <c r="J16" s="203" t="s">
        <v>579</v>
      </c>
      <c r="K16" s="204">
        <v>20</v>
      </c>
      <c r="L16" s="204">
        <v>2</v>
      </c>
      <c r="M16" s="205">
        <v>0.1</v>
      </c>
      <c r="N16" s="206">
        <v>5.43</v>
      </c>
      <c r="O16" s="208">
        <v>10.86</v>
      </c>
      <c r="P16" s="208">
        <v>21.9</v>
      </c>
      <c r="Q16" s="208">
        <v>49.589041095890416</v>
      </c>
      <c r="R16" s="221">
        <v>2.0165745856353592</v>
      </c>
      <c r="S16" s="204">
        <v>1</v>
      </c>
      <c r="T16" s="204">
        <v>1</v>
      </c>
      <c r="U16" s="205">
        <v>0.5</v>
      </c>
      <c r="V16" s="204">
        <v>1</v>
      </c>
      <c r="W16" s="204">
        <v>0</v>
      </c>
      <c r="X16" s="206">
        <v>21.9</v>
      </c>
      <c r="Y16" s="222">
        <v>0</v>
      </c>
    </row>
    <row r="17" spans="1:25" ht="14.25" hidden="1" customHeight="1" x14ac:dyDescent="0.3">
      <c r="A17" s="201">
        <v>45901</v>
      </c>
      <c r="B17" s="202">
        <v>45901</v>
      </c>
      <c r="C17" s="203" t="s">
        <v>48</v>
      </c>
      <c r="D17" s="203" t="s">
        <v>28</v>
      </c>
      <c r="E17" s="203" t="s">
        <v>233</v>
      </c>
      <c r="F17" s="203" t="s">
        <v>234</v>
      </c>
      <c r="G17" s="203" t="s">
        <v>31</v>
      </c>
      <c r="H17" s="203" t="s">
        <v>153</v>
      </c>
      <c r="I17" s="203" t="s">
        <v>32</v>
      </c>
      <c r="J17" s="203" t="s">
        <v>64</v>
      </c>
      <c r="K17" s="204">
        <v>3</v>
      </c>
      <c r="L17" s="204">
        <v>2</v>
      </c>
      <c r="M17" s="205">
        <v>0.66666666666666663</v>
      </c>
      <c r="N17" s="206">
        <v>3.37</v>
      </c>
      <c r="O17" s="208">
        <v>6.74</v>
      </c>
      <c r="P17" s="208">
        <v>43.8</v>
      </c>
      <c r="Q17" s="208">
        <v>15.388127853881281</v>
      </c>
      <c r="R17" s="221">
        <v>6.4985163204747769</v>
      </c>
      <c r="S17" s="204">
        <v>2</v>
      </c>
      <c r="T17" s="204">
        <v>2</v>
      </c>
      <c r="U17" s="205">
        <v>1</v>
      </c>
      <c r="V17" s="204">
        <v>2</v>
      </c>
      <c r="W17" s="204">
        <v>0</v>
      </c>
      <c r="X17" s="206">
        <v>43.8</v>
      </c>
      <c r="Y17" s="222">
        <v>0</v>
      </c>
    </row>
    <row r="18" spans="1:25" ht="14.25" hidden="1" customHeight="1" x14ac:dyDescent="0.3">
      <c r="A18" s="201">
        <v>45902</v>
      </c>
      <c r="B18" s="202">
        <v>45902</v>
      </c>
      <c r="C18" s="203" t="s">
        <v>27</v>
      </c>
      <c r="D18" s="203" t="s">
        <v>28</v>
      </c>
      <c r="E18" s="203" t="s">
        <v>29</v>
      </c>
      <c r="F18" s="203" t="s">
        <v>30</v>
      </c>
      <c r="G18" s="203" t="s">
        <v>31</v>
      </c>
      <c r="H18" s="203" t="s">
        <v>145</v>
      </c>
      <c r="I18" s="203" t="s">
        <v>32</v>
      </c>
      <c r="J18" s="203" t="s">
        <v>569</v>
      </c>
      <c r="K18" s="204">
        <v>1</v>
      </c>
      <c r="L18" s="204">
        <v>1</v>
      </c>
      <c r="M18" s="205">
        <v>1</v>
      </c>
      <c r="N18" s="206">
        <v>4.13</v>
      </c>
      <c r="O18" s="208">
        <v>4.13</v>
      </c>
      <c r="P18" s="208">
        <v>24.94</v>
      </c>
      <c r="Q18" s="208">
        <v>16.559743384121887</v>
      </c>
      <c r="R18" s="221">
        <v>6.0387409200968527</v>
      </c>
      <c r="S18" s="204">
        <v>1</v>
      </c>
      <c r="T18" s="204">
        <v>1</v>
      </c>
      <c r="U18" s="205">
        <v>1</v>
      </c>
      <c r="V18" s="204">
        <v>1</v>
      </c>
      <c r="W18" s="204">
        <v>0</v>
      </c>
      <c r="X18" s="206">
        <v>24.94</v>
      </c>
      <c r="Y18" s="222">
        <v>0</v>
      </c>
    </row>
    <row r="19" spans="1:25" ht="14.25" hidden="1" customHeight="1" x14ac:dyDescent="0.3">
      <c r="A19" s="201">
        <v>45902</v>
      </c>
      <c r="B19" s="202">
        <v>45902</v>
      </c>
      <c r="C19" s="203" t="s">
        <v>27</v>
      </c>
      <c r="D19" s="203" t="s">
        <v>28</v>
      </c>
      <c r="E19" s="203" t="s">
        <v>71</v>
      </c>
      <c r="F19" s="203" t="s">
        <v>72</v>
      </c>
      <c r="G19" s="203" t="s">
        <v>31</v>
      </c>
      <c r="H19" s="203" t="s">
        <v>51</v>
      </c>
      <c r="I19" s="203" t="s">
        <v>52</v>
      </c>
      <c r="J19" s="203" t="s">
        <v>570</v>
      </c>
      <c r="K19" s="204">
        <v>1</v>
      </c>
      <c r="L19" s="204">
        <v>1</v>
      </c>
      <c r="M19" s="205">
        <v>1</v>
      </c>
      <c r="N19" s="206">
        <v>3.5</v>
      </c>
      <c r="O19" s="208">
        <v>3.5</v>
      </c>
      <c r="P19" s="208">
        <v>24.94</v>
      </c>
      <c r="Q19" s="208">
        <v>14.033680834001602</v>
      </c>
      <c r="R19" s="221">
        <v>7.1257142857142863</v>
      </c>
      <c r="S19" s="204">
        <v>1</v>
      </c>
      <c r="T19" s="204">
        <v>1</v>
      </c>
      <c r="U19" s="205">
        <v>1</v>
      </c>
      <c r="V19" s="204">
        <v>1</v>
      </c>
      <c r="W19" s="204">
        <v>0</v>
      </c>
      <c r="X19" s="206">
        <v>24.94</v>
      </c>
      <c r="Y19" s="222">
        <v>0</v>
      </c>
    </row>
    <row r="20" spans="1:25" ht="14.25" hidden="1" customHeight="1" x14ac:dyDescent="0.3">
      <c r="A20" s="201">
        <v>45902</v>
      </c>
      <c r="B20" s="202">
        <v>45902</v>
      </c>
      <c r="C20" s="203" t="s">
        <v>27</v>
      </c>
      <c r="D20" s="203" t="s">
        <v>28</v>
      </c>
      <c r="E20" s="203" t="s">
        <v>71</v>
      </c>
      <c r="F20" s="203" t="s">
        <v>72</v>
      </c>
      <c r="G20" s="203" t="s">
        <v>31</v>
      </c>
      <c r="H20" s="203" t="s">
        <v>51</v>
      </c>
      <c r="I20" s="203" t="s">
        <v>52</v>
      </c>
      <c r="J20" s="203" t="s">
        <v>572</v>
      </c>
      <c r="K20" s="204">
        <v>3</v>
      </c>
      <c r="L20" s="204">
        <v>1</v>
      </c>
      <c r="M20" s="205">
        <v>0.33333333333333331</v>
      </c>
      <c r="N20" s="206">
        <v>2.5</v>
      </c>
      <c r="O20" s="208">
        <v>2.5</v>
      </c>
      <c r="P20" s="208">
        <v>24.94</v>
      </c>
      <c r="Q20" s="208">
        <v>10.024057738572575</v>
      </c>
      <c r="R20" s="221">
        <v>9.9760000000000009</v>
      </c>
      <c r="S20" s="204">
        <v>1</v>
      </c>
      <c r="T20" s="204">
        <v>1</v>
      </c>
      <c r="U20" s="205">
        <v>1</v>
      </c>
      <c r="V20" s="204">
        <v>1</v>
      </c>
      <c r="W20" s="204">
        <v>0</v>
      </c>
      <c r="X20" s="206">
        <v>24.94</v>
      </c>
      <c r="Y20" s="222">
        <v>0</v>
      </c>
    </row>
    <row r="21" spans="1:25" ht="14.25" hidden="1" customHeight="1" x14ac:dyDescent="0.3">
      <c r="A21" s="201">
        <v>45903</v>
      </c>
      <c r="B21" s="202">
        <v>45906</v>
      </c>
      <c r="C21" s="203" t="s">
        <v>27</v>
      </c>
      <c r="D21" s="203" t="s">
        <v>28</v>
      </c>
      <c r="E21" s="203" t="s">
        <v>29</v>
      </c>
      <c r="F21" s="203" t="s">
        <v>30</v>
      </c>
      <c r="G21" s="203" t="s">
        <v>31</v>
      </c>
      <c r="H21" s="203" t="s">
        <v>145</v>
      </c>
      <c r="I21" s="203" t="s">
        <v>32</v>
      </c>
      <c r="J21" s="203" t="s">
        <v>183</v>
      </c>
      <c r="K21" s="204">
        <v>21</v>
      </c>
      <c r="L21" s="204">
        <v>3</v>
      </c>
      <c r="M21" s="205">
        <v>0.14285714285714285</v>
      </c>
      <c r="N21" s="206">
        <v>2.9266666666666672</v>
      </c>
      <c r="O21" s="208">
        <v>8.7799999999999994</v>
      </c>
      <c r="P21" s="208">
        <v>49.88</v>
      </c>
      <c r="Q21" s="208">
        <v>17.60224538893344</v>
      </c>
      <c r="R21" s="221">
        <v>5.6810933940774486</v>
      </c>
      <c r="S21" s="204">
        <v>2</v>
      </c>
      <c r="T21" s="204">
        <v>2</v>
      </c>
      <c r="U21" s="205">
        <v>0.66666666666666663</v>
      </c>
      <c r="V21" s="204">
        <v>2</v>
      </c>
      <c r="W21" s="204">
        <v>0</v>
      </c>
      <c r="X21" s="206">
        <v>49.88</v>
      </c>
      <c r="Y21" s="222">
        <v>0</v>
      </c>
    </row>
    <row r="22" spans="1:25" ht="14.25" hidden="1" customHeight="1" x14ac:dyDescent="0.3">
      <c r="A22" s="201">
        <v>45903</v>
      </c>
      <c r="B22" s="202">
        <v>45906</v>
      </c>
      <c r="C22" s="203" t="s">
        <v>85</v>
      </c>
      <c r="D22" s="203" t="s">
        <v>28</v>
      </c>
      <c r="E22" s="203" t="s">
        <v>86</v>
      </c>
      <c r="F22" s="203" t="s">
        <v>87</v>
      </c>
      <c r="G22" s="203" t="s">
        <v>31</v>
      </c>
      <c r="H22" s="203" t="s">
        <v>87</v>
      </c>
      <c r="I22" s="203" t="s">
        <v>44</v>
      </c>
      <c r="J22" s="203" t="s">
        <v>87</v>
      </c>
      <c r="K22" s="204">
        <v>15</v>
      </c>
      <c r="L22" s="204">
        <v>4</v>
      </c>
      <c r="M22" s="205">
        <v>0.26666666666666666</v>
      </c>
      <c r="N22" s="206">
        <v>2.8449999999999998</v>
      </c>
      <c r="O22" s="208">
        <v>11.38</v>
      </c>
      <c r="P22" s="208">
        <v>43.8</v>
      </c>
      <c r="Q22" s="208">
        <v>25.981735159817347</v>
      </c>
      <c r="R22" s="221">
        <v>3.8488576449912126</v>
      </c>
      <c r="S22" s="204">
        <v>2</v>
      </c>
      <c r="T22" s="204">
        <v>2</v>
      </c>
      <c r="U22" s="205">
        <v>0.5</v>
      </c>
      <c r="V22" s="204">
        <v>2</v>
      </c>
      <c r="W22" s="204">
        <v>0</v>
      </c>
      <c r="X22" s="206">
        <v>43.8</v>
      </c>
      <c r="Y22" s="222">
        <v>0</v>
      </c>
    </row>
    <row r="23" spans="1:25" ht="14.25" hidden="1" customHeight="1" x14ac:dyDescent="0.3">
      <c r="A23" s="201">
        <v>45903</v>
      </c>
      <c r="B23" s="202">
        <v>45906</v>
      </c>
      <c r="C23" s="203" t="s">
        <v>85</v>
      </c>
      <c r="D23" s="203" t="s">
        <v>28</v>
      </c>
      <c r="E23" s="203" t="s">
        <v>86</v>
      </c>
      <c r="F23" s="203" t="s">
        <v>87</v>
      </c>
      <c r="G23" s="203" t="s">
        <v>31</v>
      </c>
      <c r="H23" s="203" t="s">
        <v>88</v>
      </c>
      <c r="I23" s="203" t="s">
        <v>44</v>
      </c>
      <c r="J23" s="203" t="s">
        <v>88</v>
      </c>
      <c r="K23" s="204">
        <v>10</v>
      </c>
      <c r="L23" s="204">
        <v>3</v>
      </c>
      <c r="M23" s="205">
        <v>0.3</v>
      </c>
      <c r="N23" s="206">
        <v>3.543333333333333</v>
      </c>
      <c r="O23" s="208">
        <v>10.63</v>
      </c>
      <c r="P23" s="208">
        <v>21.9</v>
      </c>
      <c r="Q23" s="208">
        <v>48.538812785388124</v>
      </c>
      <c r="R23" s="221">
        <v>2.0602069614299152</v>
      </c>
      <c r="S23" s="204">
        <v>1</v>
      </c>
      <c r="T23" s="204">
        <v>1</v>
      </c>
      <c r="U23" s="205">
        <v>0.33333333333333331</v>
      </c>
      <c r="V23" s="204">
        <v>1</v>
      </c>
      <c r="W23" s="204">
        <v>0</v>
      </c>
      <c r="X23" s="206">
        <v>21.9</v>
      </c>
      <c r="Y23" s="222">
        <v>0</v>
      </c>
    </row>
    <row r="24" spans="1:25" ht="14.25" hidden="1" customHeight="1" x14ac:dyDescent="0.3">
      <c r="A24" s="201">
        <v>45903</v>
      </c>
      <c r="B24" s="202">
        <v>45903</v>
      </c>
      <c r="C24" s="203" t="s">
        <v>143</v>
      </c>
      <c r="D24" s="203" t="s">
        <v>28</v>
      </c>
      <c r="E24" s="203" t="s">
        <v>144</v>
      </c>
      <c r="F24" s="203" t="s">
        <v>32</v>
      </c>
      <c r="G24" s="203" t="s">
        <v>31</v>
      </c>
      <c r="H24" s="203" t="s">
        <v>566</v>
      </c>
      <c r="I24" s="203" t="s">
        <v>32</v>
      </c>
      <c r="J24" s="203" t="s">
        <v>567</v>
      </c>
      <c r="K24" s="204">
        <v>3</v>
      </c>
      <c r="L24" s="204">
        <v>1</v>
      </c>
      <c r="M24" s="205">
        <v>0.33333333333333331</v>
      </c>
      <c r="N24" s="206">
        <v>0.82</v>
      </c>
      <c r="O24" s="208">
        <v>0.82</v>
      </c>
      <c r="P24" s="208">
        <v>24.94</v>
      </c>
      <c r="Q24" s="208">
        <v>3.2878909382518042</v>
      </c>
      <c r="R24" s="221">
        <v>30.414634146341466</v>
      </c>
      <c r="S24" s="204">
        <v>1</v>
      </c>
      <c r="T24" s="204">
        <v>1</v>
      </c>
      <c r="U24" s="205">
        <v>1</v>
      </c>
      <c r="V24" s="204">
        <v>1</v>
      </c>
      <c r="W24" s="204">
        <v>0</v>
      </c>
      <c r="X24" s="206">
        <v>24.94</v>
      </c>
      <c r="Y24" s="222">
        <v>0</v>
      </c>
    </row>
    <row r="25" spans="1:25" ht="14.25" hidden="1" customHeight="1" x14ac:dyDescent="0.3">
      <c r="A25" s="201">
        <v>45904</v>
      </c>
      <c r="B25" s="202">
        <v>45904</v>
      </c>
      <c r="C25" s="203" t="s">
        <v>27</v>
      </c>
      <c r="D25" s="203" t="s">
        <v>28</v>
      </c>
      <c r="E25" s="203" t="s">
        <v>71</v>
      </c>
      <c r="F25" s="203" t="s">
        <v>72</v>
      </c>
      <c r="G25" s="203" t="s">
        <v>31</v>
      </c>
      <c r="H25" s="203" t="s">
        <v>51</v>
      </c>
      <c r="I25" s="203" t="s">
        <v>52</v>
      </c>
      <c r="J25" s="203" t="s">
        <v>558</v>
      </c>
      <c r="K25" s="204">
        <v>1</v>
      </c>
      <c r="L25" s="204">
        <v>1</v>
      </c>
      <c r="M25" s="205">
        <v>1</v>
      </c>
      <c r="N25" s="206">
        <v>1.62</v>
      </c>
      <c r="O25" s="208">
        <v>1.62</v>
      </c>
      <c r="P25" s="208">
        <v>24.94</v>
      </c>
      <c r="Q25" s="208">
        <v>6.4955894145950284</v>
      </c>
      <c r="R25" s="221">
        <v>15.395061728395062</v>
      </c>
      <c r="S25" s="204">
        <v>1</v>
      </c>
      <c r="T25" s="204">
        <v>1</v>
      </c>
      <c r="U25" s="205">
        <v>1</v>
      </c>
      <c r="V25" s="204">
        <v>1</v>
      </c>
      <c r="W25" s="204">
        <v>0</v>
      </c>
      <c r="X25" s="206">
        <v>24.94</v>
      </c>
      <c r="Y25" s="222">
        <v>0</v>
      </c>
    </row>
    <row r="26" spans="1:25" ht="14.25" hidden="1" customHeight="1" x14ac:dyDescent="0.3">
      <c r="A26" s="201">
        <v>45904</v>
      </c>
      <c r="B26" s="202">
        <v>45904</v>
      </c>
      <c r="C26" s="203" t="s">
        <v>27</v>
      </c>
      <c r="D26" s="203" t="s">
        <v>28</v>
      </c>
      <c r="E26" s="203" t="s">
        <v>29</v>
      </c>
      <c r="F26" s="203" t="s">
        <v>30</v>
      </c>
      <c r="G26" s="203" t="s">
        <v>31</v>
      </c>
      <c r="H26" s="203" t="s">
        <v>480</v>
      </c>
      <c r="I26" s="203" t="s">
        <v>32</v>
      </c>
      <c r="J26" s="203" t="s">
        <v>162</v>
      </c>
      <c r="K26" s="204">
        <v>8</v>
      </c>
      <c r="L26" s="204">
        <v>1</v>
      </c>
      <c r="M26" s="205">
        <v>0.125</v>
      </c>
      <c r="N26" s="206">
        <v>4.13</v>
      </c>
      <c r="O26" s="208">
        <v>4.13</v>
      </c>
      <c r="P26" s="208">
        <v>24.94</v>
      </c>
      <c r="Q26" s="208">
        <v>16.559743384121887</v>
      </c>
      <c r="R26" s="221">
        <v>6.0387409200968527</v>
      </c>
      <c r="S26" s="204">
        <v>1</v>
      </c>
      <c r="T26" s="204">
        <v>1</v>
      </c>
      <c r="U26" s="205">
        <v>1</v>
      </c>
      <c r="V26" s="204">
        <v>1</v>
      </c>
      <c r="W26" s="204">
        <v>0</v>
      </c>
      <c r="X26" s="206">
        <v>24.94</v>
      </c>
      <c r="Y26" s="222">
        <v>0</v>
      </c>
    </row>
    <row r="27" spans="1:25" ht="14.25" hidden="1" customHeight="1" x14ac:dyDescent="0.3">
      <c r="A27" s="201">
        <v>45904</v>
      </c>
      <c r="B27" s="202">
        <v>45905</v>
      </c>
      <c r="C27" s="203" t="s">
        <v>40</v>
      </c>
      <c r="D27" s="203" t="s">
        <v>28</v>
      </c>
      <c r="E27" s="203" t="s">
        <v>41</v>
      </c>
      <c r="F27" s="203" t="s">
        <v>42</v>
      </c>
      <c r="G27" s="203" t="s">
        <v>31</v>
      </c>
      <c r="H27" s="203" t="s">
        <v>43</v>
      </c>
      <c r="I27" s="203" t="s">
        <v>44</v>
      </c>
      <c r="J27" s="203" t="s">
        <v>560</v>
      </c>
      <c r="K27" s="204">
        <v>6</v>
      </c>
      <c r="L27" s="204">
        <v>2</v>
      </c>
      <c r="M27" s="205">
        <v>0.33333333333333331</v>
      </c>
      <c r="N27" s="206">
        <v>2.9699999999999998</v>
      </c>
      <c r="O27" s="208">
        <v>5.94</v>
      </c>
      <c r="P27" s="208">
        <v>24.94</v>
      </c>
      <c r="Q27" s="208">
        <v>23.817161186848431</v>
      </c>
      <c r="R27" s="221">
        <v>4.198653198653199</v>
      </c>
      <c r="S27" s="204">
        <v>1</v>
      </c>
      <c r="T27" s="204">
        <v>1</v>
      </c>
      <c r="U27" s="205">
        <v>0.5</v>
      </c>
      <c r="V27" s="204">
        <v>1</v>
      </c>
      <c r="W27" s="204">
        <v>0</v>
      </c>
      <c r="X27" s="206">
        <v>24.94</v>
      </c>
      <c r="Y27" s="222">
        <v>0</v>
      </c>
    </row>
    <row r="28" spans="1:25" ht="14.25" hidden="1" customHeight="1" x14ac:dyDescent="0.3">
      <c r="A28" s="201">
        <v>45904</v>
      </c>
      <c r="B28" s="202">
        <v>45904</v>
      </c>
      <c r="C28" s="203" t="s">
        <v>27</v>
      </c>
      <c r="D28" s="203" t="s">
        <v>28</v>
      </c>
      <c r="E28" s="203" t="s">
        <v>71</v>
      </c>
      <c r="F28" s="203" t="s">
        <v>72</v>
      </c>
      <c r="G28" s="203" t="s">
        <v>31</v>
      </c>
      <c r="H28" s="203" t="s">
        <v>51</v>
      </c>
      <c r="I28" s="203" t="s">
        <v>52</v>
      </c>
      <c r="J28" s="203" t="s">
        <v>562</v>
      </c>
      <c r="K28" s="204">
        <v>2</v>
      </c>
      <c r="L28" s="204">
        <v>1</v>
      </c>
      <c r="M28" s="205">
        <v>0.5</v>
      </c>
      <c r="N28" s="206">
        <v>2.5</v>
      </c>
      <c r="O28" s="208">
        <v>2.5</v>
      </c>
      <c r="P28" s="208">
        <v>24.94</v>
      </c>
      <c r="Q28" s="208">
        <v>10.024057738572575</v>
      </c>
      <c r="R28" s="221">
        <v>9.9760000000000009</v>
      </c>
      <c r="S28" s="204">
        <v>1</v>
      </c>
      <c r="T28" s="204">
        <v>1</v>
      </c>
      <c r="U28" s="205">
        <v>1</v>
      </c>
      <c r="V28" s="204">
        <v>1</v>
      </c>
      <c r="W28" s="204">
        <v>0</v>
      </c>
      <c r="X28" s="206">
        <v>24.94</v>
      </c>
      <c r="Y28" s="222">
        <v>0</v>
      </c>
    </row>
    <row r="29" spans="1:25" ht="14.25" hidden="1" customHeight="1" x14ac:dyDescent="0.3">
      <c r="A29" s="201">
        <v>45905</v>
      </c>
      <c r="B29" s="202">
        <v>45905</v>
      </c>
      <c r="C29" s="203" t="s">
        <v>48</v>
      </c>
      <c r="D29" s="203" t="s">
        <v>28</v>
      </c>
      <c r="E29" s="203" t="s">
        <v>225</v>
      </c>
      <c r="F29" s="203" t="s">
        <v>226</v>
      </c>
      <c r="G29" s="203" t="s">
        <v>31</v>
      </c>
      <c r="H29" s="203" t="s">
        <v>88</v>
      </c>
      <c r="I29" s="203" t="s">
        <v>32</v>
      </c>
      <c r="J29" s="203" t="s">
        <v>130</v>
      </c>
      <c r="K29" s="204">
        <v>2</v>
      </c>
      <c r="L29" s="204">
        <v>1</v>
      </c>
      <c r="M29" s="205">
        <v>0.5</v>
      </c>
      <c r="N29" s="206">
        <v>3.51</v>
      </c>
      <c r="O29" s="208">
        <v>3.51</v>
      </c>
      <c r="P29" s="208">
        <v>21.9</v>
      </c>
      <c r="Q29" s="208">
        <v>16.027397260273972</v>
      </c>
      <c r="R29" s="221">
        <v>6.2393162393162394</v>
      </c>
      <c r="S29" s="204">
        <v>1</v>
      </c>
      <c r="T29" s="204">
        <v>1</v>
      </c>
      <c r="U29" s="205">
        <v>1</v>
      </c>
      <c r="V29" s="204">
        <v>1</v>
      </c>
      <c r="W29" s="204">
        <v>0</v>
      </c>
      <c r="X29" s="206">
        <v>21.9</v>
      </c>
      <c r="Y29" s="222">
        <v>0</v>
      </c>
    </row>
    <row r="30" spans="1:25" ht="14.25" hidden="1" customHeight="1" x14ac:dyDescent="0.3">
      <c r="A30" s="201">
        <v>45905</v>
      </c>
      <c r="B30" s="202">
        <v>45905</v>
      </c>
      <c r="C30" s="203" t="s">
        <v>85</v>
      </c>
      <c r="D30" s="203" t="s">
        <v>28</v>
      </c>
      <c r="E30" s="203" t="s">
        <v>108</v>
      </c>
      <c r="F30" s="203" t="s">
        <v>109</v>
      </c>
      <c r="G30" s="203" t="s">
        <v>31</v>
      </c>
      <c r="H30" s="203" t="s">
        <v>110</v>
      </c>
      <c r="I30" s="203" t="s">
        <v>44</v>
      </c>
      <c r="J30" s="203" t="s">
        <v>552</v>
      </c>
      <c r="K30" s="204">
        <v>3</v>
      </c>
      <c r="L30" s="204">
        <v>1</v>
      </c>
      <c r="M30" s="205">
        <v>0.33333333333333331</v>
      </c>
      <c r="N30" s="206">
        <v>4.41</v>
      </c>
      <c r="O30" s="208">
        <v>4.41</v>
      </c>
      <c r="P30" s="208">
        <v>24.94</v>
      </c>
      <c r="Q30" s="208">
        <v>17.682437850842021</v>
      </c>
      <c r="R30" s="221">
        <v>5.6553287981859413</v>
      </c>
      <c r="S30" s="204">
        <v>1</v>
      </c>
      <c r="T30" s="204">
        <v>1</v>
      </c>
      <c r="U30" s="205">
        <v>1</v>
      </c>
      <c r="V30" s="204">
        <v>1</v>
      </c>
      <c r="W30" s="204">
        <v>0</v>
      </c>
      <c r="X30" s="206">
        <v>24.94</v>
      </c>
      <c r="Y30" s="222">
        <v>0</v>
      </c>
    </row>
    <row r="31" spans="1:25" ht="14.25" hidden="1" customHeight="1" x14ac:dyDescent="0.3">
      <c r="A31" s="201">
        <v>45905</v>
      </c>
      <c r="B31" s="202">
        <v>45905</v>
      </c>
      <c r="C31" s="203" t="s">
        <v>85</v>
      </c>
      <c r="D31" s="203" t="s">
        <v>28</v>
      </c>
      <c r="E31" s="203" t="s">
        <v>108</v>
      </c>
      <c r="F31" s="203" t="s">
        <v>109</v>
      </c>
      <c r="G31" s="203" t="s">
        <v>31</v>
      </c>
      <c r="H31" s="203" t="s">
        <v>110</v>
      </c>
      <c r="I31" s="203" t="s">
        <v>44</v>
      </c>
      <c r="J31" s="203" t="s">
        <v>111</v>
      </c>
      <c r="K31" s="204">
        <v>2</v>
      </c>
      <c r="L31" s="204">
        <v>1</v>
      </c>
      <c r="M31" s="205">
        <v>0.5</v>
      </c>
      <c r="N31" s="206">
        <v>1.25</v>
      </c>
      <c r="O31" s="208">
        <v>1.25</v>
      </c>
      <c r="P31" s="208">
        <v>21.9</v>
      </c>
      <c r="Q31" s="208">
        <v>5.7077625570776256</v>
      </c>
      <c r="R31" s="221">
        <v>17.52</v>
      </c>
      <c r="S31" s="204">
        <v>1</v>
      </c>
      <c r="T31" s="204">
        <v>1</v>
      </c>
      <c r="U31" s="205">
        <v>1</v>
      </c>
      <c r="V31" s="204">
        <v>1</v>
      </c>
      <c r="W31" s="204">
        <v>0</v>
      </c>
      <c r="X31" s="206">
        <v>21.9</v>
      </c>
      <c r="Y31" s="222">
        <v>0</v>
      </c>
    </row>
    <row r="32" spans="1:25" ht="14.25" hidden="1" customHeight="1" x14ac:dyDescent="0.3">
      <c r="A32" s="201">
        <v>45905</v>
      </c>
      <c r="B32" s="202">
        <v>45905</v>
      </c>
      <c r="C32" s="203" t="s">
        <v>27</v>
      </c>
      <c r="D32" s="203" t="s">
        <v>28</v>
      </c>
      <c r="E32" s="203" t="s">
        <v>71</v>
      </c>
      <c r="F32" s="203" t="s">
        <v>72</v>
      </c>
      <c r="G32" s="203" t="s">
        <v>31</v>
      </c>
      <c r="H32" s="203" t="s">
        <v>51</v>
      </c>
      <c r="I32" s="203" t="s">
        <v>52</v>
      </c>
      <c r="J32" s="203" t="s">
        <v>555</v>
      </c>
      <c r="K32" s="204">
        <v>3</v>
      </c>
      <c r="L32" s="204">
        <v>2</v>
      </c>
      <c r="M32" s="205">
        <v>0.66666666666666663</v>
      </c>
      <c r="N32" s="206">
        <v>2.5</v>
      </c>
      <c r="O32" s="208">
        <v>5</v>
      </c>
      <c r="P32" s="208">
        <v>24.94</v>
      </c>
      <c r="Q32" s="208">
        <v>20.048115477145149</v>
      </c>
      <c r="R32" s="221">
        <v>4.9880000000000004</v>
      </c>
      <c r="S32" s="204">
        <v>1</v>
      </c>
      <c r="T32" s="204">
        <v>1</v>
      </c>
      <c r="U32" s="205">
        <v>0.5</v>
      </c>
      <c r="V32" s="204">
        <v>1</v>
      </c>
      <c r="W32" s="204">
        <v>0</v>
      </c>
      <c r="X32" s="206">
        <v>24.94</v>
      </c>
      <c r="Y32" s="222">
        <v>0</v>
      </c>
    </row>
    <row r="33" spans="1:25" ht="14.25" hidden="1" customHeight="1" x14ac:dyDescent="0.3">
      <c r="A33" s="201">
        <v>45905</v>
      </c>
      <c r="B33" s="202">
        <v>45906</v>
      </c>
      <c r="C33" s="203" t="s">
        <v>27</v>
      </c>
      <c r="D33" s="203" t="s">
        <v>28</v>
      </c>
      <c r="E33" s="203" t="s">
        <v>71</v>
      </c>
      <c r="F33" s="203" t="s">
        <v>72</v>
      </c>
      <c r="G33" s="203" t="s">
        <v>31</v>
      </c>
      <c r="H33" s="203" t="s">
        <v>73</v>
      </c>
      <c r="I33" s="203" t="s">
        <v>52</v>
      </c>
      <c r="J33" s="203" t="s">
        <v>43</v>
      </c>
      <c r="K33" s="204">
        <v>6</v>
      </c>
      <c r="L33" s="204">
        <v>2</v>
      </c>
      <c r="M33" s="205">
        <v>0.33333333333333331</v>
      </c>
      <c r="N33" s="206">
        <v>3.5449999999999999</v>
      </c>
      <c r="O33" s="208">
        <v>7.09</v>
      </c>
      <c r="P33" s="208">
        <v>24.94</v>
      </c>
      <c r="Q33" s="208">
        <v>28.428227746591816</v>
      </c>
      <c r="R33" s="221">
        <v>3.517630465444288</v>
      </c>
      <c r="S33" s="204">
        <v>1</v>
      </c>
      <c r="T33" s="204">
        <v>1</v>
      </c>
      <c r="U33" s="205">
        <v>0.5</v>
      </c>
      <c r="V33" s="204">
        <v>1</v>
      </c>
      <c r="W33" s="204">
        <v>0</v>
      </c>
      <c r="X33" s="206">
        <v>24.94</v>
      </c>
      <c r="Y33" s="222">
        <v>0</v>
      </c>
    </row>
    <row r="34" spans="1:25" ht="14.25" customHeight="1" x14ac:dyDescent="0.3">
      <c r="A34" s="223"/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5"/>
      <c r="Q34" s="225"/>
      <c r="R34" s="224"/>
      <c r="S34" s="224"/>
      <c r="T34" s="224"/>
      <c r="U34" s="224"/>
      <c r="V34" s="224"/>
      <c r="W34" s="224"/>
      <c r="X34" s="224"/>
      <c r="Y34" s="224"/>
    </row>
    <row r="35" spans="1:25" ht="14.25" customHeight="1" x14ac:dyDescent="0.3">
      <c r="A35" s="223"/>
      <c r="B35" s="223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5"/>
      <c r="Q35" s="225"/>
      <c r="R35" s="224"/>
      <c r="S35" s="224"/>
      <c r="T35" s="224"/>
      <c r="U35" s="224"/>
      <c r="V35" s="224"/>
      <c r="W35" s="224"/>
      <c r="X35" s="224"/>
      <c r="Y35" s="224"/>
    </row>
    <row r="36" spans="1:25" ht="14.25" customHeight="1" x14ac:dyDescent="0.3">
      <c r="A36" s="223"/>
      <c r="B36" s="223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5"/>
      <c r="Q36" s="225"/>
      <c r="R36" s="224"/>
      <c r="S36" s="224"/>
      <c r="T36" s="224"/>
      <c r="U36" s="224"/>
      <c r="V36" s="224"/>
      <c r="W36" s="224"/>
      <c r="X36" s="224"/>
      <c r="Y36" s="224"/>
    </row>
    <row r="37" spans="1:25" ht="14.25" customHeight="1" x14ac:dyDescent="0.3">
      <c r="A37" s="223"/>
      <c r="B37" s="223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5"/>
      <c r="Q37" s="225"/>
      <c r="R37" s="224"/>
      <c r="S37" s="224"/>
      <c r="T37" s="224"/>
      <c r="U37" s="224"/>
      <c r="V37" s="224"/>
      <c r="W37" s="224"/>
      <c r="X37" s="224"/>
      <c r="Y37" s="224"/>
    </row>
    <row r="38" spans="1:25" ht="14.25" customHeight="1" x14ac:dyDescent="0.3">
      <c r="A38" s="223"/>
      <c r="B38" s="223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5"/>
      <c r="Q38" s="225"/>
      <c r="R38" s="224"/>
      <c r="S38" s="224"/>
      <c r="T38" s="224"/>
      <c r="U38" s="224"/>
      <c r="V38" s="224"/>
      <c r="W38" s="224"/>
      <c r="X38" s="224"/>
      <c r="Y38" s="224"/>
    </row>
    <row r="39" spans="1:25" ht="14.25" customHeight="1" x14ac:dyDescent="0.3">
      <c r="A39" s="223"/>
      <c r="B39" s="223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5"/>
      <c r="Q39" s="225"/>
      <c r="R39" s="224"/>
      <c r="S39" s="224"/>
      <c r="T39" s="224"/>
      <c r="U39" s="224"/>
      <c r="V39" s="224"/>
      <c r="W39" s="224"/>
      <c r="X39" s="224"/>
      <c r="Y39" s="224"/>
    </row>
    <row r="40" spans="1:25" ht="14.25" customHeight="1" x14ac:dyDescent="0.3">
      <c r="A40" s="223"/>
      <c r="B40" s="223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5"/>
      <c r="Q40" s="225"/>
      <c r="R40" s="224"/>
      <c r="S40" s="224"/>
      <c r="T40" s="224"/>
      <c r="U40" s="224"/>
      <c r="V40" s="224"/>
      <c r="W40" s="224"/>
      <c r="X40" s="224"/>
      <c r="Y40" s="224"/>
    </row>
    <row r="41" spans="1:25" ht="14.25" customHeight="1" x14ac:dyDescent="0.3">
      <c r="A41" s="223"/>
      <c r="B41" s="223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5"/>
      <c r="Q41" s="225"/>
      <c r="R41" s="224"/>
      <c r="S41" s="224"/>
      <c r="T41" s="224"/>
      <c r="U41" s="224"/>
      <c r="V41" s="224"/>
      <c r="W41" s="224"/>
      <c r="X41" s="224"/>
      <c r="Y41" s="224"/>
    </row>
    <row r="42" spans="1:25" ht="14.25" customHeight="1" x14ac:dyDescent="0.3">
      <c r="A42" s="223"/>
      <c r="B42" s="223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5"/>
      <c r="Q42" s="225"/>
      <c r="R42" s="224"/>
      <c r="S42" s="224"/>
      <c r="T42" s="224"/>
      <c r="U42" s="224"/>
      <c r="V42" s="224"/>
      <c r="W42" s="224"/>
      <c r="X42" s="224"/>
      <c r="Y42" s="224"/>
    </row>
    <row r="43" spans="1:25" ht="14.25" customHeight="1" x14ac:dyDescent="0.3">
      <c r="A43" s="223"/>
      <c r="B43" s="223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5"/>
      <c r="Q43" s="225"/>
      <c r="R43" s="224"/>
      <c r="S43" s="224"/>
      <c r="T43" s="224"/>
      <c r="U43" s="224"/>
      <c r="V43" s="224"/>
      <c r="W43" s="224"/>
      <c r="X43" s="224"/>
      <c r="Y43" s="224"/>
    </row>
    <row r="44" spans="1:25" ht="14.25" customHeight="1" x14ac:dyDescent="0.3">
      <c r="A44" s="223"/>
      <c r="B44" s="223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5"/>
      <c r="Q44" s="225"/>
      <c r="R44" s="224"/>
      <c r="S44" s="224"/>
      <c r="T44" s="224"/>
      <c r="U44" s="224"/>
      <c r="V44" s="224"/>
      <c r="W44" s="224"/>
      <c r="X44" s="224"/>
      <c r="Y44" s="224"/>
    </row>
    <row r="45" spans="1:25" ht="14.25" customHeight="1" x14ac:dyDescent="0.3">
      <c r="A45" s="223"/>
      <c r="B45" s="223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5"/>
      <c r="Q45" s="225"/>
      <c r="R45" s="224"/>
      <c r="S45" s="224"/>
      <c r="T45" s="224"/>
      <c r="U45" s="224"/>
      <c r="V45" s="224"/>
      <c r="W45" s="224"/>
      <c r="X45" s="224"/>
      <c r="Y45" s="224"/>
    </row>
    <row r="46" spans="1:25" ht="14.25" customHeight="1" x14ac:dyDescent="0.3">
      <c r="A46" s="223"/>
      <c r="B46" s="223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5"/>
      <c r="Q46" s="225"/>
      <c r="R46" s="224"/>
      <c r="S46" s="224"/>
      <c r="T46" s="224"/>
      <c r="U46" s="224"/>
      <c r="V46" s="224"/>
      <c r="W46" s="224"/>
      <c r="X46" s="224"/>
      <c r="Y46" s="224"/>
    </row>
    <row r="47" spans="1:25" ht="14.25" customHeight="1" x14ac:dyDescent="0.3">
      <c r="A47" s="223"/>
      <c r="B47" s="223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5"/>
      <c r="Q47" s="225"/>
      <c r="R47" s="224"/>
      <c r="S47" s="224"/>
      <c r="T47" s="224"/>
      <c r="U47" s="224"/>
      <c r="V47" s="224"/>
      <c r="W47" s="224"/>
      <c r="X47" s="224"/>
      <c r="Y47" s="224"/>
    </row>
    <row r="48" spans="1:25" ht="14.25" customHeight="1" x14ac:dyDescent="0.3">
      <c r="A48" s="223"/>
      <c r="B48" s="223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5"/>
      <c r="Q48" s="225"/>
      <c r="R48" s="224"/>
      <c r="S48" s="224"/>
      <c r="T48" s="224"/>
      <c r="U48" s="224"/>
      <c r="V48" s="224"/>
      <c r="W48" s="224"/>
      <c r="X48" s="224"/>
      <c r="Y48" s="224"/>
    </row>
    <row r="49" spans="1:25" ht="14.25" customHeight="1" x14ac:dyDescent="0.3">
      <c r="A49" s="223"/>
      <c r="B49" s="223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5"/>
      <c r="Q49" s="225"/>
      <c r="R49" s="224"/>
      <c r="S49" s="224"/>
      <c r="T49" s="224"/>
      <c r="U49" s="224"/>
      <c r="V49" s="224"/>
      <c r="W49" s="224"/>
      <c r="X49" s="224"/>
      <c r="Y49" s="224"/>
    </row>
    <row r="50" spans="1:25" ht="14.25" customHeight="1" x14ac:dyDescent="0.3">
      <c r="A50" s="223"/>
      <c r="B50" s="223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5"/>
      <c r="Q50" s="225"/>
      <c r="R50" s="224"/>
      <c r="S50" s="224"/>
      <c r="T50" s="224"/>
      <c r="U50" s="224"/>
      <c r="V50" s="224"/>
      <c r="W50" s="224"/>
      <c r="X50" s="224"/>
      <c r="Y50" s="224"/>
    </row>
    <row r="51" spans="1:25" ht="14.25" customHeight="1" x14ac:dyDescent="0.3">
      <c r="A51" s="223"/>
      <c r="B51" s="223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5"/>
      <c r="Q51" s="225"/>
      <c r="R51" s="224"/>
      <c r="S51" s="224"/>
      <c r="T51" s="224"/>
      <c r="U51" s="224"/>
      <c r="V51" s="224"/>
      <c r="W51" s="224"/>
      <c r="X51" s="224"/>
      <c r="Y51" s="224"/>
    </row>
    <row r="52" spans="1:25" ht="14.25" customHeight="1" x14ac:dyDescent="0.3">
      <c r="A52" s="223"/>
      <c r="B52" s="223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5"/>
      <c r="Q52" s="225"/>
      <c r="R52" s="224"/>
      <c r="S52" s="224"/>
      <c r="T52" s="224"/>
      <c r="U52" s="224"/>
      <c r="V52" s="224"/>
      <c r="W52" s="224"/>
      <c r="X52" s="224"/>
      <c r="Y52" s="224"/>
    </row>
    <row r="53" spans="1:25" ht="14.25" customHeight="1" x14ac:dyDescent="0.3">
      <c r="A53" s="223"/>
      <c r="B53" s="223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5"/>
      <c r="Q53" s="225"/>
      <c r="R53" s="224"/>
      <c r="S53" s="224"/>
      <c r="T53" s="224"/>
      <c r="U53" s="224"/>
      <c r="V53" s="224"/>
      <c r="W53" s="224"/>
      <c r="X53" s="224"/>
      <c r="Y53" s="224"/>
    </row>
    <row r="54" spans="1:25" ht="14.25" customHeight="1" x14ac:dyDescent="0.3">
      <c r="A54" s="223"/>
      <c r="B54" s="223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5"/>
      <c r="Q54" s="225"/>
      <c r="R54" s="224"/>
      <c r="S54" s="224"/>
      <c r="T54" s="224"/>
      <c r="U54" s="224"/>
      <c r="V54" s="224"/>
      <c r="W54" s="224"/>
      <c r="X54" s="224"/>
      <c r="Y54" s="224"/>
    </row>
    <row r="55" spans="1:25" ht="14.25" customHeight="1" x14ac:dyDescent="0.3">
      <c r="A55" s="223"/>
      <c r="B55" s="223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5"/>
      <c r="Q55" s="225"/>
      <c r="R55" s="224"/>
      <c r="S55" s="224"/>
      <c r="T55" s="224"/>
      <c r="U55" s="224"/>
      <c r="V55" s="224"/>
      <c r="W55" s="224"/>
      <c r="X55" s="224"/>
      <c r="Y55" s="224"/>
    </row>
    <row r="56" spans="1:25" ht="14.25" customHeight="1" x14ac:dyDescent="0.3">
      <c r="A56" s="223"/>
      <c r="B56" s="223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5"/>
      <c r="Q56" s="225"/>
      <c r="R56" s="224"/>
      <c r="S56" s="224"/>
      <c r="T56" s="224"/>
      <c r="U56" s="224"/>
      <c r="V56" s="224"/>
      <c r="W56" s="224"/>
      <c r="X56" s="224"/>
      <c r="Y56" s="224"/>
    </row>
    <row r="57" spans="1:25" ht="14.25" customHeight="1" x14ac:dyDescent="0.3">
      <c r="A57" s="223"/>
      <c r="B57" s="223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5"/>
      <c r="Q57" s="225"/>
      <c r="R57" s="224"/>
      <c r="S57" s="224"/>
      <c r="T57" s="224"/>
      <c r="U57" s="224"/>
      <c r="V57" s="224"/>
      <c r="W57" s="224"/>
      <c r="X57" s="224"/>
      <c r="Y57" s="224"/>
    </row>
    <row r="58" spans="1:25" ht="14.25" customHeight="1" x14ac:dyDescent="0.3">
      <c r="A58" s="223"/>
      <c r="B58" s="223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5"/>
      <c r="Q58" s="225"/>
      <c r="R58" s="224"/>
      <c r="S58" s="224"/>
      <c r="T58" s="224"/>
      <c r="U58" s="224"/>
      <c r="V58" s="224"/>
      <c r="W58" s="224"/>
      <c r="X58" s="224"/>
      <c r="Y58" s="224"/>
    </row>
    <row r="59" spans="1:25" ht="14.25" customHeight="1" x14ac:dyDescent="0.3">
      <c r="A59" s="223"/>
      <c r="B59" s="223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5"/>
      <c r="Q59" s="225"/>
      <c r="R59" s="224"/>
      <c r="S59" s="224"/>
      <c r="T59" s="224"/>
      <c r="U59" s="224"/>
      <c r="V59" s="224"/>
      <c r="W59" s="224"/>
      <c r="X59" s="224"/>
      <c r="Y59" s="224"/>
    </row>
    <row r="60" spans="1:25" ht="14.25" customHeight="1" x14ac:dyDescent="0.3">
      <c r="A60" s="223"/>
      <c r="B60" s="223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5"/>
      <c r="Q60" s="225"/>
      <c r="R60" s="224"/>
      <c r="S60" s="224"/>
      <c r="T60" s="224"/>
      <c r="U60" s="224"/>
      <c r="V60" s="224"/>
      <c r="W60" s="224"/>
      <c r="X60" s="224"/>
      <c r="Y60" s="224"/>
    </row>
    <row r="61" spans="1:25" ht="14.25" customHeight="1" x14ac:dyDescent="0.3">
      <c r="A61" s="223"/>
      <c r="B61" s="223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5"/>
      <c r="Q61" s="225"/>
      <c r="R61" s="224"/>
      <c r="S61" s="224"/>
      <c r="T61" s="224"/>
      <c r="U61" s="224"/>
      <c r="V61" s="224"/>
      <c r="W61" s="224"/>
      <c r="X61" s="224"/>
      <c r="Y61" s="224"/>
    </row>
    <row r="62" spans="1:25" ht="14.25" customHeight="1" x14ac:dyDescent="0.3">
      <c r="A62" s="223"/>
      <c r="B62" s="223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5"/>
      <c r="Q62" s="225"/>
      <c r="R62" s="224"/>
      <c r="S62" s="224"/>
      <c r="T62" s="224"/>
      <c r="U62" s="224"/>
      <c r="V62" s="224"/>
      <c r="W62" s="224"/>
      <c r="X62" s="224"/>
      <c r="Y62" s="224"/>
    </row>
    <row r="63" spans="1:25" ht="14.25" customHeight="1" x14ac:dyDescent="0.3">
      <c r="A63" s="223"/>
      <c r="B63" s="223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5"/>
      <c r="Q63" s="225"/>
      <c r="R63" s="224"/>
      <c r="S63" s="224"/>
      <c r="T63" s="224"/>
      <c r="U63" s="224"/>
      <c r="V63" s="224"/>
      <c r="W63" s="224"/>
      <c r="X63" s="224"/>
      <c r="Y63" s="224"/>
    </row>
    <row r="64" spans="1:25" ht="14.25" customHeight="1" x14ac:dyDescent="0.3">
      <c r="A64" s="223"/>
      <c r="B64" s="223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5"/>
      <c r="Q64" s="225"/>
      <c r="R64" s="224"/>
      <c r="S64" s="224"/>
      <c r="T64" s="224"/>
      <c r="U64" s="224"/>
      <c r="V64" s="224"/>
      <c r="W64" s="224"/>
      <c r="X64" s="224"/>
      <c r="Y64" s="224"/>
    </row>
    <row r="65" spans="1:25" ht="14.25" customHeight="1" x14ac:dyDescent="0.3">
      <c r="A65" s="223"/>
      <c r="B65" s="223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5"/>
      <c r="Q65" s="225"/>
      <c r="R65" s="224"/>
      <c r="S65" s="224"/>
      <c r="T65" s="224"/>
      <c r="U65" s="224"/>
      <c r="V65" s="224"/>
      <c r="W65" s="224"/>
      <c r="X65" s="224"/>
      <c r="Y65" s="224"/>
    </row>
    <row r="66" spans="1:25" ht="14.25" customHeight="1" x14ac:dyDescent="0.3">
      <c r="A66" s="223"/>
      <c r="B66" s="223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25"/>
      <c r="R66" s="224"/>
      <c r="S66" s="224"/>
      <c r="T66" s="224"/>
      <c r="U66" s="224"/>
      <c r="V66" s="224"/>
      <c r="W66" s="224"/>
      <c r="X66" s="224"/>
      <c r="Y66" s="224"/>
    </row>
    <row r="67" spans="1:25" ht="14.25" customHeight="1" x14ac:dyDescent="0.3">
      <c r="A67" s="223"/>
      <c r="B67" s="223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5"/>
      <c r="Q67" s="225"/>
      <c r="R67" s="224"/>
      <c r="S67" s="224"/>
      <c r="T67" s="224"/>
      <c r="U67" s="224"/>
      <c r="V67" s="224"/>
      <c r="W67" s="224"/>
      <c r="X67" s="224"/>
      <c r="Y67" s="224"/>
    </row>
    <row r="68" spans="1:25" ht="14.25" customHeight="1" x14ac:dyDescent="0.3">
      <c r="A68" s="223"/>
      <c r="B68" s="223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5"/>
      <c r="R68" s="224"/>
      <c r="S68" s="224"/>
      <c r="T68" s="224"/>
      <c r="U68" s="224"/>
      <c r="V68" s="224"/>
      <c r="W68" s="224"/>
      <c r="X68" s="224"/>
      <c r="Y68" s="224"/>
    </row>
    <row r="69" spans="1:25" ht="14.25" customHeight="1" x14ac:dyDescent="0.3">
      <c r="A69" s="223"/>
      <c r="B69" s="223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5"/>
      <c r="Q69" s="225"/>
      <c r="R69" s="224"/>
      <c r="S69" s="224"/>
      <c r="T69" s="224"/>
      <c r="U69" s="224"/>
      <c r="V69" s="224"/>
      <c r="W69" s="224"/>
      <c r="X69" s="224"/>
      <c r="Y69" s="224"/>
    </row>
    <row r="70" spans="1:25" ht="14.25" customHeight="1" x14ac:dyDescent="0.3">
      <c r="A70" s="223"/>
      <c r="B70" s="223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5"/>
      <c r="R70" s="224"/>
      <c r="S70" s="224"/>
      <c r="T70" s="224"/>
      <c r="U70" s="224"/>
      <c r="V70" s="224"/>
      <c r="W70" s="224"/>
      <c r="X70" s="224"/>
      <c r="Y70" s="224"/>
    </row>
    <row r="71" spans="1:25" ht="14.25" customHeight="1" x14ac:dyDescent="0.3">
      <c r="A71" s="223"/>
      <c r="B71" s="223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5"/>
      <c r="Q71" s="225"/>
      <c r="R71" s="224"/>
      <c r="S71" s="224"/>
      <c r="T71" s="224"/>
      <c r="U71" s="224"/>
      <c r="V71" s="224"/>
      <c r="W71" s="224"/>
      <c r="X71" s="224"/>
      <c r="Y71" s="224"/>
    </row>
    <row r="72" spans="1:25" ht="14.25" customHeight="1" x14ac:dyDescent="0.3">
      <c r="A72" s="223"/>
      <c r="B72" s="223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5"/>
      <c r="R72" s="224"/>
      <c r="S72" s="224"/>
      <c r="T72" s="224"/>
      <c r="U72" s="224"/>
      <c r="V72" s="224"/>
      <c r="W72" s="224"/>
      <c r="X72" s="224"/>
      <c r="Y72" s="224"/>
    </row>
    <row r="73" spans="1:25" ht="14.25" customHeight="1" x14ac:dyDescent="0.3">
      <c r="A73" s="223"/>
      <c r="B73" s="223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5"/>
      <c r="Q73" s="225"/>
      <c r="R73" s="224"/>
      <c r="S73" s="224"/>
      <c r="T73" s="224"/>
      <c r="U73" s="224"/>
      <c r="V73" s="224"/>
      <c r="W73" s="224"/>
      <c r="X73" s="224"/>
      <c r="Y73" s="224"/>
    </row>
    <row r="74" spans="1:25" ht="14.25" customHeight="1" x14ac:dyDescent="0.3">
      <c r="A74" s="223"/>
      <c r="B74" s="223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5"/>
      <c r="R74" s="224"/>
      <c r="S74" s="224"/>
      <c r="T74" s="224"/>
      <c r="U74" s="224"/>
      <c r="V74" s="224"/>
      <c r="W74" s="224"/>
      <c r="X74" s="224"/>
      <c r="Y74" s="224"/>
    </row>
    <row r="75" spans="1:25" ht="14.25" customHeight="1" x14ac:dyDescent="0.3">
      <c r="A75" s="223"/>
      <c r="B75" s="223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5"/>
      <c r="Q75" s="225"/>
      <c r="R75" s="224"/>
      <c r="S75" s="224"/>
      <c r="T75" s="224"/>
      <c r="U75" s="224"/>
      <c r="V75" s="224"/>
      <c r="W75" s="224"/>
      <c r="X75" s="224"/>
      <c r="Y75" s="224"/>
    </row>
    <row r="76" spans="1:25" ht="14.25" customHeight="1" x14ac:dyDescent="0.3">
      <c r="A76" s="223"/>
      <c r="B76" s="223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5"/>
      <c r="R76" s="224"/>
      <c r="S76" s="224"/>
      <c r="T76" s="224"/>
      <c r="U76" s="224"/>
      <c r="V76" s="224"/>
      <c r="W76" s="224"/>
      <c r="X76" s="224"/>
      <c r="Y76" s="224"/>
    </row>
    <row r="77" spans="1:25" ht="14.25" customHeight="1" x14ac:dyDescent="0.3">
      <c r="A77" s="223"/>
      <c r="B77" s="223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5"/>
      <c r="Q77" s="225"/>
      <c r="R77" s="224"/>
      <c r="S77" s="224"/>
      <c r="T77" s="224"/>
      <c r="U77" s="224"/>
      <c r="V77" s="224"/>
      <c r="W77" s="224"/>
      <c r="X77" s="224"/>
      <c r="Y77" s="224"/>
    </row>
    <row r="78" spans="1:25" ht="14.25" customHeight="1" x14ac:dyDescent="0.3">
      <c r="A78" s="223"/>
      <c r="B78" s="223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5"/>
      <c r="Q78" s="225"/>
      <c r="R78" s="224"/>
      <c r="S78" s="224"/>
      <c r="T78" s="224"/>
      <c r="U78" s="224"/>
      <c r="V78" s="224"/>
      <c r="W78" s="224"/>
      <c r="X78" s="224"/>
      <c r="Y78" s="224"/>
    </row>
    <row r="79" spans="1:25" ht="14.25" customHeight="1" x14ac:dyDescent="0.3">
      <c r="A79" s="223"/>
      <c r="B79" s="223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5"/>
      <c r="Q79" s="225"/>
      <c r="R79" s="224"/>
      <c r="S79" s="224"/>
      <c r="T79" s="224"/>
      <c r="U79" s="224"/>
      <c r="V79" s="224"/>
      <c r="W79" s="224"/>
      <c r="X79" s="224"/>
      <c r="Y79" s="224"/>
    </row>
    <row r="80" spans="1:25" ht="14.25" customHeight="1" x14ac:dyDescent="0.3">
      <c r="A80" s="223"/>
      <c r="B80" s="223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5"/>
      <c r="Q80" s="225"/>
      <c r="R80" s="224"/>
      <c r="S80" s="224"/>
      <c r="T80" s="224"/>
      <c r="U80" s="224"/>
      <c r="V80" s="224"/>
      <c r="W80" s="224"/>
      <c r="X80" s="224"/>
      <c r="Y80" s="224"/>
    </row>
    <row r="81" spans="1:25" ht="14.25" customHeight="1" x14ac:dyDescent="0.3">
      <c r="A81" s="223"/>
      <c r="B81" s="223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5"/>
      <c r="Q81" s="225"/>
      <c r="R81" s="224"/>
      <c r="S81" s="224"/>
      <c r="T81" s="224"/>
      <c r="U81" s="224"/>
      <c r="V81" s="224"/>
      <c r="W81" s="224"/>
      <c r="X81" s="224"/>
      <c r="Y81" s="224"/>
    </row>
    <row r="82" spans="1:25" ht="14.25" customHeight="1" x14ac:dyDescent="0.3">
      <c r="A82" s="223"/>
      <c r="B82" s="223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5"/>
      <c r="Q82" s="225"/>
      <c r="R82" s="224"/>
      <c r="S82" s="224"/>
      <c r="T82" s="224"/>
      <c r="U82" s="224"/>
      <c r="V82" s="224"/>
      <c r="W82" s="224"/>
      <c r="X82" s="224"/>
      <c r="Y82" s="224"/>
    </row>
    <row r="83" spans="1:25" ht="14.25" customHeight="1" x14ac:dyDescent="0.3">
      <c r="A83" s="223"/>
      <c r="B83" s="223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5"/>
      <c r="Q83" s="225"/>
      <c r="R83" s="224"/>
      <c r="S83" s="224"/>
      <c r="T83" s="224"/>
      <c r="U83" s="224"/>
      <c r="V83" s="224"/>
      <c r="W83" s="224"/>
      <c r="X83" s="224"/>
      <c r="Y83" s="224"/>
    </row>
    <row r="84" spans="1:25" ht="14.25" customHeight="1" x14ac:dyDescent="0.3">
      <c r="A84" s="223"/>
      <c r="B84" s="223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5"/>
      <c r="Q84" s="225"/>
      <c r="R84" s="224"/>
      <c r="S84" s="224"/>
      <c r="T84" s="224"/>
      <c r="U84" s="224"/>
      <c r="V84" s="224"/>
      <c r="W84" s="224"/>
      <c r="X84" s="224"/>
      <c r="Y84" s="224"/>
    </row>
    <row r="85" spans="1:25" ht="14.25" customHeight="1" x14ac:dyDescent="0.3">
      <c r="A85" s="223"/>
      <c r="B85" s="223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5"/>
      <c r="Q85" s="225"/>
      <c r="R85" s="224"/>
      <c r="S85" s="224"/>
      <c r="T85" s="224"/>
      <c r="U85" s="224"/>
      <c r="V85" s="224"/>
      <c r="W85" s="224"/>
      <c r="X85" s="224"/>
      <c r="Y85" s="224"/>
    </row>
    <row r="86" spans="1:25" ht="14.25" customHeight="1" x14ac:dyDescent="0.3">
      <c r="A86" s="223"/>
      <c r="B86" s="223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5"/>
      <c r="Q86" s="225"/>
      <c r="R86" s="224"/>
      <c r="S86" s="224"/>
      <c r="T86" s="224"/>
      <c r="U86" s="224"/>
      <c r="V86" s="224"/>
      <c r="W86" s="224"/>
      <c r="X86" s="224"/>
      <c r="Y86" s="224"/>
    </row>
    <row r="87" spans="1:25" ht="14.25" customHeight="1" x14ac:dyDescent="0.3">
      <c r="A87" s="223"/>
      <c r="B87" s="223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5"/>
      <c r="Q87" s="225"/>
      <c r="R87" s="224"/>
      <c r="S87" s="224"/>
      <c r="T87" s="224"/>
      <c r="U87" s="224"/>
      <c r="V87" s="224"/>
      <c r="W87" s="224"/>
      <c r="X87" s="224"/>
      <c r="Y87" s="224"/>
    </row>
    <row r="88" spans="1:25" ht="14.25" customHeight="1" x14ac:dyDescent="0.3">
      <c r="A88" s="223"/>
      <c r="B88" s="223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5"/>
      <c r="Q88" s="225"/>
      <c r="R88" s="224"/>
      <c r="S88" s="224"/>
      <c r="T88" s="224"/>
      <c r="U88" s="224"/>
      <c r="V88" s="224"/>
      <c r="W88" s="224"/>
      <c r="X88" s="224"/>
      <c r="Y88" s="224"/>
    </row>
    <row r="89" spans="1:25" ht="14.25" customHeight="1" x14ac:dyDescent="0.3">
      <c r="A89" s="223"/>
      <c r="B89" s="223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5"/>
      <c r="Q89" s="225"/>
      <c r="R89" s="224"/>
      <c r="S89" s="224"/>
      <c r="T89" s="224"/>
      <c r="U89" s="224"/>
      <c r="V89" s="224"/>
      <c r="W89" s="224"/>
      <c r="X89" s="224"/>
      <c r="Y89" s="224"/>
    </row>
    <row r="90" spans="1:25" ht="14.25" customHeight="1" x14ac:dyDescent="0.3">
      <c r="A90" s="223"/>
      <c r="B90" s="223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5"/>
      <c r="Q90" s="225"/>
      <c r="R90" s="224"/>
      <c r="S90" s="224"/>
      <c r="T90" s="224"/>
      <c r="U90" s="224"/>
      <c r="V90" s="224"/>
      <c r="W90" s="224"/>
      <c r="X90" s="224"/>
      <c r="Y90" s="224"/>
    </row>
    <row r="91" spans="1:25" ht="14.25" customHeight="1" x14ac:dyDescent="0.3">
      <c r="A91" s="223"/>
      <c r="B91" s="223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5"/>
      <c r="Q91" s="225"/>
      <c r="R91" s="224"/>
      <c r="S91" s="224"/>
      <c r="T91" s="224"/>
      <c r="U91" s="224"/>
      <c r="V91" s="224"/>
      <c r="W91" s="224"/>
      <c r="X91" s="224"/>
      <c r="Y91" s="224"/>
    </row>
    <row r="92" spans="1:25" ht="14.25" customHeight="1" x14ac:dyDescent="0.3">
      <c r="A92" s="223"/>
      <c r="B92" s="223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5"/>
      <c r="Q92" s="225"/>
      <c r="R92" s="224"/>
      <c r="S92" s="224"/>
      <c r="T92" s="224"/>
      <c r="U92" s="224"/>
      <c r="V92" s="224"/>
      <c r="W92" s="224"/>
      <c r="X92" s="224"/>
      <c r="Y92" s="224"/>
    </row>
    <row r="93" spans="1:25" ht="14.25" customHeight="1" x14ac:dyDescent="0.3">
      <c r="A93" s="223"/>
      <c r="B93" s="223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5"/>
      <c r="Q93" s="225"/>
      <c r="R93" s="224"/>
      <c r="S93" s="224"/>
      <c r="T93" s="224"/>
      <c r="U93" s="224"/>
      <c r="V93" s="224"/>
      <c r="W93" s="224"/>
      <c r="X93" s="224"/>
      <c r="Y93" s="224"/>
    </row>
    <row r="94" spans="1:25" ht="14.25" customHeight="1" x14ac:dyDescent="0.3">
      <c r="A94" s="223"/>
      <c r="B94" s="223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5"/>
      <c r="Q94" s="225"/>
      <c r="R94" s="224"/>
      <c r="S94" s="224"/>
      <c r="T94" s="224"/>
      <c r="U94" s="224"/>
      <c r="V94" s="224"/>
      <c r="W94" s="224"/>
      <c r="X94" s="224"/>
      <c r="Y94" s="224"/>
    </row>
    <row r="95" spans="1:25" ht="14.25" customHeight="1" x14ac:dyDescent="0.3">
      <c r="A95" s="223"/>
      <c r="B95" s="223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5"/>
      <c r="Q95" s="225"/>
      <c r="R95" s="224"/>
      <c r="S95" s="224"/>
      <c r="T95" s="224"/>
      <c r="U95" s="224"/>
      <c r="V95" s="224"/>
      <c r="W95" s="224"/>
      <c r="X95" s="224"/>
      <c r="Y95" s="224"/>
    </row>
    <row r="96" spans="1:25" ht="14.25" customHeight="1" x14ac:dyDescent="0.3">
      <c r="A96" s="223"/>
      <c r="B96" s="223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5"/>
      <c r="Q96" s="225"/>
      <c r="R96" s="224"/>
      <c r="S96" s="224"/>
      <c r="T96" s="224"/>
      <c r="U96" s="224"/>
      <c r="V96" s="224"/>
      <c r="W96" s="224"/>
      <c r="X96" s="224"/>
      <c r="Y96" s="224"/>
    </row>
    <row r="97" spans="1:25" ht="14.25" customHeight="1" x14ac:dyDescent="0.3">
      <c r="A97" s="223"/>
      <c r="B97" s="223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5"/>
      <c r="Q97" s="225"/>
      <c r="R97" s="224"/>
      <c r="S97" s="224"/>
      <c r="T97" s="224"/>
      <c r="U97" s="224"/>
      <c r="V97" s="224"/>
      <c r="W97" s="224"/>
      <c r="X97" s="224"/>
      <c r="Y97" s="224"/>
    </row>
    <row r="98" spans="1:25" ht="14.25" customHeight="1" x14ac:dyDescent="0.3">
      <c r="A98" s="223"/>
      <c r="B98" s="223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5"/>
      <c r="Q98" s="225"/>
      <c r="R98" s="224"/>
      <c r="S98" s="224"/>
      <c r="T98" s="224"/>
      <c r="U98" s="224"/>
      <c r="V98" s="224"/>
      <c r="W98" s="224"/>
      <c r="X98" s="224"/>
      <c r="Y98" s="224"/>
    </row>
    <row r="99" spans="1:25" ht="14.25" customHeight="1" x14ac:dyDescent="0.3">
      <c r="A99" s="223"/>
      <c r="B99" s="223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5"/>
      <c r="Q99" s="225"/>
      <c r="R99" s="224"/>
      <c r="S99" s="224"/>
      <c r="T99" s="224"/>
      <c r="U99" s="224"/>
      <c r="V99" s="224"/>
      <c r="W99" s="224"/>
      <c r="X99" s="224"/>
      <c r="Y99" s="224"/>
    </row>
    <row r="100" spans="1:25" ht="14.25" customHeight="1" x14ac:dyDescent="0.3">
      <c r="A100" s="223"/>
      <c r="B100" s="223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5"/>
      <c r="Q100" s="225"/>
      <c r="R100" s="224"/>
      <c r="S100" s="224"/>
      <c r="T100" s="224"/>
      <c r="U100" s="224"/>
      <c r="V100" s="224"/>
      <c r="W100" s="224"/>
      <c r="X100" s="224"/>
      <c r="Y100" s="224"/>
    </row>
    <row r="101" spans="1:25" ht="14.25" customHeight="1" x14ac:dyDescent="0.3">
      <c r="A101" s="223"/>
      <c r="B101" s="223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5"/>
      <c r="Q101" s="225"/>
      <c r="R101" s="224"/>
      <c r="S101" s="224"/>
      <c r="T101" s="224"/>
      <c r="U101" s="224"/>
      <c r="V101" s="224"/>
      <c r="W101" s="224"/>
      <c r="X101" s="224"/>
      <c r="Y101" s="224"/>
    </row>
    <row r="102" spans="1:25" ht="14.25" customHeight="1" x14ac:dyDescent="0.3">
      <c r="A102" s="223"/>
      <c r="B102" s="223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5"/>
      <c r="Q102" s="225"/>
      <c r="R102" s="224"/>
      <c r="S102" s="224"/>
      <c r="T102" s="224"/>
      <c r="U102" s="224"/>
      <c r="V102" s="224"/>
      <c r="W102" s="224"/>
      <c r="X102" s="224"/>
      <c r="Y102" s="224"/>
    </row>
    <row r="103" spans="1:25" ht="14.25" customHeight="1" x14ac:dyDescent="0.3">
      <c r="A103" s="223"/>
      <c r="B103" s="223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5"/>
      <c r="Q103" s="225"/>
      <c r="R103" s="224"/>
      <c r="S103" s="224"/>
      <c r="T103" s="224"/>
      <c r="U103" s="224"/>
      <c r="V103" s="224"/>
      <c r="W103" s="224"/>
      <c r="X103" s="224"/>
      <c r="Y103" s="224"/>
    </row>
    <row r="104" spans="1:25" ht="14.25" customHeight="1" x14ac:dyDescent="0.3">
      <c r="A104" s="223"/>
      <c r="B104" s="223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5"/>
      <c r="Q104" s="225"/>
      <c r="R104" s="224"/>
      <c r="S104" s="224"/>
      <c r="T104" s="224"/>
      <c r="U104" s="224"/>
      <c r="V104" s="224"/>
      <c r="W104" s="224"/>
      <c r="X104" s="224"/>
      <c r="Y104" s="224"/>
    </row>
    <row r="105" spans="1:25" ht="14.25" customHeight="1" x14ac:dyDescent="0.3">
      <c r="A105" s="223"/>
      <c r="B105" s="223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5"/>
      <c r="Q105" s="225"/>
      <c r="R105" s="224"/>
      <c r="S105" s="224"/>
      <c r="T105" s="224"/>
      <c r="U105" s="224"/>
      <c r="V105" s="224"/>
      <c r="W105" s="224"/>
      <c r="X105" s="224"/>
      <c r="Y105" s="224"/>
    </row>
    <row r="106" spans="1:25" ht="14.25" customHeight="1" x14ac:dyDescent="0.3">
      <c r="A106" s="223"/>
      <c r="B106" s="223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5"/>
      <c r="Q106" s="225"/>
      <c r="R106" s="224"/>
      <c r="S106" s="224"/>
      <c r="T106" s="224"/>
      <c r="U106" s="224"/>
      <c r="V106" s="224"/>
      <c r="W106" s="224"/>
      <c r="X106" s="224"/>
      <c r="Y106" s="224"/>
    </row>
    <row r="107" spans="1:25" ht="14.25" customHeight="1" x14ac:dyDescent="0.3">
      <c r="A107" s="223"/>
      <c r="B107" s="223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5"/>
      <c r="Q107" s="225"/>
      <c r="R107" s="224"/>
      <c r="S107" s="224"/>
      <c r="T107" s="224"/>
      <c r="U107" s="224"/>
      <c r="V107" s="224"/>
      <c r="W107" s="224"/>
      <c r="X107" s="224"/>
      <c r="Y107" s="224"/>
    </row>
    <row r="108" spans="1:25" ht="14.25" customHeight="1" x14ac:dyDescent="0.3">
      <c r="A108" s="223"/>
      <c r="B108" s="223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5"/>
      <c r="Q108" s="225"/>
      <c r="R108" s="224"/>
      <c r="S108" s="224"/>
      <c r="T108" s="224"/>
      <c r="U108" s="224"/>
      <c r="V108" s="224"/>
      <c r="W108" s="224"/>
      <c r="X108" s="224"/>
      <c r="Y108" s="224"/>
    </row>
    <row r="109" spans="1:25" ht="14.25" customHeight="1" x14ac:dyDescent="0.3">
      <c r="A109" s="223"/>
      <c r="B109" s="223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5"/>
      <c r="Q109" s="225"/>
      <c r="R109" s="224"/>
      <c r="S109" s="224"/>
      <c r="T109" s="224"/>
      <c r="U109" s="224"/>
      <c r="V109" s="224"/>
      <c r="W109" s="224"/>
      <c r="X109" s="224"/>
      <c r="Y109" s="224"/>
    </row>
    <row r="110" spans="1:25" ht="14.25" customHeight="1" x14ac:dyDescent="0.3">
      <c r="A110" s="223"/>
      <c r="B110" s="223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5"/>
      <c r="Q110" s="225"/>
      <c r="R110" s="224"/>
      <c r="S110" s="224"/>
      <c r="T110" s="224"/>
      <c r="U110" s="224"/>
      <c r="V110" s="224"/>
      <c r="W110" s="224"/>
      <c r="X110" s="224"/>
      <c r="Y110" s="224"/>
    </row>
    <row r="111" spans="1:25" ht="14.25" customHeight="1" x14ac:dyDescent="0.3">
      <c r="A111" s="223"/>
      <c r="B111" s="223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5"/>
      <c r="Q111" s="225"/>
      <c r="R111" s="224"/>
      <c r="S111" s="224"/>
      <c r="T111" s="224"/>
      <c r="U111" s="224"/>
      <c r="V111" s="224"/>
      <c r="W111" s="224"/>
      <c r="X111" s="224"/>
      <c r="Y111" s="224"/>
    </row>
    <row r="112" spans="1:25" ht="14.25" customHeight="1" x14ac:dyDescent="0.3">
      <c r="A112" s="223"/>
      <c r="B112" s="223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5"/>
      <c r="Q112" s="225"/>
      <c r="R112" s="224"/>
      <c r="S112" s="224"/>
      <c r="T112" s="224"/>
      <c r="U112" s="224"/>
      <c r="V112" s="224"/>
      <c r="W112" s="224"/>
      <c r="X112" s="224"/>
      <c r="Y112" s="224"/>
    </row>
    <row r="113" spans="1:25" ht="14.25" customHeight="1" x14ac:dyDescent="0.3">
      <c r="A113" s="223"/>
      <c r="B113" s="223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5"/>
      <c r="Q113" s="225"/>
      <c r="R113" s="224"/>
      <c r="S113" s="224"/>
      <c r="T113" s="224"/>
      <c r="U113" s="224"/>
      <c r="V113" s="224"/>
      <c r="W113" s="224"/>
      <c r="X113" s="224"/>
      <c r="Y113" s="224"/>
    </row>
    <row r="114" spans="1:25" ht="14.25" customHeight="1" x14ac:dyDescent="0.3">
      <c r="A114" s="223"/>
      <c r="B114" s="223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5"/>
      <c r="Q114" s="225"/>
      <c r="R114" s="224"/>
      <c r="S114" s="224"/>
      <c r="T114" s="224"/>
      <c r="U114" s="224"/>
      <c r="V114" s="224"/>
      <c r="W114" s="224"/>
      <c r="X114" s="224"/>
      <c r="Y114" s="224"/>
    </row>
    <row r="115" spans="1:25" ht="14.25" customHeight="1" x14ac:dyDescent="0.3">
      <c r="A115" s="223"/>
      <c r="B115" s="223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5"/>
      <c r="Q115" s="225"/>
      <c r="R115" s="224"/>
      <c r="S115" s="224"/>
      <c r="T115" s="224"/>
      <c r="U115" s="224"/>
      <c r="V115" s="224"/>
      <c r="W115" s="224"/>
      <c r="X115" s="224"/>
      <c r="Y115" s="224"/>
    </row>
    <row r="116" spans="1:25" ht="14.25" customHeight="1" x14ac:dyDescent="0.3">
      <c r="A116" s="223"/>
      <c r="B116" s="223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5"/>
      <c r="Q116" s="225"/>
      <c r="R116" s="224"/>
      <c r="S116" s="224"/>
      <c r="T116" s="224"/>
      <c r="U116" s="224"/>
      <c r="V116" s="224"/>
      <c r="W116" s="224"/>
      <c r="X116" s="224"/>
      <c r="Y116" s="224"/>
    </row>
    <row r="117" spans="1:25" ht="14.25" customHeight="1" x14ac:dyDescent="0.3">
      <c r="A117" s="223"/>
      <c r="B117" s="223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5"/>
      <c r="Q117" s="225"/>
      <c r="R117" s="224"/>
      <c r="S117" s="224"/>
      <c r="T117" s="224"/>
      <c r="U117" s="224"/>
      <c r="V117" s="224"/>
      <c r="W117" s="224"/>
      <c r="X117" s="224"/>
      <c r="Y117" s="224"/>
    </row>
    <row r="118" spans="1:25" ht="14.25" customHeight="1" x14ac:dyDescent="0.3">
      <c r="A118" s="223"/>
      <c r="B118" s="223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5"/>
      <c r="Q118" s="225"/>
      <c r="R118" s="224"/>
      <c r="S118" s="224"/>
      <c r="T118" s="224"/>
      <c r="U118" s="224"/>
      <c r="V118" s="224"/>
      <c r="W118" s="224"/>
      <c r="X118" s="224"/>
      <c r="Y118" s="224"/>
    </row>
    <row r="119" spans="1:25" ht="14.25" customHeight="1" x14ac:dyDescent="0.3">
      <c r="A119" s="223"/>
      <c r="B119" s="223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5"/>
      <c r="Q119" s="225"/>
      <c r="R119" s="224"/>
      <c r="S119" s="224"/>
      <c r="T119" s="224"/>
      <c r="U119" s="224"/>
      <c r="V119" s="224"/>
      <c r="W119" s="224"/>
      <c r="X119" s="224"/>
      <c r="Y119" s="224"/>
    </row>
    <row r="120" spans="1:25" ht="14.25" customHeight="1" x14ac:dyDescent="0.3">
      <c r="A120" s="223"/>
      <c r="B120" s="223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5"/>
      <c r="Q120" s="225"/>
      <c r="R120" s="224"/>
      <c r="S120" s="224"/>
      <c r="T120" s="224"/>
      <c r="U120" s="224"/>
      <c r="V120" s="224"/>
      <c r="W120" s="224"/>
      <c r="X120" s="224"/>
      <c r="Y120" s="224"/>
    </row>
    <row r="121" spans="1:25" ht="14.25" customHeight="1" x14ac:dyDescent="0.3">
      <c r="A121" s="223"/>
      <c r="B121" s="223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5"/>
      <c r="Q121" s="225"/>
      <c r="R121" s="224"/>
      <c r="S121" s="224"/>
      <c r="T121" s="224"/>
      <c r="U121" s="224"/>
      <c r="V121" s="224"/>
      <c r="W121" s="224"/>
      <c r="X121" s="224"/>
      <c r="Y121" s="224"/>
    </row>
    <row r="122" spans="1:25" ht="14.25" customHeight="1" x14ac:dyDescent="0.3">
      <c r="A122" s="223"/>
      <c r="B122" s="223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5"/>
      <c r="Q122" s="225"/>
      <c r="R122" s="224"/>
      <c r="S122" s="224"/>
      <c r="T122" s="224"/>
      <c r="U122" s="224"/>
      <c r="V122" s="224"/>
      <c r="W122" s="224"/>
      <c r="X122" s="224"/>
      <c r="Y122" s="224"/>
    </row>
    <row r="123" spans="1:25" ht="14.25" customHeight="1" x14ac:dyDescent="0.3">
      <c r="A123" s="223"/>
      <c r="B123" s="223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5"/>
      <c r="Q123" s="225"/>
      <c r="R123" s="224"/>
      <c r="S123" s="224"/>
      <c r="T123" s="224"/>
      <c r="U123" s="224"/>
      <c r="V123" s="224"/>
      <c r="W123" s="224"/>
      <c r="X123" s="224"/>
      <c r="Y123" s="224"/>
    </row>
    <row r="124" spans="1:25" ht="14.25" customHeight="1" x14ac:dyDescent="0.3">
      <c r="A124" s="223"/>
      <c r="B124" s="223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5"/>
      <c r="Q124" s="225"/>
      <c r="R124" s="224"/>
      <c r="S124" s="224"/>
      <c r="T124" s="224"/>
      <c r="U124" s="224"/>
      <c r="V124" s="224"/>
      <c r="W124" s="224"/>
      <c r="X124" s="224"/>
      <c r="Y124" s="224"/>
    </row>
    <row r="125" spans="1:25" ht="14.25" customHeight="1" x14ac:dyDescent="0.3">
      <c r="A125" s="223"/>
      <c r="B125" s="223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5"/>
      <c r="Q125" s="225"/>
      <c r="R125" s="224"/>
      <c r="S125" s="224"/>
      <c r="T125" s="224"/>
      <c r="U125" s="224"/>
      <c r="V125" s="224"/>
      <c r="W125" s="224"/>
      <c r="X125" s="224"/>
      <c r="Y125" s="224"/>
    </row>
    <row r="126" spans="1:25" ht="14.25" customHeight="1" x14ac:dyDescent="0.3">
      <c r="A126" s="223"/>
      <c r="B126" s="223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5"/>
      <c r="Q126" s="225"/>
      <c r="R126" s="224"/>
      <c r="S126" s="224"/>
      <c r="T126" s="224"/>
      <c r="U126" s="224"/>
      <c r="V126" s="224"/>
      <c r="W126" s="224"/>
      <c r="X126" s="224"/>
      <c r="Y126" s="224"/>
    </row>
    <row r="127" spans="1:25" ht="14.25" customHeight="1" x14ac:dyDescent="0.3">
      <c r="A127" s="223"/>
      <c r="B127" s="223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5"/>
      <c r="Q127" s="225"/>
      <c r="R127" s="224"/>
      <c r="S127" s="224"/>
      <c r="T127" s="224"/>
      <c r="U127" s="224"/>
      <c r="V127" s="224"/>
      <c r="W127" s="224"/>
      <c r="X127" s="224"/>
      <c r="Y127" s="224"/>
    </row>
    <row r="128" spans="1:25" ht="14.25" customHeight="1" x14ac:dyDescent="0.3">
      <c r="A128" s="223"/>
      <c r="B128" s="223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5"/>
      <c r="Q128" s="225"/>
      <c r="R128" s="224"/>
      <c r="S128" s="224"/>
      <c r="T128" s="224"/>
      <c r="U128" s="224"/>
      <c r="V128" s="224"/>
      <c r="W128" s="224"/>
      <c r="X128" s="224"/>
      <c r="Y128" s="224"/>
    </row>
    <row r="129" spans="1:25" ht="14.25" customHeight="1" x14ac:dyDescent="0.3">
      <c r="A129" s="223"/>
      <c r="B129" s="223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5"/>
      <c r="Q129" s="225"/>
      <c r="R129" s="224"/>
      <c r="S129" s="224"/>
      <c r="T129" s="224"/>
      <c r="U129" s="224"/>
      <c r="V129" s="224"/>
      <c r="W129" s="224"/>
      <c r="X129" s="224"/>
      <c r="Y129" s="224"/>
    </row>
    <row r="130" spans="1:25" ht="14.25" customHeight="1" x14ac:dyDescent="0.3">
      <c r="A130" s="223"/>
      <c r="B130" s="223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5"/>
      <c r="Q130" s="225"/>
      <c r="R130" s="224"/>
      <c r="S130" s="224"/>
      <c r="T130" s="224"/>
      <c r="U130" s="224"/>
      <c r="V130" s="224"/>
      <c r="W130" s="224"/>
      <c r="X130" s="224"/>
      <c r="Y130" s="224"/>
    </row>
    <row r="131" spans="1:25" ht="14.25" customHeight="1" x14ac:dyDescent="0.3">
      <c r="A131" s="223"/>
      <c r="B131" s="223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5"/>
      <c r="Q131" s="225"/>
      <c r="R131" s="224"/>
      <c r="S131" s="224"/>
      <c r="T131" s="224"/>
      <c r="U131" s="224"/>
      <c r="V131" s="224"/>
      <c r="W131" s="224"/>
      <c r="X131" s="224"/>
      <c r="Y131" s="224"/>
    </row>
    <row r="132" spans="1:25" ht="14.25" customHeight="1" x14ac:dyDescent="0.3">
      <c r="A132" s="223"/>
      <c r="B132" s="223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5"/>
      <c r="Q132" s="225"/>
      <c r="R132" s="224"/>
      <c r="S132" s="224"/>
      <c r="T132" s="224"/>
      <c r="U132" s="224"/>
      <c r="V132" s="224"/>
      <c r="W132" s="224"/>
      <c r="X132" s="224"/>
      <c r="Y132" s="224"/>
    </row>
    <row r="133" spans="1:25" ht="14.25" customHeight="1" x14ac:dyDescent="0.3">
      <c r="A133" s="223"/>
      <c r="B133" s="223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5"/>
      <c r="Q133" s="225"/>
      <c r="R133" s="224"/>
      <c r="S133" s="224"/>
      <c r="T133" s="224"/>
      <c r="U133" s="224"/>
      <c r="V133" s="224"/>
      <c r="W133" s="224"/>
      <c r="X133" s="224"/>
      <c r="Y133" s="224"/>
    </row>
    <row r="134" spans="1:25" ht="14.25" customHeight="1" x14ac:dyDescent="0.3">
      <c r="A134" s="223"/>
      <c r="B134" s="223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5"/>
      <c r="Q134" s="225"/>
      <c r="R134" s="224"/>
      <c r="S134" s="224"/>
      <c r="T134" s="224"/>
      <c r="U134" s="224"/>
      <c r="V134" s="224"/>
      <c r="W134" s="224"/>
      <c r="X134" s="224"/>
      <c r="Y134" s="224"/>
    </row>
    <row r="135" spans="1:25" ht="14.25" customHeight="1" x14ac:dyDescent="0.3">
      <c r="A135" s="223"/>
      <c r="B135" s="223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5"/>
      <c r="Q135" s="225"/>
      <c r="R135" s="224"/>
      <c r="S135" s="224"/>
      <c r="T135" s="224"/>
      <c r="U135" s="224"/>
      <c r="V135" s="224"/>
      <c r="W135" s="224"/>
      <c r="X135" s="224"/>
      <c r="Y135" s="224"/>
    </row>
    <row r="136" spans="1:25" ht="14.25" customHeight="1" x14ac:dyDescent="0.3">
      <c r="A136" s="223"/>
      <c r="B136" s="223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5"/>
      <c r="Q136" s="225"/>
      <c r="R136" s="224"/>
      <c r="S136" s="224"/>
      <c r="T136" s="224"/>
      <c r="U136" s="224"/>
      <c r="V136" s="224"/>
      <c r="W136" s="224"/>
      <c r="X136" s="224"/>
      <c r="Y136" s="224"/>
    </row>
    <row r="137" spans="1:25" ht="14.25" customHeight="1" x14ac:dyDescent="0.3">
      <c r="A137" s="223"/>
      <c r="B137" s="223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5"/>
      <c r="Q137" s="225"/>
      <c r="R137" s="224"/>
      <c r="S137" s="224"/>
      <c r="T137" s="224"/>
      <c r="U137" s="224"/>
      <c r="V137" s="224"/>
      <c r="W137" s="224"/>
      <c r="X137" s="224"/>
      <c r="Y137" s="224"/>
    </row>
    <row r="138" spans="1:25" ht="14.25" customHeight="1" x14ac:dyDescent="0.3">
      <c r="A138" s="223"/>
      <c r="B138" s="223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5"/>
      <c r="Q138" s="225"/>
      <c r="R138" s="224"/>
      <c r="S138" s="224"/>
      <c r="T138" s="224"/>
      <c r="U138" s="224"/>
      <c r="V138" s="224"/>
      <c r="W138" s="224"/>
      <c r="X138" s="224"/>
      <c r="Y138" s="224"/>
    </row>
    <row r="139" spans="1:25" ht="14.25" customHeight="1" x14ac:dyDescent="0.3">
      <c r="A139" s="223"/>
      <c r="B139" s="223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5"/>
      <c r="Q139" s="225"/>
      <c r="R139" s="224"/>
      <c r="S139" s="224"/>
      <c r="T139" s="224"/>
      <c r="U139" s="224"/>
      <c r="V139" s="224"/>
      <c r="W139" s="224"/>
      <c r="X139" s="224"/>
      <c r="Y139" s="224"/>
    </row>
    <row r="140" spans="1:25" ht="14.25" customHeight="1" x14ac:dyDescent="0.3">
      <c r="A140" s="223"/>
      <c r="B140" s="223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5"/>
      <c r="Q140" s="225"/>
      <c r="R140" s="224"/>
      <c r="S140" s="224"/>
      <c r="T140" s="224"/>
      <c r="U140" s="224"/>
      <c r="V140" s="224"/>
      <c r="W140" s="224"/>
      <c r="X140" s="224"/>
      <c r="Y140" s="224"/>
    </row>
    <row r="141" spans="1:25" ht="14.25" customHeight="1" x14ac:dyDescent="0.3">
      <c r="A141" s="223"/>
      <c r="B141" s="223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5"/>
      <c r="Q141" s="225"/>
      <c r="R141" s="224"/>
      <c r="S141" s="224"/>
      <c r="T141" s="224"/>
      <c r="U141" s="224"/>
      <c r="V141" s="224"/>
      <c r="W141" s="224"/>
      <c r="X141" s="224"/>
      <c r="Y141" s="224"/>
    </row>
    <row r="142" spans="1:25" ht="14.25" customHeight="1" x14ac:dyDescent="0.3">
      <c r="A142" s="223"/>
      <c r="B142" s="223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5"/>
      <c r="Q142" s="225"/>
      <c r="R142" s="224"/>
      <c r="S142" s="224"/>
      <c r="T142" s="224"/>
      <c r="U142" s="224"/>
      <c r="V142" s="224"/>
      <c r="W142" s="224"/>
      <c r="X142" s="224"/>
      <c r="Y142" s="224"/>
    </row>
    <row r="143" spans="1:25" ht="14.25" customHeight="1" x14ac:dyDescent="0.3">
      <c r="A143" s="223"/>
      <c r="B143" s="223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5"/>
      <c r="Q143" s="225"/>
      <c r="R143" s="224"/>
      <c r="S143" s="224"/>
      <c r="T143" s="224"/>
      <c r="U143" s="224"/>
      <c r="V143" s="224"/>
      <c r="W143" s="224"/>
      <c r="X143" s="224"/>
      <c r="Y143" s="224"/>
    </row>
    <row r="144" spans="1:25" ht="14.25" customHeight="1" x14ac:dyDescent="0.3">
      <c r="A144" s="223"/>
      <c r="B144" s="223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5"/>
      <c r="Q144" s="225"/>
      <c r="R144" s="224"/>
      <c r="S144" s="224"/>
      <c r="T144" s="224"/>
      <c r="U144" s="224"/>
      <c r="V144" s="224"/>
      <c r="W144" s="224"/>
      <c r="X144" s="224"/>
      <c r="Y144" s="224"/>
    </row>
    <row r="145" spans="1:25" ht="14.25" customHeight="1" x14ac:dyDescent="0.3">
      <c r="A145" s="223"/>
      <c r="B145" s="223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5"/>
      <c r="Q145" s="225"/>
      <c r="R145" s="224"/>
      <c r="S145" s="224"/>
      <c r="T145" s="224"/>
      <c r="U145" s="224"/>
      <c r="V145" s="224"/>
      <c r="W145" s="224"/>
      <c r="X145" s="224"/>
      <c r="Y145" s="224"/>
    </row>
    <row r="146" spans="1:25" ht="14.25" customHeight="1" x14ac:dyDescent="0.3">
      <c r="A146" s="223"/>
      <c r="B146" s="223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5"/>
      <c r="Q146" s="225"/>
      <c r="R146" s="224"/>
      <c r="S146" s="224"/>
      <c r="T146" s="224"/>
      <c r="U146" s="224"/>
      <c r="V146" s="224"/>
      <c r="W146" s="224"/>
      <c r="X146" s="224"/>
      <c r="Y146" s="224"/>
    </row>
    <row r="147" spans="1:25" ht="14.25" customHeight="1" x14ac:dyDescent="0.3">
      <c r="A147" s="223"/>
      <c r="B147" s="223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5"/>
      <c r="Q147" s="225"/>
      <c r="R147" s="224"/>
      <c r="S147" s="224"/>
      <c r="T147" s="224"/>
      <c r="U147" s="224"/>
      <c r="V147" s="224"/>
      <c r="W147" s="224"/>
      <c r="X147" s="224"/>
      <c r="Y147" s="224"/>
    </row>
    <row r="148" spans="1:25" ht="14.25" customHeight="1" x14ac:dyDescent="0.3">
      <c r="A148" s="223"/>
      <c r="B148" s="223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5"/>
      <c r="Q148" s="225"/>
      <c r="R148" s="224"/>
      <c r="S148" s="224"/>
      <c r="T148" s="224"/>
      <c r="U148" s="224"/>
      <c r="V148" s="224"/>
      <c r="W148" s="224"/>
      <c r="X148" s="224"/>
      <c r="Y148" s="224"/>
    </row>
    <row r="149" spans="1:25" ht="14.25" customHeight="1" x14ac:dyDescent="0.3">
      <c r="A149" s="223"/>
      <c r="B149" s="223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5"/>
      <c r="Q149" s="225"/>
      <c r="R149" s="224"/>
      <c r="S149" s="224"/>
      <c r="T149" s="224"/>
      <c r="U149" s="224"/>
      <c r="V149" s="224"/>
      <c r="W149" s="224"/>
      <c r="X149" s="224"/>
      <c r="Y149" s="224"/>
    </row>
    <row r="150" spans="1:25" ht="14.25" customHeight="1" x14ac:dyDescent="0.3">
      <c r="A150" s="223"/>
      <c r="B150" s="223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5"/>
      <c r="Q150" s="225"/>
      <c r="R150" s="224"/>
      <c r="S150" s="224"/>
      <c r="T150" s="224"/>
      <c r="U150" s="224"/>
      <c r="V150" s="224"/>
      <c r="W150" s="224"/>
      <c r="X150" s="224"/>
      <c r="Y150" s="224"/>
    </row>
    <row r="151" spans="1:25" ht="14.25" customHeight="1" x14ac:dyDescent="0.3">
      <c r="A151" s="223"/>
      <c r="B151" s="223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5"/>
      <c r="Q151" s="225"/>
      <c r="R151" s="224"/>
      <c r="S151" s="224"/>
      <c r="T151" s="224"/>
      <c r="U151" s="224"/>
      <c r="V151" s="224"/>
      <c r="W151" s="224"/>
      <c r="X151" s="224"/>
      <c r="Y151" s="224"/>
    </row>
    <row r="152" spans="1:25" ht="14.25" customHeight="1" x14ac:dyDescent="0.3">
      <c r="A152" s="223"/>
      <c r="B152" s="223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5"/>
      <c r="Q152" s="225"/>
      <c r="R152" s="224"/>
      <c r="S152" s="224"/>
      <c r="T152" s="224"/>
      <c r="U152" s="224"/>
      <c r="V152" s="224"/>
      <c r="W152" s="224"/>
      <c r="X152" s="224"/>
      <c r="Y152" s="224"/>
    </row>
    <row r="153" spans="1:25" ht="14.25" customHeight="1" x14ac:dyDescent="0.3">
      <c r="A153" s="223"/>
      <c r="B153" s="223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5"/>
      <c r="Q153" s="225"/>
      <c r="R153" s="224"/>
      <c r="S153" s="224"/>
      <c r="T153" s="224"/>
      <c r="U153" s="224"/>
      <c r="V153" s="224"/>
      <c r="W153" s="224"/>
      <c r="X153" s="224"/>
      <c r="Y153" s="224"/>
    </row>
    <row r="154" spans="1:25" ht="14.25" customHeight="1" x14ac:dyDescent="0.3">
      <c r="A154" s="223"/>
      <c r="B154" s="223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5"/>
      <c r="Q154" s="225"/>
      <c r="R154" s="224"/>
      <c r="S154" s="224"/>
      <c r="T154" s="224"/>
      <c r="U154" s="224"/>
      <c r="V154" s="224"/>
      <c r="W154" s="224"/>
      <c r="X154" s="224"/>
      <c r="Y154" s="224"/>
    </row>
    <row r="155" spans="1:25" ht="14.25" customHeight="1" x14ac:dyDescent="0.3">
      <c r="A155" s="223"/>
      <c r="B155" s="223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5"/>
      <c r="Q155" s="225"/>
      <c r="R155" s="224"/>
      <c r="S155" s="224"/>
      <c r="T155" s="224"/>
      <c r="U155" s="224"/>
      <c r="V155" s="224"/>
      <c r="W155" s="224"/>
      <c r="X155" s="224"/>
      <c r="Y155" s="224"/>
    </row>
    <row r="156" spans="1:25" ht="14.25" customHeight="1" x14ac:dyDescent="0.3">
      <c r="A156" s="223"/>
      <c r="B156" s="223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5"/>
      <c r="Q156" s="225"/>
      <c r="R156" s="224"/>
      <c r="S156" s="224"/>
      <c r="T156" s="224"/>
      <c r="U156" s="224"/>
      <c r="V156" s="224"/>
      <c r="W156" s="224"/>
      <c r="X156" s="224"/>
      <c r="Y156" s="224"/>
    </row>
    <row r="157" spans="1:25" ht="14.25" customHeight="1" x14ac:dyDescent="0.3">
      <c r="A157" s="223"/>
      <c r="B157" s="223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5"/>
      <c r="Q157" s="225"/>
      <c r="R157" s="224"/>
      <c r="S157" s="224"/>
      <c r="T157" s="224"/>
      <c r="U157" s="224"/>
      <c r="V157" s="224"/>
      <c r="W157" s="224"/>
      <c r="X157" s="224"/>
      <c r="Y157" s="224"/>
    </row>
    <row r="158" spans="1:25" ht="14.25" customHeight="1" x14ac:dyDescent="0.3">
      <c r="A158" s="223"/>
      <c r="B158" s="223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5"/>
      <c r="Q158" s="225"/>
      <c r="R158" s="224"/>
      <c r="S158" s="224"/>
      <c r="T158" s="224"/>
      <c r="U158" s="224"/>
      <c r="V158" s="224"/>
      <c r="W158" s="224"/>
      <c r="X158" s="224"/>
      <c r="Y158" s="224"/>
    </row>
    <row r="159" spans="1:25" ht="14.25" customHeight="1" x14ac:dyDescent="0.3">
      <c r="A159" s="223"/>
      <c r="B159" s="223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5"/>
      <c r="Q159" s="225"/>
      <c r="R159" s="224"/>
      <c r="S159" s="224"/>
      <c r="T159" s="224"/>
      <c r="U159" s="224"/>
      <c r="V159" s="224"/>
      <c r="W159" s="224"/>
      <c r="X159" s="224"/>
      <c r="Y159" s="224"/>
    </row>
    <row r="160" spans="1:25" ht="14.25" customHeight="1" x14ac:dyDescent="0.3">
      <c r="A160" s="223"/>
      <c r="B160" s="223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5"/>
      <c r="Q160" s="225"/>
      <c r="R160" s="224"/>
      <c r="S160" s="224"/>
      <c r="T160" s="224"/>
      <c r="U160" s="224"/>
      <c r="V160" s="224"/>
      <c r="W160" s="224"/>
      <c r="X160" s="224"/>
      <c r="Y160" s="224"/>
    </row>
    <row r="161" spans="1:25" ht="14.25" customHeight="1" x14ac:dyDescent="0.3">
      <c r="A161" s="223"/>
      <c r="B161" s="223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5"/>
      <c r="Q161" s="225"/>
      <c r="R161" s="224"/>
      <c r="S161" s="224"/>
      <c r="T161" s="224"/>
      <c r="U161" s="224"/>
      <c r="V161" s="224"/>
      <c r="W161" s="224"/>
      <c r="X161" s="224"/>
      <c r="Y161" s="224"/>
    </row>
    <row r="162" spans="1:25" ht="14.25" customHeight="1" x14ac:dyDescent="0.3">
      <c r="A162" s="223"/>
      <c r="B162" s="223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5"/>
      <c r="Q162" s="225"/>
      <c r="R162" s="224"/>
      <c r="S162" s="224"/>
      <c r="T162" s="224"/>
      <c r="U162" s="224"/>
      <c r="V162" s="224"/>
      <c r="W162" s="224"/>
      <c r="X162" s="224"/>
      <c r="Y162" s="224"/>
    </row>
    <row r="163" spans="1:25" ht="14.25" customHeight="1" x14ac:dyDescent="0.3">
      <c r="A163" s="223"/>
      <c r="B163" s="223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5"/>
      <c r="Q163" s="225"/>
      <c r="R163" s="224"/>
      <c r="S163" s="224"/>
      <c r="T163" s="224"/>
      <c r="U163" s="224"/>
      <c r="V163" s="224"/>
      <c r="W163" s="224"/>
      <c r="X163" s="224"/>
      <c r="Y163" s="224"/>
    </row>
    <row r="164" spans="1:25" ht="14.25" customHeight="1" x14ac:dyDescent="0.3">
      <c r="A164" s="223"/>
      <c r="B164" s="223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5"/>
      <c r="Q164" s="225"/>
      <c r="R164" s="224"/>
      <c r="S164" s="224"/>
      <c r="T164" s="224"/>
      <c r="U164" s="224"/>
      <c r="V164" s="224"/>
      <c r="W164" s="224"/>
      <c r="X164" s="224"/>
      <c r="Y164" s="224"/>
    </row>
    <row r="165" spans="1:25" ht="14.25" customHeight="1" x14ac:dyDescent="0.3">
      <c r="A165" s="223"/>
      <c r="B165" s="223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5"/>
      <c r="Q165" s="225"/>
      <c r="R165" s="224"/>
      <c r="S165" s="224"/>
      <c r="T165" s="224"/>
      <c r="U165" s="224"/>
      <c r="V165" s="224"/>
      <c r="W165" s="224"/>
      <c r="X165" s="224"/>
      <c r="Y165" s="224"/>
    </row>
    <row r="166" spans="1:25" ht="14.25" customHeight="1" x14ac:dyDescent="0.3">
      <c r="A166" s="223"/>
      <c r="B166" s="223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5"/>
      <c r="Q166" s="225"/>
      <c r="R166" s="224"/>
      <c r="S166" s="224"/>
      <c r="T166" s="224"/>
      <c r="U166" s="224"/>
      <c r="V166" s="224"/>
      <c r="W166" s="224"/>
      <c r="X166" s="224"/>
      <c r="Y166" s="224"/>
    </row>
    <row r="167" spans="1:25" ht="14.25" customHeight="1" x14ac:dyDescent="0.3">
      <c r="A167" s="223"/>
      <c r="B167" s="223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5"/>
      <c r="Q167" s="225"/>
      <c r="R167" s="224"/>
      <c r="S167" s="224"/>
      <c r="T167" s="224"/>
      <c r="U167" s="224"/>
      <c r="V167" s="224"/>
      <c r="W167" s="224"/>
      <c r="X167" s="224"/>
      <c r="Y167" s="224"/>
    </row>
    <row r="168" spans="1:25" ht="14.25" customHeight="1" x14ac:dyDescent="0.3">
      <c r="A168" s="223"/>
      <c r="B168" s="223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5"/>
      <c r="Q168" s="225"/>
      <c r="R168" s="224"/>
      <c r="S168" s="224"/>
      <c r="T168" s="224"/>
      <c r="U168" s="224"/>
      <c r="V168" s="224"/>
      <c r="W168" s="224"/>
      <c r="X168" s="224"/>
      <c r="Y168" s="224"/>
    </row>
    <row r="169" spans="1:25" ht="14.25" customHeight="1" x14ac:dyDescent="0.3">
      <c r="A169" s="223"/>
      <c r="B169" s="223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5"/>
      <c r="Q169" s="225"/>
      <c r="R169" s="224"/>
      <c r="S169" s="224"/>
      <c r="T169" s="224"/>
      <c r="U169" s="224"/>
      <c r="V169" s="224"/>
      <c r="W169" s="224"/>
      <c r="X169" s="224"/>
      <c r="Y169" s="224"/>
    </row>
    <row r="170" spans="1:25" ht="14.25" customHeight="1" x14ac:dyDescent="0.3">
      <c r="A170" s="223"/>
      <c r="B170" s="223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5"/>
      <c r="Q170" s="225"/>
      <c r="R170" s="224"/>
      <c r="S170" s="224"/>
      <c r="T170" s="224"/>
      <c r="U170" s="224"/>
      <c r="V170" s="224"/>
      <c r="W170" s="224"/>
      <c r="X170" s="224"/>
      <c r="Y170" s="224"/>
    </row>
    <row r="171" spans="1:25" ht="14.25" customHeight="1" x14ac:dyDescent="0.3">
      <c r="A171" s="223"/>
      <c r="B171" s="223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5"/>
      <c r="Q171" s="225"/>
      <c r="R171" s="224"/>
      <c r="S171" s="224"/>
      <c r="T171" s="224"/>
      <c r="U171" s="224"/>
      <c r="V171" s="224"/>
      <c r="W171" s="224"/>
      <c r="X171" s="224"/>
      <c r="Y171" s="224"/>
    </row>
    <row r="172" spans="1:25" ht="14.25" customHeight="1" x14ac:dyDescent="0.3">
      <c r="A172" s="223"/>
      <c r="B172" s="223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5"/>
      <c r="Q172" s="225"/>
      <c r="R172" s="224"/>
      <c r="S172" s="224"/>
      <c r="T172" s="224"/>
      <c r="U172" s="224"/>
      <c r="V172" s="224"/>
      <c r="W172" s="224"/>
      <c r="X172" s="224"/>
      <c r="Y172" s="224"/>
    </row>
    <row r="173" spans="1:25" ht="14.25" customHeight="1" x14ac:dyDescent="0.3">
      <c r="A173" s="223"/>
      <c r="B173" s="223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5"/>
      <c r="Q173" s="225"/>
      <c r="R173" s="224"/>
      <c r="S173" s="224"/>
      <c r="T173" s="224"/>
      <c r="U173" s="224"/>
      <c r="V173" s="224"/>
      <c r="W173" s="224"/>
      <c r="X173" s="224"/>
      <c r="Y173" s="224"/>
    </row>
    <row r="174" spans="1:25" ht="14.25" customHeight="1" x14ac:dyDescent="0.3">
      <c r="A174" s="223"/>
      <c r="B174" s="223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5"/>
      <c r="Q174" s="225"/>
      <c r="R174" s="224"/>
      <c r="S174" s="224"/>
      <c r="T174" s="224"/>
      <c r="U174" s="224"/>
      <c r="V174" s="224"/>
      <c r="W174" s="224"/>
      <c r="X174" s="224"/>
      <c r="Y174" s="224"/>
    </row>
    <row r="175" spans="1:25" ht="14.25" customHeight="1" x14ac:dyDescent="0.3">
      <c r="A175" s="223"/>
      <c r="B175" s="223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5"/>
      <c r="Q175" s="225"/>
      <c r="R175" s="224"/>
      <c r="S175" s="224"/>
      <c r="T175" s="224"/>
      <c r="U175" s="224"/>
      <c r="V175" s="224"/>
      <c r="W175" s="224"/>
      <c r="X175" s="224"/>
      <c r="Y175" s="224"/>
    </row>
    <row r="176" spans="1:25" ht="14.25" customHeight="1" x14ac:dyDescent="0.3">
      <c r="A176" s="223"/>
      <c r="B176" s="223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5"/>
      <c r="Q176" s="225"/>
      <c r="R176" s="224"/>
      <c r="S176" s="224"/>
      <c r="T176" s="224"/>
      <c r="U176" s="224"/>
      <c r="V176" s="224"/>
      <c r="W176" s="224"/>
      <c r="X176" s="224"/>
      <c r="Y176" s="224"/>
    </row>
    <row r="177" spans="1:25" ht="14.25" customHeight="1" x14ac:dyDescent="0.3">
      <c r="A177" s="223"/>
      <c r="B177" s="223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5"/>
      <c r="Q177" s="225"/>
      <c r="R177" s="224"/>
      <c r="S177" s="224"/>
      <c r="T177" s="224"/>
      <c r="U177" s="224"/>
      <c r="V177" s="224"/>
      <c r="W177" s="224"/>
      <c r="X177" s="224"/>
      <c r="Y177" s="224"/>
    </row>
    <row r="178" spans="1:25" ht="14.25" customHeight="1" x14ac:dyDescent="0.3">
      <c r="A178" s="223"/>
      <c r="B178" s="223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5"/>
      <c r="Q178" s="225"/>
      <c r="R178" s="224"/>
      <c r="S178" s="224"/>
      <c r="T178" s="224"/>
      <c r="U178" s="224"/>
      <c r="V178" s="224"/>
      <c r="W178" s="224"/>
      <c r="X178" s="224"/>
      <c r="Y178" s="224"/>
    </row>
    <row r="179" spans="1:25" ht="14.25" customHeight="1" x14ac:dyDescent="0.3">
      <c r="A179" s="223"/>
      <c r="B179" s="223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5"/>
      <c r="Q179" s="225"/>
      <c r="R179" s="224"/>
      <c r="S179" s="224"/>
      <c r="T179" s="224"/>
      <c r="U179" s="224"/>
      <c r="V179" s="224"/>
      <c r="W179" s="224"/>
      <c r="X179" s="224"/>
      <c r="Y179" s="224"/>
    </row>
    <row r="180" spans="1:25" ht="14.25" customHeight="1" x14ac:dyDescent="0.3">
      <c r="A180" s="223"/>
      <c r="B180" s="223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5"/>
      <c r="Q180" s="225"/>
      <c r="R180" s="224"/>
      <c r="S180" s="224"/>
      <c r="T180" s="224"/>
      <c r="U180" s="224"/>
      <c r="V180" s="224"/>
      <c r="W180" s="224"/>
      <c r="X180" s="224"/>
      <c r="Y180" s="224"/>
    </row>
    <row r="181" spans="1:25" ht="14.25" customHeight="1" x14ac:dyDescent="0.3">
      <c r="A181" s="223"/>
      <c r="B181" s="223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5"/>
      <c r="Q181" s="225"/>
      <c r="R181" s="224"/>
      <c r="S181" s="224"/>
      <c r="T181" s="224"/>
      <c r="U181" s="224"/>
      <c r="V181" s="224"/>
      <c r="W181" s="224"/>
      <c r="X181" s="224"/>
      <c r="Y181" s="224"/>
    </row>
    <row r="182" spans="1:25" ht="14.25" customHeight="1" x14ac:dyDescent="0.3">
      <c r="A182" s="223"/>
      <c r="B182" s="223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5"/>
      <c r="Q182" s="225"/>
      <c r="R182" s="224"/>
      <c r="S182" s="224"/>
      <c r="T182" s="224"/>
      <c r="U182" s="224"/>
      <c r="V182" s="224"/>
      <c r="W182" s="224"/>
      <c r="X182" s="224"/>
      <c r="Y182" s="224"/>
    </row>
    <row r="183" spans="1:25" ht="14.25" customHeight="1" x14ac:dyDescent="0.3">
      <c r="A183" s="223"/>
      <c r="B183" s="223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5"/>
      <c r="Q183" s="225"/>
      <c r="R183" s="224"/>
      <c r="S183" s="224"/>
      <c r="T183" s="224"/>
      <c r="U183" s="224"/>
      <c r="V183" s="224"/>
      <c r="W183" s="224"/>
      <c r="X183" s="224"/>
      <c r="Y183" s="224"/>
    </row>
    <row r="184" spans="1:25" ht="14.25" customHeight="1" x14ac:dyDescent="0.3">
      <c r="A184" s="223"/>
      <c r="B184" s="223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5"/>
      <c r="Q184" s="225"/>
      <c r="R184" s="224"/>
      <c r="S184" s="224"/>
      <c r="T184" s="224"/>
      <c r="U184" s="224"/>
      <c r="V184" s="224"/>
      <c r="W184" s="224"/>
      <c r="X184" s="224"/>
      <c r="Y184" s="224"/>
    </row>
    <row r="185" spans="1:25" ht="14.25" customHeight="1" x14ac:dyDescent="0.3">
      <c r="A185" s="223"/>
      <c r="B185" s="223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5"/>
      <c r="Q185" s="225"/>
      <c r="R185" s="224"/>
      <c r="S185" s="224"/>
      <c r="T185" s="224"/>
      <c r="U185" s="224"/>
      <c r="V185" s="224"/>
      <c r="W185" s="224"/>
      <c r="X185" s="224"/>
      <c r="Y185" s="224"/>
    </row>
    <row r="186" spans="1:25" ht="14.25" customHeight="1" x14ac:dyDescent="0.3">
      <c r="A186" s="223"/>
      <c r="B186" s="223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5"/>
      <c r="Q186" s="225"/>
      <c r="R186" s="224"/>
      <c r="S186" s="224"/>
      <c r="T186" s="224"/>
      <c r="U186" s="224"/>
      <c r="V186" s="224"/>
      <c r="W186" s="224"/>
      <c r="X186" s="224"/>
      <c r="Y186" s="224"/>
    </row>
    <row r="187" spans="1:25" ht="14.25" customHeight="1" x14ac:dyDescent="0.3">
      <c r="A187" s="223"/>
      <c r="B187" s="223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5"/>
      <c r="Q187" s="225"/>
      <c r="R187" s="224"/>
      <c r="S187" s="224"/>
      <c r="T187" s="224"/>
      <c r="U187" s="224"/>
      <c r="V187" s="224"/>
      <c r="W187" s="224"/>
      <c r="X187" s="224"/>
      <c r="Y187" s="224"/>
    </row>
    <row r="188" spans="1:25" ht="14.25" customHeight="1" x14ac:dyDescent="0.3">
      <c r="A188" s="223"/>
      <c r="B188" s="223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5"/>
      <c r="Q188" s="225"/>
      <c r="R188" s="224"/>
      <c r="S188" s="224"/>
      <c r="T188" s="224"/>
      <c r="U188" s="224"/>
      <c r="V188" s="224"/>
      <c r="W188" s="224"/>
      <c r="X188" s="224"/>
      <c r="Y188" s="224"/>
    </row>
    <row r="189" spans="1:25" ht="14.25" customHeight="1" x14ac:dyDescent="0.3">
      <c r="A189" s="223"/>
      <c r="B189" s="223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5"/>
      <c r="Q189" s="225"/>
      <c r="R189" s="224"/>
      <c r="S189" s="224"/>
      <c r="T189" s="224"/>
      <c r="U189" s="224"/>
      <c r="V189" s="224"/>
      <c r="W189" s="224"/>
      <c r="X189" s="224"/>
      <c r="Y189" s="224"/>
    </row>
    <row r="190" spans="1:25" ht="14.25" customHeight="1" x14ac:dyDescent="0.3">
      <c r="A190" s="223"/>
      <c r="B190" s="223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5"/>
      <c r="Q190" s="225"/>
      <c r="R190" s="224"/>
      <c r="S190" s="224"/>
      <c r="T190" s="224"/>
      <c r="U190" s="224"/>
      <c r="V190" s="224"/>
      <c r="W190" s="224"/>
      <c r="X190" s="224"/>
      <c r="Y190" s="224"/>
    </row>
    <row r="191" spans="1:25" ht="14.25" customHeight="1" x14ac:dyDescent="0.3">
      <c r="A191" s="223"/>
      <c r="B191" s="223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5"/>
      <c r="Q191" s="225"/>
      <c r="R191" s="224"/>
      <c r="S191" s="224"/>
      <c r="T191" s="224"/>
      <c r="U191" s="224"/>
      <c r="V191" s="224"/>
      <c r="W191" s="224"/>
      <c r="X191" s="224"/>
      <c r="Y191" s="224"/>
    </row>
    <row r="192" spans="1:25" ht="14.25" customHeight="1" x14ac:dyDescent="0.3">
      <c r="A192" s="223"/>
      <c r="B192" s="223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5"/>
      <c r="Q192" s="225"/>
      <c r="R192" s="224"/>
      <c r="S192" s="224"/>
      <c r="T192" s="224"/>
      <c r="U192" s="224"/>
      <c r="V192" s="224"/>
      <c r="W192" s="224"/>
      <c r="X192" s="224"/>
      <c r="Y192" s="224"/>
    </row>
    <row r="193" spans="1:25" ht="14.25" customHeight="1" x14ac:dyDescent="0.3">
      <c r="A193" s="223"/>
      <c r="B193" s="223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5"/>
      <c r="Q193" s="225"/>
      <c r="R193" s="224"/>
      <c r="S193" s="224"/>
      <c r="T193" s="224"/>
      <c r="U193" s="224"/>
      <c r="V193" s="224"/>
      <c r="W193" s="224"/>
      <c r="X193" s="224"/>
      <c r="Y193" s="224"/>
    </row>
    <row r="194" spans="1:25" ht="14.25" customHeight="1" x14ac:dyDescent="0.3">
      <c r="A194" s="223"/>
      <c r="B194" s="223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5"/>
      <c r="Q194" s="225"/>
      <c r="R194" s="224"/>
      <c r="S194" s="224"/>
      <c r="T194" s="224"/>
      <c r="U194" s="224"/>
      <c r="V194" s="224"/>
      <c r="W194" s="224"/>
      <c r="X194" s="224"/>
      <c r="Y194" s="224"/>
    </row>
    <row r="195" spans="1:25" ht="14.25" customHeight="1" x14ac:dyDescent="0.3">
      <c r="A195" s="223"/>
      <c r="B195" s="223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5"/>
      <c r="Q195" s="225"/>
      <c r="R195" s="224"/>
      <c r="S195" s="224"/>
      <c r="T195" s="224"/>
      <c r="U195" s="224"/>
      <c r="V195" s="224"/>
      <c r="W195" s="224"/>
      <c r="X195" s="224"/>
      <c r="Y195" s="224"/>
    </row>
    <row r="196" spans="1:25" ht="14.25" customHeight="1" x14ac:dyDescent="0.3">
      <c r="A196" s="223"/>
      <c r="B196" s="223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5"/>
      <c r="Q196" s="225"/>
      <c r="R196" s="224"/>
      <c r="S196" s="224"/>
      <c r="T196" s="224"/>
      <c r="U196" s="224"/>
      <c r="V196" s="224"/>
      <c r="W196" s="224"/>
      <c r="X196" s="224"/>
      <c r="Y196" s="224"/>
    </row>
    <row r="197" spans="1:25" ht="14.25" customHeight="1" x14ac:dyDescent="0.3">
      <c r="A197" s="223"/>
      <c r="B197" s="223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5"/>
      <c r="Q197" s="225"/>
      <c r="R197" s="224"/>
      <c r="S197" s="224"/>
      <c r="T197" s="224"/>
      <c r="U197" s="224"/>
      <c r="V197" s="224"/>
      <c r="W197" s="224"/>
      <c r="X197" s="224"/>
      <c r="Y197" s="224"/>
    </row>
    <row r="198" spans="1:25" ht="14.25" customHeight="1" x14ac:dyDescent="0.3">
      <c r="A198" s="223"/>
      <c r="B198" s="223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5"/>
      <c r="Q198" s="225"/>
      <c r="R198" s="224"/>
      <c r="S198" s="224"/>
      <c r="T198" s="224"/>
      <c r="U198" s="224"/>
      <c r="V198" s="224"/>
      <c r="W198" s="224"/>
      <c r="X198" s="224"/>
      <c r="Y198" s="224"/>
    </row>
    <row r="199" spans="1:25" ht="14.25" customHeight="1" x14ac:dyDescent="0.3">
      <c r="A199" s="223"/>
      <c r="B199" s="223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5"/>
      <c r="Q199" s="225"/>
      <c r="R199" s="224"/>
      <c r="S199" s="224"/>
      <c r="T199" s="224"/>
      <c r="U199" s="224"/>
      <c r="V199" s="224"/>
      <c r="W199" s="224"/>
      <c r="X199" s="224"/>
      <c r="Y199" s="224"/>
    </row>
    <row r="200" spans="1:25" ht="14.25" customHeight="1" x14ac:dyDescent="0.3">
      <c r="A200" s="223"/>
      <c r="B200" s="223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5"/>
      <c r="Q200" s="225"/>
      <c r="R200" s="224"/>
      <c r="S200" s="224"/>
      <c r="T200" s="224"/>
      <c r="U200" s="224"/>
      <c r="V200" s="224"/>
      <c r="W200" s="224"/>
      <c r="X200" s="224"/>
      <c r="Y200" s="224"/>
    </row>
    <row r="201" spans="1:25" ht="14.25" customHeight="1" x14ac:dyDescent="0.3">
      <c r="A201" s="223"/>
      <c r="B201" s="223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5"/>
      <c r="Q201" s="225"/>
      <c r="R201" s="224"/>
      <c r="S201" s="224"/>
      <c r="T201" s="224"/>
      <c r="U201" s="224"/>
      <c r="V201" s="224"/>
      <c r="W201" s="224"/>
      <c r="X201" s="224"/>
      <c r="Y201" s="224"/>
    </row>
    <row r="202" spans="1:25" ht="14.25" customHeight="1" x14ac:dyDescent="0.3">
      <c r="A202" s="223"/>
      <c r="B202" s="223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5"/>
      <c r="Q202" s="225"/>
      <c r="R202" s="224"/>
      <c r="S202" s="224"/>
      <c r="T202" s="224"/>
      <c r="U202" s="224"/>
      <c r="V202" s="224"/>
      <c r="W202" s="224"/>
      <c r="X202" s="224"/>
      <c r="Y202" s="224"/>
    </row>
    <row r="203" spans="1:25" ht="14.25" customHeight="1" x14ac:dyDescent="0.3">
      <c r="A203" s="223"/>
      <c r="B203" s="223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5"/>
      <c r="Q203" s="225"/>
      <c r="R203" s="224"/>
      <c r="S203" s="224"/>
      <c r="T203" s="224"/>
      <c r="U203" s="224"/>
      <c r="V203" s="224"/>
      <c r="W203" s="224"/>
      <c r="X203" s="224"/>
      <c r="Y203" s="224"/>
    </row>
    <row r="204" spans="1:25" ht="14.25" customHeight="1" x14ac:dyDescent="0.3">
      <c r="A204" s="223"/>
      <c r="B204" s="223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5"/>
      <c r="Q204" s="225"/>
      <c r="R204" s="224"/>
      <c r="S204" s="224"/>
      <c r="T204" s="224"/>
      <c r="U204" s="224"/>
      <c r="V204" s="224"/>
      <c r="W204" s="224"/>
      <c r="X204" s="224"/>
      <c r="Y204" s="224"/>
    </row>
    <row r="205" spans="1:25" ht="14.25" customHeight="1" x14ac:dyDescent="0.3">
      <c r="A205" s="223"/>
      <c r="B205" s="223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5"/>
      <c r="Q205" s="225"/>
      <c r="R205" s="224"/>
      <c r="S205" s="224"/>
      <c r="T205" s="224"/>
      <c r="U205" s="224"/>
      <c r="V205" s="224"/>
      <c r="W205" s="224"/>
      <c r="X205" s="224"/>
      <c r="Y205" s="224"/>
    </row>
    <row r="206" spans="1:25" ht="14.25" customHeight="1" x14ac:dyDescent="0.3">
      <c r="A206" s="223"/>
      <c r="B206" s="223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5"/>
      <c r="Q206" s="225"/>
      <c r="R206" s="224"/>
      <c r="S206" s="224"/>
      <c r="T206" s="224"/>
      <c r="U206" s="224"/>
      <c r="V206" s="224"/>
      <c r="W206" s="224"/>
      <c r="X206" s="224"/>
      <c r="Y206" s="224"/>
    </row>
    <row r="207" spans="1:25" ht="14.25" customHeight="1" x14ac:dyDescent="0.3">
      <c r="A207" s="223"/>
      <c r="B207" s="223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5"/>
      <c r="Q207" s="225"/>
      <c r="R207" s="224"/>
      <c r="S207" s="224"/>
      <c r="T207" s="224"/>
      <c r="U207" s="224"/>
      <c r="V207" s="224"/>
      <c r="W207" s="224"/>
      <c r="X207" s="224"/>
      <c r="Y207" s="224"/>
    </row>
    <row r="208" spans="1:25" ht="14.25" customHeight="1" x14ac:dyDescent="0.3">
      <c r="A208" s="223"/>
      <c r="B208" s="223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5"/>
      <c r="Q208" s="225"/>
      <c r="R208" s="224"/>
      <c r="S208" s="224"/>
      <c r="T208" s="224"/>
      <c r="U208" s="224"/>
      <c r="V208" s="224"/>
      <c r="W208" s="224"/>
      <c r="X208" s="224"/>
      <c r="Y208" s="224"/>
    </row>
    <row r="209" spans="1:25" ht="14.25" customHeight="1" x14ac:dyDescent="0.3">
      <c r="A209" s="223"/>
      <c r="B209" s="223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5"/>
      <c r="Q209" s="225"/>
      <c r="R209" s="224"/>
      <c r="S209" s="224"/>
      <c r="T209" s="224"/>
      <c r="U209" s="224"/>
      <c r="V209" s="224"/>
      <c r="W209" s="224"/>
      <c r="X209" s="224"/>
      <c r="Y209" s="224"/>
    </row>
    <row r="210" spans="1:25" ht="14.25" customHeight="1" x14ac:dyDescent="0.3">
      <c r="A210" s="223"/>
      <c r="B210" s="223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5"/>
      <c r="Q210" s="225"/>
      <c r="R210" s="224"/>
      <c r="S210" s="224"/>
      <c r="T210" s="224"/>
      <c r="U210" s="224"/>
      <c r="V210" s="224"/>
      <c r="W210" s="224"/>
      <c r="X210" s="224"/>
      <c r="Y210" s="224"/>
    </row>
    <row r="211" spans="1:25" ht="14.25" customHeight="1" x14ac:dyDescent="0.3">
      <c r="A211" s="223"/>
      <c r="B211" s="223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5"/>
      <c r="Q211" s="225"/>
      <c r="R211" s="224"/>
      <c r="S211" s="224"/>
      <c r="T211" s="224"/>
      <c r="U211" s="224"/>
      <c r="V211" s="224"/>
      <c r="W211" s="224"/>
      <c r="X211" s="224"/>
      <c r="Y211" s="224"/>
    </row>
    <row r="212" spans="1:25" ht="14.25" customHeight="1" x14ac:dyDescent="0.3">
      <c r="A212" s="223"/>
      <c r="B212" s="223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5"/>
      <c r="Q212" s="225"/>
      <c r="R212" s="224"/>
      <c r="S212" s="224"/>
      <c r="T212" s="224"/>
      <c r="U212" s="224"/>
      <c r="V212" s="224"/>
      <c r="W212" s="224"/>
      <c r="X212" s="224"/>
      <c r="Y212" s="224"/>
    </row>
    <row r="213" spans="1:25" ht="14.25" customHeight="1" x14ac:dyDescent="0.3">
      <c r="A213" s="223"/>
      <c r="B213" s="223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5"/>
      <c r="Q213" s="225"/>
      <c r="R213" s="224"/>
      <c r="S213" s="224"/>
      <c r="T213" s="224"/>
      <c r="U213" s="224"/>
      <c r="V213" s="224"/>
      <c r="W213" s="224"/>
      <c r="X213" s="224"/>
      <c r="Y213" s="224"/>
    </row>
    <row r="214" spans="1:25" ht="14.25" customHeight="1" x14ac:dyDescent="0.3">
      <c r="A214" s="223"/>
      <c r="B214" s="223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5"/>
      <c r="Q214" s="225"/>
      <c r="R214" s="224"/>
      <c r="S214" s="224"/>
      <c r="T214" s="224"/>
      <c r="U214" s="224"/>
      <c r="V214" s="224"/>
      <c r="W214" s="224"/>
      <c r="X214" s="224"/>
      <c r="Y214" s="224"/>
    </row>
    <row r="215" spans="1:25" ht="14.25" customHeight="1" x14ac:dyDescent="0.3">
      <c r="A215" s="223"/>
      <c r="B215" s="223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5"/>
      <c r="Q215" s="225"/>
      <c r="R215" s="224"/>
      <c r="S215" s="224"/>
      <c r="T215" s="224"/>
      <c r="U215" s="224"/>
      <c r="V215" s="224"/>
      <c r="W215" s="224"/>
      <c r="X215" s="224"/>
      <c r="Y215" s="224"/>
    </row>
    <row r="216" spans="1:25" ht="14.25" customHeight="1" x14ac:dyDescent="0.3">
      <c r="A216" s="223"/>
      <c r="B216" s="223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5"/>
      <c r="Q216" s="225"/>
      <c r="R216" s="224"/>
      <c r="S216" s="224"/>
      <c r="T216" s="224"/>
      <c r="U216" s="224"/>
      <c r="V216" s="224"/>
      <c r="W216" s="224"/>
      <c r="X216" s="224"/>
      <c r="Y216" s="224"/>
    </row>
    <row r="217" spans="1:25" ht="14.25" customHeight="1" x14ac:dyDescent="0.3">
      <c r="P217" s="225"/>
      <c r="Q217" s="225"/>
    </row>
    <row r="218" spans="1:25" ht="14.25" customHeight="1" x14ac:dyDescent="0.3">
      <c r="P218" s="225"/>
      <c r="Q218" s="225"/>
    </row>
    <row r="219" spans="1:25" ht="14.25" customHeight="1" x14ac:dyDescent="0.3">
      <c r="P219" s="225"/>
      <c r="Q219" s="225"/>
    </row>
    <row r="220" spans="1:25" ht="14.25" customHeight="1" x14ac:dyDescent="0.3">
      <c r="P220" s="225"/>
      <c r="Q220" s="225"/>
    </row>
    <row r="221" spans="1:25" ht="14.25" customHeight="1" x14ac:dyDescent="0.3">
      <c r="P221" s="225"/>
      <c r="Q221" s="225"/>
    </row>
    <row r="222" spans="1:25" ht="14.25" customHeight="1" x14ac:dyDescent="0.3">
      <c r="P222" s="225"/>
      <c r="Q222" s="225"/>
    </row>
    <row r="223" spans="1:25" ht="14.25" customHeight="1" x14ac:dyDescent="0.3">
      <c r="P223" s="225"/>
      <c r="Q223" s="225"/>
    </row>
    <row r="224" spans="1:25" ht="14.25" customHeight="1" x14ac:dyDescent="0.3">
      <c r="P224" s="225"/>
      <c r="Q224" s="225"/>
    </row>
    <row r="225" spans="16:17" ht="14.25" customHeight="1" x14ac:dyDescent="0.3">
      <c r="P225" s="225"/>
      <c r="Q225" s="225"/>
    </row>
    <row r="226" spans="16:17" ht="14.25" customHeight="1" x14ac:dyDescent="0.3">
      <c r="P226" s="225"/>
      <c r="Q226" s="225"/>
    </row>
    <row r="227" spans="16:17" ht="14.25" customHeight="1" x14ac:dyDescent="0.3">
      <c r="P227" s="225"/>
      <c r="Q227" s="225"/>
    </row>
    <row r="228" spans="16:17" ht="14.25" customHeight="1" x14ac:dyDescent="0.3">
      <c r="P228" s="225"/>
      <c r="Q228" s="225"/>
    </row>
    <row r="229" spans="16:17" ht="14.25" customHeight="1" x14ac:dyDescent="0.3">
      <c r="P229" s="225"/>
      <c r="Q229" s="225"/>
    </row>
    <row r="230" spans="16:17" ht="14.25" customHeight="1" x14ac:dyDescent="0.3">
      <c r="P230" s="225"/>
      <c r="Q230" s="225"/>
    </row>
    <row r="231" spans="16:17" ht="14.25" customHeight="1" x14ac:dyDescent="0.3">
      <c r="P231" s="225"/>
      <c r="Q231" s="225"/>
    </row>
    <row r="232" spans="16:17" ht="14.25" customHeight="1" x14ac:dyDescent="0.3">
      <c r="P232" s="225"/>
      <c r="Q232" s="225"/>
    </row>
    <row r="233" spans="16:17" ht="14.25" customHeight="1" x14ac:dyDescent="0.3">
      <c r="P233" s="225"/>
      <c r="Q233" s="225"/>
    </row>
    <row r="234" spans="16:17" ht="14.25" customHeight="1" x14ac:dyDescent="0.3">
      <c r="P234" s="225"/>
      <c r="Q234" s="225"/>
    </row>
    <row r="235" spans="16:17" ht="14.25" customHeight="1" x14ac:dyDescent="0.3">
      <c r="P235" s="225"/>
      <c r="Q235" s="225"/>
    </row>
    <row r="236" spans="16:17" ht="14.25" customHeight="1" x14ac:dyDescent="0.3">
      <c r="P236" s="225"/>
      <c r="Q236" s="225"/>
    </row>
    <row r="237" spans="16:17" ht="14.25" customHeight="1" x14ac:dyDescent="0.3">
      <c r="P237" s="225"/>
      <c r="Q237" s="225"/>
    </row>
    <row r="238" spans="16:17" ht="14.25" customHeight="1" x14ac:dyDescent="0.3">
      <c r="P238" s="225"/>
      <c r="Q238" s="225"/>
    </row>
    <row r="239" spans="16:17" ht="14.25" customHeight="1" x14ac:dyDescent="0.3">
      <c r="P239" s="225"/>
      <c r="Q239" s="225"/>
    </row>
    <row r="240" spans="16:17" ht="14.25" customHeight="1" x14ac:dyDescent="0.3">
      <c r="P240" s="225"/>
      <c r="Q240" s="225"/>
    </row>
    <row r="241" spans="16:17" ht="14.25" customHeight="1" x14ac:dyDescent="0.3">
      <c r="P241" s="225"/>
      <c r="Q241" s="225"/>
    </row>
    <row r="242" spans="16:17" ht="14.25" customHeight="1" x14ac:dyDescent="0.3">
      <c r="P242" s="225"/>
      <c r="Q242" s="225"/>
    </row>
    <row r="243" spans="16:17" ht="14.25" customHeight="1" x14ac:dyDescent="0.3">
      <c r="P243" s="225"/>
      <c r="Q243" s="225"/>
    </row>
    <row r="244" spans="16:17" ht="14.25" customHeight="1" x14ac:dyDescent="0.3">
      <c r="P244" s="225"/>
      <c r="Q244" s="225"/>
    </row>
    <row r="245" spans="16:17" ht="14.25" customHeight="1" x14ac:dyDescent="0.3">
      <c r="P245" s="225"/>
      <c r="Q245" s="225"/>
    </row>
    <row r="246" spans="16:17" ht="14.25" customHeight="1" x14ac:dyDescent="0.3">
      <c r="P246" s="225"/>
      <c r="Q246" s="225"/>
    </row>
    <row r="247" spans="16:17" ht="14.25" customHeight="1" x14ac:dyDescent="0.3">
      <c r="P247" s="225"/>
      <c r="Q247" s="225"/>
    </row>
    <row r="248" spans="16:17" ht="14.25" customHeight="1" x14ac:dyDescent="0.3">
      <c r="P248" s="225"/>
      <c r="Q248" s="225"/>
    </row>
    <row r="249" spans="16:17" ht="14.25" customHeight="1" x14ac:dyDescent="0.3">
      <c r="P249" s="225"/>
      <c r="Q249" s="225"/>
    </row>
    <row r="250" spans="16:17" ht="14.25" customHeight="1" x14ac:dyDescent="0.3">
      <c r="P250" s="225"/>
      <c r="Q250" s="225"/>
    </row>
    <row r="251" spans="16:17" ht="14.25" customHeight="1" x14ac:dyDescent="0.3">
      <c r="P251" s="225"/>
      <c r="Q251" s="225"/>
    </row>
    <row r="252" spans="16:17" ht="14.25" customHeight="1" x14ac:dyDescent="0.3">
      <c r="P252" s="225"/>
      <c r="Q252" s="225"/>
    </row>
    <row r="253" spans="16:17" ht="14.25" customHeight="1" x14ac:dyDescent="0.3">
      <c r="P253" s="225"/>
      <c r="Q253" s="225"/>
    </row>
    <row r="254" spans="16:17" ht="14.25" customHeight="1" x14ac:dyDescent="0.3">
      <c r="P254" s="225"/>
      <c r="Q254" s="225"/>
    </row>
    <row r="255" spans="16:17" ht="14.25" customHeight="1" x14ac:dyDescent="0.3">
      <c r="P255" s="225"/>
      <c r="Q255" s="225"/>
    </row>
    <row r="256" spans="16:17" ht="14.25" customHeight="1" x14ac:dyDescent="0.3">
      <c r="P256" s="225"/>
      <c r="Q256" s="225"/>
    </row>
    <row r="257" spans="16:17" ht="14.25" customHeight="1" x14ac:dyDescent="0.3">
      <c r="P257" s="225"/>
      <c r="Q257" s="225"/>
    </row>
    <row r="258" spans="16:17" ht="14.25" customHeight="1" x14ac:dyDescent="0.3">
      <c r="P258" s="225"/>
      <c r="Q258" s="225"/>
    </row>
    <row r="259" spans="16:17" ht="14.25" customHeight="1" x14ac:dyDescent="0.3">
      <c r="P259" s="225"/>
      <c r="Q259" s="225"/>
    </row>
    <row r="260" spans="16:17" ht="14.25" customHeight="1" x14ac:dyDescent="0.3">
      <c r="P260" s="225"/>
      <c r="Q260" s="225"/>
    </row>
    <row r="261" spans="16:17" ht="14.25" customHeight="1" x14ac:dyDescent="0.3">
      <c r="P261" s="225"/>
      <c r="Q261" s="225"/>
    </row>
    <row r="262" spans="16:17" ht="14.25" customHeight="1" x14ac:dyDescent="0.3">
      <c r="P262" s="225"/>
      <c r="Q262" s="225"/>
    </row>
    <row r="263" spans="16:17" ht="14.25" customHeight="1" x14ac:dyDescent="0.3">
      <c r="P263" s="225"/>
      <c r="Q263" s="225"/>
    </row>
    <row r="264" spans="16:17" ht="14.25" customHeight="1" x14ac:dyDescent="0.3">
      <c r="P264" s="225"/>
      <c r="Q264" s="225"/>
    </row>
    <row r="265" spans="16:17" ht="14.25" customHeight="1" x14ac:dyDescent="0.3">
      <c r="P265" s="225"/>
      <c r="Q265" s="225"/>
    </row>
    <row r="266" spans="16:17" ht="14.25" customHeight="1" x14ac:dyDescent="0.3">
      <c r="P266" s="225"/>
      <c r="Q266" s="225"/>
    </row>
    <row r="267" spans="16:17" ht="14.25" customHeight="1" x14ac:dyDescent="0.3">
      <c r="P267" s="225"/>
      <c r="Q267" s="225"/>
    </row>
    <row r="268" spans="16:17" ht="14.25" customHeight="1" x14ac:dyDescent="0.3">
      <c r="P268" s="225"/>
      <c r="Q268" s="225"/>
    </row>
    <row r="269" spans="16:17" ht="14.25" customHeight="1" x14ac:dyDescent="0.3">
      <c r="P269" s="225"/>
      <c r="Q269" s="225"/>
    </row>
    <row r="270" spans="16:17" ht="14.25" customHeight="1" x14ac:dyDescent="0.3">
      <c r="P270" s="225"/>
      <c r="Q270" s="225"/>
    </row>
    <row r="271" spans="16:17" ht="14.25" customHeight="1" x14ac:dyDescent="0.3">
      <c r="P271" s="225"/>
      <c r="Q271" s="225"/>
    </row>
    <row r="272" spans="16:17" ht="14.25" customHeight="1" x14ac:dyDescent="0.3">
      <c r="P272" s="225"/>
      <c r="Q272" s="225"/>
    </row>
    <row r="273" spans="16:17" ht="14.25" customHeight="1" x14ac:dyDescent="0.3">
      <c r="P273" s="225"/>
      <c r="Q273" s="225"/>
    </row>
    <row r="274" spans="16:17" ht="14.25" customHeight="1" x14ac:dyDescent="0.3">
      <c r="P274" s="225"/>
      <c r="Q274" s="225"/>
    </row>
    <row r="275" spans="16:17" ht="14.25" customHeight="1" x14ac:dyDescent="0.3">
      <c r="P275" s="225"/>
      <c r="Q275" s="225"/>
    </row>
    <row r="276" spans="16:17" ht="14.25" customHeight="1" x14ac:dyDescent="0.3">
      <c r="P276" s="225"/>
      <c r="Q276" s="225"/>
    </row>
    <row r="277" spans="16:17" ht="14.25" customHeight="1" x14ac:dyDescent="0.3">
      <c r="P277" s="225"/>
      <c r="Q277" s="225"/>
    </row>
    <row r="278" spans="16:17" ht="14.25" customHeight="1" x14ac:dyDescent="0.3">
      <c r="P278" s="225"/>
      <c r="Q278" s="225"/>
    </row>
    <row r="279" spans="16:17" ht="14.25" customHeight="1" x14ac:dyDescent="0.3">
      <c r="P279" s="225"/>
      <c r="Q279" s="225"/>
    </row>
    <row r="280" spans="16:17" ht="14.25" customHeight="1" x14ac:dyDescent="0.3">
      <c r="P280" s="225"/>
      <c r="Q280" s="225"/>
    </row>
    <row r="281" spans="16:17" ht="14.25" customHeight="1" x14ac:dyDescent="0.3">
      <c r="P281" s="225"/>
      <c r="Q281" s="225"/>
    </row>
    <row r="282" spans="16:17" ht="14.25" customHeight="1" x14ac:dyDescent="0.3">
      <c r="P282" s="225"/>
      <c r="Q282" s="225"/>
    </row>
    <row r="283" spans="16:17" ht="14.25" customHeight="1" x14ac:dyDescent="0.3">
      <c r="P283" s="225"/>
      <c r="Q283" s="225"/>
    </row>
    <row r="284" spans="16:17" ht="14.25" customHeight="1" x14ac:dyDescent="0.3">
      <c r="P284" s="225"/>
      <c r="Q284" s="225"/>
    </row>
    <row r="285" spans="16:17" ht="14.25" customHeight="1" x14ac:dyDescent="0.3">
      <c r="P285" s="225"/>
      <c r="Q285" s="225"/>
    </row>
    <row r="286" spans="16:17" ht="14.25" customHeight="1" x14ac:dyDescent="0.3">
      <c r="P286" s="225"/>
      <c r="Q286" s="225"/>
    </row>
    <row r="287" spans="16:17" ht="14.25" customHeight="1" x14ac:dyDescent="0.3">
      <c r="P287" s="225"/>
      <c r="Q287" s="225"/>
    </row>
    <row r="288" spans="16:17" ht="14.25" customHeight="1" x14ac:dyDescent="0.3">
      <c r="P288" s="225"/>
      <c r="Q288" s="225"/>
    </row>
    <row r="289" spans="16:17" ht="14.25" customHeight="1" x14ac:dyDescent="0.3">
      <c r="P289" s="225"/>
      <c r="Q289" s="225"/>
    </row>
    <row r="290" spans="16:17" ht="14.25" customHeight="1" x14ac:dyDescent="0.3">
      <c r="P290" s="225"/>
      <c r="Q290" s="225"/>
    </row>
    <row r="291" spans="16:17" ht="14.25" customHeight="1" x14ac:dyDescent="0.3">
      <c r="P291" s="225"/>
      <c r="Q291" s="225"/>
    </row>
    <row r="292" spans="16:17" ht="14.25" customHeight="1" x14ac:dyDescent="0.3">
      <c r="P292" s="225"/>
      <c r="Q292" s="225"/>
    </row>
    <row r="293" spans="16:17" ht="14.25" customHeight="1" x14ac:dyDescent="0.3">
      <c r="P293" s="225"/>
      <c r="Q293" s="225"/>
    </row>
    <row r="294" spans="16:17" ht="14.25" customHeight="1" x14ac:dyDescent="0.3">
      <c r="P294" s="225"/>
      <c r="Q294" s="225"/>
    </row>
    <row r="295" spans="16:17" ht="14.25" customHeight="1" x14ac:dyDescent="0.3">
      <c r="P295" s="225"/>
      <c r="Q295" s="225"/>
    </row>
    <row r="296" spans="16:17" ht="14.25" customHeight="1" x14ac:dyDescent="0.3">
      <c r="P296" s="225"/>
      <c r="Q296" s="225"/>
    </row>
    <row r="297" spans="16:17" ht="14.25" customHeight="1" x14ac:dyDescent="0.3">
      <c r="P297" s="225"/>
      <c r="Q297" s="225"/>
    </row>
    <row r="298" spans="16:17" ht="14.25" customHeight="1" x14ac:dyDescent="0.3">
      <c r="P298" s="225"/>
      <c r="Q298" s="225"/>
    </row>
    <row r="299" spans="16:17" ht="14.25" customHeight="1" x14ac:dyDescent="0.3">
      <c r="P299" s="225"/>
      <c r="Q299" s="225"/>
    </row>
    <row r="300" spans="16:17" ht="14.25" customHeight="1" x14ac:dyDescent="0.3">
      <c r="P300" s="225"/>
      <c r="Q300" s="225"/>
    </row>
    <row r="301" spans="16:17" ht="14.25" customHeight="1" x14ac:dyDescent="0.3">
      <c r="P301" s="225"/>
      <c r="Q301" s="225"/>
    </row>
    <row r="302" spans="16:17" ht="14.25" customHeight="1" x14ac:dyDescent="0.3">
      <c r="P302" s="225"/>
      <c r="Q302" s="225"/>
    </row>
    <row r="303" spans="16:17" ht="14.25" customHeight="1" x14ac:dyDescent="0.3">
      <c r="P303" s="225"/>
      <c r="Q303" s="225"/>
    </row>
    <row r="304" spans="16:17" ht="14.25" customHeight="1" x14ac:dyDescent="0.3">
      <c r="P304" s="225"/>
      <c r="Q304" s="225"/>
    </row>
    <row r="305" spans="16:17" ht="14.25" customHeight="1" x14ac:dyDescent="0.3">
      <c r="P305" s="225"/>
      <c r="Q305" s="225"/>
    </row>
    <row r="306" spans="16:17" ht="14.25" customHeight="1" x14ac:dyDescent="0.3">
      <c r="P306" s="225"/>
      <c r="Q306" s="225"/>
    </row>
    <row r="307" spans="16:17" ht="14.25" customHeight="1" x14ac:dyDescent="0.3">
      <c r="P307" s="225"/>
      <c r="Q307" s="225"/>
    </row>
    <row r="308" spans="16:17" ht="14.25" customHeight="1" x14ac:dyDescent="0.3">
      <c r="P308" s="225"/>
      <c r="Q308" s="225"/>
    </row>
    <row r="309" spans="16:17" ht="14.25" customHeight="1" x14ac:dyDescent="0.3">
      <c r="P309" s="225"/>
      <c r="Q309" s="225"/>
    </row>
    <row r="310" spans="16:17" ht="14.25" customHeight="1" x14ac:dyDescent="0.3">
      <c r="P310" s="225"/>
      <c r="Q310" s="225"/>
    </row>
    <row r="311" spans="16:17" ht="14.25" customHeight="1" x14ac:dyDescent="0.3">
      <c r="P311" s="225"/>
      <c r="Q311" s="225"/>
    </row>
    <row r="312" spans="16:17" ht="14.25" customHeight="1" x14ac:dyDescent="0.3">
      <c r="P312" s="225"/>
      <c r="Q312" s="225"/>
    </row>
    <row r="313" spans="16:17" ht="14.25" customHeight="1" x14ac:dyDescent="0.3">
      <c r="P313" s="225"/>
      <c r="Q313" s="225"/>
    </row>
    <row r="314" spans="16:17" ht="14.25" customHeight="1" x14ac:dyDescent="0.3">
      <c r="P314" s="225"/>
      <c r="Q314" s="225"/>
    </row>
    <row r="315" spans="16:17" ht="14.25" customHeight="1" x14ac:dyDescent="0.3">
      <c r="P315" s="225"/>
      <c r="Q315" s="225"/>
    </row>
    <row r="316" spans="16:17" ht="14.25" customHeight="1" x14ac:dyDescent="0.3">
      <c r="P316" s="225"/>
      <c r="Q316" s="225"/>
    </row>
    <row r="317" spans="16:17" ht="14.25" customHeight="1" x14ac:dyDescent="0.3">
      <c r="P317" s="225"/>
      <c r="Q317" s="225"/>
    </row>
    <row r="318" spans="16:17" ht="14.25" customHeight="1" x14ac:dyDescent="0.3">
      <c r="P318" s="225"/>
      <c r="Q318" s="225"/>
    </row>
    <row r="319" spans="16:17" ht="14.25" customHeight="1" x14ac:dyDescent="0.3">
      <c r="P319" s="225"/>
      <c r="Q319" s="225"/>
    </row>
    <row r="320" spans="16:17" ht="14.25" customHeight="1" x14ac:dyDescent="0.3">
      <c r="P320" s="225"/>
      <c r="Q320" s="225"/>
    </row>
    <row r="321" spans="16:17" ht="14.25" customHeight="1" x14ac:dyDescent="0.3">
      <c r="P321" s="225"/>
      <c r="Q321" s="225"/>
    </row>
    <row r="322" spans="16:17" ht="14.25" customHeight="1" x14ac:dyDescent="0.3">
      <c r="P322" s="225"/>
      <c r="Q322" s="225"/>
    </row>
    <row r="323" spans="16:17" ht="14.25" customHeight="1" x14ac:dyDescent="0.3">
      <c r="P323" s="225"/>
      <c r="Q323" s="225"/>
    </row>
    <row r="324" spans="16:17" ht="14.25" customHeight="1" x14ac:dyDescent="0.3">
      <c r="P324" s="225"/>
      <c r="Q324" s="225"/>
    </row>
    <row r="325" spans="16:17" ht="14.25" customHeight="1" x14ac:dyDescent="0.3">
      <c r="P325" s="225"/>
      <c r="Q325" s="225"/>
    </row>
    <row r="326" spans="16:17" ht="14.25" customHeight="1" x14ac:dyDescent="0.3">
      <c r="P326" s="225"/>
      <c r="Q326" s="225"/>
    </row>
    <row r="327" spans="16:17" ht="14.25" customHeight="1" x14ac:dyDescent="0.3">
      <c r="P327" s="225"/>
      <c r="Q327" s="225"/>
    </row>
    <row r="328" spans="16:17" ht="14.25" customHeight="1" x14ac:dyDescent="0.3">
      <c r="P328" s="225"/>
      <c r="Q328" s="225"/>
    </row>
    <row r="329" spans="16:17" ht="14.25" customHeight="1" x14ac:dyDescent="0.3">
      <c r="P329" s="225"/>
      <c r="Q329" s="225"/>
    </row>
    <row r="330" spans="16:17" ht="14.25" customHeight="1" x14ac:dyDescent="0.3">
      <c r="P330" s="225"/>
      <c r="Q330" s="225"/>
    </row>
    <row r="331" spans="16:17" ht="14.25" customHeight="1" x14ac:dyDescent="0.3">
      <c r="P331" s="225"/>
      <c r="Q331" s="225"/>
    </row>
    <row r="332" spans="16:17" ht="14.25" customHeight="1" x14ac:dyDescent="0.3">
      <c r="P332" s="225"/>
      <c r="Q332" s="225"/>
    </row>
    <row r="333" spans="16:17" ht="14.25" customHeight="1" x14ac:dyDescent="0.3">
      <c r="P333" s="225"/>
      <c r="Q333" s="225"/>
    </row>
    <row r="334" spans="16:17" ht="14.25" customHeight="1" x14ac:dyDescent="0.3">
      <c r="P334" s="225"/>
      <c r="Q334" s="225"/>
    </row>
    <row r="335" spans="16:17" ht="14.25" customHeight="1" x14ac:dyDescent="0.3">
      <c r="P335" s="225"/>
      <c r="Q335" s="225"/>
    </row>
    <row r="336" spans="16:17" ht="14.25" customHeight="1" x14ac:dyDescent="0.3">
      <c r="P336" s="225"/>
      <c r="Q336" s="225"/>
    </row>
    <row r="337" spans="16:17" ht="14.25" customHeight="1" x14ac:dyDescent="0.3">
      <c r="P337" s="225"/>
      <c r="Q337" s="225"/>
    </row>
    <row r="338" spans="16:17" ht="14.25" customHeight="1" x14ac:dyDescent="0.3">
      <c r="P338" s="225"/>
      <c r="Q338" s="225"/>
    </row>
    <row r="339" spans="16:17" ht="14.25" customHeight="1" x14ac:dyDescent="0.3">
      <c r="P339" s="225"/>
      <c r="Q339" s="225"/>
    </row>
    <row r="340" spans="16:17" ht="14.25" customHeight="1" x14ac:dyDescent="0.3">
      <c r="P340" s="225"/>
      <c r="Q340" s="225"/>
    </row>
    <row r="341" spans="16:17" ht="14.25" customHeight="1" x14ac:dyDescent="0.3">
      <c r="P341" s="225"/>
      <c r="Q341" s="225"/>
    </row>
    <row r="342" spans="16:17" ht="14.25" customHeight="1" x14ac:dyDescent="0.3">
      <c r="P342" s="225"/>
      <c r="Q342" s="225"/>
    </row>
    <row r="343" spans="16:17" ht="14.25" customHeight="1" x14ac:dyDescent="0.3">
      <c r="P343" s="225"/>
      <c r="Q343" s="225"/>
    </row>
    <row r="344" spans="16:17" ht="14.25" customHeight="1" x14ac:dyDescent="0.3">
      <c r="P344" s="225"/>
      <c r="Q344" s="225"/>
    </row>
    <row r="345" spans="16:17" ht="14.25" customHeight="1" x14ac:dyDescent="0.3">
      <c r="P345" s="225"/>
      <c r="Q345" s="225"/>
    </row>
    <row r="346" spans="16:17" ht="14.25" customHeight="1" x14ac:dyDescent="0.3">
      <c r="P346" s="225"/>
      <c r="Q346" s="225"/>
    </row>
    <row r="347" spans="16:17" ht="14.25" customHeight="1" x14ac:dyDescent="0.3">
      <c r="P347" s="225"/>
      <c r="Q347" s="225"/>
    </row>
    <row r="348" spans="16:17" ht="14.25" customHeight="1" x14ac:dyDescent="0.3">
      <c r="P348" s="225"/>
      <c r="Q348" s="225"/>
    </row>
    <row r="349" spans="16:17" ht="14.25" customHeight="1" x14ac:dyDescent="0.3">
      <c r="P349" s="225"/>
      <c r="Q349" s="225"/>
    </row>
    <row r="350" spans="16:17" ht="14.25" customHeight="1" x14ac:dyDescent="0.3">
      <c r="P350" s="225"/>
      <c r="Q350" s="225"/>
    </row>
    <row r="351" spans="16:17" ht="14.25" customHeight="1" x14ac:dyDescent="0.3">
      <c r="P351" s="225"/>
      <c r="Q351" s="225"/>
    </row>
    <row r="352" spans="16:17" ht="14.25" customHeight="1" x14ac:dyDescent="0.3">
      <c r="P352" s="225"/>
      <c r="Q352" s="225"/>
    </row>
    <row r="353" spans="16:17" ht="14.25" customHeight="1" x14ac:dyDescent="0.3">
      <c r="P353" s="225"/>
      <c r="Q353" s="225"/>
    </row>
    <row r="354" spans="16:17" ht="14.25" customHeight="1" x14ac:dyDescent="0.3">
      <c r="P354" s="225"/>
      <c r="Q354" s="225"/>
    </row>
    <row r="355" spans="16:17" ht="14.25" customHeight="1" x14ac:dyDescent="0.3">
      <c r="P355" s="225"/>
      <c r="Q355" s="225"/>
    </row>
    <row r="356" spans="16:17" ht="14.25" customHeight="1" x14ac:dyDescent="0.3">
      <c r="P356" s="225"/>
      <c r="Q356" s="225"/>
    </row>
    <row r="357" spans="16:17" ht="14.25" customHeight="1" x14ac:dyDescent="0.3">
      <c r="P357" s="225"/>
      <c r="Q357" s="225"/>
    </row>
    <row r="358" spans="16:17" ht="14.25" customHeight="1" x14ac:dyDescent="0.3">
      <c r="P358" s="225"/>
      <c r="Q358" s="225"/>
    </row>
    <row r="359" spans="16:17" ht="14.25" customHeight="1" x14ac:dyDescent="0.3">
      <c r="P359" s="225"/>
      <c r="Q359" s="225"/>
    </row>
    <row r="360" spans="16:17" ht="14.25" customHeight="1" x14ac:dyDescent="0.3">
      <c r="P360" s="225"/>
      <c r="Q360" s="225"/>
    </row>
    <row r="361" spans="16:17" ht="14.25" customHeight="1" x14ac:dyDescent="0.3">
      <c r="P361" s="225"/>
      <c r="Q361" s="225"/>
    </row>
    <row r="362" spans="16:17" ht="14.25" customHeight="1" x14ac:dyDescent="0.3">
      <c r="P362" s="225"/>
      <c r="Q362" s="225"/>
    </row>
    <row r="363" spans="16:17" ht="14.25" customHeight="1" x14ac:dyDescent="0.3">
      <c r="P363" s="225"/>
      <c r="Q363" s="225"/>
    </row>
    <row r="364" spans="16:17" ht="14.25" customHeight="1" x14ac:dyDescent="0.3">
      <c r="P364" s="225"/>
      <c r="Q364" s="225"/>
    </row>
    <row r="365" spans="16:17" ht="14.25" customHeight="1" x14ac:dyDescent="0.3">
      <c r="P365" s="225"/>
      <c r="Q365" s="225"/>
    </row>
    <row r="366" spans="16:17" ht="14.25" customHeight="1" x14ac:dyDescent="0.3">
      <c r="P366" s="225"/>
      <c r="Q366" s="225"/>
    </row>
    <row r="367" spans="16:17" ht="14.25" customHeight="1" x14ac:dyDescent="0.3">
      <c r="P367" s="225"/>
      <c r="Q367" s="225"/>
    </row>
    <row r="368" spans="16:17" ht="14.25" customHeight="1" x14ac:dyDescent="0.3">
      <c r="P368" s="225"/>
      <c r="Q368" s="225"/>
    </row>
    <row r="369" spans="16:17" ht="14.25" customHeight="1" x14ac:dyDescent="0.3">
      <c r="P369" s="225"/>
      <c r="Q369" s="225"/>
    </row>
    <row r="370" spans="16:17" ht="14.25" customHeight="1" x14ac:dyDescent="0.3">
      <c r="P370" s="225"/>
      <c r="Q370" s="225"/>
    </row>
    <row r="371" spans="16:17" ht="14.25" customHeight="1" x14ac:dyDescent="0.3">
      <c r="P371" s="225"/>
      <c r="Q371" s="225"/>
    </row>
    <row r="372" spans="16:17" ht="14.25" customHeight="1" x14ac:dyDescent="0.3">
      <c r="P372" s="225"/>
      <c r="Q372" s="225"/>
    </row>
    <row r="373" spans="16:17" ht="14.25" customHeight="1" x14ac:dyDescent="0.3">
      <c r="P373" s="225"/>
      <c r="Q373" s="225"/>
    </row>
    <row r="374" spans="16:17" ht="14.25" customHeight="1" x14ac:dyDescent="0.3">
      <c r="P374" s="225"/>
      <c r="Q374" s="225"/>
    </row>
    <row r="375" spans="16:17" ht="14.25" customHeight="1" x14ac:dyDescent="0.3">
      <c r="P375" s="225"/>
      <c r="Q375" s="225"/>
    </row>
    <row r="376" spans="16:17" ht="14.25" customHeight="1" x14ac:dyDescent="0.3">
      <c r="P376" s="225"/>
      <c r="Q376" s="225"/>
    </row>
    <row r="377" spans="16:17" ht="14.25" customHeight="1" x14ac:dyDescent="0.3">
      <c r="P377" s="225"/>
      <c r="Q377" s="225"/>
    </row>
    <row r="378" spans="16:17" ht="14.25" customHeight="1" x14ac:dyDescent="0.3">
      <c r="P378" s="225"/>
      <c r="Q378" s="225"/>
    </row>
    <row r="379" spans="16:17" ht="14.25" customHeight="1" x14ac:dyDescent="0.3">
      <c r="P379" s="225"/>
      <c r="Q379" s="225"/>
    </row>
    <row r="380" spans="16:17" ht="14.25" customHeight="1" x14ac:dyDescent="0.3">
      <c r="P380" s="225"/>
      <c r="Q380" s="225"/>
    </row>
    <row r="381" spans="16:17" ht="14.25" customHeight="1" x14ac:dyDescent="0.3">
      <c r="P381" s="225"/>
      <c r="Q381" s="225"/>
    </row>
    <row r="382" spans="16:17" ht="14.25" customHeight="1" x14ac:dyDescent="0.3">
      <c r="P382" s="225"/>
      <c r="Q382" s="225"/>
    </row>
    <row r="383" spans="16:17" ht="14.25" customHeight="1" x14ac:dyDescent="0.3">
      <c r="P383" s="225"/>
      <c r="Q383" s="225"/>
    </row>
    <row r="384" spans="16:17" ht="14.25" customHeight="1" x14ac:dyDescent="0.3">
      <c r="P384" s="225"/>
      <c r="Q384" s="225"/>
    </row>
    <row r="385" spans="16:17" ht="14.25" customHeight="1" x14ac:dyDescent="0.3">
      <c r="P385" s="225"/>
      <c r="Q385" s="225"/>
    </row>
    <row r="386" spans="16:17" ht="14.25" customHeight="1" x14ac:dyDescent="0.3">
      <c r="P386" s="225"/>
      <c r="Q386" s="225"/>
    </row>
    <row r="387" spans="16:17" ht="14.25" customHeight="1" x14ac:dyDescent="0.3">
      <c r="P387" s="225"/>
      <c r="Q387" s="225"/>
    </row>
    <row r="388" spans="16:17" ht="14.25" customHeight="1" x14ac:dyDescent="0.3">
      <c r="P388" s="225"/>
      <c r="Q388" s="225"/>
    </row>
    <row r="389" spans="16:17" ht="14.25" customHeight="1" x14ac:dyDescent="0.3">
      <c r="P389" s="225"/>
      <c r="Q389" s="225"/>
    </row>
    <row r="390" spans="16:17" ht="14.25" customHeight="1" x14ac:dyDescent="0.3">
      <c r="P390" s="225"/>
      <c r="Q390" s="225"/>
    </row>
    <row r="391" spans="16:17" ht="14.25" customHeight="1" x14ac:dyDescent="0.3">
      <c r="P391" s="225"/>
      <c r="Q391" s="225"/>
    </row>
    <row r="392" spans="16:17" ht="14.25" customHeight="1" x14ac:dyDescent="0.3">
      <c r="P392" s="225"/>
      <c r="Q392" s="225"/>
    </row>
    <row r="393" spans="16:17" ht="14.25" customHeight="1" x14ac:dyDescent="0.3">
      <c r="P393" s="225"/>
      <c r="Q393" s="225"/>
    </row>
    <row r="394" spans="16:17" ht="14.25" customHeight="1" x14ac:dyDescent="0.3">
      <c r="P394" s="225"/>
      <c r="Q394" s="225"/>
    </row>
    <row r="395" spans="16:17" ht="14.25" customHeight="1" x14ac:dyDescent="0.3">
      <c r="P395" s="225"/>
      <c r="Q395" s="225"/>
    </row>
    <row r="396" spans="16:17" ht="14.25" customHeight="1" x14ac:dyDescent="0.3">
      <c r="P396" s="225"/>
      <c r="Q396" s="225"/>
    </row>
    <row r="397" spans="16:17" ht="14.25" customHeight="1" x14ac:dyDescent="0.3">
      <c r="P397" s="225"/>
      <c r="Q397" s="225"/>
    </row>
    <row r="398" spans="16:17" ht="14.25" customHeight="1" x14ac:dyDescent="0.3">
      <c r="P398" s="225"/>
      <c r="Q398" s="225"/>
    </row>
    <row r="399" spans="16:17" ht="14.25" customHeight="1" x14ac:dyDescent="0.3">
      <c r="P399" s="225"/>
      <c r="Q399" s="225"/>
    </row>
    <row r="400" spans="16:17" ht="14.25" customHeight="1" x14ac:dyDescent="0.3">
      <c r="P400" s="225"/>
      <c r="Q400" s="225"/>
    </row>
    <row r="401" spans="16:17" ht="14.25" customHeight="1" x14ac:dyDescent="0.3">
      <c r="P401" s="225"/>
      <c r="Q401" s="225"/>
    </row>
    <row r="402" spans="16:17" ht="14.25" customHeight="1" x14ac:dyDescent="0.3">
      <c r="P402" s="225"/>
      <c r="Q402" s="225"/>
    </row>
    <row r="403" spans="16:17" ht="14.25" customHeight="1" x14ac:dyDescent="0.3">
      <c r="P403" s="225"/>
      <c r="Q403" s="225"/>
    </row>
    <row r="404" spans="16:17" ht="14.25" customHeight="1" x14ac:dyDescent="0.3">
      <c r="P404" s="225"/>
      <c r="Q404" s="225"/>
    </row>
    <row r="405" spans="16:17" ht="14.25" customHeight="1" x14ac:dyDescent="0.3">
      <c r="P405" s="225"/>
      <c r="Q405" s="225"/>
    </row>
    <row r="406" spans="16:17" ht="14.25" customHeight="1" x14ac:dyDescent="0.3">
      <c r="P406" s="225"/>
      <c r="Q406" s="225"/>
    </row>
    <row r="407" spans="16:17" ht="14.25" customHeight="1" x14ac:dyDescent="0.3">
      <c r="P407" s="225"/>
      <c r="Q407" s="225"/>
    </row>
    <row r="408" spans="16:17" ht="14.25" customHeight="1" x14ac:dyDescent="0.3">
      <c r="P408" s="225"/>
      <c r="Q408" s="225"/>
    </row>
    <row r="409" spans="16:17" ht="14.25" customHeight="1" x14ac:dyDescent="0.3">
      <c r="P409" s="225"/>
      <c r="Q409" s="225"/>
    </row>
    <row r="410" spans="16:17" ht="14.25" customHeight="1" x14ac:dyDescent="0.3">
      <c r="P410" s="225"/>
      <c r="Q410" s="225"/>
    </row>
    <row r="411" spans="16:17" ht="14.25" customHeight="1" x14ac:dyDescent="0.3">
      <c r="P411" s="225"/>
      <c r="Q411" s="225"/>
    </row>
    <row r="412" spans="16:17" ht="14.25" customHeight="1" x14ac:dyDescent="0.3">
      <c r="P412" s="225"/>
      <c r="Q412" s="225"/>
    </row>
    <row r="413" spans="16:17" ht="14.25" customHeight="1" x14ac:dyDescent="0.3">
      <c r="P413" s="225"/>
      <c r="Q413" s="225"/>
    </row>
    <row r="414" spans="16:17" ht="14.25" customHeight="1" x14ac:dyDescent="0.3">
      <c r="P414" s="225"/>
      <c r="Q414" s="225"/>
    </row>
    <row r="415" spans="16:17" ht="14.25" customHeight="1" x14ac:dyDescent="0.3">
      <c r="P415" s="225"/>
      <c r="Q415" s="225"/>
    </row>
    <row r="416" spans="16:17" ht="14.25" customHeight="1" x14ac:dyDescent="0.3">
      <c r="P416" s="225"/>
      <c r="Q416" s="225"/>
    </row>
    <row r="417" spans="16:17" ht="14.25" customHeight="1" x14ac:dyDescent="0.3">
      <c r="P417" s="225"/>
      <c r="Q417" s="225"/>
    </row>
    <row r="418" spans="16:17" ht="14.25" customHeight="1" x14ac:dyDescent="0.3">
      <c r="P418" s="225"/>
      <c r="Q418" s="225"/>
    </row>
    <row r="419" spans="16:17" ht="14.25" customHeight="1" x14ac:dyDescent="0.3">
      <c r="P419" s="225"/>
      <c r="Q419" s="225"/>
    </row>
    <row r="420" spans="16:17" ht="14.25" customHeight="1" x14ac:dyDescent="0.3">
      <c r="P420" s="225"/>
      <c r="Q420" s="225"/>
    </row>
    <row r="421" spans="16:17" ht="14.25" customHeight="1" x14ac:dyDescent="0.3">
      <c r="P421" s="225"/>
      <c r="Q421" s="225"/>
    </row>
    <row r="422" spans="16:17" ht="14.25" customHeight="1" x14ac:dyDescent="0.3">
      <c r="P422" s="225"/>
      <c r="Q422" s="225"/>
    </row>
    <row r="423" spans="16:17" ht="14.25" customHeight="1" x14ac:dyDescent="0.3">
      <c r="P423" s="225"/>
      <c r="Q423" s="225"/>
    </row>
    <row r="424" spans="16:17" ht="14.25" customHeight="1" x14ac:dyDescent="0.3">
      <c r="P424" s="225"/>
      <c r="Q424" s="225"/>
    </row>
    <row r="425" spans="16:17" ht="14.25" customHeight="1" x14ac:dyDescent="0.3">
      <c r="P425" s="225"/>
      <c r="Q425" s="225"/>
    </row>
    <row r="426" spans="16:17" ht="14.25" customHeight="1" x14ac:dyDescent="0.3">
      <c r="P426" s="225"/>
      <c r="Q426" s="225"/>
    </row>
    <row r="427" spans="16:17" ht="14.25" customHeight="1" x14ac:dyDescent="0.3">
      <c r="P427" s="225"/>
      <c r="Q427" s="225"/>
    </row>
    <row r="428" spans="16:17" ht="14.25" customHeight="1" x14ac:dyDescent="0.3">
      <c r="P428" s="225"/>
      <c r="Q428" s="225"/>
    </row>
    <row r="429" spans="16:17" ht="14.25" customHeight="1" x14ac:dyDescent="0.3">
      <c r="P429" s="225"/>
      <c r="Q429" s="225"/>
    </row>
    <row r="430" spans="16:17" ht="14.25" customHeight="1" x14ac:dyDescent="0.3">
      <c r="P430" s="225"/>
      <c r="Q430" s="225"/>
    </row>
    <row r="431" spans="16:17" ht="14.25" customHeight="1" x14ac:dyDescent="0.3">
      <c r="P431" s="225"/>
      <c r="Q431" s="225"/>
    </row>
    <row r="432" spans="16:17" ht="14.25" customHeight="1" x14ac:dyDescent="0.3">
      <c r="P432" s="225"/>
      <c r="Q432" s="225"/>
    </row>
    <row r="433" spans="16:17" ht="14.25" customHeight="1" x14ac:dyDescent="0.3">
      <c r="P433" s="225"/>
      <c r="Q433" s="225"/>
    </row>
    <row r="434" spans="16:17" ht="14.25" customHeight="1" x14ac:dyDescent="0.3">
      <c r="P434" s="225"/>
      <c r="Q434" s="225"/>
    </row>
    <row r="435" spans="16:17" ht="14.25" customHeight="1" x14ac:dyDescent="0.3">
      <c r="P435" s="225"/>
      <c r="Q435" s="225"/>
    </row>
    <row r="436" spans="16:17" ht="14.25" customHeight="1" x14ac:dyDescent="0.3">
      <c r="P436" s="225"/>
      <c r="Q436" s="225"/>
    </row>
    <row r="437" spans="16:17" ht="14.25" customHeight="1" x14ac:dyDescent="0.3">
      <c r="P437" s="225"/>
      <c r="Q437" s="225"/>
    </row>
    <row r="438" spans="16:17" ht="14.25" customHeight="1" x14ac:dyDescent="0.3">
      <c r="P438" s="225"/>
      <c r="Q438" s="225"/>
    </row>
    <row r="439" spans="16:17" ht="14.25" customHeight="1" x14ac:dyDescent="0.3">
      <c r="P439" s="225"/>
      <c r="Q439" s="225"/>
    </row>
    <row r="440" spans="16:17" ht="14.25" customHeight="1" x14ac:dyDescent="0.3">
      <c r="P440" s="225"/>
      <c r="Q440" s="225"/>
    </row>
    <row r="441" spans="16:17" ht="14.25" customHeight="1" x14ac:dyDescent="0.3">
      <c r="P441" s="225"/>
      <c r="Q441" s="225"/>
    </row>
    <row r="442" spans="16:17" ht="14.25" customHeight="1" x14ac:dyDescent="0.3">
      <c r="P442" s="225"/>
      <c r="Q442" s="225"/>
    </row>
    <row r="443" spans="16:17" ht="14.25" customHeight="1" x14ac:dyDescent="0.3">
      <c r="P443" s="225"/>
      <c r="Q443" s="225"/>
    </row>
    <row r="444" spans="16:17" ht="14.25" customHeight="1" x14ac:dyDescent="0.3">
      <c r="P444" s="225"/>
      <c r="Q444" s="225"/>
    </row>
    <row r="445" spans="16:17" ht="14.25" customHeight="1" x14ac:dyDescent="0.3">
      <c r="P445" s="225"/>
      <c r="Q445" s="225"/>
    </row>
    <row r="446" spans="16:17" ht="14.25" customHeight="1" x14ac:dyDescent="0.3">
      <c r="P446" s="225"/>
      <c r="Q446" s="225"/>
    </row>
    <row r="447" spans="16:17" ht="14.25" customHeight="1" x14ac:dyDescent="0.3">
      <c r="P447" s="225"/>
      <c r="Q447" s="225"/>
    </row>
    <row r="448" spans="16:17" ht="14.25" customHeight="1" x14ac:dyDescent="0.3">
      <c r="P448" s="225"/>
      <c r="Q448" s="225"/>
    </row>
    <row r="449" spans="16:17" ht="14.25" customHeight="1" x14ac:dyDescent="0.3">
      <c r="P449" s="225"/>
      <c r="Q449" s="225"/>
    </row>
    <row r="450" spans="16:17" ht="14.25" customHeight="1" x14ac:dyDescent="0.3">
      <c r="P450" s="225"/>
      <c r="Q450" s="225"/>
    </row>
    <row r="451" spans="16:17" ht="14.25" customHeight="1" x14ac:dyDescent="0.3">
      <c r="P451" s="225"/>
      <c r="Q451" s="225"/>
    </row>
    <row r="452" spans="16:17" ht="14.25" customHeight="1" x14ac:dyDescent="0.3">
      <c r="P452" s="225"/>
      <c r="Q452" s="225"/>
    </row>
    <row r="453" spans="16:17" ht="14.25" customHeight="1" x14ac:dyDescent="0.3">
      <c r="P453" s="225"/>
      <c r="Q453" s="225"/>
    </row>
    <row r="454" spans="16:17" ht="14.25" customHeight="1" x14ac:dyDescent="0.3">
      <c r="P454" s="225"/>
      <c r="Q454" s="225"/>
    </row>
    <row r="455" spans="16:17" ht="14.25" customHeight="1" x14ac:dyDescent="0.3">
      <c r="P455" s="225"/>
      <c r="Q455" s="225"/>
    </row>
    <row r="456" spans="16:17" ht="14.25" customHeight="1" x14ac:dyDescent="0.3">
      <c r="P456" s="225"/>
      <c r="Q456" s="225"/>
    </row>
    <row r="457" spans="16:17" ht="14.25" customHeight="1" x14ac:dyDescent="0.3">
      <c r="P457" s="225"/>
      <c r="Q457" s="225"/>
    </row>
    <row r="458" spans="16:17" ht="14.25" customHeight="1" x14ac:dyDescent="0.3">
      <c r="P458" s="225"/>
      <c r="Q458" s="225"/>
    </row>
    <row r="459" spans="16:17" ht="14.25" customHeight="1" x14ac:dyDescent="0.3">
      <c r="P459" s="225"/>
      <c r="Q459" s="225"/>
    </row>
    <row r="460" spans="16:17" ht="14.25" customHeight="1" x14ac:dyDescent="0.3">
      <c r="P460" s="225"/>
      <c r="Q460" s="225"/>
    </row>
    <row r="461" spans="16:17" ht="14.25" customHeight="1" x14ac:dyDescent="0.3">
      <c r="P461" s="225"/>
      <c r="Q461" s="225"/>
    </row>
    <row r="462" spans="16:17" ht="14.25" customHeight="1" x14ac:dyDescent="0.3">
      <c r="P462" s="225"/>
      <c r="Q462" s="225"/>
    </row>
    <row r="463" spans="16:17" ht="14.25" customHeight="1" x14ac:dyDescent="0.3">
      <c r="P463" s="225"/>
      <c r="Q463" s="225"/>
    </row>
    <row r="464" spans="16:17" ht="14.25" customHeight="1" x14ac:dyDescent="0.3">
      <c r="P464" s="225"/>
      <c r="Q464" s="225"/>
    </row>
    <row r="465" spans="16:17" ht="14.25" customHeight="1" x14ac:dyDescent="0.3">
      <c r="P465" s="225"/>
      <c r="Q465" s="225"/>
    </row>
    <row r="466" spans="16:17" ht="14.25" customHeight="1" x14ac:dyDescent="0.3">
      <c r="P466" s="225"/>
      <c r="Q466" s="225"/>
    </row>
    <row r="467" spans="16:17" ht="14.25" customHeight="1" x14ac:dyDescent="0.3">
      <c r="P467" s="225"/>
      <c r="Q467" s="225"/>
    </row>
    <row r="468" spans="16:17" ht="14.25" customHeight="1" x14ac:dyDescent="0.3">
      <c r="P468" s="225"/>
      <c r="Q468" s="225"/>
    </row>
    <row r="469" spans="16:17" ht="14.25" customHeight="1" x14ac:dyDescent="0.3">
      <c r="P469" s="225"/>
      <c r="Q469" s="225"/>
    </row>
    <row r="470" spans="16:17" ht="14.25" customHeight="1" x14ac:dyDescent="0.3">
      <c r="P470" s="225"/>
      <c r="Q470" s="225"/>
    </row>
    <row r="471" spans="16:17" ht="14.25" customHeight="1" x14ac:dyDescent="0.3">
      <c r="P471" s="225"/>
      <c r="Q471" s="225"/>
    </row>
    <row r="472" spans="16:17" ht="14.25" customHeight="1" x14ac:dyDescent="0.3">
      <c r="P472" s="225"/>
      <c r="Q472" s="225"/>
    </row>
    <row r="473" spans="16:17" ht="14.25" customHeight="1" x14ac:dyDescent="0.3">
      <c r="P473" s="225"/>
      <c r="Q473" s="225"/>
    </row>
    <row r="474" spans="16:17" ht="14.25" customHeight="1" x14ac:dyDescent="0.3">
      <c r="P474" s="225"/>
      <c r="Q474" s="225"/>
    </row>
    <row r="475" spans="16:17" ht="14.25" customHeight="1" x14ac:dyDescent="0.3">
      <c r="P475" s="225"/>
      <c r="Q475" s="225"/>
    </row>
    <row r="476" spans="16:17" ht="14.25" customHeight="1" x14ac:dyDescent="0.3">
      <c r="P476" s="225"/>
      <c r="Q476" s="225"/>
    </row>
    <row r="477" spans="16:17" ht="14.25" customHeight="1" x14ac:dyDescent="0.3">
      <c r="P477" s="225"/>
      <c r="Q477" s="225"/>
    </row>
    <row r="478" spans="16:17" ht="14.25" customHeight="1" x14ac:dyDescent="0.3">
      <c r="P478" s="225"/>
      <c r="Q478" s="225"/>
    </row>
    <row r="479" spans="16:17" ht="14.25" customHeight="1" x14ac:dyDescent="0.3">
      <c r="P479" s="225"/>
      <c r="Q479" s="225"/>
    </row>
    <row r="480" spans="16:17" ht="14.25" customHeight="1" x14ac:dyDescent="0.3">
      <c r="P480" s="225"/>
      <c r="Q480" s="225"/>
    </row>
    <row r="481" spans="16:17" ht="14.25" customHeight="1" x14ac:dyDescent="0.3">
      <c r="P481" s="225"/>
      <c r="Q481" s="225"/>
    </row>
    <row r="482" spans="16:17" ht="14.25" customHeight="1" x14ac:dyDescent="0.3">
      <c r="P482" s="225"/>
      <c r="Q482" s="225"/>
    </row>
    <row r="483" spans="16:17" ht="14.25" customHeight="1" x14ac:dyDescent="0.3">
      <c r="P483" s="225"/>
      <c r="Q483" s="225"/>
    </row>
    <row r="484" spans="16:17" ht="14.25" customHeight="1" x14ac:dyDescent="0.3">
      <c r="P484" s="225"/>
      <c r="Q484" s="225"/>
    </row>
    <row r="485" spans="16:17" ht="14.25" customHeight="1" x14ac:dyDescent="0.3">
      <c r="P485" s="225"/>
      <c r="Q485" s="225"/>
    </row>
    <row r="486" spans="16:17" ht="14.25" customHeight="1" x14ac:dyDescent="0.3">
      <c r="P486" s="225"/>
      <c r="Q486" s="225"/>
    </row>
    <row r="487" spans="16:17" ht="14.25" customHeight="1" x14ac:dyDescent="0.3">
      <c r="P487" s="225"/>
      <c r="Q487" s="225"/>
    </row>
    <row r="488" spans="16:17" ht="14.25" customHeight="1" x14ac:dyDescent="0.3">
      <c r="P488" s="225"/>
      <c r="Q488" s="225"/>
    </row>
    <row r="489" spans="16:17" ht="14.25" customHeight="1" x14ac:dyDescent="0.3">
      <c r="P489" s="225"/>
      <c r="Q489" s="225"/>
    </row>
    <row r="490" spans="16:17" ht="14.25" customHeight="1" x14ac:dyDescent="0.3">
      <c r="P490" s="225"/>
      <c r="Q490" s="225"/>
    </row>
    <row r="491" spans="16:17" ht="14.25" customHeight="1" x14ac:dyDescent="0.3">
      <c r="P491" s="225"/>
      <c r="Q491" s="225"/>
    </row>
    <row r="492" spans="16:17" ht="14.25" customHeight="1" x14ac:dyDescent="0.3">
      <c r="P492" s="225"/>
      <c r="Q492" s="225"/>
    </row>
    <row r="493" spans="16:17" ht="14.25" customHeight="1" x14ac:dyDescent="0.3">
      <c r="P493" s="225"/>
      <c r="Q493" s="225"/>
    </row>
    <row r="494" spans="16:17" ht="14.25" customHeight="1" x14ac:dyDescent="0.3">
      <c r="P494" s="225"/>
      <c r="Q494" s="225"/>
    </row>
    <row r="495" spans="16:17" ht="14.25" customHeight="1" x14ac:dyDescent="0.3">
      <c r="P495" s="225"/>
      <c r="Q495" s="225"/>
    </row>
    <row r="496" spans="16:17" ht="14.25" customHeight="1" x14ac:dyDescent="0.3">
      <c r="P496" s="225"/>
      <c r="Q496" s="225"/>
    </row>
    <row r="497" spans="16:17" ht="14.25" customHeight="1" x14ac:dyDescent="0.3">
      <c r="P497" s="225"/>
      <c r="Q497" s="225"/>
    </row>
    <row r="498" spans="16:17" ht="14.25" customHeight="1" x14ac:dyDescent="0.3">
      <c r="P498" s="225"/>
      <c r="Q498" s="225"/>
    </row>
    <row r="499" spans="16:17" ht="14.25" customHeight="1" x14ac:dyDescent="0.3">
      <c r="P499" s="225"/>
      <c r="Q499" s="225"/>
    </row>
    <row r="500" spans="16:17" ht="14.25" customHeight="1" x14ac:dyDescent="0.3">
      <c r="P500" s="225"/>
      <c r="Q500" s="225"/>
    </row>
    <row r="501" spans="16:17" ht="14.25" customHeight="1" x14ac:dyDescent="0.3">
      <c r="P501" s="225"/>
      <c r="Q501" s="225"/>
    </row>
    <row r="502" spans="16:17" ht="14.25" customHeight="1" x14ac:dyDescent="0.3">
      <c r="P502" s="225"/>
      <c r="Q502" s="225"/>
    </row>
    <row r="503" spans="16:17" ht="14.25" customHeight="1" x14ac:dyDescent="0.3">
      <c r="P503" s="225"/>
      <c r="Q503" s="225"/>
    </row>
    <row r="504" spans="16:17" ht="14.25" customHeight="1" x14ac:dyDescent="0.3">
      <c r="P504" s="225"/>
      <c r="Q504" s="225"/>
    </row>
    <row r="505" spans="16:17" ht="14.25" customHeight="1" x14ac:dyDescent="0.3">
      <c r="P505" s="225"/>
      <c r="Q505" s="225"/>
    </row>
    <row r="506" spans="16:17" ht="14.25" customHeight="1" x14ac:dyDescent="0.3">
      <c r="P506" s="225"/>
      <c r="Q506" s="225"/>
    </row>
    <row r="507" spans="16:17" ht="14.25" customHeight="1" x14ac:dyDescent="0.3">
      <c r="P507" s="225"/>
      <c r="Q507" s="225"/>
    </row>
    <row r="508" spans="16:17" ht="14.25" customHeight="1" x14ac:dyDescent="0.3">
      <c r="P508" s="225"/>
      <c r="Q508" s="225"/>
    </row>
    <row r="509" spans="16:17" ht="14.25" customHeight="1" x14ac:dyDescent="0.3">
      <c r="P509" s="225"/>
      <c r="Q509" s="225"/>
    </row>
    <row r="510" spans="16:17" ht="14.25" customHeight="1" x14ac:dyDescent="0.3">
      <c r="P510" s="225"/>
      <c r="Q510" s="225"/>
    </row>
    <row r="511" spans="16:17" ht="14.25" customHeight="1" x14ac:dyDescent="0.3">
      <c r="P511" s="225"/>
      <c r="Q511" s="225"/>
    </row>
    <row r="512" spans="16:17" ht="14.25" customHeight="1" x14ac:dyDescent="0.3">
      <c r="P512" s="225"/>
      <c r="Q512" s="225"/>
    </row>
    <row r="513" spans="16:17" ht="14.25" customHeight="1" x14ac:dyDescent="0.3">
      <c r="P513" s="225"/>
      <c r="Q513" s="225"/>
    </row>
    <row r="514" spans="16:17" ht="14.25" customHeight="1" x14ac:dyDescent="0.3">
      <c r="P514" s="225"/>
      <c r="Q514" s="225"/>
    </row>
    <row r="515" spans="16:17" ht="14.25" customHeight="1" x14ac:dyDescent="0.3">
      <c r="P515" s="225"/>
      <c r="Q515" s="225"/>
    </row>
    <row r="516" spans="16:17" ht="14.25" customHeight="1" x14ac:dyDescent="0.3">
      <c r="P516" s="225"/>
      <c r="Q516" s="225"/>
    </row>
    <row r="517" spans="16:17" ht="14.25" customHeight="1" x14ac:dyDescent="0.3">
      <c r="P517" s="225"/>
      <c r="Q517" s="225"/>
    </row>
    <row r="518" spans="16:17" ht="14.25" customHeight="1" x14ac:dyDescent="0.3">
      <c r="P518" s="225"/>
      <c r="Q518" s="225"/>
    </row>
    <row r="519" spans="16:17" ht="14.25" customHeight="1" x14ac:dyDescent="0.3">
      <c r="P519" s="225"/>
      <c r="Q519" s="225"/>
    </row>
    <row r="520" spans="16:17" ht="14.25" customHeight="1" x14ac:dyDescent="0.3">
      <c r="P520" s="225"/>
      <c r="Q520" s="225"/>
    </row>
    <row r="521" spans="16:17" ht="14.25" customHeight="1" x14ac:dyDescent="0.3">
      <c r="P521" s="225"/>
      <c r="Q521" s="225"/>
    </row>
    <row r="522" spans="16:17" ht="14.25" customHeight="1" x14ac:dyDescent="0.3">
      <c r="P522" s="225"/>
      <c r="Q522" s="225"/>
    </row>
    <row r="523" spans="16:17" ht="14.25" customHeight="1" x14ac:dyDescent="0.3">
      <c r="P523" s="225"/>
      <c r="Q523" s="225"/>
    </row>
    <row r="524" spans="16:17" ht="14.25" customHeight="1" x14ac:dyDescent="0.3">
      <c r="P524" s="225"/>
      <c r="Q524" s="225"/>
    </row>
    <row r="525" spans="16:17" ht="14.25" customHeight="1" x14ac:dyDescent="0.3">
      <c r="P525" s="225"/>
      <c r="Q525" s="225"/>
    </row>
    <row r="526" spans="16:17" ht="14.25" customHeight="1" x14ac:dyDescent="0.3">
      <c r="P526" s="225"/>
      <c r="Q526" s="225"/>
    </row>
    <row r="527" spans="16:17" ht="14.25" customHeight="1" x14ac:dyDescent="0.3">
      <c r="P527" s="225"/>
      <c r="Q527" s="225"/>
    </row>
    <row r="528" spans="16:17" ht="14.25" customHeight="1" x14ac:dyDescent="0.3">
      <c r="P528" s="225"/>
      <c r="Q528" s="225"/>
    </row>
    <row r="529" spans="16:17" ht="14.25" customHeight="1" x14ac:dyDescent="0.3">
      <c r="P529" s="225"/>
      <c r="Q529" s="225"/>
    </row>
    <row r="530" spans="16:17" ht="14.25" customHeight="1" x14ac:dyDescent="0.3">
      <c r="P530" s="225"/>
      <c r="Q530" s="225"/>
    </row>
    <row r="531" spans="16:17" ht="14.25" customHeight="1" x14ac:dyDescent="0.3">
      <c r="P531" s="225"/>
      <c r="Q531" s="225"/>
    </row>
    <row r="532" spans="16:17" ht="14.25" customHeight="1" x14ac:dyDescent="0.3">
      <c r="P532" s="225"/>
      <c r="Q532" s="225"/>
    </row>
    <row r="533" spans="16:17" ht="14.25" customHeight="1" x14ac:dyDescent="0.3">
      <c r="P533" s="225"/>
      <c r="Q533" s="225"/>
    </row>
    <row r="534" spans="16:17" ht="14.25" customHeight="1" x14ac:dyDescent="0.3">
      <c r="P534" s="225"/>
      <c r="Q534" s="225"/>
    </row>
    <row r="535" spans="16:17" ht="14.25" customHeight="1" x14ac:dyDescent="0.3">
      <c r="P535" s="225"/>
      <c r="Q535" s="225"/>
    </row>
    <row r="536" spans="16:17" ht="14.25" customHeight="1" x14ac:dyDescent="0.3">
      <c r="P536" s="225"/>
      <c r="Q536" s="225"/>
    </row>
    <row r="537" spans="16:17" ht="14.25" customHeight="1" x14ac:dyDescent="0.3">
      <c r="P537" s="225"/>
      <c r="Q537" s="225"/>
    </row>
    <row r="538" spans="16:17" ht="14.25" customHeight="1" x14ac:dyDescent="0.3">
      <c r="P538" s="225"/>
      <c r="Q538" s="225"/>
    </row>
    <row r="539" spans="16:17" ht="14.25" customHeight="1" x14ac:dyDescent="0.3">
      <c r="P539" s="225"/>
      <c r="Q539" s="225"/>
    </row>
    <row r="540" spans="16:17" ht="14.25" customHeight="1" x14ac:dyDescent="0.3">
      <c r="P540" s="225"/>
      <c r="Q540" s="225"/>
    </row>
    <row r="541" spans="16:17" ht="14.25" customHeight="1" x14ac:dyDescent="0.3">
      <c r="P541" s="225"/>
      <c r="Q541" s="225"/>
    </row>
    <row r="542" spans="16:17" ht="14.25" customHeight="1" x14ac:dyDescent="0.3">
      <c r="P542" s="225"/>
      <c r="Q542" s="225"/>
    </row>
    <row r="543" spans="16:17" ht="14.25" customHeight="1" x14ac:dyDescent="0.3">
      <c r="P543" s="225"/>
      <c r="Q543" s="225"/>
    </row>
    <row r="544" spans="16:17" ht="14.25" customHeight="1" x14ac:dyDescent="0.3">
      <c r="P544" s="225"/>
      <c r="Q544" s="225"/>
    </row>
    <row r="545" spans="16:17" ht="14.25" customHeight="1" x14ac:dyDescent="0.3">
      <c r="P545" s="225"/>
      <c r="Q545" s="225"/>
    </row>
    <row r="546" spans="16:17" ht="14.25" customHeight="1" x14ac:dyDescent="0.3">
      <c r="P546" s="225"/>
      <c r="Q546" s="225"/>
    </row>
    <row r="547" spans="16:17" ht="14.25" customHeight="1" x14ac:dyDescent="0.3">
      <c r="P547" s="225"/>
      <c r="Q547" s="225"/>
    </row>
    <row r="548" spans="16:17" ht="14.25" customHeight="1" x14ac:dyDescent="0.3">
      <c r="P548" s="225"/>
      <c r="Q548" s="225"/>
    </row>
    <row r="549" spans="16:17" ht="14.25" customHeight="1" x14ac:dyDescent="0.3">
      <c r="P549" s="225"/>
      <c r="Q549" s="225"/>
    </row>
    <row r="550" spans="16:17" ht="14.25" customHeight="1" x14ac:dyDescent="0.3">
      <c r="P550" s="225"/>
      <c r="Q550" s="225"/>
    </row>
    <row r="551" spans="16:17" ht="14.25" customHeight="1" x14ac:dyDescent="0.3">
      <c r="P551" s="225"/>
      <c r="Q551" s="225"/>
    </row>
    <row r="552" spans="16:17" ht="14.25" customHeight="1" x14ac:dyDescent="0.3">
      <c r="P552" s="225"/>
      <c r="Q552" s="225"/>
    </row>
    <row r="553" spans="16:17" ht="14.25" customHeight="1" x14ac:dyDescent="0.3">
      <c r="P553" s="225"/>
      <c r="Q553" s="225"/>
    </row>
    <row r="554" spans="16:17" ht="14.25" customHeight="1" x14ac:dyDescent="0.3">
      <c r="P554" s="225"/>
      <c r="Q554" s="225"/>
    </row>
    <row r="555" spans="16:17" ht="14.25" customHeight="1" x14ac:dyDescent="0.3">
      <c r="P555" s="225"/>
      <c r="Q555" s="225"/>
    </row>
    <row r="556" spans="16:17" ht="14.25" customHeight="1" x14ac:dyDescent="0.3">
      <c r="P556" s="225"/>
      <c r="Q556" s="225"/>
    </row>
    <row r="557" spans="16:17" ht="14.25" customHeight="1" x14ac:dyDescent="0.3">
      <c r="P557" s="225"/>
      <c r="Q557" s="225"/>
    </row>
    <row r="558" spans="16:17" ht="14.25" customHeight="1" x14ac:dyDescent="0.3">
      <c r="P558" s="225"/>
      <c r="Q558" s="225"/>
    </row>
    <row r="559" spans="16:17" ht="14.25" customHeight="1" x14ac:dyDescent="0.3">
      <c r="P559" s="225"/>
      <c r="Q559" s="225"/>
    </row>
    <row r="560" spans="16:17" ht="14.25" customHeight="1" x14ac:dyDescent="0.3">
      <c r="P560" s="225"/>
      <c r="Q560" s="225"/>
    </row>
    <row r="561" spans="16:17" ht="14.25" customHeight="1" x14ac:dyDescent="0.3">
      <c r="P561" s="225"/>
      <c r="Q561" s="225"/>
    </row>
    <row r="562" spans="16:17" ht="14.25" customHeight="1" x14ac:dyDescent="0.3">
      <c r="P562" s="225"/>
      <c r="Q562" s="225"/>
    </row>
    <row r="563" spans="16:17" ht="14.25" customHeight="1" x14ac:dyDescent="0.3">
      <c r="P563" s="225"/>
      <c r="Q563" s="225"/>
    </row>
    <row r="564" spans="16:17" ht="14.25" customHeight="1" x14ac:dyDescent="0.3">
      <c r="P564" s="225"/>
      <c r="Q564" s="225"/>
    </row>
    <row r="565" spans="16:17" ht="14.25" customHeight="1" x14ac:dyDescent="0.3">
      <c r="P565" s="225"/>
      <c r="Q565" s="225"/>
    </row>
    <row r="566" spans="16:17" ht="14.25" customHeight="1" x14ac:dyDescent="0.3">
      <c r="P566" s="225"/>
      <c r="Q566" s="225"/>
    </row>
    <row r="567" spans="16:17" ht="14.25" customHeight="1" x14ac:dyDescent="0.3">
      <c r="P567" s="225"/>
      <c r="Q567" s="225"/>
    </row>
    <row r="568" spans="16:17" ht="14.25" customHeight="1" x14ac:dyDescent="0.3">
      <c r="P568" s="225"/>
      <c r="Q568" s="225"/>
    </row>
    <row r="569" spans="16:17" ht="14.25" customHeight="1" x14ac:dyDescent="0.3">
      <c r="P569" s="225"/>
      <c r="Q569" s="225"/>
    </row>
    <row r="570" spans="16:17" ht="14.25" customHeight="1" x14ac:dyDescent="0.3">
      <c r="P570" s="225"/>
      <c r="Q570" s="225"/>
    </row>
    <row r="571" spans="16:17" ht="14.25" customHeight="1" x14ac:dyDescent="0.3">
      <c r="P571" s="225"/>
      <c r="Q571" s="225"/>
    </row>
    <row r="572" spans="16:17" ht="14.25" customHeight="1" x14ac:dyDescent="0.3">
      <c r="P572" s="225"/>
      <c r="Q572" s="225"/>
    </row>
    <row r="573" spans="16:17" ht="14.25" customHeight="1" x14ac:dyDescent="0.3">
      <c r="P573" s="225"/>
      <c r="Q573" s="225"/>
    </row>
    <row r="574" spans="16:17" ht="14.25" customHeight="1" x14ac:dyDescent="0.3">
      <c r="P574" s="225"/>
      <c r="Q574" s="225"/>
    </row>
    <row r="575" spans="16:17" ht="14.25" customHeight="1" x14ac:dyDescent="0.3">
      <c r="P575" s="225"/>
      <c r="Q575" s="225"/>
    </row>
    <row r="576" spans="16:17" ht="14.25" customHeight="1" x14ac:dyDescent="0.3">
      <c r="P576" s="225"/>
      <c r="Q576" s="225"/>
    </row>
    <row r="577" spans="16:17" ht="14.25" customHeight="1" x14ac:dyDescent="0.3">
      <c r="P577" s="225"/>
      <c r="Q577" s="225"/>
    </row>
    <row r="578" spans="16:17" ht="14.25" customHeight="1" x14ac:dyDescent="0.3">
      <c r="P578" s="225"/>
      <c r="Q578" s="225"/>
    </row>
    <row r="579" spans="16:17" ht="14.25" customHeight="1" x14ac:dyDescent="0.3">
      <c r="P579" s="225"/>
      <c r="Q579" s="225"/>
    </row>
    <row r="580" spans="16:17" ht="14.25" customHeight="1" x14ac:dyDescent="0.3">
      <c r="P580" s="225"/>
      <c r="Q580" s="225"/>
    </row>
    <row r="581" spans="16:17" ht="14.25" customHeight="1" x14ac:dyDescent="0.3">
      <c r="P581" s="225"/>
      <c r="Q581" s="225"/>
    </row>
    <row r="582" spans="16:17" ht="14.25" customHeight="1" x14ac:dyDescent="0.3">
      <c r="P582" s="225"/>
      <c r="Q582" s="225"/>
    </row>
    <row r="583" spans="16:17" ht="14.25" customHeight="1" x14ac:dyDescent="0.3">
      <c r="P583" s="225"/>
      <c r="Q583" s="225"/>
    </row>
    <row r="584" spans="16:17" ht="14.25" customHeight="1" x14ac:dyDescent="0.3">
      <c r="P584" s="225"/>
      <c r="Q584" s="225"/>
    </row>
    <row r="585" spans="16:17" ht="14.25" customHeight="1" x14ac:dyDescent="0.3">
      <c r="P585" s="225"/>
      <c r="Q585" s="225"/>
    </row>
    <row r="586" spans="16:17" ht="14.25" customHeight="1" x14ac:dyDescent="0.3">
      <c r="P586" s="225"/>
      <c r="Q586" s="225"/>
    </row>
    <row r="587" spans="16:17" ht="14.25" customHeight="1" x14ac:dyDescent="0.3">
      <c r="P587" s="225"/>
      <c r="Q587" s="225"/>
    </row>
    <row r="588" spans="16:17" ht="14.25" customHeight="1" x14ac:dyDescent="0.3">
      <c r="P588" s="225"/>
      <c r="Q588" s="225"/>
    </row>
    <row r="589" spans="16:17" ht="14.25" customHeight="1" x14ac:dyDescent="0.3">
      <c r="P589" s="225"/>
      <c r="Q589" s="225"/>
    </row>
    <row r="590" spans="16:17" ht="14.25" customHeight="1" x14ac:dyDescent="0.3">
      <c r="P590" s="225"/>
      <c r="Q590" s="225"/>
    </row>
    <row r="591" spans="16:17" ht="14.25" customHeight="1" x14ac:dyDescent="0.3">
      <c r="P591" s="225"/>
      <c r="Q591" s="225"/>
    </row>
    <row r="592" spans="16:17" ht="14.25" customHeight="1" x14ac:dyDescent="0.3">
      <c r="P592" s="225"/>
      <c r="Q592" s="225"/>
    </row>
    <row r="593" spans="16:17" ht="14.25" customHeight="1" x14ac:dyDescent="0.3">
      <c r="P593" s="225"/>
      <c r="Q593" s="225"/>
    </row>
    <row r="594" spans="16:17" ht="14.25" customHeight="1" x14ac:dyDescent="0.3">
      <c r="P594" s="225"/>
      <c r="Q594" s="225"/>
    </row>
    <row r="595" spans="16:17" ht="14.25" customHeight="1" x14ac:dyDescent="0.3">
      <c r="P595" s="225"/>
      <c r="Q595" s="225"/>
    </row>
    <row r="596" spans="16:17" ht="14.25" customHeight="1" x14ac:dyDescent="0.3">
      <c r="P596" s="225"/>
      <c r="Q596" s="225"/>
    </row>
    <row r="597" spans="16:17" ht="14.25" customHeight="1" x14ac:dyDescent="0.3">
      <c r="P597" s="225"/>
      <c r="Q597" s="225"/>
    </row>
    <row r="598" spans="16:17" ht="14.25" customHeight="1" x14ac:dyDescent="0.3">
      <c r="P598" s="225"/>
      <c r="Q598" s="225"/>
    </row>
    <row r="599" spans="16:17" ht="14.25" customHeight="1" x14ac:dyDescent="0.3">
      <c r="P599" s="225"/>
      <c r="Q599" s="225"/>
    </row>
    <row r="600" spans="16:17" ht="14.25" customHeight="1" x14ac:dyDescent="0.3">
      <c r="P600" s="225"/>
      <c r="Q600" s="225"/>
    </row>
    <row r="601" spans="16:17" ht="14.25" customHeight="1" x14ac:dyDescent="0.3">
      <c r="P601" s="225"/>
      <c r="Q601" s="225"/>
    </row>
    <row r="602" spans="16:17" ht="14.25" customHeight="1" x14ac:dyDescent="0.3">
      <c r="P602" s="225"/>
      <c r="Q602" s="225"/>
    </row>
    <row r="603" spans="16:17" ht="14.25" customHeight="1" x14ac:dyDescent="0.3">
      <c r="P603" s="225"/>
      <c r="Q603" s="225"/>
    </row>
    <row r="604" spans="16:17" ht="14.25" customHeight="1" x14ac:dyDescent="0.3">
      <c r="P604" s="225"/>
      <c r="Q604" s="225"/>
    </row>
    <row r="605" spans="16:17" ht="14.25" customHeight="1" x14ac:dyDescent="0.3">
      <c r="P605" s="225"/>
      <c r="Q605" s="225"/>
    </row>
    <row r="606" spans="16:17" ht="14.25" customHeight="1" x14ac:dyDescent="0.3">
      <c r="P606" s="225"/>
      <c r="Q606" s="225"/>
    </row>
    <row r="607" spans="16:17" ht="14.25" customHeight="1" x14ac:dyDescent="0.3">
      <c r="P607" s="225"/>
      <c r="Q607" s="225"/>
    </row>
    <row r="608" spans="16:17" ht="14.25" customHeight="1" x14ac:dyDescent="0.3">
      <c r="P608" s="225"/>
      <c r="Q608" s="225"/>
    </row>
    <row r="609" spans="16:17" ht="14.25" customHeight="1" x14ac:dyDescent="0.3">
      <c r="P609" s="225"/>
      <c r="Q609" s="225"/>
    </row>
    <row r="610" spans="16:17" ht="14.25" customHeight="1" x14ac:dyDescent="0.3">
      <c r="P610" s="225"/>
      <c r="Q610" s="225"/>
    </row>
    <row r="611" spans="16:17" ht="14.25" customHeight="1" x14ac:dyDescent="0.3">
      <c r="P611" s="225"/>
      <c r="Q611" s="225"/>
    </row>
    <row r="612" spans="16:17" ht="14.25" customHeight="1" x14ac:dyDescent="0.3">
      <c r="P612" s="225"/>
      <c r="Q612" s="225"/>
    </row>
    <row r="613" spans="16:17" ht="14.25" customHeight="1" x14ac:dyDescent="0.3">
      <c r="P613" s="225"/>
      <c r="Q613" s="225"/>
    </row>
    <row r="614" spans="16:17" ht="14.25" customHeight="1" x14ac:dyDescent="0.3">
      <c r="P614" s="225"/>
      <c r="Q614" s="225"/>
    </row>
    <row r="615" spans="16:17" ht="14.25" customHeight="1" x14ac:dyDescent="0.3">
      <c r="P615" s="225"/>
      <c r="Q615" s="225"/>
    </row>
    <row r="616" spans="16:17" ht="14.25" customHeight="1" x14ac:dyDescent="0.3">
      <c r="P616" s="225"/>
      <c r="Q616" s="225"/>
    </row>
    <row r="617" spans="16:17" ht="14.25" customHeight="1" x14ac:dyDescent="0.3">
      <c r="P617" s="225"/>
      <c r="Q617" s="225"/>
    </row>
    <row r="618" spans="16:17" ht="14.25" customHeight="1" x14ac:dyDescent="0.3">
      <c r="P618" s="225"/>
      <c r="Q618" s="225"/>
    </row>
    <row r="619" spans="16:17" ht="14.25" customHeight="1" x14ac:dyDescent="0.3">
      <c r="P619" s="225"/>
      <c r="Q619" s="225"/>
    </row>
    <row r="620" spans="16:17" ht="14.25" customHeight="1" x14ac:dyDescent="0.3">
      <c r="P620" s="225"/>
      <c r="Q620" s="225"/>
    </row>
    <row r="621" spans="16:17" ht="14.25" customHeight="1" x14ac:dyDescent="0.3">
      <c r="P621" s="225"/>
      <c r="Q621" s="225"/>
    </row>
    <row r="622" spans="16:17" ht="14.25" customHeight="1" x14ac:dyDescent="0.3">
      <c r="P622" s="225"/>
      <c r="Q622" s="225"/>
    </row>
    <row r="623" spans="16:17" ht="14.25" customHeight="1" x14ac:dyDescent="0.3">
      <c r="P623" s="225"/>
      <c r="Q623" s="225"/>
    </row>
    <row r="624" spans="16:17" ht="14.25" customHeight="1" x14ac:dyDescent="0.3">
      <c r="P624" s="225"/>
      <c r="Q624" s="225"/>
    </row>
    <row r="625" spans="16:17" ht="14.25" customHeight="1" x14ac:dyDescent="0.3">
      <c r="P625" s="225"/>
      <c r="Q625" s="225"/>
    </row>
    <row r="626" spans="16:17" ht="14.25" customHeight="1" x14ac:dyDescent="0.3">
      <c r="P626" s="225"/>
      <c r="Q626" s="225"/>
    </row>
    <row r="627" spans="16:17" ht="14.25" customHeight="1" x14ac:dyDescent="0.3">
      <c r="P627" s="225"/>
      <c r="Q627" s="225"/>
    </row>
    <row r="628" spans="16:17" ht="14.25" customHeight="1" x14ac:dyDescent="0.3">
      <c r="P628" s="225"/>
      <c r="Q628" s="225"/>
    </row>
    <row r="629" spans="16:17" ht="14.25" customHeight="1" x14ac:dyDescent="0.3">
      <c r="P629" s="225"/>
      <c r="Q629" s="225"/>
    </row>
    <row r="630" spans="16:17" ht="14.25" customHeight="1" x14ac:dyDescent="0.3">
      <c r="P630" s="225"/>
      <c r="Q630" s="225"/>
    </row>
    <row r="631" spans="16:17" ht="14.25" customHeight="1" x14ac:dyDescent="0.3">
      <c r="P631" s="225"/>
      <c r="Q631" s="225"/>
    </row>
    <row r="632" spans="16:17" ht="14.25" customHeight="1" x14ac:dyDescent="0.3">
      <c r="P632" s="225"/>
      <c r="Q632" s="225"/>
    </row>
    <row r="633" spans="16:17" ht="14.25" customHeight="1" x14ac:dyDescent="0.3">
      <c r="P633" s="225"/>
      <c r="Q633" s="225"/>
    </row>
    <row r="634" spans="16:17" ht="14.25" customHeight="1" x14ac:dyDescent="0.3">
      <c r="P634" s="225"/>
      <c r="Q634" s="225"/>
    </row>
    <row r="635" spans="16:17" ht="14.25" customHeight="1" x14ac:dyDescent="0.3">
      <c r="P635" s="225"/>
      <c r="Q635" s="225"/>
    </row>
    <row r="636" spans="16:17" ht="14.25" customHeight="1" x14ac:dyDescent="0.3">
      <c r="P636" s="225"/>
      <c r="Q636" s="225"/>
    </row>
    <row r="637" spans="16:17" ht="14.25" customHeight="1" x14ac:dyDescent="0.3">
      <c r="P637" s="225"/>
      <c r="Q637" s="225"/>
    </row>
    <row r="638" spans="16:17" ht="14.25" customHeight="1" x14ac:dyDescent="0.3">
      <c r="P638" s="225"/>
      <c r="Q638" s="225"/>
    </row>
    <row r="639" spans="16:17" ht="14.25" customHeight="1" x14ac:dyDescent="0.3">
      <c r="P639" s="225"/>
      <c r="Q639" s="225"/>
    </row>
    <row r="640" spans="16:17" ht="14.25" customHeight="1" x14ac:dyDescent="0.3">
      <c r="P640" s="225"/>
      <c r="Q640" s="225"/>
    </row>
    <row r="641" spans="16:17" ht="14.25" customHeight="1" x14ac:dyDescent="0.3">
      <c r="P641" s="225"/>
      <c r="Q641" s="225"/>
    </row>
    <row r="642" spans="16:17" ht="14.25" customHeight="1" x14ac:dyDescent="0.3">
      <c r="P642" s="225"/>
      <c r="Q642" s="225"/>
    </row>
    <row r="643" spans="16:17" ht="14.25" customHeight="1" x14ac:dyDescent="0.3">
      <c r="P643" s="225"/>
      <c r="Q643" s="225"/>
    </row>
    <row r="644" spans="16:17" ht="14.25" customHeight="1" x14ac:dyDescent="0.3">
      <c r="P644" s="225"/>
      <c r="Q644" s="225"/>
    </row>
    <row r="645" spans="16:17" ht="14.25" customHeight="1" x14ac:dyDescent="0.3">
      <c r="P645" s="225"/>
      <c r="Q645" s="225"/>
    </row>
    <row r="646" spans="16:17" ht="14.25" customHeight="1" x14ac:dyDescent="0.3">
      <c r="P646" s="225"/>
      <c r="Q646" s="225"/>
    </row>
    <row r="647" spans="16:17" ht="14.25" customHeight="1" x14ac:dyDescent="0.3">
      <c r="P647" s="225"/>
      <c r="Q647" s="225"/>
    </row>
    <row r="648" spans="16:17" ht="14.25" customHeight="1" x14ac:dyDescent="0.3">
      <c r="P648" s="225"/>
      <c r="Q648" s="225"/>
    </row>
    <row r="649" spans="16:17" ht="14.25" customHeight="1" x14ac:dyDescent="0.3">
      <c r="P649" s="225"/>
      <c r="Q649" s="225"/>
    </row>
    <row r="650" spans="16:17" ht="14.25" customHeight="1" x14ac:dyDescent="0.3">
      <c r="P650" s="225"/>
      <c r="Q650" s="225"/>
    </row>
    <row r="651" spans="16:17" ht="14.25" customHeight="1" x14ac:dyDescent="0.3">
      <c r="P651" s="225"/>
      <c r="Q651" s="225"/>
    </row>
    <row r="652" spans="16:17" ht="14.25" customHeight="1" x14ac:dyDescent="0.3">
      <c r="P652" s="225"/>
      <c r="Q652" s="225"/>
    </row>
    <row r="653" spans="16:17" ht="14.25" customHeight="1" x14ac:dyDescent="0.3">
      <c r="P653" s="225"/>
      <c r="Q653" s="225"/>
    </row>
    <row r="654" spans="16:17" ht="14.25" customHeight="1" x14ac:dyDescent="0.3">
      <c r="P654" s="225"/>
      <c r="Q654" s="225"/>
    </row>
    <row r="655" spans="16:17" ht="14.25" customHeight="1" x14ac:dyDescent="0.3">
      <c r="P655" s="225"/>
      <c r="Q655" s="225"/>
    </row>
    <row r="656" spans="16:17" ht="14.25" customHeight="1" x14ac:dyDescent="0.3">
      <c r="P656" s="225"/>
      <c r="Q656" s="225"/>
    </row>
    <row r="657" spans="16:17" ht="14.25" customHeight="1" x14ac:dyDescent="0.3">
      <c r="P657" s="225"/>
      <c r="Q657" s="225"/>
    </row>
    <row r="658" spans="16:17" ht="14.25" customHeight="1" x14ac:dyDescent="0.3">
      <c r="P658" s="225"/>
      <c r="Q658" s="225"/>
    </row>
    <row r="659" spans="16:17" ht="14.25" customHeight="1" x14ac:dyDescent="0.3">
      <c r="P659" s="225"/>
      <c r="Q659" s="225"/>
    </row>
    <row r="660" spans="16:17" ht="14.25" customHeight="1" x14ac:dyDescent="0.3">
      <c r="P660" s="225"/>
      <c r="Q660" s="225"/>
    </row>
    <row r="661" spans="16:17" ht="14.25" customHeight="1" x14ac:dyDescent="0.3">
      <c r="P661" s="225"/>
      <c r="Q661" s="225"/>
    </row>
    <row r="662" spans="16:17" ht="14.25" customHeight="1" x14ac:dyDescent="0.3">
      <c r="P662" s="225"/>
      <c r="Q662" s="225"/>
    </row>
    <row r="663" spans="16:17" ht="14.25" customHeight="1" x14ac:dyDescent="0.3">
      <c r="P663" s="225"/>
      <c r="Q663" s="225"/>
    </row>
    <row r="664" spans="16:17" ht="14.25" customHeight="1" x14ac:dyDescent="0.3">
      <c r="P664" s="225"/>
      <c r="Q664" s="225"/>
    </row>
    <row r="665" spans="16:17" ht="14.25" customHeight="1" x14ac:dyDescent="0.3">
      <c r="P665" s="225"/>
      <c r="Q665" s="225"/>
    </row>
    <row r="666" spans="16:17" ht="14.25" customHeight="1" x14ac:dyDescent="0.3">
      <c r="P666" s="225"/>
      <c r="Q666" s="225"/>
    </row>
    <row r="667" spans="16:17" ht="14.25" customHeight="1" x14ac:dyDescent="0.3">
      <c r="P667" s="225"/>
      <c r="Q667" s="225"/>
    </row>
    <row r="668" spans="16:17" ht="14.25" customHeight="1" x14ac:dyDescent="0.3">
      <c r="P668" s="225"/>
      <c r="Q668" s="225"/>
    </row>
    <row r="669" spans="16:17" ht="14.25" customHeight="1" x14ac:dyDescent="0.3">
      <c r="P669" s="225"/>
      <c r="Q669" s="225"/>
    </row>
    <row r="670" spans="16:17" ht="14.25" customHeight="1" x14ac:dyDescent="0.3">
      <c r="P670" s="225"/>
      <c r="Q670" s="225"/>
    </row>
    <row r="671" spans="16:17" ht="14.25" customHeight="1" x14ac:dyDescent="0.3">
      <c r="P671" s="225"/>
      <c r="Q671" s="225"/>
    </row>
    <row r="672" spans="16:17" ht="14.25" customHeight="1" x14ac:dyDescent="0.3">
      <c r="P672" s="225"/>
      <c r="Q672" s="225"/>
    </row>
    <row r="673" spans="16:17" ht="14.25" customHeight="1" x14ac:dyDescent="0.3">
      <c r="P673" s="225"/>
      <c r="Q673" s="225"/>
    </row>
    <row r="674" spans="16:17" ht="14.25" customHeight="1" x14ac:dyDescent="0.3">
      <c r="P674" s="225"/>
      <c r="Q674" s="225"/>
    </row>
    <row r="675" spans="16:17" ht="14.25" customHeight="1" x14ac:dyDescent="0.3">
      <c r="P675" s="225"/>
      <c r="Q675" s="225"/>
    </row>
    <row r="676" spans="16:17" ht="14.25" customHeight="1" x14ac:dyDescent="0.3">
      <c r="P676" s="225"/>
      <c r="Q676" s="225"/>
    </row>
    <row r="677" spans="16:17" ht="14.25" customHeight="1" x14ac:dyDescent="0.3">
      <c r="P677" s="225"/>
      <c r="Q677" s="225"/>
    </row>
    <row r="678" spans="16:17" ht="14.25" customHeight="1" x14ac:dyDescent="0.3">
      <c r="P678" s="225"/>
      <c r="Q678" s="225"/>
    </row>
    <row r="679" spans="16:17" ht="14.25" customHeight="1" x14ac:dyDescent="0.3">
      <c r="P679" s="225"/>
      <c r="Q679" s="225"/>
    </row>
    <row r="680" spans="16:17" ht="14.25" customHeight="1" x14ac:dyDescent="0.3">
      <c r="P680" s="225"/>
      <c r="Q680" s="225"/>
    </row>
    <row r="681" spans="16:17" ht="14.25" customHeight="1" x14ac:dyDescent="0.3">
      <c r="P681" s="225"/>
      <c r="Q681" s="225"/>
    </row>
    <row r="682" spans="16:17" ht="14.25" customHeight="1" x14ac:dyDescent="0.3">
      <c r="P682" s="225"/>
      <c r="Q682" s="225"/>
    </row>
    <row r="683" spans="16:17" ht="14.25" customHeight="1" x14ac:dyDescent="0.3">
      <c r="P683" s="225"/>
      <c r="Q683" s="225"/>
    </row>
    <row r="684" spans="16:17" ht="14.25" customHeight="1" x14ac:dyDescent="0.3">
      <c r="P684" s="225"/>
      <c r="Q684" s="225"/>
    </row>
    <row r="685" spans="16:17" ht="14.25" customHeight="1" x14ac:dyDescent="0.3">
      <c r="P685" s="225"/>
      <c r="Q685" s="225"/>
    </row>
    <row r="686" spans="16:17" ht="14.25" customHeight="1" x14ac:dyDescent="0.3">
      <c r="P686" s="225"/>
      <c r="Q686" s="225"/>
    </row>
    <row r="687" spans="16:17" ht="14.25" customHeight="1" x14ac:dyDescent="0.3">
      <c r="P687" s="225"/>
      <c r="Q687" s="225"/>
    </row>
    <row r="688" spans="16:17" ht="14.25" customHeight="1" x14ac:dyDescent="0.3">
      <c r="P688" s="225"/>
      <c r="Q688" s="225"/>
    </row>
    <row r="689" spans="16:17" ht="14.25" customHeight="1" x14ac:dyDescent="0.3">
      <c r="P689" s="225"/>
      <c r="Q689" s="225"/>
    </row>
    <row r="690" spans="16:17" ht="14.25" customHeight="1" x14ac:dyDescent="0.3">
      <c r="P690" s="225"/>
      <c r="Q690" s="225"/>
    </row>
    <row r="691" spans="16:17" ht="14.25" customHeight="1" x14ac:dyDescent="0.3">
      <c r="P691" s="225"/>
      <c r="Q691" s="225"/>
    </row>
    <row r="692" spans="16:17" ht="14.25" customHeight="1" x14ac:dyDescent="0.3">
      <c r="P692" s="225"/>
      <c r="Q692" s="225"/>
    </row>
    <row r="693" spans="16:17" ht="14.25" customHeight="1" x14ac:dyDescent="0.3">
      <c r="P693" s="225"/>
      <c r="Q693" s="225"/>
    </row>
    <row r="694" spans="16:17" ht="14.25" customHeight="1" x14ac:dyDescent="0.3">
      <c r="P694" s="225"/>
      <c r="Q694" s="225"/>
    </row>
    <row r="695" spans="16:17" ht="14.25" customHeight="1" x14ac:dyDescent="0.3">
      <c r="P695" s="225"/>
      <c r="Q695" s="225"/>
    </row>
    <row r="696" spans="16:17" ht="14.25" customHeight="1" x14ac:dyDescent="0.3">
      <c r="P696" s="225"/>
      <c r="Q696" s="225"/>
    </row>
    <row r="697" spans="16:17" ht="14.25" customHeight="1" x14ac:dyDescent="0.3">
      <c r="P697" s="225"/>
      <c r="Q697" s="225"/>
    </row>
    <row r="698" spans="16:17" ht="14.25" customHeight="1" x14ac:dyDescent="0.3">
      <c r="P698" s="225"/>
      <c r="Q698" s="225"/>
    </row>
    <row r="699" spans="16:17" ht="14.25" customHeight="1" x14ac:dyDescent="0.3">
      <c r="P699" s="225"/>
      <c r="Q699" s="225"/>
    </row>
    <row r="700" spans="16:17" ht="14.25" customHeight="1" x14ac:dyDescent="0.3">
      <c r="P700" s="225"/>
      <c r="Q700" s="225"/>
    </row>
    <row r="701" spans="16:17" ht="14.25" customHeight="1" x14ac:dyDescent="0.3">
      <c r="P701" s="225"/>
      <c r="Q701" s="225"/>
    </row>
    <row r="702" spans="16:17" ht="14.25" customHeight="1" x14ac:dyDescent="0.3">
      <c r="P702" s="225"/>
      <c r="Q702" s="225"/>
    </row>
    <row r="703" spans="16:17" ht="14.25" customHeight="1" x14ac:dyDescent="0.3">
      <c r="P703" s="225"/>
      <c r="Q703" s="225"/>
    </row>
    <row r="704" spans="16:17" ht="14.25" customHeight="1" x14ac:dyDescent="0.3">
      <c r="P704" s="225"/>
      <c r="Q704" s="225"/>
    </row>
    <row r="705" spans="16:17" ht="14.25" customHeight="1" x14ac:dyDescent="0.3">
      <c r="P705" s="225"/>
      <c r="Q705" s="225"/>
    </row>
    <row r="706" spans="16:17" ht="14.25" customHeight="1" x14ac:dyDescent="0.3">
      <c r="P706" s="225"/>
      <c r="Q706" s="225"/>
    </row>
    <row r="707" spans="16:17" ht="14.25" customHeight="1" x14ac:dyDescent="0.3">
      <c r="P707" s="225"/>
      <c r="Q707" s="225"/>
    </row>
    <row r="708" spans="16:17" ht="14.25" customHeight="1" x14ac:dyDescent="0.3">
      <c r="P708" s="225"/>
      <c r="Q708" s="225"/>
    </row>
    <row r="709" spans="16:17" ht="14.25" customHeight="1" x14ac:dyDescent="0.3">
      <c r="P709" s="225"/>
      <c r="Q709" s="225"/>
    </row>
    <row r="710" spans="16:17" ht="14.25" customHeight="1" x14ac:dyDescent="0.3">
      <c r="P710" s="225"/>
      <c r="Q710" s="225"/>
    </row>
    <row r="711" spans="16:17" ht="14.25" customHeight="1" x14ac:dyDescent="0.3">
      <c r="P711" s="225"/>
      <c r="Q711" s="225"/>
    </row>
    <row r="712" spans="16:17" ht="14.25" customHeight="1" x14ac:dyDescent="0.3">
      <c r="P712" s="225"/>
      <c r="Q712" s="225"/>
    </row>
    <row r="713" spans="16:17" ht="14.25" customHeight="1" x14ac:dyDescent="0.3">
      <c r="P713" s="225"/>
      <c r="Q713" s="225"/>
    </row>
    <row r="714" spans="16:17" ht="14.25" customHeight="1" x14ac:dyDescent="0.3">
      <c r="P714" s="225"/>
      <c r="Q714" s="225"/>
    </row>
    <row r="715" spans="16:17" ht="14.25" customHeight="1" x14ac:dyDescent="0.3">
      <c r="P715" s="225"/>
      <c r="Q715" s="225"/>
    </row>
    <row r="716" spans="16:17" ht="14.25" customHeight="1" x14ac:dyDescent="0.3">
      <c r="P716" s="225"/>
      <c r="Q716" s="225"/>
    </row>
    <row r="717" spans="16:17" ht="14.25" customHeight="1" x14ac:dyDescent="0.3">
      <c r="P717" s="225"/>
      <c r="Q717" s="225"/>
    </row>
    <row r="718" spans="16:17" ht="14.25" customHeight="1" x14ac:dyDescent="0.3">
      <c r="P718" s="225"/>
      <c r="Q718" s="225"/>
    </row>
    <row r="719" spans="16:17" ht="14.25" customHeight="1" x14ac:dyDescent="0.3">
      <c r="P719" s="225"/>
      <c r="Q719" s="225"/>
    </row>
    <row r="720" spans="16:17" ht="14.25" customHeight="1" x14ac:dyDescent="0.3">
      <c r="P720" s="225"/>
      <c r="Q720" s="225"/>
    </row>
    <row r="721" spans="16:17" ht="14.25" customHeight="1" x14ac:dyDescent="0.3">
      <c r="P721" s="225"/>
      <c r="Q721" s="225"/>
    </row>
    <row r="722" spans="16:17" ht="14.25" customHeight="1" x14ac:dyDescent="0.3">
      <c r="P722" s="225"/>
      <c r="Q722" s="225"/>
    </row>
    <row r="723" spans="16:17" ht="14.25" customHeight="1" x14ac:dyDescent="0.3">
      <c r="P723" s="225"/>
      <c r="Q723" s="225"/>
    </row>
    <row r="724" spans="16:17" ht="14.25" customHeight="1" x14ac:dyDescent="0.3">
      <c r="P724" s="225"/>
      <c r="Q724" s="225"/>
    </row>
    <row r="725" spans="16:17" ht="14.25" customHeight="1" x14ac:dyDescent="0.3">
      <c r="P725" s="225"/>
      <c r="Q725" s="225"/>
    </row>
    <row r="726" spans="16:17" ht="14.25" customHeight="1" x14ac:dyDescent="0.3">
      <c r="P726" s="225"/>
      <c r="Q726" s="225"/>
    </row>
    <row r="727" spans="16:17" ht="14.25" customHeight="1" x14ac:dyDescent="0.3">
      <c r="P727" s="225"/>
      <c r="Q727" s="225"/>
    </row>
    <row r="728" spans="16:17" ht="14.25" customHeight="1" x14ac:dyDescent="0.3">
      <c r="P728" s="225"/>
      <c r="Q728" s="225"/>
    </row>
    <row r="729" spans="16:17" ht="14.25" customHeight="1" x14ac:dyDescent="0.3">
      <c r="P729" s="225"/>
      <c r="Q729" s="225"/>
    </row>
    <row r="730" spans="16:17" ht="14.25" customHeight="1" x14ac:dyDescent="0.3">
      <c r="P730" s="225"/>
      <c r="Q730" s="225"/>
    </row>
    <row r="731" spans="16:17" ht="14.25" customHeight="1" x14ac:dyDescent="0.3">
      <c r="P731" s="225"/>
      <c r="Q731" s="225"/>
    </row>
    <row r="732" spans="16:17" ht="14.25" customHeight="1" x14ac:dyDescent="0.3">
      <c r="P732" s="225"/>
      <c r="Q732" s="225"/>
    </row>
    <row r="733" spans="16:17" ht="14.25" customHeight="1" x14ac:dyDescent="0.3">
      <c r="P733" s="225"/>
      <c r="Q733" s="225"/>
    </row>
    <row r="734" spans="16:17" ht="14.25" customHeight="1" x14ac:dyDescent="0.3">
      <c r="P734" s="225"/>
      <c r="Q734" s="225"/>
    </row>
    <row r="735" spans="16:17" ht="14.25" customHeight="1" x14ac:dyDescent="0.3">
      <c r="P735" s="225"/>
      <c r="Q735" s="225"/>
    </row>
    <row r="736" spans="16:17" ht="14.25" customHeight="1" x14ac:dyDescent="0.3">
      <c r="P736" s="225"/>
      <c r="Q736" s="225"/>
    </row>
    <row r="737" spans="16:17" ht="14.25" customHeight="1" x14ac:dyDescent="0.3">
      <c r="P737" s="225"/>
      <c r="Q737" s="225"/>
    </row>
    <row r="738" spans="16:17" ht="14.25" customHeight="1" x14ac:dyDescent="0.3">
      <c r="P738" s="225"/>
      <c r="Q738" s="225"/>
    </row>
    <row r="739" spans="16:17" ht="14.25" customHeight="1" x14ac:dyDescent="0.3">
      <c r="P739" s="225"/>
      <c r="Q739" s="225"/>
    </row>
    <row r="740" spans="16:17" ht="14.25" customHeight="1" x14ac:dyDescent="0.3">
      <c r="P740" s="225"/>
      <c r="Q740" s="225"/>
    </row>
    <row r="741" spans="16:17" ht="14.25" customHeight="1" x14ac:dyDescent="0.3">
      <c r="P741" s="225"/>
      <c r="Q741" s="225"/>
    </row>
    <row r="742" spans="16:17" ht="14.25" customHeight="1" x14ac:dyDescent="0.3">
      <c r="P742" s="225"/>
      <c r="Q742" s="225"/>
    </row>
    <row r="743" spans="16:17" ht="14.25" customHeight="1" x14ac:dyDescent="0.3">
      <c r="P743" s="225"/>
      <c r="Q743" s="225"/>
    </row>
    <row r="744" spans="16:17" ht="14.25" customHeight="1" x14ac:dyDescent="0.3">
      <c r="P744" s="225"/>
      <c r="Q744" s="225"/>
    </row>
    <row r="745" spans="16:17" ht="14.25" customHeight="1" x14ac:dyDescent="0.3">
      <c r="P745" s="225"/>
      <c r="Q745" s="225"/>
    </row>
    <row r="746" spans="16:17" ht="14.25" customHeight="1" x14ac:dyDescent="0.3">
      <c r="P746" s="225"/>
      <c r="Q746" s="225"/>
    </row>
    <row r="747" spans="16:17" ht="14.25" customHeight="1" x14ac:dyDescent="0.3">
      <c r="P747" s="225"/>
      <c r="Q747" s="225"/>
    </row>
    <row r="748" spans="16:17" ht="14.25" customHeight="1" x14ac:dyDescent="0.3">
      <c r="P748" s="225"/>
      <c r="Q748" s="225"/>
    </row>
    <row r="749" spans="16:17" ht="14.25" customHeight="1" x14ac:dyDescent="0.3">
      <c r="P749" s="225"/>
      <c r="Q749" s="225"/>
    </row>
    <row r="750" spans="16:17" ht="14.25" customHeight="1" x14ac:dyDescent="0.3">
      <c r="P750" s="225"/>
      <c r="Q750" s="225"/>
    </row>
    <row r="751" spans="16:17" ht="14.25" customHeight="1" x14ac:dyDescent="0.3">
      <c r="P751" s="225"/>
      <c r="Q751" s="225"/>
    </row>
    <row r="752" spans="16:17" ht="14.25" customHeight="1" x14ac:dyDescent="0.3">
      <c r="P752" s="225"/>
      <c r="Q752" s="225"/>
    </row>
    <row r="753" spans="16:17" ht="14.25" customHeight="1" x14ac:dyDescent="0.3">
      <c r="P753" s="225"/>
      <c r="Q753" s="225"/>
    </row>
    <row r="754" spans="16:17" ht="14.25" customHeight="1" x14ac:dyDescent="0.3">
      <c r="P754" s="225"/>
      <c r="Q754" s="225"/>
    </row>
    <row r="755" spans="16:17" ht="14.25" customHeight="1" x14ac:dyDescent="0.3">
      <c r="P755" s="225"/>
      <c r="Q755" s="225"/>
    </row>
    <row r="756" spans="16:17" ht="14.25" customHeight="1" x14ac:dyDescent="0.3">
      <c r="P756" s="225"/>
      <c r="Q756" s="225"/>
    </row>
    <row r="757" spans="16:17" ht="14.25" customHeight="1" x14ac:dyDescent="0.3">
      <c r="P757" s="225"/>
      <c r="Q757" s="225"/>
    </row>
    <row r="758" spans="16:17" ht="14.25" customHeight="1" x14ac:dyDescent="0.3">
      <c r="P758" s="225"/>
      <c r="Q758" s="225"/>
    </row>
    <row r="759" spans="16:17" ht="14.25" customHeight="1" x14ac:dyDescent="0.3">
      <c r="P759" s="225"/>
      <c r="Q759" s="225"/>
    </row>
    <row r="760" spans="16:17" ht="14.25" customHeight="1" x14ac:dyDescent="0.3">
      <c r="P760" s="225"/>
      <c r="Q760" s="225"/>
    </row>
    <row r="761" spans="16:17" ht="14.25" customHeight="1" x14ac:dyDescent="0.3">
      <c r="P761" s="225"/>
      <c r="Q761" s="225"/>
    </row>
    <row r="762" spans="16:17" ht="14.25" customHeight="1" x14ac:dyDescent="0.3">
      <c r="P762" s="225"/>
      <c r="Q762" s="225"/>
    </row>
    <row r="763" spans="16:17" ht="14.25" customHeight="1" x14ac:dyDescent="0.3">
      <c r="P763" s="225"/>
      <c r="Q763" s="225"/>
    </row>
    <row r="764" spans="16:17" ht="14.25" customHeight="1" x14ac:dyDescent="0.3">
      <c r="P764" s="225"/>
      <c r="Q764" s="225"/>
    </row>
    <row r="765" spans="16:17" ht="14.25" customHeight="1" x14ac:dyDescent="0.3">
      <c r="P765" s="225"/>
      <c r="Q765" s="225"/>
    </row>
    <row r="766" spans="16:17" ht="14.25" customHeight="1" x14ac:dyDescent="0.3">
      <c r="P766" s="225"/>
      <c r="Q766" s="225"/>
    </row>
    <row r="767" spans="16:17" ht="14.25" customHeight="1" x14ac:dyDescent="0.3">
      <c r="P767" s="225"/>
      <c r="Q767" s="225"/>
    </row>
    <row r="768" spans="16:17" ht="14.25" customHeight="1" x14ac:dyDescent="0.3">
      <c r="P768" s="225"/>
      <c r="Q768" s="225"/>
    </row>
    <row r="769" spans="16:17" ht="14.25" customHeight="1" x14ac:dyDescent="0.3">
      <c r="P769" s="225"/>
      <c r="Q769" s="225"/>
    </row>
    <row r="770" spans="16:17" ht="14.25" customHeight="1" x14ac:dyDescent="0.3">
      <c r="P770" s="225"/>
      <c r="Q770" s="225"/>
    </row>
    <row r="771" spans="16:17" ht="14.25" customHeight="1" x14ac:dyDescent="0.3">
      <c r="P771" s="225"/>
      <c r="Q771" s="225"/>
    </row>
    <row r="772" spans="16:17" ht="14.25" customHeight="1" x14ac:dyDescent="0.3">
      <c r="P772" s="225"/>
      <c r="Q772" s="225"/>
    </row>
    <row r="773" spans="16:17" ht="14.25" customHeight="1" x14ac:dyDescent="0.3">
      <c r="P773" s="225"/>
      <c r="Q773" s="225"/>
    </row>
    <row r="774" spans="16:17" ht="14.25" customHeight="1" x14ac:dyDescent="0.3">
      <c r="P774" s="225"/>
      <c r="Q774" s="225"/>
    </row>
    <row r="775" spans="16:17" ht="14.25" customHeight="1" x14ac:dyDescent="0.3">
      <c r="P775" s="225"/>
      <c r="Q775" s="225"/>
    </row>
    <row r="776" spans="16:17" ht="14.25" customHeight="1" x14ac:dyDescent="0.3">
      <c r="P776" s="225"/>
      <c r="Q776" s="225"/>
    </row>
    <row r="777" spans="16:17" ht="14.25" customHeight="1" x14ac:dyDescent="0.3">
      <c r="P777" s="225"/>
      <c r="Q777" s="225"/>
    </row>
    <row r="778" spans="16:17" ht="14.25" customHeight="1" x14ac:dyDescent="0.3">
      <c r="P778" s="225"/>
      <c r="Q778" s="225"/>
    </row>
    <row r="779" spans="16:17" ht="14.25" customHeight="1" x14ac:dyDescent="0.3">
      <c r="P779" s="225"/>
      <c r="Q779" s="225"/>
    </row>
    <row r="780" spans="16:17" ht="14.25" customHeight="1" x14ac:dyDescent="0.3">
      <c r="P780" s="225"/>
      <c r="Q780" s="225"/>
    </row>
    <row r="781" spans="16:17" ht="14.25" customHeight="1" x14ac:dyDescent="0.3">
      <c r="P781" s="225"/>
      <c r="Q781" s="225"/>
    </row>
    <row r="782" spans="16:17" ht="14.25" customHeight="1" x14ac:dyDescent="0.3">
      <c r="P782" s="225"/>
      <c r="Q782" s="225"/>
    </row>
    <row r="783" spans="16:17" ht="14.25" customHeight="1" x14ac:dyDescent="0.3">
      <c r="P783" s="225"/>
      <c r="Q783" s="225"/>
    </row>
    <row r="784" spans="16:17" ht="14.25" customHeight="1" x14ac:dyDescent="0.3">
      <c r="P784" s="225"/>
      <c r="Q784" s="225"/>
    </row>
    <row r="785" spans="16:17" ht="14.25" customHeight="1" x14ac:dyDescent="0.3">
      <c r="P785" s="225"/>
      <c r="Q785" s="225"/>
    </row>
    <row r="786" spans="16:17" ht="14.25" customHeight="1" x14ac:dyDescent="0.3">
      <c r="P786" s="225"/>
      <c r="Q786" s="225"/>
    </row>
    <row r="787" spans="16:17" ht="14.25" customHeight="1" x14ac:dyDescent="0.3">
      <c r="P787" s="225"/>
      <c r="Q787" s="225"/>
    </row>
    <row r="788" spans="16:17" ht="14.25" customHeight="1" x14ac:dyDescent="0.3">
      <c r="P788" s="225"/>
      <c r="Q788" s="225"/>
    </row>
    <row r="789" spans="16:17" ht="14.25" customHeight="1" x14ac:dyDescent="0.3">
      <c r="P789" s="225"/>
      <c r="Q789" s="225"/>
    </row>
    <row r="790" spans="16:17" ht="14.25" customHeight="1" x14ac:dyDescent="0.3">
      <c r="P790" s="225"/>
      <c r="Q790" s="225"/>
    </row>
    <row r="791" spans="16:17" ht="14.25" customHeight="1" x14ac:dyDescent="0.3">
      <c r="P791" s="225"/>
      <c r="Q791" s="225"/>
    </row>
    <row r="792" spans="16:17" ht="14.25" customHeight="1" x14ac:dyDescent="0.3">
      <c r="P792" s="225"/>
      <c r="Q792" s="225"/>
    </row>
    <row r="793" spans="16:17" ht="14.25" customHeight="1" x14ac:dyDescent="0.3">
      <c r="P793" s="225"/>
      <c r="Q793" s="225"/>
    </row>
    <row r="794" spans="16:17" ht="14.25" customHeight="1" x14ac:dyDescent="0.3">
      <c r="P794" s="225"/>
      <c r="Q794" s="225"/>
    </row>
    <row r="795" spans="16:17" ht="14.25" customHeight="1" x14ac:dyDescent="0.3">
      <c r="P795" s="225"/>
      <c r="Q795" s="225"/>
    </row>
    <row r="796" spans="16:17" ht="14.25" customHeight="1" x14ac:dyDescent="0.3">
      <c r="P796" s="225"/>
      <c r="Q796" s="225"/>
    </row>
    <row r="797" spans="16:17" ht="14.25" customHeight="1" x14ac:dyDescent="0.3">
      <c r="P797" s="225"/>
      <c r="Q797" s="225"/>
    </row>
    <row r="798" spans="16:17" ht="14.25" customHeight="1" x14ac:dyDescent="0.3">
      <c r="P798" s="225"/>
      <c r="Q798" s="225"/>
    </row>
    <row r="799" spans="16:17" ht="14.25" customHeight="1" x14ac:dyDescent="0.3">
      <c r="P799" s="225"/>
      <c r="Q799" s="225"/>
    </row>
    <row r="800" spans="16:17" ht="14.25" customHeight="1" x14ac:dyDescent="0.3">
      <c r="P800" s="225"/>
      <c r="Q800" s="225"/>
    </row>
    <row r="801" spans="16:17" ht="14.25" customHeight="1" x14ac:dyDescent="0.3">
      <c r="P801" s="225"/>
      <c r="Q801" s="225"/>
    </row>
    <row r="802" spans="16:17" ht="14.25" customHeight="1" x14ac:dyDescent="0.3">
      <c r="P802" s="225"/>
      <c r="Q802" s="225"/>
    </row>
    <row r="803" spans="16:17" ht="14.25" customHeight="1" x14ac:dyDescent="0.3">
      <c r="P803" s="225"/>
      <c r="Q803" s="225"/>
    </row>
    <row r="804" spans="16:17" ht="14.25" customHeight="1" x14ac:dyDescent="0.3">
      <c r="P804" s="225"/>
      <c r="Q804" s="225"/>
    </row>
    <row r="805" spans="16:17" ht="14.25" customHeight="1" x14ac:dyDescent="0.3">
      <c r="P805" s="225"/>
      <c r="Q805" s="225"/>
    </row>
    <row r="806" spans="16:17" ht="14.25" customHeight="1" x14ac:dyDescent="0.3">
      <c r="P806" s="225"/>
      <c r="Q806" s="225"/>
    </row>
    <row r="807" spans="16:17" ht="14.25" customHeight="1" x14ac:dyDescent="0.3">
      <c r="P807" s="225"/>
      <c r="Q807" s="225"/>
    </row>
    <row r="808" spans="16:17" ht="14.25" customHeight="1" x14ac:dyDescent="0.3">
      <c r="P808" s="225"/>
      <c r="Q808" s="225"/>
    </row>
    <row r="809" spans="16:17" ht="14.25" customHeight="1" x14ac:dyDescent="0.3">
      <c r="P809" s="225"/>
      <c r="Q809" s="225"/>
    </row>
    <row r="810" spans="16:17" ht="14.25" customHeight="1" x14ac:dyDescent="0.3">
      <c r="P810" s="225"/>
      <c r="Q810" s="225"/>
    </row>
    <row r="811" spans="16:17" ht="14.25" customHeight="1" x14ac:dyDescent="0.3">
      <c r="P811" s="225"/>
      <c r="Q811" s="225"/>
    </row>
    <row r="812" spans="16:17" ht="14.25" customHeight="1" x14ac:dyDescent="0.3">
      <c r="P812" s="225"/>
      <c r="Q812" s="225"/>
    </row>
    <row r="813" spans="16:17" ht="14.25" customHeight="1" x14ac:dyDescent="0.3">
      <c r="P813" s="225"/>
      <c r="Q813" s="225"/>
    </row>
    <row r="814" spans="16:17" ht="14.25" customHeight="1" x14ac:dyDescent="0.3">
      <c r="P814" s="225"/>
      <c r="Q814" s="225"/>
    </row>
    <row r="815" spans="16:17" ht="14.25" customHeight="1" x14ac:dyDescent="0.3">
      <c r="P815" s="225"/>
      <c r="Q815" s="225"/>
    </row>
    <row r="816" spans="16:17" ht="14.25" customHeight="1" x14ac:dyDescent="0.3">
      <c r="P816" s="225"/>
      <c r="Q816" s="225"/>
    </row>
    <row r="817" spans="16:17" ht="14.25" customHeight="1" x14ac:dyDescent="0.3">
      <c r="P817" s="225"/>
      <c r="Q817" s="225"/>
    </row>
    <row r="818" spans="16:17" ht="14.25" customHeight="1" x14ac:dyDescent="0.3">
      <c r="P818" s="225"/>
      <c r="Q818" s="225"/>
    </row>
    <row r="819" spans="16:17" ht="14.25" customHeight="1" x14ac:dyDescent="0.3">
      <c r="P819" s="225"/>
      <c r="Q819" s="225"/>
    </row>
    <row r="820" spans="16:17" ht="14.25" customHeight="1" x14ac:dyDescent="0.3">
      <c r="P820" s="225"/>
      <c r="Q820" s="225"/>
    </row>
    <row r="821" spans="16:17" ht="14.25" customHeight="1" x14ac:dyDescent="0.3">
      <c r="P821" s="225"/>
      <c r="Q821" s="225"/>
    </row>
    <row r="822" spans="16:17" ht="14.25" customHeight="1" x14ac:dyDescent="0.3">
      <c r="P822" s="225"/>
      <c r="Q822" s="225"/>
    </row>
    <row r="823" spans="16:17" ht="14.25" customHeight="1" x14ac:dyDescent="0.3">
      <c r="P823" s="225"/>
      <c r="Q823" s="225"/>
    </row>
    <row r="824" spans="16:17" ht="14.25" customHeight="1" x14ac:dyDescent="0.3">
      <c r="P824" s="225"/>
      <c r="Q824" s="225"/>
    </row>
    <row r="825" spans="16:17" ht="14.25" customHeight="1" x14ac:dyDescent="0.3">
      <c r="P825" s="225"/>
      <c r="Q825" s="225"/>
    </row>
    <row r="826" spans="16:17" ht="14.25" customHeight="1" x14ac:dyDescent="0.3">
      <c r="P826" s="225"/>
      <c r="Q826" s="225"/>
    </row>
    <row r="827" spans="16:17" ht="14.25" customHeight="1" x14ac:dyDescent="0.3">
      <c r="P827" s="225"/>
      <c r="Q827" s="225"/>
    </row>
    <row r="828" spans="16:17" ht="14.25" customHeight="1" x14ac:dyDescent="0.3">
      <c r="P828" s="225"/>
      <c r="Q828" s="225"/>
    </row>
    <row r="829" spans="16:17" ht="14.25" customHeight="1" x14ac:dyDescent="0.3">
      <c r="P829" s="225"/>
      <c r="Q829" s="225"/>
    </row>
    <row r="830" spans="16:17" ht="14.25" customHeight="1" x14ac:dyDescent="0.3">
      <c r="P830" s="225"/>
      <c r="Q830" s="225"/>
    </row>
    <row r="831" spans="16:17" ht="14.25" customHeight="1" x14ac:dyDescent="0.3">
      <c r="P831" s="225"/>
      <c r="Q831" s="225"/>
    </row>
    <row r="832" spans="16:17" ht="14.25" customHeight="1" x14ac:dyDescent="0.3">
      <c r="P832" s="225"/>
      <c r="Q832" s="225"/>
    </row>
    <row r="833" spans="16:17" ht="14.25" customHeight="1" x14ac:dyDescent="0.3">
      <c r="P833" s="225"/>
      <c r="Q833" s="225"/>
    </row>
    <row r="834" spans="16:17" ht="14.25" customHeight="1" x14ac:dyDescent="0.3">
      <c r="P834" s="225"/>
      <c r="Q834" s="225"/>
    </row>
    <row r="835" spans="16:17" ht="14.25" customHeight="1" x14ac:dyDescent="0.3">
      <c r="P835" s="225"/>
      <c r="Q835" s="225"/>
    </row>
    <row r="836" spans="16:17" ht="14.25" customHeight="1" x14ac:dyDescent="0.3">
      <c r="P836" s="225"/>
      <c r="Q836" s="225"/>
    </row>
    <row r="837" spans="16:17" ht="14.25" customHeight="1" x14ac:dyDescent="0.3">
      <c r="P837" s="225"/>
      <c r="Q837" s="225"/>
    </row>
    <row r="838" spans="16:17" ht="14.25" customHeight="1" x14ac:dyDescent="0.3">
      <c r="P838" s="225"/>
      <c r="Q838" s="225"/>
    </row>
    <row r="839" spans="16:17" ht="14.25" customHeight="1" x14ac:dyDescent="0.3">
      <c r="P839" s="225"/>
      <c r="Q839" s="225"/>
    </row>
    <row r="840" spans="16:17" ht="14.25" customHeight="1" x14ac:dyDescent="0.3">
      <c r="P840" s="225"/>
      <c r="Q840" s="225"/>
    </row>
    <row r="841" spans="16:17" ht="14.25" customHeight="1" x14ac:dyDescent="0.3">
      <c r="P841" s="225"/>
      <c r="Q841" s="225"/>
    </row>
    <row r="842" spans="16:17" ht="14.25" customHeight="1" x14ac:dyDescent="0.3">
      <c r="P842" s="225"/>
      <c r="Q842" s="225"/>
    </row>
    <row r="843" spans="16:17" ht="14.25" customHeight="1" x14ac:dyDescent="0.3">
      <c r="P843" s="225"/>
      <c r="Q843" s="225"/>
    </row>
    <row r="844" spans="16:17" ht="14.25" customHeight="1" x14ac:dyDescent="0.3">
      <c r="P844" s="225"/>
      <c r="Q844" s="225"/>
    </row>
    <row r="845" spans="16:17" ht="14.25" customHeight="1" x14ac:dyDescent="0.3">
      <c r="P845" s="225"/>
      <c r="Q845" s="225"/>
    </row>
    <row r="846" spans="16:17" ht="14.25" customHeight="1" x14ac:dyDescent="0.3">
      <c r="P846" s="225"/>
      <c r="Q846" s="225"/>
    </row>
    <row r="847" spans="16:17" ht="14.25" customHeight="1" x14ac:dyDescent="0.3">
      <c r="P847" s="225"/>
      <c r="Q847" s="225"/>
    </row>
    <row r="848" spans="16:17" ht="14.25" customHeight="1" x14ac:dyDescent="0.3">
      <c r="P848" s="225"/>
      <c r="Q848" s="225"/>
    </row>
    <row r="849" spans="16:17" ht="14.25" customHeight="1" x14ac:dyDescent="0.3">
      <c r="P849" s="225"/>
      <c r="Q849" s="225"/>
    </row>
    <row r="850" spans="16:17" ht="14.25" customHeight="1" x14ac:dyDescent="0.3">
      <c r="P850" s="225"/>
      <c r="Q850" s="225"/>
    </row>
    <row r="851" spans="16:17" ht="14.25" customHeight="1" x14ac:dyDescent="0.3">
      <c r="P851" s="225"/>
      <c r="Q851" s="225"/>
    </row>
    <row r="852" spans="16:17" ht="14.25" customHeight="1" x14ac:dyDescent="0.3">
      <c r="P852" s="225"/>
      <c r="Q852" s="225"/>
    </row>
    <row r="853" spans="16:17" ht="14.25" customHeight="1" x14ac:dyDescent="0.3">
      <c r="P853" s="225"/>
      <c r="Q853" s="225"/>
    </row>
    <row r="854" spans="16:17" ht="14.25" customHeight="1" x14ac:dyDescent="0.3">
      <c r="P854" s="225"/>
      <c r="Q854" s="225"/>
    </row>
    <row r="855" spans="16:17" ht="14.25" customHeight="1" x14ac:dyDescent="0.3">
      <c r="P855" s="225"/>
      <c r="Q855" s="225"/>
    </row>
    <row r="856" spans="16:17" ht="14.25" customHeight="1" x14ac:dyDescent="0.3">
      <c r="P856" s="225"/>
      <c r="Q856" s="225"/>
    </row>
    <row r="857" spans="16:17" ht="14.25" customHeight="1" x14ac:dyDescent="0.3">
      <c r="P857" s="225"/>
      <c r="Q857" s="225"/>
    </row>
    <row r="858" spans="16:17" ht="14.25" customHeight="1" x14ac:dyDescent="0.3">
      <c r="P858" s="225"/>
      <c r="Q858" s="225"/>
    </row>
    <row r="859" spans="16:17" ht="14.25" customHeight="1" x14ac:dyDescent="0.3">
      <c r="P859" s="225"/>
      <c r="Q859" s="225"/>
    </row>
    <row r="860" spans="16:17" ht="14.25" customHeight="1" x14ac:dyDescent="0.3">
      <c r="P860" s="225"/>
      <c r="Q860" s="225"/>
    </row>
    <row r="861" spans="16:17" ht="14.25" customHeight="1" x14ac:dyDescent="0.3">
      <c r="P861" s="225"/>
      <c r="Q861" s="225"/>
    </row>
    <row r="862" spans="16:17" ht="14.25" customHeight="1" x14ac:dyDescent="0.3">
      <c r="P862" s="225"/>
      <c r="Q862" s="225"/>
    </row>
    <row r="863" spans="16:17" ht="14.25" customHeight="1" x14ac:dyDescent="0.3">
      <c r="P863" s="225"/>
      <c r="Q863" s="225"/>
    </row>
    <row r="864" spans="16:17" ht="14.25" customHeight="1" x14ac:dyDescent="0.3">
      <c r="P864" s="225"/>
      <c r="Q864" s="225"/>
    </row>
    <row r="865" spans="16:17" ht="14.25" customHeight="1" x14ac:dyDescent="0.3">
      <c r="P865" s="225"/>
      <c r="Q865" s="225"/>
    </row>
    <row r="866" spans="16:17" ht="14.25" customHeight="1" x14ac:dyDescent="0.3">
      <c r="P866" s="225"/>
      <c r="Q866" s="225"/>
    </row>
    <row r="867" spans="16:17" ht="14.25" customHeight="1" x14ac:dyDescent="0.3">
      <c r="P867" s="225"/>
      <c r="Q867" s="225"/>
    </row>
    <row r="868" spans="16:17" ht="14.25" customHeight="1" x14ac:dyDescent="0.3">
      <c r="P868" s="225"/>
      <c r="Q868" s="225"/>
    </row>
    <row r="869" spans="16:17" ht="14.25" customHeight="1" x14ac:dyDescent="0.3">
      <c r="P869" s="225"/>
      <c r="Q869" s="225"/>
    </row>
    <row r="870" spans="16:17" ht="14.25" customHeight="1" x14ac:dyDescent="0.3">
      <c r="P870" s="225"/>
      <c r="Q870" s="225"/>
    </row>
    <row r="871" spans="16:17" ht="14.25" customHeight="1" x14ac:dyDescent="0.3">
      <c r="P871" s="225"/>
      <c r="Q871" s="225"/>
    </row>
    <row r="872" spans="16:17" ht="14.25" customHeight="1" x14ac:dyDescent="0.3">
      <c r="P872" s="225"/>
      <c r="Q872" s="225"/>
    </row>
    <row r="873" spans="16:17" ht="14.25" customHeight="1" x14ac:dyDescent="0.3">
      <c r="P873" s="225"/>
      <c r="Q873" s="225"/>
    </row>
    <row r="874" spans="16:17" ht="14.25" customHeight="1" x14ac:dyDescent="0.3">
      <c r="P874" s="225"/>
      <c r="Q874" s="225"/>
    </row>
    <row r="875" spans="16:17" ht="14.25" customHeight="1" x14ac:dyDescent="0.3">
      <c r="P875" s="225"/>
      <c r="Q875" s="225"/>
    </row>
    <row r="876" spans="16:17" ht="14.25" customHeight="1" x14ac:dyDescent="0.3">
      <c r="P876" s="225"/>
      <c r="Q876" s="225"/>
    </row>
    <row r="877" spans="16:17" ht="14.25" customHeight="1" x14ac:dyDescent="0.3">
      <c r="P877" s="225"/>
      <c r="Q877" s="225"/>
    </row>
    <row r="878" spans="16:17" ht="14.25" customHeight="1" x14ac:dyDescent="0.3">
      <c r="P878" s="225"/>
      <c r="Q878" s="225"/>
    </row>
    <row r="879" spans="16:17" ht="14.25" customHeight="1" x14ac:dyDescent="0.3">
      <c r="P879" s="225"/>
      <c r="Q879" s="225"/>
    </row>
    <row r="880" spans="16:17" ht="14.25" customHeight="1" x14ac:dyDescent="0.3">
      <c r="P880" s="225"/>
      <c r="Q880" s="225"/>
    </row>
    <row r="881" spans="16:17" ht="14.25" customHeight="1" x14ac:dyDescent="0.3">
      <c r="P881" s="225"/>
      <c r="Q881" s="225"/>
    </row>
    <row r="882" spans="16:17" ht="14.25" customHeight="1" x14ac:dyDescent="0.3">
      <c r="P882" s="225"/>
      <c r="Q882" s="225"/>
    </row>
    <row r="883" spans="16:17" ht="14.25" customHeight="1" x14ac:dyDescent="0.3">
      <c r="P883" s="225"/>
      <c r="Q883" s="225"/>
    </row>
    <row r="884" spans="16:17" ht="14.25" customHeight="1" x14ac:dyDescent="0.3">
      <c r="P884" s="225"/>
      <c r="Q884" s="225"/>
    </row>
    <row r="885" spans="16:17" ht="14.25" customHeight="1" x14ac:dyDescent="0.3">
      <c r="P885" s="225"/>
      <c r="Q885" s="225"/>
    </row>
    <row r="886" spans="16:17" ht="14.25" customHeight="1" x14ac:dyDescent="0.3">
      <c r="P886" s="225"/>
      <c r="Q886" s="225"/>
    </row>
    <row r="887" spans="16:17" ht="14.25" customHeight="1" x14ac:dyDescent="0.3">
      <c r="P887" s="225"/>
      <c r="Q887" s="225"/>
    </row>
    <row r="888" spans="16:17" ht="14.25" customHeight="1" x14ac:dyDescent="0.3">
      <c r="P888" s="225"/>
      <c r="Q888" s="225"/>
    </row>
    <row r="889" spans="16:17" ht="14.25" customHeight="1" x14ac:dyDescent="0.3">
      <c r="P889" s="225"/>
      <c r="Q889" s="225"/>
    </row>
    <row r="890" spans="16:17" ht="14.25" customHeight="1" x14ac:dyDescent="0.3">
      <c r="P890" s="225"/>
      <c r="Q890" s="225"/>
    </row>
    <row r="891" spans="16:17" ht="14.25" customHeight="1" x14ac:dyDescent="0.3">
      <c r="P891" s="225"/>
      <c r="Q891" s="225"/>
    </row>
    <row r="892" spans="16:17" ht="14.25" customHeight="1" x14ac:dyDescent="0.3">
      <c r="P892" s="225"/>
      <c r="Q892" s="225"/>
    </row>
    <row r="893" spans="16:17" ht="14.25" customHeight="1" x14ac:dyDescent="0.3">
      <c r="P893" s="225"/>
      <c r="Q893" s="225"/>
    </row>
    <row r="894" spans="16:17" ht="14.25" customHeight="1" x14ac:dyDescent="0.3">
      <c r="P894" s="225"/>
      <c r="Q894" s="225"/>
    </row>
    <row r="895" spans="16:17" ht="14.25" customHeight="1" x14ac:dyDescent="0.3">
      <c r="P895" s="225"/>
      <c r="Q895" s="225"/>
    </row>
    <row r="896" spans="16:17" ht="14.25" customHeight="1" x14ac:dyDescent="0.3">
      <c r="P896" s="225"/>
      <c r="Q896" s="225"/>
    </row>
    <row r="897" spans="16:17" ht="14.25" customHeight="1" x14ac:dyDescent="0.3">
      <c r="P897" s="225"/>
      <c r="Q897" s="225"/>
    </row>
    <row r="898" spans="16:17" ht="14.25" customHeight="1" x14ac:dyDescent="0.3">
      <c r="P898" s="225"/>
      <c r="Q898" s="225"/>
    </row>
    <row r="899" spans="16:17" ht="14.25" customHeight="1" x14ac:dyDescent="0.3">
      <c r="P899" s="225"/>
      <c r="Q899" s="225"/>
    </row>
    <row r="900" spans="16:17" ht="14.25" customHeight="1" x14ac:dyDescent="0.3">
      <c r="P900" s="225"/>
      <c r="Q900" s="225"/>
    </row>
    <row r="901" spans="16:17" ht="14.25" customHeight="1" x14ac:dyDescent="0.3">
      <c r="P901" s="225"/>
      <c r="Q901" s="225"/>
    </row>
    <row r="902" spans="16:17" ht="14.25" customHeight="1" x14ac:dyDescent="0.3">
      <c r="P902" s="225"/>
      <c r="Q902" s="225"/>
    </row>
    <row r="903" spans="16:17" ht="14.25" customHeight="1" x14ac:dyDescent="0.3">
      <c r="P903" s="225"/>
      <c r="Q903" s="225"/>
    </row>
    <row r="904" spans="16:17" ht="14.25" customHeight="1" x14ac:dyDescent="0.3">
      <c r="P904" s="225"/>
      <c r="Q904" s="225"/>
    </row>
    <row r="905" spans="16:17" ht="14.25" customHeight="1" x14ac:dyDescent="0.3">
      <c r="P905" s="225"/>
      <c r="Q905" s="225"/>
    </row>
    <row r="906" spans="16:17" ht="14.25" customHeight="1" x14ac:dyDescent="0.3">
      <c r="P906" s="225"/>
      <c r="Q906" s="225"/>
    </row>
    <row r="907" spans="16:17" ht="14.25" customHeight="1" x14ac:dyDescent="0.3">
      <c r="P907" s="225"/>
      <c r="Q907" s="225"/>
    </row>
    <row r="908" spans="16:17" ht="14.25" customHeight="1" x14ac:dyDescent="0.3">
      <c r="P908" s="225"/>
      <c r="Q908" s="225"/>
    </row>
    <row r="909" spans="16:17" ht="14.25" customHeight="1" x14ac:dyDescent="0.3">
      <c r="P909" s="225"/>
      <c r="Q909" s="225"/>
    </row>
    <row r="910" spans="16:17" ht="14.25" customHeight="1" x14ac:dyDescent="0.3">
      <c r="P910" s="225"/>
      <c r="Q910" s="225"/>
    </row>
    <row r="911" spans="16:17" ht="14.25" customHeight="1" x14ac:dyDescent="0.3">
      <c r="P911" s="225"/>
      <c r="Q911" s="225"/>
    </row>
    <row r="912" spans="16:17" ht="14.25" customHeight="1" x14ac:dyDescent="0.3">
      <c r="P912" s="225"/>
      <c r="Q912" s="225"/>
    </row>
    <row r="913" spans="16:17" ht="14.25" customHeight="1" x14ac:dyDescent="0.3">
      <c r="P913" s="225"/>
      <c r="Q913" s="225"/>
    </row>
    <row r="914" spans="16:17" ht="14.25" customHeight="1" x14ac:dyDescent="0.3">
      <c r="P914" s="225"/>
      <c r="Q914" s="225"/>
    </row>
    <row r="915" spans="16:17" ht="14.25" customHeight="1" x14ac:dyDescent="0.3">
      <c r="P915" s="225"/>
      <c r="Q915" s="225"/>
    </row>
    <row r="916" spans="16:17" ht="14.25" customHeight="1" x14ac:dyDescent="0.3">
      <c r="P916" s="225"/>
      <c r="Q916" s="225"/>
    </row>
    <row r="917" spans="16:17" ht="14.25" customHeight="1" x14ac:dyDescent="0.3">
      <c r="P917" s="225"/>
      <c r="Q917" s="225"/>
    </row>
    <row r="918" spans="16:17" ht="14.25" customHeight="1" x14ac:dyDescent="0.3">
      <c r="P918" s="225"/>
      <c r="Q918" s="225"/>
    </row>
    <row r="919" spans="16:17" ht="14.25" customHeight="1" x14ac:dyDescent="0.3">
      <c r="P919" s="225"/>
      <c r="Q919" s="225"/>
    </row>
    <row r="920" spans="16:17" ht="14.25" customHeight="1" x14ac:dyDescent="0.3">
      <c r="P920" s="225"/>
      <c r="Q920" s="225"/>
    </row>
    <row r="921" spans="16:17" ht="14.25" customHeight="1" x14ac:dyDescent="0.3">
      <c r="P921" s="225"/>
      <c r="Q921" s="225"/>
    </row>
    <row r="922" spans="16:17" ht="14.25" customHeight="1" x14ac:dyDescent="0.3">
      <c r="P922" s="225"/>
      <c r="Q922" s="225"/>
    </row>
    <row r="923" spans="16:17" ht="14.25" customHeight="1" x14ac:dyDescent="0.3">
      <c r="P923" s="225"/>
      <c r="Q923" s="225"/>
    </row>
    <row r="924" spans="16:17" ht="14.25" customHeight="1" x14ac:dyDescent="0.3">
      <c r="P924" s="225"/>
      <c r="Q924" s="225"/>
    </row>
    <row r="925" spans="16:17" ht="14.25" customHeight="1" x14ac:dyDescent="0.3">
      <c r="P925" s="225"/>
      <c r="Q925" s="225"/>
    </row>
    <row r="926" spans="16:17" ht="14.25" customHeight="1" x14ac:dyDescent="0.3">
      <c r="P926" s="225"/>
      <c r="Q926" s="225"/>
    </row>
    <row r="927" spans="16:17" ht="14.25" customHeight="1" x14ac:dyDescent="0.3">
      <c r="P927" s="225"/>
      <c r="Q927" s="225"/>
    </row>
    <row r="928" spans="16:17" ht="14.25" customHeight="1" x14ac:dyDescent="0.3">
      <c r="P928" s="225"/>
      <c r="Q928" s="225"/>
    </row>
    <row r="929" spans="16:17" ht="14.25" customHeight="1" x14ac:dyDescent="0.3">
      <c r="P929" s="225"/>
      <c r="Q929" s="225"/>
    </row>
    <row r="930" spans="16:17" ht="14.25" customHeight="1" x14ac:dyDescent="0.3">
      <c r="P930" s="225"/>
      <c r="Q930" s="225"/>
    </row>
    <row r="931" spans="16:17" ht="14.25" customHeight="1" x14ac:dyDescent="0.3">
      <c r="P931" s="225"/>
      <c r="Q931" s="225"/>
    </row>
    <row r="932" spans="16:17" ht="14.25" customHeight="1" x14ac:dyDescent="0.3">
      <c r="P932" s="225"/>
      <c r="Q932" s="225"/>
    </row>
    <row r="933" spans="16:17" ht="14.25" customHeight="1" x14ac:dyDescent="0.3">
      <c r="P933" s="225"/>
      <c r="Q933" s="225"/>
    </row>
    <row r="934" spans="16:17" ht="14.25" customHeight="1" x14ac:dyDescent="0.3">
      <c r="P934" s="225"/>
      <c r="Q934" s="225"/>
    </row>
    <row r="935" spans="16:17" ht="14.25" customHeight="1" x14ac:dyDescent="0.3">
      <c r="P935" s="225"/>
      <c r="Q935" s="225"/>
    </row>
    <row r="936" spans="16:17" ht="14.25" customHeight="1" x14ac:dyDescent="0.3">
      <c r="P936" s="225"/>
      <c r="Q936" s="225"/>
    </row>
    <row r="937" spans="16:17" ht="14.25" customHeight="1" x14ac:dyDescent="0.3">
      <c r="P937" s="225"/>
      <c r="Q937" s="225"/>
    </row>
    <row r="938" spans="16:17" ht="14.25" customHeight="1" x14ac:dyDescent="0.3">
      <c r="P938" s="225"/>
      <c r="Q938" s="225"/>
    </row>
    <row r="939" spans="16:17" ht="14.25" customHeight="1" x14ac:dyDescent="0.3">
      <c r="P939" s="225"/>
      <c r="Q939" s="225"/>
    </row>
    <row r="940" spans="16:17" ht="14.25" customHeight="1" x14ac:dyDescent="0.3">
      <c r="P940" s="225"/>
      <c r="Q940" s="225"/>
    </row>
    <row r="941" spans="16:17" ht="14.25" customHeight="1" x14ac:dyDescent="0.3">
      <c r="P941" s="225"/>
      <c r="Q941" s="225"/>
    </row>
    <row r="942" spans="16:17" ht="14.25" customHeight="1" x14ac:dyDescent="0.3">
      <c r="P942" s="225"/>
      <c r="Q942" s="225"/>
    </row>
    <row r="943" spans="16:17" ht="14.25" customHeight="1" x14ac:dyDescent="0.3">
      <c r="P943" s="225"/>
      <c r="Q943" s="225"/>
    </row>
    <row r="944" spans="16:17" ht="14.25" customHeight="1" x14ac:dyDescent="0.3">
      <c r="P944" s="225"/>
      <c r="Q944" s="225"/>
    </row>
    <row r="945" spans="16:17" ht="14.25" customHeight="1" x14ac:dyDescent="0.3">
      <c r="P945" s="225"/>
      <c r="Q945" s="225"/>
    </row>
    <row r="946" spans="16:17" ht="14.25" customHeight="1" x14ac:dyDescent="0.3">
      <c r="P946" s="225"/>
      <c r="Q946" s="225"/>
    </row>
    <row r="947" spans="16:17" ht="14.25" customHeight="1" x14ac:dyDescent="0.3">
      <c r="P947" s="225"/>
      <c r="Q947" s="225"/>
    </row>
    <row r="948" spans="16:17" ht="14.25" customHeight="1" x14ac:dyDescent="0.3">
      <c r="P948" s="225"/>
      <c r="Q948" s="225"/>
    </row>
    <row r="949" spans="16:17" ht="14.25" customHeight="1" x14ac:dyDescent="0.3">
      <c r="P949" s="225"/>
      <c r="Q949" s="225"/>
    </row>
    <row r="950" spans="16:17" ht="14.25" customHeight="1" x14ac:dyDescent="0.3">
      <c r="P950" s="225"/>
      <c r="Q950" s="225"/>
    </row>
    <row r="951" spans="16:17" ht="14.25" customHeight="1" x14ac:dyDescent="0.3">
      <c r="P951" s="225"/>
      <c r="Q951" s="225"/>
    </row>
    <row r="952" spans="16:17" ht="14.25" customHeight="1" x14ac:dyDescent="0.3">
      <c r="P952" s="225"/>
      <c r="Q952" s="225"/>
    </row>
    <row r="953" spans="16:17" ht="14.25" customHeight="1" x14ac:dyDescent="0.3">
      <c r="P953" s="225"/>
      <c r="Q953" s="225"/>
    </row>
    <row r="954" spans="16:17" ht="14.25" customHeight="1" x14ac:dyDescent="0.3">
      <c r="P954" s="225"/>
      <c r="Q954" s="225"/>
    </row>
    <row r="955" spans="16:17" ht="14.25" customHeight="1" x14ac:dyDescent="0.3">
      <c r="P955" s="225"/>
      <c r="Q955" s="225"/>
    </row>
    <row r="956" spans="16:17" ht="14.25" customHeight="1" x14ac:dyDescent="0.3">
      <c r="P956" s="225"/>
      <c r="Q956" s="225"/>
    </row>
    <row r="957" spans="16:17" ht="14.25" customHeight="1" x14ac:dyDescent="0.3">
      <c r="P957" s="225"/>
      <c r="Q957" s="225"/>
    </row>
    <row r="958" spans="16:17" ht="14.25" customHeight="1" x14ac:dyDescent="0.3">
      <c r="P958" s="225"/>
      <c r="Q958" s="225"/>
    </row>
    <row r="959" spans="16:17" ht="14.25" customHeight="1" x14ac:dyDescent="0.3">
      <c r="P959" s="225"/>
      <c r="Q959" s="225"/>
    </row>
    <row r="960" spans="16:17" ht="14.25" customHeight="1" x14ac:dyDescent="0.3">
      <c r="P960" s="225"/>
      <c r="Q960" s="225"/>
    </row>
    <row r="961" spans="16:17" ht="14.25" customHeight="1" x14ac:dyDescent="0.3">
      <c r="P961" s="225"/>
      <c r="Q961" s="225"/>
    </row>
    <row r="962" spans="16:17" ht="14.25" customHeight="1" x14ac:dyDescent="0.3">
      <c r="P962" s="225"/>
      <c r="Q962" s="225"/>
    </row>
    <row r="963" spans="16:17" ht="14.25" customHeight="1" x14ac:dyDescent="0.3">
      <c r="P963" s="225"/>
      <c r="Q963" s="225"/>
    </row>
    <row r="964" spans="16:17" ht="14.25" customHeight="1" x14ac:dyDescent="0.3">
      <c r="P964" s="225"/>
      <c r="Q964" s="225"/>
    </row>
    <row r="965" spans="16:17" ht="14.25" customHeight="1" x14ac:dyDescent="0.3">
      <c r="P965" s="225"/>
      <c r="Q965" s="225"/>
    </row>
    <row r="966" spans="16:17" ht="14.25" customHeight="1" x14ac:dyDescent="0.3">
      <c r="P966" s="225"/>
      <c r="Q966" s="225"/>
    </row>
    <row r="967" spans="16:17" ht="14.25" customHeight="1" x14ac:dyDescent="0.3">
      <c r="P967" s="225"/>
      <c r="Q967" s="225"/>
    </row>
    <row r="968" spans="16:17" ht="14.25" customHeight="1" x14ac:dyDescent="0.3">
      <c r="P968" s="225"/>
      <c r="Q968" s="225"/>
    </row>
    <row r="969" spans="16:17" ht="14.25" customHeight="1" x14ac:dyDescent="0.3">
      <c r="P969" s="225"/>
      <c r="Q969" s="225"/>
    </row>
    <row r="970" spans="16:17" ht="14.25" customHeight="1" x14ac:dyDescent="0.3">
      <c r="P970" s="225"/>
      <c r="Q970" s="225"/>
    </row>
    <row r="971" spans="16:17" ht="14.25" customHeight="1" x14ac:dyDescent="0.3">
      <c r="P971" s="225"/>
      <c r="Q971" s="225"/>
    </row>
    <row r="972" spans="16:17" ht="14.25" customHeight="1" x14ac:dyDescent="0.3">
      <c r="P972" s="225"/>
      <c r="Q972" s="225"/>
    </row>
    <row r="973" spans="16:17" ht="14.25" customHeight="1" x14ac:dyDescent="0.3">
      <c r="P973" s="225"/>
      <c r="Q973" s="225"/>
    </row>
    <row r="974" spans="16:17" ht="14.25" customHeight="1" x14ac:dyDescent="0.3">
      <c r="P974" s="225"/>
      <c r="Q974" s="225"/>
    </row>
    <row r="975" spans="16:17" ht="14.25" customHeight="1" x14ac:dyDescent="0.3">
      <c r="P975" s="225"/>
      <c r="Q975" s="225"/>
    </row>
    <row r="976" spans="16:17" ht="14.25" customHeight="1" x14ac:dyDescent="0.3">
      <c r="P976" s="225"/>
      <c r="Q976" s="225"/>
    </row>
    <row r="977" spans="16:17" ht="14.25" customHeight="1" x14ac:dyDescent="0.3">
      <c r="P977" s="225"/>
      <c r="Q977" s="225"/>
    </row>
    <row r="978" spans="16:17" ht="14.25" customHeight="1" x14ac:dyDescent="0.3">
      <c r="P978" s="225"/>
      <c r="Q978" s="225"/>
    </row>
    <row r="979" spans="16:17" ht="14.25" customHeight="1" x14ac:dyDescent="0.3">
      <c r="P979" s="225"/>
      <c r="Q979" s="225"/>
    </row>
    <row r="980" spans="16:17" ht="14.25" customHeight="1" x14ac:dyDescent="0.3">
      <c r="P980" s="225"/>
      <c r="Q980" s="225"/>
    </row>
    <row r="981" spans="16:17" ht="14.25" customHeight="1" x14ac:dyDescent="0.3">
      <c r="P981" s="225"/>
      <c r="Q981" s="225"/>
    </row>
    <row r="982" spans="16:17" ht="14.25" customHeight="1" x14ac:dyDescent="0.3">
      <c r="P982" s="225"/>
      <c r="Q982" s="225"/>
    </row>
    <row r="983" spans="16:17" ht="14.25" customHeight="1" x14ac:dyDescent="0.3">
      <c r="P983" s="225"/>
      <c r="Q983" s="225"/>
    </row>
    <row r="984" spans="16:17" ht="14.25" customHeight="1" x14ac:dyDescent="0.3">
      <c r="P984" s="225"/>
      <c r="Q984" s="225"/>
    </row>
    <row r="985" spans="16:17" ht="14.25" customHeight="1" x14ac:dyDescent="0.3">
      <c r="P985" s="225"/>
      <c r="Q985" s="225"/>
    </row>
    <row r="986" spans="16:17" ht="14.25" customHeight="1" x14ac:dyDescent="0.3">
      <c r="P986" s="225"/>
      <c r="Q986" s="225"/>
    </row>
    <row r="987" spans="16:17" ht="14.25" customHeight="1" x14ac:dyDescent="0.3">
      <c r="P987" s="225"/>
      <c r="Q987" s="225"/>
    </row>
    <row r="988" spans="16:17" ht="14.25" customHeight="1" x14ac:dyDescent="0.3">
      <c r="P988" s="225"/>
      <c r="Q988" s="225"/>
    </row>
    <row r="989" spans="16:17" ht="14.25" customHeight="1" x14ac:dyDescent="0.3">
      <c r="P989" s="225"/>
      <c r="Q989" s="225"/>
    </row>
    <row r="990" spans="16:17" ht="14.25" customHeight="1" x14ac:dyDescent="0.3">
      <c r="P990" s="225"/>
      <c r="Q990" s="225"/>
    </row>
    <row r="991" spans="16:17" ht="14.25" customHeight="1" x14ac:dyDescent="0.3">
      <c r="P991" s="225"/>
      <c r="Q991" s="225"/>
    </row>
    <row r="992" spans="16:17" ht="14.25" customHeight="1" x14ac:dyDescent="0.3">
      <c r="P992" s="225"/>
      <c r="Q992" s="225"/>
    </row>
    <row r="993" spans="16:17" ht="14.25" customHeight="1" x14ac:dyDescent="0.3">
      <c r="P993" s="225"/>
      <c r="Q993" s="225"/>
    </row>
    <row r="994" spans="16:17" ht="14.25" customHeight="1" x14ac:dyDescent="0.3">
      <c r="P994" s="225"/>
      <c r="Q994" s="225"/>
    </row>
    <row r="995" spans="16:17" ht="14.25" customHeight="1" x14ac:dyDescent="0.3">
      <c r="P995" s="225"/>
      <c r="Q995" s="225"/>
    </row>
    <row r="996" spans="16:17" ht="14.25" customHeight="1" x14ac:dyDescent="0.3">
      <c r="P996" s="225"/>
      <c r="Q996" s="225"/>
    </row>
    <row r="997" spans="16:17" ht="14.25" customHeight="1" x14ac:dyDescent="0.3">
      <c r="P997" s="225"/>
      <c r="Q997" s="225"/>
    </row>
    <row r="998" spans="16:17" ht="14.25" customHeight="1" x14ac:dyDescent="0.3">
      <c r="P998" s="225"/>
      <c r="Q998" s="225"/>
    </row>
    <row r="999" spans="16:17" ht="14.25" customHeight="1" x14ac:dyDescent="0.3">
      <c r="P999" s="225"/>
      <c r="Q999" s="225"/>
    </row>
    <row r="1000" spans="16:17" ht="14.25" customHeight="1" x14ac:dyDescent="0.3">
      <c r="P1000" s="225"/>
      <c r="Q1000" s="225"/>
    </row>
  </sheetData>
  <autoFilter ref="A1:Z33">
    <filterColumn colId="9">
      <filters>
        <filter val="maca root"/>
      </filters>
    </filterColumn>
  </autoFilter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1" width="10.09765625" customWidth="1"/>
    <col min="2" max="2" width="9.8984375" customWidth="1"/>
    <col min="3" max="3" width="15.09765625" customWidth="1"/>
    <col min="4" max="4" width="9.3984375" customWidth="1"/>
    <col min="5" max="5" width="43.5" customWidth="1"/>
    <col min="6" max="6" width="17.5" customWidth="1"/>
    <col min="7" max="7" width="10.3984375" customWidth="1"/>
    <col min="8" max="8" width="28.19921875" customWidth="1"/>
    <col min="9" max="9" width="11.59765625" customWidth="1"/>
    <col min="10" max="10" width="29.69921875" customWidth="1"/>
    <col min="11" max="11" width="11.59765625" customWidth="1"/>
    <col min="12" max="12" width="6.8984375" customWidth="1"/>
    <col min="13" max="13" width="18.5" customWidth="1"/>
    <col min="14" max="14" width="17.19921875" customWidth="1"/>
    <col min="15" max="15" width="7.5" customWidth="1"/>
    <col min="16" max="16" width="15.5" customWidth="1"/>
    <col min="17" max="17" width="31.3984375" customWidth="1"/>
    <col min="18" max="18" width="34.09765625" customWidth="1"/>
    <col min="19" max="19" width="18.8984375" customWidth="1"/>
    <col min="20" max="20" width="17.69921875" customWidth="1"/>
    <col min="21" max="21" width="19.5" customWidth="1"/>
    <col min="22" max="22" width="25.59765625" customWidth="1"/>
    <col min="23" max="23" width="21.69921875" customWidth="1"/>
    <col min="24" max="24" width="23.3984375" customWidth="1"/>
    <col min="25" max="25" width="19.5" customWidth="1"/>
    <col min="26" max="26" width="7.59765625" customWidth="1"/>
  </cols>
  <sheetData>
    <row r="1" spans="1:25" ht="14.25" customHeight="1" x14ac:dyDescent="0.3">
      <c r="A1" s="197" t="s">
        <v>0</v>
      </c>
      <c r="B1" s="198" t="s">
        <v>1</v>
      </c>
      <c r="C1" s="198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8" t="s">
        <v>8</v>
      </c>
      <c r="J1" s="198" t="s">
        <v>9</v>
      </c>
      <c r="K1" s="198" t="s">
        <v>10</v>
      </c>
      <c r="L1" s="198" t="s">
        <v>11</v>
      </c>
      <c r="M1" s="198" t="s">
        <v>12</v>
      </c>
      <c r="N1" s="198" t="s">
        <v>13</v>
      </c>
      <c r="O1" s="198" t="s">
        <v>14</v>
      </c>
      <c r="P1" s="199" t="s">
        <v>910</v>
      </c>
      <c r="Q1" s="199" t="s">
        <v>911</v>
      </c>
      <c r="R1" s="198" t="s">
        <v>17</v>
      </c>
      <c r="S1" s="198" t="s">
        <v>18</v>
      </c>
      <c r="T1" s="198" t="s">
        <v>19</v>
      </c>
      <c r="U1" s="198" t="s">
        <v>20</v>
      </c>
      <c r="V1" s="198" t="s">
        <v>21</v>
      </c>
      <c r="W1" s="198" t="s">
        <v>22</v>
      </c>
      <c r="X1" s="198" t="s">
        <v>912</v>
      </c>
      <c r="Y1" s="200" t="s">
        <v>913</v>
      </c>
    </row>
    <row r="2" spans="1:25" ht="14.25" customHeight="1" x14ac:dyDescent="0.3">
      <c r="A2" s="201">
        <v>45893</v>
      </c>
      <c r="B2" s="202">
        <v>45899</v>
      </c>
      <c r="C2" s="203" t="s">
        <v>27</v>
      </c>
      <c r="D2" s="203" t="s">
        <v>28</v>
      </c>
      <c r="E2" s="203" t="s">
        <v>29</v>
      </c>
      <c r="F2" s="203" t="s">
        <v>30</v>
      </c>
      <c r="G2" s="203" t="s">
        <v>31</v>
      </c>
      <c r="H2" s="203" t="s">
        <v>30</v>
      </c>
      <c r="I2" s="203" t="s">
        <v>32</v>
      </c>
      <c r="J2" s="203" t="s">
        <v>30</v>
      </c>
      <c r="K2" s="204">
        <v>418</v>
      </c>
      <c r="L2" s="204">
        <v>7</v>
      </c>
      <c r="M2" s="205">
        <v>1.6746411483253589E-2</v>
      </c>
      <c r="N2" s="206">
        <v>2.7828571428571429</v>
      </c>
      <c r="O2" s="208">
        <v>19.48</v>
      </c>
      <c r="P2" s="208">
        <v>74.820000000000007</v>
      </c>
      <c r="Q2" s="208">
        <v>26.035819299652495</v>
      </c>
      <c r="R2" s="221">
        <v>3.8408624229979469</v>
      </c>
      <c r="S2" s="204">
        <v>3</v>
      </c>
      <c r="T2" s="204">
        <v>3</v>
      </c>
      <c r="U2" s="205">
        <v>0.42857142857142855</v>
      </c>
      <c r="V2" s="204">
        <v>3</v>
      </c>
      <c r="W2" s="204">
        <v>0</v>
      </c>
      <c r="X2" s="206">
        <v>74.820000000000007</v>
      </c>
      <c r="Y2" s="222">
        <v>0</v>
      </c>
    </row>
    <row r="3" spans="1:25" ht="14.25" customHeight="1" x14ac:dyDescent="0.3">
      <c r="A3" s="201">
        <v>45893</v>
      </c>
      <c r="B3" s="202">
        <v>45899</v>
      </c>
      <c r="C3" s="203" t="s">
        <v>27</v>
      </c>
      <c r="D3" s="203" t="s">
        <v>28</v>
      </c>
      <c r="E3" s="203" t="s">
        <v>71</v>
      </c>
      <c r="F3" s="203" t="s">
        <v>72</v>
      </c>
      <c r="G3" s="203" t="s">
        <v>31</v>
      </c>
      <c r="H3" s="203" t="s">
        <v>73</v>
      </c>
      <c r="I3" s="203" t="s">
        <v>52</v>
      </c>
      <c r="J3" s="203" t="s">
        <v>159</v>
      </c>
      <c r="K3" s="204">
        <v>11</v>
      </c>
      <c r="L3" s="204">
        <v>2</v>
      </c>
      <c r="M3" s="205">
        <v>0.18181818181818182</v>
      </c>
      <c r="N3" s="206">
        <v>3.33</v>
      </c>
      <c r="O3" s="208">
        <v>6.66</v>
      </c>
      <c r="P3" s="208">
        <v>49.88</v>
      </c>
      <c r="Q3" s="208">
        <v>13.352044907778668</v>
      </c>
      <c r="R3" s="221">
        <v>7.4894894894894897</v>
      </c>
      <c r="S3" s="204">
        <v>1</v>
      </c>
      <c r="T3" s="204">
        <v>2</v>
      </c>
      <c r="U3" s="205">
        <v>0.5</v>
      </c>
      <c r="V3" s="204">
        <v>2</v>
      </c>
      <c r="W3" s="204">
        <v>0</v>
      </c>
      <c r="X3" s="206">
        <v>49.88</v>
      </c>
      <c r="Y3" s="222">
        <v>0</v>
      </c>
    </row>
    <row r="4" spans="1:25" ht="14.25" customHeight="1" x14ac:dyDescent="0.3">
      <c r="A4" s="201">
        <v>45893</v>
      </c>
      <c r="B4" s="202">
        <v>45899</v>
      </c>
      <c r="C4" s="203" t="s">
        <v>48</v>
      </c>
      <c r="D4" s="203" t="s">
        <v>28</v>
      </c>
      <c r="E4" s="203" t="s">
        <v>62</v>
      </c>
      <c r="F4" s="203" t="s">
        <v>63</v>
      </c>
      <c r="G4" s="203" t="s">
        <v>31</v>
      </c>
      <c r="H4" s="203" t="s">
        <v>68</v>
      </c>
      <c r="I4" s="203" t="s">
        <v>65</v>
      </c>
      <c r="J4" s="203" t="s">
        <v>68</v>
      </c>
      <c r="K4" s="204">
        <v>77</v>
      </c>
      <c r="L4" s="204">
        <v>3</v>
      </c>
      <c r="M4" s="205">
        <v>3.896103896103896E-2</v>
      </c>
      <c r="N4" s="206">
        <v>4.0633333333333335</v>
      </c>
      <c r="O4" s="208">
        <v>12.19</v>
      </c>
      <c r="P4" s="208">
        <v>21.9</v>
      </c>
      <c r="Q4" s="208">
        <v>55.662100456621012</v>
      </c>
      <c r="R4" s="221">
        <v>1.7965545529122231</v>
      </c>
      <c r="S4" s="204">
        <v>1</v>
      </c>
      <c r="T4" s="204">
        <v>1</v>
      </c>
      <c r="U4" s="205">
        <v>0.33333333333333331</v>
      </c>
      <c r="V4" s="204">
        <v>1</v>
      </c>
      <c r="W4" s="204">
        <v>0</v>
      </c>
      <c r="X4" s="206">
        <v>21.9</v>
      </c>
      <c r="Y4" s="222">
        <v>0</v>
      </c>
    </row>
    <row r="5" spans="1:25" ht="14.25" customHeight="1" x14ac:dyDescent="0.3">
      <c r="A5" s="201">
        <v>45893</v>
      </c>
      <c r="B5" s="202">
        <v>45895</v>
      </c>
      <c r="C5" s="203" t="s">
        <v>27</v>
      </c>
      <c r="D5" s="203" t="s">
        <v>28</v>
      </c>
      <c r="E5" s="203" t="s">
        <v>29</v>
      </c>
      <c r="F5" s="203" t="s">
        <v>30</v>
      </c>
      <c r="G5" s="203" t="s">
        <v>31</v>
      </c>
      <c r="H5" s="203" t="s">
        <v>145</v>
      </c>
      <c r="I5" s="203" t="s">
        <v>32</v>
      </c>
      <c r="J5" s="203" t="s">
        <v>183</v>
      </c>
      <c r="K5" s="204">
        <v>22</v>
      </c>
      <c r="L5" s="204">
        <v>4</v>
      </c>
      <c r="M5" s="205">
        <v>0.18181818181818182</v>
      </c>
      <c r="N5" s="206">
        <v>2.7324999999999999</v>
      </c>
      <c r="O5" s="208">
        <v>10.93</v>
      </c>
      <c r="P5" s="208">
        <v>24.94</v>
      </c>
      <c r="Q5" s="208">
        <v>43.825180433039293</v>
      </c>
      <c r="R5" s="221">
        <v>2.281793229643184</v>
      </c>
      <c r="S5" s="204">
        <v>1</v>
      </c>
      <c r="T5" s="204">
        <v>1</v>
      </c>
      <c r="U5" s="205">
        <v>0.25</v>
      </c>
      <c r="V5" s="204">
        <v>1</v>
      </c>
      <c r="W5" s="204">
        <v>0</v>
      </c>
      <c r="X5" s="206">
        <v>24.94</v>
      </c>
      <c r="Y5" s="222">
        <v>0</v>
      </c>
    </row>
    <row r="6" spans="1:25" ht="14.25" customHeight="1" x14ac:dyDescent="0.3">
      <c r="A6" s="201">
        <v>45893</v>
      </c>
      <c r="B6" s="202">
        <v>45899</v>
      </c>
      <c r="C6" s="203" t="s">
        <v>40</v>
      </c>
      <c r="D6" s="203" t="s">
        <v>28</v>
      </c>
      <c r="E6" s="203" t="s">
        <v>41</v>
      </c>
      <c r="F6" s="203" t="s">
        <v>42</v>
      </c>
      <c r="G6" s="203" t="s">
        <v>31</v>
      </c>
      <c r="H6" s="203" t="s">
        <v>43</v>
      </c>
      <c r="I6" s="203" t="s">
        <v>44</v>
      </c>
      <c r="J6" s="203" t="s">
        <v>43</v>
      </c>
      <c r="K6" s="204">
        <v>1552</v>
      </c>
      <c r="L6" s="204">
        <v>16</v>
      </c>
      <c r="M6" s="205">
        <v>1.0309278350515464E-2</v>
      </c>
      <c r="N6" s="206">
        <v>2.9537500000000008</v>
      </c>
      <c r="O6" s="208">
        <v>47.26</v>
      </c>
      <c r="P6" s="208">
        <v>74.820000000000007</v>
      </c>
      <c r="Q6" s="208">
        <v>63.164929163325326</v>
      </c>
      <c r="R6" s="221">
        <v>1.5831570038087175</v>
      </c>
      <c r="S6" s="204">
        <v>3</v>
      </c>
      <c r="T6" s="204">
        <v>3</v>
      </c>
      <c r="U6" s="205">
        <v>0.1875</v>
      </c>
      <c r="V6" s="204">
        <v>3</v>
      </c>
      <c r="W6" s="204">
        <v>0</v>
      </c>
      <c r="X6" s="206">
        <v>74.820000000000007</v>
      </c>
      <c r="Y6" s="222">
        <v>0</v>
      </c>
    </row>
    <row r="7" spans="1:25" ht="14.25" customHeight="1" x14ac:dyDescent="0.3">
      <c r="A7" s="201">
        <v>45893</v>
      </c>
      <c r="B7" s="202">
        <v>45899</v>
      </c>
      <c r="C7" s="203" t="s">
        <v>27</v>
      </c>
      <c r="D7" s="203" t="s">
        <v>28</v>
      </c>
      <c r="E7" s="203" t="s">
        <v>71</v>
      </c>
      <c r="F7" s="203" t="s">
        <v>72</v>
      </c>
      <c r="G7" s="203" t="s">
        <v>31</v>
      </c>
      <c r="H7" s="203" t="s">
        <v>73</v>
      </c>
      <c r="I7" s="203" t="s">
        <v>52</v>
      </c>
      <c r="J7" s="203" t="s">
        <v>101</v>
      </c>
      <c r="K7" s="204">
        <v>1849</v>
      </c>
      <c r="L7" s="204">
        <v>14</v>
      </c>
      <c r="M7" s="205">
        <v>7.5716603569497016E-3</v>
      </c>
      <c r="N7" s="206">
        <v>2.8571428571428572</v>
      </c>
      <c r="O7" s="208">
        <v>40</v>
      </c>
      <c r="P7" s="208">
        <v>24.94</v>
      </c>
      <c r="Q7" s="208">
        <v>160.38492381716119</v>
      </c>
      <c r="R7" s="221">
        <v>0.62350000000000005</v>
      </c>
      <c r="S7" s="204">
        <v>1</v>
      </c>
      <c r="T7" s="204">
        <v>1</v>
      </c>
      <c r="U7" s="205">
        <v>7.1428571428571425E-2</v>
      </c>
      <c r="V7" s="204">
        <v>1</v>
      </c>
      <c r="W7" s="204">
        <v>0</v>
      </c>
      <c r="X7" s="206">
        <v>24.94</v>
      </c>
      <c r="Y7" s="222">
        <v>0</v>
      </c>
    </row>
    <row r="8" spans="1:25" ht="14.25" customHeight="1" x14ac:dyDescent="0.3">
      <c r="A8" s="201">
        <v>45893</v>
      </c>
      <c r="B8" s="202">
        <v>45897</v>
      </c>
      <c r="C8" s="203" t="s">
        <v>27</v>
      </c>
      <c r="D8" s="203" t="s">
        <v>28</v>
      </c>
      <c r="E8" s="203" t="s">
        <v>71</v>
      </c>
      <c r="F8" s="203" t="s">
        <v>72</v>
      </c>
      <c r="G8" s="203" t="s">
        <v>31</v>
      </c>
      <c r="H8" s="203" t="s">
        <v>73</v>
      </c>
      <c r="I8" s="203" t="s">
        <v>52</v>
      </c>
      <c r="J8" s="203" t="s">
        <v>140</v>
      </c>
      <c r="K8" s="204">
        <v>22</v>
      </c>
      <c r="L8" s="204">
        <v>2</v>
      </c>
      <c r="M8" s="205">
        <v>9.0909090909090925E-2</v>
      </c>
      <c r="N8" s="206">
        <v>3.33</v>
      </c>
      <c r="O8" s="208">
        <v>6.66</v>
      </c>
      <c r="P8" s="208">
        <v>24.94</v>
      </c>
      <c r="Q8" s="208">
        <v>26.704089815557335</v>
      </c>
      <c r="R8" s="221">
        <v>3.7447447447447448</v>
      </c>
      <c r="S8" s="204">
        <v>1</v>
      </c>
      <c r="T8" s="204">
        <v>1</v>
      </c>
      <c r="U8" s="205">
        <v>0.5</v>
      </c>
      <c r="V8" s="204">
        <v>1</v>
      </c>
      <c r="W8" s="204">
        <v>0</v>
      </c>
      <c r="X8" s="206">
        <v>24.94</v>
      </c>
      <c r="Y8" s="222">
        <v>0</v>
      </c>
    </row>
    <row r="9" spans="1:25" ht="14.25" customHeight="1" x14ac:dyDescent="0.3">
      <c r="A9" s="201">
        <v>45893</v>
      </c>
      <c r="B9" s="202">
        <v>45898</v>
      </c>
      <c r="C9" s="203" t="s">
        <v>85</v>
      </c>
      <c r="D9" s="203" t="s">
        <v>28</v>
      </c>
      <c r="E9" s="203" t="s">
        <v>86</v>
      </c>
      <c r="F9" s="203" t="s">
        <v>87</v>
      </c>
      <c r="G9" s="203" t="s">
        <v>31</v>
      </c>
      <c r="H9" s="203" t="s">
        <v>87</v>
      </c>
      <c r="I9" s="203" t="s">
        <v>44</v>
      </c>
      <c r="J9" s="203" t="s">
        <v>87</v>
      </c>
      <c r="K9" s="204">
        <v>48</v>
      </c>
      <c r="L9" s="204">
        <v>5</v>
      </c>
      <c r="M9" s="205">
        <v>0.10416666666666669</v>
      </c>
      <c r="N9" s="206">
        <v>3.2800000000000002</v>
      </c>
      <c r="O9" s="208">
        <v>16.399999999999999</v>
      </c>
      <c r="P9" s="208">
        <v>21.9</v>
      </c>
      <c r="Q9" s="208">
        <v>74.88584474885846</v>
      </c>
      <c r="R9" s="221">
        <v>1.3353658536585362</v>
      </c>
      <c r="S9" s="204">
        <v>1</v>
      </c>
      <c r="T9" s="204">
        <v>1</v>
      </c>
      <c r="U9" s="205">
        <v>0.2</v>
      </c>
      <c r="V9" s="204">
        <v>1</v>
      </c>
      <c r="W9" s="204">
        <v>0</v>
      </c>
      <c r="X9" s="206">
        <v>21.9</v>
      </c>
      <c r="Y9" s="222">
        <v>0</v>
      </c>
    </row>
    <row r="10" spans="1:25" ht="14.25" customHeight="1" x14ac:dyDescent="0.3">
      <c r="A10" s="201">
        <v>45893</v>
      </c>
      <c r="B10" s="202">
        <v>45896</v>
      </c>
      <c r="C10" s="203" t="s">
        <v>48</v>
      </c>
      <c r="D10" s="203" t="s">
        <v>28</v>
      </c>
      <c r="E10" s="203" t="s">
        <v>225</v>
      </c>
      <c r="F10" s="203" t="s">
        <v>226</v>
      </c>
      <c r="G10" s="203" t="s">
        <v>31</v>
      </c>
      <c r="H10" s="203" t="s">
        <v>372</v>
      </c>
      <c r="I10" s="203" t="s">
        <v>32</v>
      </c>
      <c r="J10" s="203" t="s">
        <v>171</v>
      </c>
      <c r="K10" s="204">
        <v>12</v>
      </c>
      <c r="L10" s="204">
        <v>3</v>
      </c>
      <c r="M10" s="205">
        <v>0.25</v>
      </c>
      <c r="N10" s="206">
        <v>3.3333333333333335</v>
      </c>
      <c r="O10" s="208">
        <v>10</v>
      </c>
      <c r="P10" s="208">
        <v>21.95</v>
      </c>
      <c r="Q10" s="208">
        <v>45.558086560364465</v>
      </c>
      <c r="R10" s="221">
        <v>2.1949999999999998</v>
      </c>
      <c r="S10" s="204">
        <v>1</v>
      </c>
      <c r="T10" s="204">
        <v>1</v>
      </c>
      <c r="U10" s="205">
        <v>0.33333333333333331</v>
      </c>
      <c r="V10" s="204">
        <v>1</v>
      </c>
      <c r="W10" s="204">
        <v>0</v>
      </c>
      <c r="X10" s="206">
        <v>21.95</v>
      </c>
      <c r="Y10" s="222">
        <v>0</v>
      </c>
    </row>
    <row r="11" spans="1:25" ht="14.25" customHeight="1" x14ac:dyDescent="0.3">
      <c r="A11" s="201">
        <v>45894</v>
      </c>
      <c r="B11" s="202">
        <v>45894</v>
      </c>
      <c r="C11" s="203" t="s">
        <v>48</v>
      </c>
      <c r="D11" s="203" t="s">
        <v>28</v>
      </c>
      <c r="E11" s="203" t="s">
        <v>49</v>
      </c>
      <c r="F11" s="203" t="s">
        <v>50</v>
      </c>
      <c r="G11" s="203" t="s">
        <v>31</v>
      </c>
      <c r="H11" s="203" t="s">
        <v>51</v>
      </c>
      <c r="I11" s="203" t="s">
        <v>52</v>
      </c>
      <c r="J11" s="203" t="s">
        <v>616</v>
      </c>
      <c r="K11" s="204">
        <v>1</v>
      </c>
      <c r="L11" s="204">
        <v>1</v>
      </c>
      <c r="M11" s="205">
        <v>1</v>
      </c>
      <c r="N11" s="206">
        <v>1.98</v>
      </c>
      <c r="O11" s="208">
        <v>1.98</v>
      </c>
      <c r="P11" s="208">
        <v>21.95</v>
      </c>
      <c r="Q11" s="208">
        <v>9.020501138952163</v>
      </c>
      <c r="R11" s="221">
        <v>11.085858585858585</v>
      </c>
      <c r="S11" s="204">
        <v>1</v>
      </c>
      <c r="T11" s="204">
        <v>1</v>
      </c>
      <c r="U11" s="205">
        <v>1</v>
      </c>
      <c r="V11" s="204">
        <v>1</v>
      </c>
      <c r="W11" s="204">
        <v>0</v>
      </c>
      <c r="X11" s="206">
        <v>21.95</v>
      </c>
      <c r="Y11" s="222">
        <v>0</v>
      </c>
    </row>
    <row r="12" spans="1:25" ht="14.25" customHeight="1" x14ac:dyDescent="0.3">
      <c r="A12" s="201">
        <v>45894</v>
      </c>
      <c r="B12" s="202">
        <v>45895</v>
      </c>
      <c r="C12" s="203" t="s">
        <v>27</v>
      </c>
      <c r="D12" s="203" t="s">
        <v>28</v>
      </c>
      <c r="E12" s="203" t="s">
        <v>71</v>
      </c>
      <c r="F12" s="203" t="s">
        <v>72</v>
      </c>
      <c r="G12" s="203" t="s">
        <v>31</v>
      </c>
      <c r="H12" s="203" t="s">
        <v>73</v>
      </c>
      <c r="I12" s="203" t="s">
        <v>52</v>
      </c>
      <c r="J12" s="203" t="s">
        <v>617</v>
      </c>
      <c r="K12" s="204">
        <v>5</v>
      </c>
      <c r="L12" s="204">
        <v>3</v>
      </c>
      <c r="M12" s="205">
        <v>0.6</v>
      </c>
      <c r="N12" s="206">
        <v>3.5233333333333334</v>
      </c>
      <c r="O12" s="208">
        <v>10.57</v>
      </c>
      <c r="P12" s="208">
        <v>24.94</v>
      </c>
      <c r="Q12" s="208">
        <v>42.381716118684842</v>
      </c>
      <c r="R12" s="221">
        <v>2.3595080416272469</v>
      </c>
      <c r="S12" s="204">
        <v>1</v>
      </c>
      <c r="T12" s="204">
        <v>1</v>
      </c>
      <c r="U12" s="205">
        <v>0.33333333333333331</v>
      </c>
      <c r="V12" s="204">
        <v>1</v>
      </c>
      <c r="W12" s="204">
        <v>0</v>
      </c>
      <c r="X12" s="206">
        <v>24.94</v>
      </c>
      <c r="Y12" s="222">
        <v>0</v>
      </c>
    </row>
    <row r="13" spans="1:25" ht="14.25" customHeight="1" x14ac:dyDescent="0.3">
      <c r="A13" s="201">
        <v>45895</v>
      </c>
      <c r="B13" s="202">
        <v>45895</v>
      </c>
      <c r="C13" s="203" t="s">
        <v>143</v>
      </c>
      <c r="D13" s="203" t="s">
        <v>28</v>
      </c>
      <c r="E13" s="203" t="s">
        <v>144</v>
      </c>
      <c r="F13" s="203" t="s">
        <v>32</v>
      </c>
      <c r="G13" s="203" t="s">
        <v>31</v>
      </c>
      <c r="H13" s="203" t="s">
        <v>30</v>
      </c>
      <c r="I13" s="203" t="s">
        <v>44</v>
      </c>
      <c r="J13" s="203" t="s">
        <v>159</v>
      </c>
      <c r="K13" s="204">
        <v>3</v>
      </c>
      <c r="L13" s="204">
        <v>1</v>
      </c>
      <c r="M13" s="205">
        <v>0.33333333333333331</v>
      </c>
      <c r="N13" s="206">
        <v>1.82</v>
      </c>
      <c r="O13" s="208">
        <v>1.82</v>
      </c>
      <c r="P13" s="208">
        <v>24.94</v>
      </c>
      <c r="Q13" s="208">
        <v>7.2975140336808337</v>
      </c>
      <c r="R13" s="221">
        <v>13.703296703296704</v>
      </c>
      <c r="S13" s="204">
        <v>1</v>
      </c>
      <c r="T13" s="204">
        <v>1</v>
      </c>
      <c r="U13" s="205">
        <v>1</v>
      </c>
      <c r="V13" s="204">
        <v>1</v>
      </c>
      <c r="W13" s="204">
        <v>0</v>
      </c>
      <c r="X13" s="206">
        <v>24.94</v>
      </c>
      <c r="Y13" s="222">
        <v>0</v>
      </c>
    </row>
    <row r="14" spans="1:25" ht="14.25" customHeight="1" x14ac:dyDescent="0.3">
      <c r="A14" s="201">
        <v>45895</v>
      </c>
      <c r="B14" s="202">
        <v>45898</v>
      </c>
      <c r="C14" s="203" t="s">
        <v>40</v>
      </c>
      <c r="D14" s="203" t="s">
        <v>28</v>
      </c>
      <c r="E14" s="203" t="s">
        <v>41</v>
      </c>
      <c r="F14" s="203" t="s">
        <v>42</v>
      </c>
      <c r="G14" s="203" t="s">
        <v>31</v>
      </c>
      <c r="H14" s="203" t="s">
        <v>43</v>
      </c>
      <c r="I14" s="203" t="s">
        <v>44</v>
      </c>
      <c r="J14" s="203" t="s">
        <v>613</v>
      </c>
      <c r="K14" s="204">
        <v>4</v>
      </c>
      <c r="L14" s="204">
        <v>3</v>
      </c>
      <c r="M14" s="205">
        <v>0.75</v>
      </c>
      <c r="N14" s="206">
        <v>2.8366666666666664</v>
      </c>
      <c r="O14" s="208">
        <v>8.51</v>
      </c>
      <c r="P14" s="208">
        <v>24.94</v>
      </c>
      <c r="Q14" s="208">
        <v>34.121892542101037</v>
      </c>
      <c r="R14" s="221">
        <v>2.9306698002350178</v>
      </c>
      <c r="S14" s="204">
        <v>1</v>
      </c>
      <c r="T14" s="204">
        <v>1</v>
      </c>
      <c r="U14" s="205">
        <v>0.33333333333333331</v>
      </c>
      <c r="V14" s="204">
        <v>1</v>
      </c>
      <c r="W14" s="204">
        <v>0</v>
      </c>
      <c r="X14" s="206">
        <v>24.94</v>
      </c>
      <c r="Y14" s="222">
        <v>0</v>
      </c>
    </row>
    <row r="15" spans="1:25" ht="14.25" customHeight="1" x14ac:dyDescent="0.3">
      <c r="A15" s="201">
        <v>45895</v>
      </c>
      <c r="B15" s="202">
        <v>45895</v>
      </c>
      <c r="C15" s="203" t="s">
        <v>48</v>
      </c>
      <c r="D15" s="203" t="s">
        <v>28</v>
      </c>
      <c r="E15" s="203" t="s">
        <v>62</v>
      </c>
      <c r="F15" s="203" t="s">
        <v>63</v>
      </c>
      <c r="G15" s="203" t="s">
        <v>31</v>
      </c>
      <c r="H15" s="203" t="s">
        <v>372</v>
      </c>
      <c r="I15" s="203" t="s">
        <v>65</v>
      </c>
      <c r="J15" s="203" t="s">
        <v>507</v>
      </c>
      <c r="K15" s="204">
        <v>3</v>
      </c>
      <c r="L15" s="204">
        <v>1</v>
      </c>
      <c r="M15" s="205">
        <v>0.33333333333333331</v>
      </c>
      <c r="N15" s="206">
        <v>3.35</v>
      </c>
      <c r="O15" s="208">
        <v>3.35</v>
      </c>
      <c r="P15" s="208">
        <v>21.95</v>
      </c>
      <c r="Q15" s="208">
        <v>15.261958997722097</v>
      </c>
      <c r="R15" s="221">
        <v>6.5522388059701493</v>
      </c>
      <c r="S15" s="204">
        <v>1</v>
      </c>
      <c r="T15" s="204">
        <v>1</v>
      </c>
      <c r="U15" s="205">
        <v>1</v>
      </c>
      <c r="V15" s="204">
        <v>1</v>
      </c>
      <c r="W15" s="204">
        <v>0</v>
      </c>
      <c r="X15" s="206">
        <v>21.95</v>
      </c>
      <c r="Y15" s="222">
        <v>0</v>
      </c>
    </row>
    <row r="16" spans="1:25" ht="14.25" customHeight="1" x14ac:dyDescent="0.3">
      <c r="A16" s="201">
        <v>45895</v>
      </c>
      <c r="B16" s="202">
        <v>45895</v>
      </c>
      <c r="C16" s="203" t="s">
        <v>85</v>
      </c>
      <c r="D16" s="203" t="s">
        <v>28</v>
      </c>
      <c r="E16" s="203" t="s">
        <v>108</v>
      </c>
      <c r="F16" s="203" t="s">
        <v>109</v>
      </c>
      <c r="G16" s="203" t="s">
        <v>31</v>
      </c>
      <c r="H16" s="203" t="s">
        <v>110</v>
      </c>
      <c r="I16" s="203" t="s">
        <v>44</v>
      </c>
      <c r="J16" s="203" t="s">
        <v>615</v>
      </c>
      <c r="K16" s="204">
        <v>1</v>
      </c>
      <c r="L16" s="204">
        <v>1</v>
      </c>
      <c r="M16" s="205">
        <v>1</v>
      </c>
      <c r="N16" s="206">
        <v>1.82</v>
      </c>
      <c r="O16" s="208">
        <v>1.82</v>
      </c>
      <c r="P16" s="208">
        <v>21.95</v>
      </c>
      <c r="Q16" s="208">
        <v>8.2915717539863341</v>
      </c>
      <c r="R16" s="221">
        <v>12.06043956043956</v>
      </c>
      <c r="S16" s="204">
        <v>1</v>
      </c>
      <c r="T16" s="204">
        <v>1</v>
      </c>
      <c r="U16" s="205">
        <v>1</v>
      </c>
      <c r="V16" s="204">
        <v>1</v>
      </c>
      <c r="W16" s="204">
        <v>0</v>
      </c>
      <c r="X16" s="206">
        <v>21.95</v>
      </c>
      <c r="Y16" s="222">
        <v>0</v>
      </c>
    </row>
    <row r="17" spans="1:25" ht="14.25" customHeight="1" x14ac:dyDescent="0.3">
      <c r="A17" s="201">
        <v>45896</v>
      </c>
      <c r="B17" s="202">
        <v>45896</v>
      </c>
      <c r="C17" s="203" t="s">
        <v>27</v>
      </c>
      <c r="D17" s="203" t="s">
        <v>28</v>
      </c>
      <c r="E17" s="203" t="s">
        <v>71</v>
      </c>
      <c r="F17" s="203" t="s">
        <v>72</v>
      </c>
      <c r="G17" s="203" t="s">
        <v>31</v>
      </c>
      <c r="H17" s="203" t="s">
        <v>73</v>
      </c>
      <c r="I17" s="203" t="s">
        <v>52</v>
      </c>
      <c r="J17" s="203" t="s">
        <v>330</v>
      </c>
      <c r="K17" s="204">
        <v>1</v>
      </c>
      <c r="L17" s="204">
        <v>1</v>
      </c>
      <c r="M17" s="205">
        <v>1</v>
      </c>
      <c r="N17" s="206">
        <v>3.33</v>
      </c>
      <c r="O17" s="208">
        <v>3.33</v>
      </c>
      <c r="P17" s="208">
        <v>24.94</v>
      </c>
      <c r="Q17" s="208">
        <v>13.352044907778668</v>
      </c>
      <c r="R17" s="221">
        <v>7.4894894894894897</v>
      </c>
      <c r="S17" s="204">
        <v>1</v>
      </c>
      <c r="T17" s="204">
        <v>1</v>
      </c>
      <c r="U17" s="205">
        <v>1</v>
      </c>
      <c r="V17" s="204">
        <v>1</v>
      </c>
      <c r="W17" s="204">
        <v>0</v>
      </c>
      <c r="X17" s="206">
        <v>24.94</v>
      </c>
      <c r="Y17" s="222">
        <v>0</v>
      </c>
    </row>
    <row r="18" spans="1:25" ht="14.25" customHeight="1" x14ac:dyDescent="0.3">
      <c r="A18" s="201">
        <v>45896</v>
      </c>
      <c r="B18" s="202">
        <v>45899</v>
      </c>
      <c r="C18" s="203" t="s">
        <v>27</v>
      </c>
      <c r="D18" s="203" t="s">
        <v>28</v>
      </c>
      <c r="E18" s="203" t="s">
        <v>56</v>
      </c>
      <c r="F18" s="203" t="s">
        <v>57</v>
      </c>
      <c r="G18" s="203" t="s">
        <v>31</v>
      </c>
      <c r="H18" s="203" t="s">
        <v>914</v>
      </c>
      <c r="I18" s="203" t="s">
        <v>32</v>
      </c>
      <c r="J18" s="203" t="s">
        <v>119</v>
      </c>
      <c r="K18" s="204">
        <v>1930</v>
      </c>
      <c r="L18" s="204">
        <v>24</v>
      </c>
      <c r="M18" s="205">
        <v>1.2435233160621761E-2</v>
      </c>
      <c r="N18" s="206">
        <v>2.9558333333333331</v>
      </c>
      <c r="O18" s="208">
        <v>70.94</v>
      </c>
      <c r="P18" s="208">
        <v>99.76</v>
      </c>
      <c r="Q18" s="208">
        <v>71.110665597433837</v>
      </c>
      <c r="R18" s="221">
        <v>1.4062588102621936</v>
      </c>
      <c r="S18" s="204">
        <v>4</v>
      </c>
      <c r="T18" s="204">
        <v>4</v>
      </c>
      <c r="U18" s="205">
        <v>0.16666666666666663</v>
      </c>
      <c r="V18" s="204">
        <v>4</v>
      </c>
      <c r="W18" s="204">
        <v>0</v>
      </c>
      <c r="X18" s="206">
        <v>99.76</v>
      </c>
      <c r="Y18" s="222">
        <v>0</v>
      </c>
    </row>
    <row r="19" spans="1:25" ht="14.25" customHeight="1" x14ac:dyDescent="0.3">
      <c r="A19" s="201">
        <v>45896</v>
      </c>
      <c r="B19" s="202">
        <v>45896</v>
      </c>
      <c r="C19" s="203" t="s">
        <v>27</v>
      </c>
      <c r="D19" s="203" t="s">
        <v>28</v>
      </c>
      <c r="E19" s="203" t="s">
        <v>71</v>
      </c>
      <c r="F19" s="203" t="s">
        <v>72</v>
      </c>
      <c r="G19" s="203" t="s">
        <v>31</v>
      </c>
      <c r="H19" s="203" t="s">
        <v>51</v>
      </c>
      <c r="I19" s="203" t="s">
        <v>52</v>
      </c>
      <c r="J19" s="203" t="s">
        <v>611</v>
      </c>
      <c r="K19" s="204">
        <v>2</v>
      </c>
      <c r="L19" s="204">
        <v>1</v>
      </c>
      <c r="M19" s="205">
        <v>0.5</v>
      </c>
      <c r="N19" s="206">
        <v>2.2799999999999998</v>
      </c>
      <c r="O19" s="208">
        <v>2.2799999999999998</v>
      </c>
      <c r="P19" s="208">
        <v>24.94</v>
      </c>
      <c r="Q19" s="208">
        <v>9.1419406575781856</v>
      </c>
      <c r="R19" s="221">
        <v>10.938596491228072</v>
      </c>
      <c r="S19" s="204">
        <v>1</v>
      </c>
      <c r="T19" s="204">
        <v>1</v>
      </c>
      <c r="U19" s="205">
        <v>1</v>
      </c>
      <c r="V19" s="204">
        <v>1</v>
      </c>
      <c r="W19" s="204">
        <v>0</v>
      </c>
      <c r="X19" s="206">
        <v>24.94</v>
      </c>
      <c r="Y19" s="222">
        <v>0</v>
      </c>
    </row>
    <row r="20" spans="1:25" ht="14.25" customHeight="1" x14ac:dyDescent="0.3">
      <c r="A20" s="201">
        <v>45897</v>
      </c>
      <c r="B20" s="202">
        <v>45897</v>
      </c>
      <c r="C20" s="203" t="s">
        <v>48</v>
      </c>
      <c r="D20" s="203" t="s">
        <v>28</v>
      </c>
      <c r="E20" s="203" t="s">
        <v>49</v>
      </c>
      <c r="F20" s="203" t="s">
        <v>50</v>
      </c>
      <c r="G20" s="203" t="s">
        <v>31</v>
      </c>
      <c r="H20" s="203" t="s">
        <v>51</v>
      </c>
      <c r="I20" s="203" t="s">
        <v>52</v>
      </c>
      <c r="J20" s="203" t="s">
        <v>601</v>
      </c>
      <c r="K20" s="204">
        <v>10</v>
      </c>
      <c r="L20" s="204">
        <v>1</v>
      </c>
      <c r="M20" s="205">
        <v>0.1</v>
      </c>
      <c r="N20" s="206">
        <v>1.84</v>
      </c>
      <c r="O20" s="208">
        <v>1.84</v>
      </c>
      <c r="P20" s="208">
        <v>21.95</v>
      </c>
      <c r="Q20" s="208">
        <v>8.382687927107062</v>
      </c>
      <c r="R20" s="221">
        <v>11.929347826086955</v>
      </c>
      <c r="S20" s="204">
        <v>1</v>
      </c>
      <c r="T20" s="204">
        <v>1</v>
      </c>
      <c r="U20" s="205">
        <v>1</v>
      </c>
      <c r="V20" s="204">
        <v>1</v>
      </c>
      <c r="W20" s="204">
        <v>0</v>
      </c>
      <c r="X20" s="206">
        <v>21.95</v>
      </c>
      <c r="Y20" s="222">
        <v>0</v>
      </c>
    </row>
    <row r="21" spans="1:25" ht="14.25" customHeight="1" x14ac:dyDescent="0.3">
      <c r="A21" s="201">
        <v>45897</v>
      </c>
      <c r="B21" s="202">
        <v>45897</v>
      </c>
      <c r="C21" s="203" t="s">
        <v>40</v>
      </c>
      <c r="D21" s="203" t="s">
        <v>28</v>
      </c>
      <c r="E21" s="203" t="s">
        <v>41</v>
      </c>
      <c r="F21" s="203" t="s">
        <v>42</v>
      </c>
      <c r="G21" s="203" t="s">
        <v>31</v>
      </c>
      <c r="H21" s="203" t="s">
        <v>604</v>
      </c>
      <c r="I21" s="203" t="s">
        <v>44</v>
      </c>
      <c r="J21" s="203" t="s">
        <v>605</v>
      </c>
      <c r="K21" s="204">
        <v>3</v>
      </c>
      <c r="L21" s="204">
        <v>1</v>
      </c>
      <c r="M21" s="205">
        <v>0.33333333333333331</v>
      </c>
      <c r="N21" s="206">
        <v>3.41</v>
      </c>
      <c r="O21" s="208">
        <v>3.41</v>
      </c>
      <c r="P21" s="208">
        <v>24.94</v>
      </c>
      <c r="Q21" s="208">
        <v>13.67281475541299</v>
      </c>
      <c r="R21" s="221">
        <v>7.3137829912023458</v>
      </c>
      <c r="S21" s="204">
        <v>1</v>
      </c>
      <c r="T21" s="204">
        <v>1</v>
      </c>
      <c r="U21" s="205">
        <v>1</v>
      </c>
      <c r="V21" s="204">
        <v>1</v>
      </c>
      <c r="W21" s="204">
        <v>0</v>
      </c>
      <c r="X21" s="206">
        <v>24.94</v>
      </c>
      <c r="Y21" s="222">
        <v>0</v>
      </c>
    </row>
    <row r="22" spans="1:25" ht="14.25" customHeight="1" x14ac:dyDescent="0.3">
      <c r="A22" s="201">
        <v>45897</v>
      </c>
      <c r="B22" s="202">
        <v>45897</v>
      </c>
      <c r="C22" s="203" t="s">
        <v>27</v>
      </c>
      <c r="D22" s="203" t="s">
        <v>28</v>
      </c>
      <c r="E22" s="203" t="s">
        <v>29</v>
      </c>
      <c r="F22" s="203" t="s">
        <v>30</v>
      </c>
      <c r="G22" s="203" t="s">
        <v>31</v>
      </c>
      <c r="H22" s="203" t="s">
        <v>145</v>
      </c>
      <c r="I22" s="203" t="s">
        <v>32</v>
      </c>
      <c r="J22" s="203" t="s">
        <v>404</v>
      </c>
      <c r="K22" s="204">
        <v>3</v>
      </c>
      <c r="L22" s="204">
        <v>1</v>
      </c>
      <c r="M22" s="205">
        <v>0.33333333333333331</v>
      </c>
      <c r="N22" s="206">
        <v>2.95</v>
      </c>
      <c r="O22" s="208">
        <v>2.95</v>
      </c>
      <c r="P22" s="208">
        <v>24.94</v>
      </c>
      <c r="Q22" s="208">
        <v>11.828388131515638</v>
      </c>
      <c r="R22" s="221">
        <v>8.4542372881355927</v>
      </c>
      <c r="S22" s="204">
        <v>1</v>
      </c>
      <c r="T22" s="204">
        <v>1</v>
      </c>
      <c r="U22" s="205">
        <v>1</v>
      </c>
      <c r="V22" s="204">
        <v>1</v>
      </c>
      <c r="W22" s="204">
        <v>0</v>
      </c>
      <c r="X22" s="206">
        <v>24.94</v>
      </c>
      <c r="Y22" s="222">
        <v>0</v>
      </c>
    </row>
    <row r="23" spans="1:25" ht="14.25" customHeight="1" x14ac:dyDescent="0.3">
      <c r="A23" s="201">
        <v>45897</v>
      </c>
      <c r="B23" s="202">
        <v>45897</v>
      </c>
      <c r="C23" s="203" t="s">
        <v>27</v>
      </c>
      <c r="D23" s="203" t="s">
        <v>28</v>
      </c>
      <c r="E23" s="203" t="s">
        <v>71</v>
      </c>
      <c r="F23" s="203" t="s">
        <v>72</v>
      </c>
      <c r="G23" s="203" t="s">
        <v>31</v>
      </c>
      <c r="H23" s="203" t="s">
        <v>51</v>
      </c>
      <c r="I23" s="203" t="s">
        <v>52</v>
      </c>
      <c r="J23" s="203" t="s">
        <v>477</v>
      </c>
      <c r="K23" s="204">
        <v>1</v>
      </c>
      <c r="L23" s="204">
        <v>1</v>
      </c>
      <c r="M23" s="205">
        <v>1</v>
      </c>
      <c r="N23" s="206">
        <v>2.5</v>
      </c>
      <c r="O23" s="208">
        <v>2.5</v>
      </c>
      <c r="P23" s="208">
        <v>24.94</v>
      </c>
      <c r="Q23" s="208">
        <v>10.024057738572575</v>
      </c>
      <c r="R23" s="221">
        <v>9.9760000000000009</v>
      </c>
      <c r="S23" s="204">
        <v>1</v>
      </c>
      <c r="T23" s="204">
        <v>1</v>
      </c>
      <c r="U23" s="205">
        <v>1</v>
      </c>
      <c r="V23" s="204">
        <v>1</v>
      </c>
      <c r="W23" s="204">
        <v>0</v>
      </c>
      <c r="X23" s="206">
        <v>24.94</v>
      </c>
      <c r="Y23" s="222">
        <v>0</v>
      </c>
    </row>
    <row r="24" spans="1:25" ht="14.25" customHeight="1" x14ac:dyDescent="0.3">
      <c r="A24" s="201">
        <v>45897</v>
      </c>
      <c r="B24" s="202">
        <v>45897</v>
      </c>
      <c r="C24" s="203" t="s">
        <v>494</v>
      </c>
      <c r="D24" s="203" t="s">
        <v>28</v>
      </c>
      <c r="E24" s="203" t="s">
        <v>495</v>
      </c>
      <c r="F24" s="203" t="s">
        <v>496</v>
      </c>
      <c r="G24" s="203" t="s">
        <v>31</v>
      </c>
      <c r="H24" s="203" t="s">
        <v>51</v>
      </c>
      <c r="I24" s="203" t="s">
        <v>52</v>
      </c>
      <c r="J24" s="203" t="s">
        <v>607</v>
      </c>
      <c r="K24" s="204">
        <v>1</v>
      </c>
      <c r="L24" s="204">
        <v>1</v>
      </c>
      <c r="M24" s="205">
        <v>1</v>
      </c>
      <c r="N24" s="206">
        <v>3.72</v>
      </c>
      <c r="O24" s="208">
        <v>3.72</v>
      </c>
      <c r="P24" s="208">
        <v>29.99</v>
      </c>
      <c r="Q24" s="208">
        <v>12.404134711570522</v>
      </c>
      <c r="R24" s="221">
        <v>8.0618279569892461</v>
      </c>
      <c r="S24" s="204">
        <v>1</v>
      </c>
      <c r="T24" s="204">
        <v>1</v>
      </c>
      <c r="U24" s="205">
        <v>1</v>
      </c>
      <c r="V24" s="204">
        <v>1</v>
      </c>
      <c r="W24" s="204">
        <v>0</v>
      </c>
      <c r="X24" s="206">
        <v>29.99</v>
      </c>
      <c r="Y24" s="222">
        <v>0</v>
      </c>
    </row>
    <row r="25" spans="1:25" ht="14.25" customHeight="1" x14ac:dyDescent="0.3">
      <c r="A25" s="201">
        <v>45897</v>
      </c>
      <c r="B25" s="202">
        <v>45897</v>
      </c>
      <c r="C25" s="203" t="s">
        <v>27</v>
      </c>
      <c r="D25" s="203" t="s">
        <v>28</v>
      </c>
      <c r="E25" s="203" t="s">
        <v>71</v>
      </c>
      <c r="F25" s="203" t="s">
        <v>72</v>
      </c>
      <c r="G25" s="203" t="s">
        <v>31</v>
      </c>
      <c r="H25" s="203" t="s">
        <v>51</v>
      </c>
      <c r="I25" s="203" t="s">
        <v>52</v>
      </c>
      <c r="J25" s="203" t="s">
        <v>608</v>
      </c>
      <c r="K25" s="204">
        <v>1</v>
      </c>
      <c r="L25" s="204">
        <v>1</v>
      </c>
      <c r="M25" s="205">
        <v>1</v>
      </c>
      <c r="N25" s="206">
        <v>3.5</v>
      </c>
      <c r="O25" s="208">
        <v>3.5</v>
      </c>
      <c r="P25" s="208">
        <v>24.94</v>
      </c>
      <c r="Q25" s="208">
        <v>14.033680834001602</v>
      </c>
      <c r="R25" s="221">
        <v>7.1257142857142863</v>
      </c>
      <c r="S25" s="204">
        <v>1</v>
      </c>
      <c r="T25" s="204">
        <v>1</v>
      </c>
      <c r="U25" s="205">
        <v>1</v>
      </c>
      <c r="V25" s="204">
        <v>1</v>
      </c>
      <c r="W25" s="204">
        <v>0</v>
      </c>
      <c r="X25" s="206">
        <v>24.94</v>
      </c>
      <c r="Y25" s="222">
        <v>0</v>
      </c>
    </row>
    <row r="26" spans="1:25" ht="14.25" customHeight="1" x14ac:dyDescent="0.3">
      <c r="A26" s="201">
        <v>45898</v>
      </c>
      <c r="B26" s="202">
        <v>45899</v>
      </c>
      <c r="C26" s="203" t="s">
        <v>27</v>
      </c>
      <c r="D26" s="203" t="s">
        <v>28</v>
      </c>
      <c r="E26" s="203" t="s">
        <v>29</v>
      </c>
      <c r="F26" s="203" t="s">
        <v>30</v>
      </c>
      <c r="G26" s="203" t="s">
        <v>31</v>
      </c>
      <c r="H26" s="203" t="s">
        <v>480</v>
      </c>
      <c r="I26" s="203" t="s">
        <v>32</v>
      </c>
      <c r="J26" s="203" t="s">
        <v>596</v>
      </c>
      <c r="K26" s="204">
        <v>2</v>
      </c>
      <c r="L26" s="204">
        <v>2</v>
      </c>
      <c r="M26" s="205">
        <v>1</v>
      </c>
      <c r="N26" s="206">
        <v>2.3850000000000002</v>
      </c>
      <c r="O26" s="208">
        <v>4.7699999999999996</v>
      </c>
      <c r="P26" s="208">
        <v>24.94</v>
      </c>
      <c r="Q26" s="208">
        <v>19.125902165196472</v>
      </c>
      <c r="R26" s="221">
        <v>5.2285115303983227</v>
      </c>
      <c r="S26" s="204">
        <v>1</v>
      </c>
      <c r="T26" s="204">
        <v>1</v>
      </c>
      <c r="U26" s="205">
        <v>0.5</v>
      </c>
      <c r="V26" s="204">
        <v>1</v>
      </c>
      <c r="W26" s="204">
        <v>0</v>
      </c>
      <c r="X26" s="206">
        <v>24.94</v>
      </c>
      <c r="Y26" s="222">
        <v>0</v>
      </c>
    </row>
    <row r="27" spans="1:25" ht="14.25" customHeight="1" x14ac:dyDescent="0.3">
      <c r="A27" s="201">
        <v>45898</v>
      </c>
      <c r="B27" s="202">
        <v>45898</v>
      </c>
      <c r="C27" s="203" t="s">
        <v>27</v>
      </c>
      <c r="D27" s="203" t="s">
        <v>28</v>
      </c>
      <c r="E27" s="203" t="s">
        <v>29</v>
      </c>
      <c r="F27" s="203" t="s">
        <v>30</v>
      </c>
      <c r="G27" s="203" t="s">
        <v>31</v>
      </c>
      <c r="H27" s="203" t="s">
        <v>268</v>
      </c>
      <c r="I27" s="203" t="s">
        <v>32</v>
      </c>
      <c r="J27" s="203" t="s">
        <v>597</v>
      </c>
      <c r="K27" s="204">
        <v>1</v>
      </c>
      <c r="L27" s="204">
        <v>1</v>
      </c>
      <c r="M27" s="205">
        <v>1</v>
      </c>
      <c r="N27" s="206">
        <v>2.5499999999999998</v>
      </c>
      <c r="O27" s="208">
        <v>2.5499999999999998</v>
      </c>
      <c r="P27" s="208">
        <v>24.94</v>
      </c>
      <c r="Q27" s="208">
        <v>10.224538893344025</v>
      </c>
      <c r="R27" s="221">
        <v>9.7803921568627459</v>
      </c>
      <c r="S27" s="204">
        <v>1</v>
      </c>
      <c r="T27" s="204">
        <v>1</v>
      </c>
      <c r="U27" s="205">
        <v>1</v>
      </c>
      <c r="V27" s="204">
        <v>1</v>
      </c>
      <c r="W27" s="204">
        <v>0</v>
      </c>
      <c r="X27" s="206">
        <v>24.94</v>
      </c>
      <c r="Y27" s="222">
        <v>0</v>
      </c>
    </row>
    <row r="28" spans="1:25" ht="14.25" customHeight="1" x14ac:dyDescent="0.3">
      <c r="A28" s="201">
        <v>45898</v>
      </c>
      <c r="B28" s="202">
        <v>45898</v>
      </c>
      <c r="C28" s="203" t="s">
        <v>27</v>
      </c>
      <c r="D28" s="203" t="s">
        <v>28</v>
      </c>
      <c r="E28" s="203" t="s">
        <v>71</v>
      </c>
      <c r="F28" s="203" t="s">
        <v>72</v>
      </c>
      <c r="G28" s="203" t="s">
        <v>31</v>
      </c>
      <c r="H28" s="203" t="s">
        <v>51</v>
      </c>
      <c r="I28" s="203" t="s">
        <v>52</v>
      </c>
      <c r="J28" s="203" t="s">
        <v>599</v>
      </c>
      <c r="K28" s="204">
        <v>5</v>
      </c>
      <c r="L28" s="204">
        <v>1</v>
      </c>
      <c r="M28" s="205">
        <v>0.2</v>
      </c>
      <c r="N28" s="206">
        <v>2.4500000000000002</v>
      </c>
      <c r="O28" s="208">
        <v>2.4500000000000002</v>
      </c>
      <c r="P28" s="208">
        <v>24.94</v>
      </c>
      <c r="Q28" s="208">
        <v>9.823576583801124</v>
      </c>
      <c r="R28" s="221">
        <v>10.179591836734694</v>
      </c>
      <c r="S28" s="204">
        <v>1</v>
      </c>
      <c r="T28" s="204">
        <v>1</v>
      </c>
      <c r="U28" s="205">
        <v>1</v>
      </c>
      <c r="V28" s="204">
        <v>1</v>
      </c>
      <c r="W28" s="204">
        <v>0</v>
      </c>
      <c r="X28" s="206">
        <v>24.94</v>
      </c>
      <c r="Y28" s="222">
        <v>0</v>
      </c>
    </row>
    <row r="29" spans="1:25" ht="14.25" customHeight="1" x14ac:dyDescent="0.3">
      <c r="A29" s="201">
        <v>45898</v>
      </c>
      <c r="B29" s="202">
        <v>45898</v>
      </c>
      <c r="C29" s="203" t="s">
        <v>40</v>
      </c>
      <c r="D29" s="203" t="s">
        <v>28</v>
      </c>
      <c r="E29" s="203" t="s">
        <v>41</v>
      </c>
      <c r="F29" s="203" t="s">
        <v>42</v>
      </c>
      <c r="G29" s="203" t="s">
        <v>31</v>
      </c>
      <c r="H29" s="203" t="s">
        <v>43</v>
      </c>
      <c r="I29" s="203" t="s">
        <v>44</v>
      </c>
      <c r="J29" s="203" t="s">
        <v>600</v>
      </c>
      <c r="K29" s="204">
        <v>2</v>
      </c>
      <c r="L29" s="204">
        <v>1</v>
      </c>
      <c r="M29" s="205">
        <v>0.5</v>
      </c>
      <c r="N29" s="206">
        <v>3.6</v>
      </c>
      <c r="O29" s="208">
        <v>3.6</v>
      </c>
      <c r="P29" s="208">
        <v>24.94</v>
      </c>
      <c r="Q29" s="208">
        <v>14.434643143544507</v>
      </c>
      <c r="R29" s="221">
        <v>6.927777777777778</v>
      </c>
      <c r="S29" s="204">
        <v>1</v>
      </c>
      <c r="T29" s="204">
        <v>1</v>
      </c>
      <c r="U29" s="205">
        <v>1</v>
      </c>
      <c r="V29" s="204">
        <v>1</v>
      </c>
      <c r="W29" s="204">
        <v>0</v>
      </c>
      <c r="X29" s="206">
        <v>24.94</v>
      </c>
      <c r="Y29" s="222">
        <v>0</v>
      </c>
    </row>
    <row r="30" spans="1:25" ht="14.25" customHeight="1" x14ac:dyDescent="0.3">
      <c r="A30" s="223"/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5"/>
      <c r="Q30" s="225"/>
      <c r="R30" s="224"/>
      <c r="S30" s="224"/>
      <c r="T30" s="224"/>
      <c r="U30" s="224"/>
      <c r="V30" s="224"/>
      <c r="W30" s="224"/>
      <c r="X30" s="224"/>
      <c r="Y30" s="224"/>
    </row>
    <row r="31" spans="1:25" ht="14.25" customHeight="1" x14ac:dyDescent="0.3">
      <c r="A31" s="223"/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5"/>
      <c r="Q31" s="225"/>
      <c r="R31" s="224"/>
      <c r="S31" s="224"/>
      <c r="T31" s="224"/>
      <c r="U31" s="224"/>
      <c r="V31" s="224"/>
      <c r="W31" s="224"/>
      <c r="X31" s="224"/>
      <c r="Y31" s="224"/>
    </row>
    <row r="32" spans="1:25" ht="14.25" customHeight="1" x14ac:dyDescent="0.3">
      <c r="A32" s="223"/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5"/>
      <c r="Q32" s="225"/>
      <c r="R32" s="224"/>
      <c r="S32" s="224"/>
      <c r="T32" s="224"/>
      <c r="U32" s="224"/>
      <c r="V32" s="224"/>
      <c r="W32" s="224"/>
      <c r="X32" s="224"/>
      <c r="Y32" s="224"/>
    </row>
    <row r="33" spans="1:25" ht="14.25" customHeight="1" x14ac:dyDescent="0.3">
      <c r="A33" s="223"/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5"/>
      <c r="Q33" s="225"/>
      <c r="R33" s="224"/>
      <c r="S33" s="224"/>
      <c r="T33" s="224"/>
      <c r="U33" s="224"/>
      <c r="V33" s="224"/>
      <c r="W33" s="224"/>
      <c r="X33" s="224"/>
      <c r="Y33" s="224"/>
    </row>
    <row r="34" spans="1:25" ht="14.25" customHeight="1" x14ac:dyDescent="0.3">
      <c r="A34" s="223"/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5"/>
      <c r="Q34" s="225"/>
      <c r="R34" s="224"/>
      <c r="S34" s="224"/>
      <c r="T34" s="224"/>
      <c r="U34" s="224"/>
      <c r="V34" s="224"/>
      <c r="W34" s="224"/>
      <c r="X34" s="224"/>
      <c r="Y34" s="224"/>
    </row>
    <row r="35" spans="1:25" ht="14.25" customHeight="1" x14ac:dyDescent="0.3">
      <c r="A35" s="223"/>
      <c r="B35" s="223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5"/>
      <c r="Q35" s="225"/>
      <c r="R35" s="224"/>
      <c r="S35" s="224"/>
      <c r="T35" s="224"/>
      <c r="U35" s="224"/>
      <c r="V35" s="224"/>
      <c r="W35" s="224"/>
      <c r="X35" s="224"/>
      <c r="Y35" s="224"/>
    </row>
    <row r="36" spans="1:25" ht="14.25" customHeight="1" x14ac:dyDescent="0.3">
      <c r="A36" s="223"/>
      <c r="B36" s="223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5"/>
      <c r="Q36" s="225"/>
      <c r="R36" s="224"/>
      <c r="S36" s="224"/>
      <c r="T36" s="224"/>
      <c r="U36" s="224"/>
      <c r="V36" s="224"/>
      <c r="W36" s="224"/>
      <c r="X36" s="224"/>
      <c r="Y36" s="224"/>
    </row>
    <row r="37" spans="1:25" ht="14.25" customHeight="1" x14ac:dyDescent="0.3">
      <c r="A37" s="223"/>
      <c r="B37" s="223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5"/>
      <c r="Q37" s="225"/>
      <c r="R37" s="224"/>
      <c r="S37" s="224"/>
      <c r="T37" s="224"/>
      <c r="U37" s="224"/>
      <c r="V37" s="224"/>
      <c r="W37" s="224"/>
      <c r="X37" s="224"/>
      <c r="Y37" s="224"/>
    </row>
    <row r="38" spans="1:25" ht="14.25" customHeight="1" x14ac:dyDescent="0.3">
      <c r="A38" s="223"/>
      <c r="B38" s="223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5"/>
      <c r="Q38" s="225"/>
      <c r="R38" s="224"/>
      <c r="S38" s="224"/>
      <c r="T38" s="224"/>
      <c r="U38" s="224"/>
      <c r="V38" s="224"/>
      <c r="W38" s="224"/>
      <c r="X38" s="224"/>
      <c r="Y38" s="224"/>
    </row>
    <row r="39" spans="1:25" ht="14.25" customHeight="1" x14ac:dyDescent="0.3">
      <c r="A39" s="223"/>
      <c r="B39" s="223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5"/>
      <c r="Q39" s="225"/>
      <c r="R39" s="224"/>
      <c r="S39" s="224"/>
      <c r="T39" s="224"/>
      <c r="U39" s="224"/>
      <c r="V39" s="224"/>
      <c r="W39" s="224"/>
      <c r="X39" s="224"/>
      <c r="Y39" s="224"/>
    </row>
    <row r="40" spans="1:25" ht="14.25" customHeight="1" x14ac:dyDescent="0.3">
      <c r="A40" s="223"/>
      <c r="B40" s="223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5"/>
      <c r="Q40" s="225"/>
      <c r="R40" s="224"/>
      <c r="S40" s="224"/>
      <c r="T40" s="224"/>
      <c r="U40" s="224"/>
      <c r="V40" s="224"/>
      <c r="W40" s="224"/>
      <c r="X40" s="224"/>
      <c r="Y40" s="224"/>
    </row>
    <row r="41" spans="1:25" ht="14.25" customHeight="1" x14ac:dyDescent="0.3">
      <c r="A41" s="223"/>
      <c r="B41" s="223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5"/>
      <c r="Q41" s="225"/>
      <c r="R41" s="224"/>
      <c r="S41" s="224"/>
      <c r="T41" s="224"/>
      <c r="U41" s="224"/>
      <c r="V41" s="224"/>
      <c r="W41" s="224"/>
      <c r="X41" s="224"/>
      <c r="Y41" s="224"/>
    </row>
    <row r="42" spans="1:25" ht="14.25" customHeight="1" x14ac:dyDescent="0.3">
      <c r="A42" s="223"/>
      <c r="B42" s="223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5"/>
      <c r="Q42" s="225"/>
      <c r="R42" s="224"/>
      <c r="S42" s="224"/>
      <c r="T42" s="224"/>
      <c r="U42" s="224"/>
      <c r="V42" s="224"/>
      <c r="W42" s="224"/>
      <c r="X42" s="224"/>
      <c r="Y42" s="224"/>
    </row>
    <row r="43" spans="1:25" ht="14.25" customHeight="1" x14ac:dyDescent="0.3">
      <c r="A43" s="223"/>
      <c r="B43" s="223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5"/>
      <c r="Q43" s="225"/>
      <c r="R43" s="224"/>
      <c r="S43" s="224"/>
      <c r="T43" s="224"/>
      <c r="U43" s="224"/>
      <c r="V43" s="224"/>
      <c r="W43" s="224"/>
      <c r="X43" s="224"/>
      <c r="Y43" s="224"/>
    </row>
    <row r="44" spans="1:25" ht="14.25" customHeight="1" x14ac:dyDescent="0.3">
      <c r="A44" s="223"/>
      <c r="B44" s="223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5"/>
      <c r="Q44" s="225"/>
      <c r="R44" s="224"/>
      <c r="S44" s="224"/>
      <c r="T44" s="224"/>
      <c r="U44" s="224"/>
      <c r="V44" s="224"/>
      <c r="W44" s="224"/>
      <c r="X44" s="224"/>
      <c r="Y44" s="224"/>
    </row>
    <row r="45" spans="1:25" ht="14.25" customHeight="1" x14ac:dyDescent="0.3">
      <c r="A45" s="223"/>
      <c r="B45" s="223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5"/>
      <c r="Q45" s="225"/>
      <c r="R45" s="224"/>
      <c r="S45" s="224"/>
      <c r="T45" s="224"/>
      <c r="U45" s="224"/>
      <c r="V45" s="224"/>
      <c r="W45" s="224"/>
      <c r="X45" s="224"/>
      <c r="Y45" s="224"/>
    </row>
    <row r="46" spans="1:25" ht="14.25" customHeight="1" x14ac:dyDescent="0.3">
      <c r="A46" s="223"/>
      <c r="B46" s="223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5"/>
      <c r="Q46" s="225"/>
      <c r="R46" s="224"/>
      <c r="S46" s="224"/>
      <c r="T46" s="224"/>
      <c r="U46" s="224"/>
      <c r="V46" s="224"/>
      <c r="W46" s="224"/>
      <c r="X46" s="224"/>
      <c r="Y46" s="224"/>
    </row>
    <row r="47" spans="1:25" ht="14.25" customHeight="1" x14ac:dyDescent="0.3">
      <c r="A47" s="223"/>
      <c r="B47" s="223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5"/>
      <c r="Q47" s="225"/>
      <c r="R47" s="224"/>
      <c r="S47" s="224"/>
      <c r="T47" s="224"/>
      <c r="U47" s="224"/>
      <c r="V47" s="224"/>
      <c r="W47" s="224"/>
      <c r="X47" s="224"/>
      <c r="Y47" s="224"/>
    </row>
    <row r="48" spans="1:25" ht="14.25" customHeight="1" x14ac:dyDescent="0.3">
      <c r="A48" s="223"/>
      <c r="B48" s="223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5"/>
      <c r="Q48" s="225"/>
      <c r="R48" s="224"/>
      <c r="S48" s="224"/>
      <c r="T48" s="224"/>
      <c r="U48" s="224"/>
      <c r="V48" s="224"/>
      <c r="W48" s="224"/>
      <c r="X48" s="224"/>
      <c r="Y48" s="224"/>
    </row>
    <row r="49" spans="1:25" ht="14.25" customHeight="1" x14ac:dyDescent="0.3">
      <c r="A49" s="223"/>
      <c r="B49" s="223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5"/>
      <c r="Q49" s="225"/>
      <c r="R49" s="224"/>
      <c r="S49" s="224"/>
      <c r="T49" s="224"/>
      <c r="U49" s="224"/>
      <c r="V49" s="224"/>
      <c r="W49" s="224"/>
      <c r="X49" s="224"/>
      <c r="Y49" s="224"/>
    </row>
    <row r="50" spans="1:25" ht="14.25" customHeight="1" x14ac:dyDescent="0.3">
      <c r="A50" s="223"/>
      <c r="B50" s="223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5"/>
      <c r="Q50" s="225"/>
      <c r="R50" s="224"/>
      <c r="S50" s="224"/>
      <c r="T50" s="224"/>
      <c r="U50" s="224"/>
      <c r="V50" s="224"/>
      <c r="W50" s="224"/>
      <c r="X50" s="224"/>
      <c r="Y50" s="224"/>
    </row>
    <row r="51" spans="1:25" ht="14.25" customHeight="1" x14ac:dyDescent="0.3">
      <c r="A51" s="223"/>
      <c r="B51" s="223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5"/>
      <c r="Q51" s="225"/>
      <c r="R51" s="224"/>
      <c r="S51" s="224"/>
      <c r="T51" s="224"/>
      <c r="U51" s="224"/>
      <c r="V51" s="224"/>
      <c r="W51" s="224"/>
      <c r="X51" s="224"/>
      <c r="Y51" s="224"/>
    </row>
    <row r="52" spans="1:25" ht="14.25" customHeight="1" x14ac:dyDescent="0.3">
      <c r="A52" s="223"/>
      <c r="B52" s="223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5"/>
      <c r="Q52" s="225"/>
      <c r="R52" s="224"/>
      <c r="S52" s="224"/>
      <c r="T52" s="224"/>
      <c r="U52" s="224"/>
      <c r="V52" s="224"/>
      <c r="W52" s="224"/>
      <c r="X52" s="224"/>
      <c r="Y52" s="224"/>
    </row>
    <row r="53" spans="1:25" ht="14.25" customHeight="1" x14ac:dyDescent="0.3">
      <c r="A53" s="223"/>
      <c r="B53" s="223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5"/>
      <c r="Q53" s="225"/>
      <c r="R53" s="224"/>
      <c r="S53" s="224"/>
      <c r="T53" s="224"/>
      <c r="U53" s="224"/>
      <c r="V53" s="224"/>
      <c r="W53" s="224"/>
      <c r="X53" s="224"/>
      <c r="Y53" s="224"/>
    </row>
    <row r="54" spans="1:25" ht="14.25" customHeight="1" x14ac:dyDescent="0.3">
      <c r="A54" s="223"/>
      <c r="B54" s="223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5"/>
      <c r="Q54" s="225"/>
      <c r="R54" s="224"/>
      <c r="S54" s="224"/>
      <c r="T54" s="224"/>
      <c r="U54" s="224"/>
      <c r="V54" s="224"/>
      <c r="W54" s="224"/>
      <c r="X54" s="224"/>
      <c r="Y54" s="224"/>
    </row>
    <row r="55" spans="1:25" ht="14.25" customHeight="1" x14ac:dyDescent="0.3">
      <c r="A55" s="223"/>
      <c r="B55" s="223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5"/>
      <c r="Q55" s="225"/>
      <c r="R55" s="224"/>
      <c r="S55" s="224"/>
      <c r="T55" s="224"/>
      <c r="U55" s="224"/>
      <c r="V55" s="224"/>
      <c r="W55" s="224"/>
      <c r="X55" s="224"/>
      <c r="Y55" s="224"/>
    </row>
    <row r="56" spans="1:25" ht="14.25" customHeight="1" x14ac:dyDescent="0.3">
      <c r="A56" s="223"/>
      <c r="B56" s="223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5"/>
      <c r="Q56" s="225"/>
      <c r="R56" s="224"/>
      <c r="S56" s="224"/>
      <c r="T56" s="224"/>
      <c r="U56" s="224"/>
      <c r="V56" s="224"/>
      <c r="W56" s="224"/>
      <c r="X56" s="224"/>
      <c r="Y56" s="224"/>
    </row>
    <row r="57" spans="1:25" ht="14.25" customHeight="1" x14ac:dyDescent="0.3">
      <c r="A57" s="223"/>
      <c r="B57" s="223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5"/>
      <c r="Q57" s="225"/>
      <c r="R57" s="224"/>
      <c r="S57" s="224"/>
      <c r="T57" s="224"/>
      <c r="U57" s="224"/>
      <c r="V57" s="224"/>
      <c r="W57" s="224"/>
      <c r="X57" s="224"/>
      <c r="Y57" s="224"/>
    </row>
    <row r="58" spans="1:25" ht="14.25" customHeight="1" x14ac:dyDescent="0.3">
      <c r="A58" s="223"/>
      <c r="B58" s="223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5"/>
      <c r="Q58" s="225"/>
      <c r="R58" s="224"/>
      <c r="S58" s="224"/>
      <c r="T58" s="224"/>
      <c r="U58" s="224"/>
      <c r="V58" s="224"/>
      <c r="W58" s="224"/>
      <c r="X58" s="224"/>
      <c r="Y58" s="224"/>
    </row>
    <row r="59" spans="1:25" ht="14.25" customHeight="1" x14ac:dyDescent="0.3">
      <c r="A59" s="223"/>
      <c r="B59" s="223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5"/>
      <c r="Q59" s="225"/>
      <c r="R59" s="224"/>
      <c r="S59" s="224"/>
      <c r="T59" s="224"/>
      <c r="U59" s="224"/>
      <c r="V59" s="224"/>
      <c r="W59" s="224"/>
      <c r="X59" s="224"/>
      <c r="Y59" s="224"/>
    </row>
    <row r="60" spans="1:25" ht="14.25" customHeight="1" x14ac:dyDescent="0.3">
      <c r="A60" s="223"/>
      <c r="B60" s="223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5"/>
      <c r="Q60" s="225"/>
      <c r="R60" s="224"/>
      <c r="S60" s="224"/>
      <c r="T60" s="224"/>
      <c r="U60" s="224"/>
      <c r="V60" s="224"/>
      <c r="W60" s="224"/>
      <c r="X60" s="224"/>
      <c r="Y60" s="224"/>
    </row>
    <row r="61" spans="1:25" ht="14.25" customHeight="1" x14ac:dyDescent="0.3">
      <c r="A61" s="223"/>
      <c r="B61" s="223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5"/>
      <c r="Q61" s="225"/>
      <c r="R61" s="224"/>
      <c r="S61" s="224"/>
      <c r="T61" s="224"/>
      <c r="U61" s="224"/>
      <c r="V61" s="224"/>
      <c r="W61" s="224"/>
      <c r="X61" s="224"/>
      <c r="Y61" s="224"/>
    </row>
    <row r="62" spans="1:25" ht="14.25" customHeight="1" x14ac:dyDescent="0.3">
      <c r="A62" s="223"/>
      <c r="B62" s="223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5"/>
      <c r="Q62" s="225"/>
      <c r="R62" s="224"/>
      <c r="S62" s="224"/>
      <c r="T62" s="224"/>
      <c r="U62" s="224"/>
      <c r="V62" s="224"/>
      <c r="W62" s="224"/>
      <c r="X62" s="224"/>
      <c r="Y62" s="224"/>
    </row>
    <row r="63" spans="1:25" ht="14.25" customHeight="1" x14ac:dyDescent="0.3">
      <c r="A63" s="223"/>
      <c r="B63" s="223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5"/>
      <c r="Q63" s="225"/>
      <c r="R63" s="224"/>
      <c r="S63" s="224"/>
      <c r="T63" s="224"/>
      <c r="U63" s="224"/>
      <c r="V63" s="224"/>
      <c r="W63" s="224"/>
      <c r="X63" s="224"/>
      <c r="Y63" s="224"/>
    </row>
    <row r="64" spans="1:25" ht="14.25" customHeight="1" x14ac:dyDescent="0.3">
      <c r="A64" s="223"/>
      <c r="B64" s="223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5"/>
      <c r="Q64" s="225"/>
      <c r="R64" s="224"/>
      <c r="S64" s="224"/>
      <c r="T64" s="224"/>
      <c r="U64" s="224"/>
      <c r="V64" s="224"/>
      <c r="W64" s="224"/>
      <c r="X64" s="224"/>
      <c r="Y64" s="224"/>
    </row>
    <row r="65" spans="1:25" ht="14.25" customHeight="1" x14ac:dyDescent="0.3">
      <c r="A65" s="223"/>
      <c r="B65" s="223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5"/>
      <c r="Q65" s="225"/>
      <c r="R65" s="224"/>
      <c r="S65" s="224"/>
      <c r="T65" s="224"/>
      <c r="U65" s="224"/>
      <c r="V65" s="224"/>
      <c r="W65" s="224"/>
      <c r="X65" s="224"/>
      <c r="Y65" s="224"/>
    </row>
    <row r="66" spans="1:25" ht="14.25" customHeight="1" x14ac:dyDescent="0.3">
      <c r="A66" s="223"/>
      <c r="B66" s="223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25"/>
      <c r="R66" s="224"/>
      <c r="S66" s="224"/>
      <c r="T66" s="224"/>
      <c r="U66" s="224"/>
      <c r="V66" s="224"/>
      <c r="W66" s="224"/>
      <c r="X66" s="224"/>
      <c r="Y66" s="224"/>
    </row>
    <row r="67" spans="1:25" ht="14.25" customHeight="1" x14ac:dyDescent="0.3">
      <c r="A67" s="223"/>
      <c r="B67" s="223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5"/>
      <c r="Q67" s="225"/>
      <c r="R67" s="224"/>
      <c r="S67" s="224"/>
      <c r="T67" s="224"/>
      <c r="U67" s="224"/>
      <c r="V67" s="224"/>
      <c r="W67" s="224"/>
      <c r="X67" s="224"/>
      <c r="Y67" s="224"/>
    </row>
    <row r="68" spans="1:25" ht="14.25" customHeight="1" x14ac:dyDescent="0.3">
      <c r="A68" s="223"/>
      <c r="B68" s="223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5"/>
      <c r="R68" s="224"/>
      <c r="S68" s="224"/>
      <c r="T68" s="224"/>
      <c r="U68" s="224"/>
      <c r="V68" s="224"/>
      <c r="W68" s="224"/>
      <c r="X68" s="224"/>
      <c r="Y68" s="224"/>
    </row>
    <row r="69" spans="1:25" ht="14.25" customHeight="1" x14ac:dyDescent="0.3">
      <c r="A69" s="223"/>
      <c r="B69" s="223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5"/>
      <c r="Q69" s="225"/>
      <c r="R69" s="224"/>
      <c r="S69" s="224"/>
      <c r="T69" s="224"/>
      <c r="U69" s="224"/>
      <c r="V69" s="224"/>
      <c r="W69" s="224"/>
      <c r="X69" s="224"/>
      <c r="Y69" s="224"/>
    </row>
    <row r="70" spans="1:25" ht="14.25" customHeight="1" x14ac:dyDescent="0.3">
      <c r="A70" s="223"/>
      <c r="B70" s="223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5"/>
      <c r="R70" s="224"/>
      <c r="S70" s="224"/>
      <c r="T70" s="224"/>
      <c r="U70" s="224"/>
      <c r="V70" s="224"/>
      <c r="W70" s="224"/>
      <c r="X70" s="224"/>
      <c r="Y70" s="224"/>
    </row>
    <row r="71" spans="1:25" ht="14.25" customHeight="1" x14ac:dyDescent="0.3">
      <c r="A71" s="223"/>
      <c r="B71" s="223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5"/>
      <c r="Q71" s="225"/>
      <c r="R71" s="224"/>
      <c r="S71" s="224"/>
      <c r="T71" s="224"/>
      <c r="U71" s="224"/>
      <c r="V71" s="224"/>
      <c r="W71" s="224"/>
      <c r="X71" s="224"/>
      <c r="Y71" s="224"/>
    </row>
    <row r="72" spans="1:25" ht="14.25" customHeight="1" x14ac:dyDescent="0.3">
      <c r="A72" s="223"/>
      <c r="B72" s="223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5"/>
      <c r="R72" s="224"/>
      <c r="S72" s="224"/>
      <c r="T72" s="224"/>
      <c r="U72" s="224"/>
      <c r="V72" s="224"/>
      <c r="W72" s="224"/>
      <c r="X72" s="224"/>
      <c r="Y72" s="224"/>
    </row>
    <row r="73" spans="1:25" ht="14.25" customHeight="1" x14ac:dyDescent="0.3">
      <c r="A73" s="223"/>
      <c r="B73" s="223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5"/>
      <c r="Q73" s="225"/>
      <c r="R73" s="224"/>
      <c r="S73" s="224"/>
      <c r="T73" s="224"/>
      <c r="U73" s="224"/>
      <c r="V73" s="224"/>
      <c r="W73" s="224"/>
      <c r="X73" s="224"/>
      <c r="Y73" s="224"/>
    </row>
    <row r="74" spans="1:25" ht="14.25" customHeight="1" x14ac:dyDescent="0.3">
      <c r="A74" s="223"/>
      <c r="B74" s="223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5"/>
      <c r="R74" s="224"/>
      <c r="S74" s="224"/>
      <c r="T74" s="224"/>
      <c r="U74" s="224"/>
      <c r="V74" s="224"/>
      <c r="W74" s="224"/>
      <c r="X74" s="224"/>
      <c r="Y74" s="224"/>
    </row>
    <row r="75" spans="1:25" ht="14.25" customHeight="1" x14ac:dyDescent="0.3">
      <c r="A75" s="223"/>
      <c r="B75" s="223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5"/>
      <c r="Q75" s="225"/>
      <c r="R75" s="224"/>
      <c r="S75" s="224"/>
      <c r="T75" s="224"/>
      <c r="U75" s="224"/>
      <c r="V75" s="224"/>
      <c r="W75" s="224"/>
      <c r="X75" s="224"/>
      <c r="Y75" s="224"/>
    </row>
    <row r="76" spans="1:25" ht="14.25" customHeight="1" x14ac:dyDescent="0.3">
      <c r="A76" s="223"/>
      <c r="B76" s="223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5"/>
      <c r="R76" s="224"/>
      <c r="S76" s="224"/>
      <c r="T76" s="224"/>
      <c r="U76" s="224"/>
      <c r="V76" s="224"/>
      <c r="W76" s="224"/>
      <c r="X76" s="224"/>
      <c r="Y76" s="224"/>
    </row>
    <row r="77" spans="1:25" ht="14.25" customHeight="1" x14ac:dyDescent="0.3">
      <c r="A77" s="223"/>
      <c r="B77" s="223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5"/>
      <c r="Q77" s="225"/>
      <c r="R77" s="224"/>
      <c r="S77" s="224"/>
      <c r="T77" s="224"/>
      <c r="U77" s="224"/>
      <c r="V77" s="224"/>
      <c r="W77" s="224"/>
      <c r="X77" s="224"/>
      <c r="Y77" s="224"/>
    </row>
    <row r="78" spans="1:25" ht="14.25" customHeight="1" x14ac:dyDescent="0.3">
      <c r="A78" s="223"/>
      <c r="B78" s="223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5"/>
      <c r="Q78" s="225"/>
      <c r="R78" s="224"/>
      <c r="S78" s="224"/>
      <c r="T78" s="224"/>
      <c r="U78" s="224"/>
      <c r="V78" s="224"/>
      <c r="W78" s="224"/>
      <c r="X78" s="224"/>
      <c r="Y78" s="224"/>
    </row>
    <row r="79" spans="1:25" ht="14.25" customHeight="1" x14ac:dyDescent="0.3">
      <c r="A79" s="223"/>
      <c r="B79" s="223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5"/>
      <c r="Q79" s="225"/>
      <c r="R79" s="224"/>
      <c r="S79" s="224"/>
      <c r="T79" s="224"/>
      <c r="U79" s="224"/>
      <c r="V79" s="224"/>
      <c r="W79" s="224"/>
      <c r="X79" s="224"/>
      <c r="Y79" s="224"/>
    </row>
    <row r="80" spans="1:25" ht="14.25" customHeight="1" x14ac:dyDescent="0.3">
      <c r="A80" s="223"/>
      <c r="B80" s="223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5"/>
      <c r="Q80" s="225"/>
      <c r="R80" s="224"/>
      <c r="S80" s="224"/>
      <c r="T80" s="224"/>
      <c r="U80" s="224"/>
      <c r="V80" s="224"/>
      <c r="W80" s="224"/>
      <c r="X80" s="224"/>
      <c r="Y80" s="224"/>
    </row>
    <row r="81" spans="1:25" ht="14.25" customHeight="1" x14ac:dyDescent="0.3">
      <c r="A81" s="223"/>
      <c r="B81" s="223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5"/>
      <c r="Q81" s="225"/>
      <c r="R81" s="224"/>
      <c r="S81" s="224"/>
      <c r="T81" s="224"/>
      <c r="U81" s="224"/>
      <c r="V81" s="224"/>
      <c r="W81" s="224"/>
      <c r="X81" s="224"/>
      <c r="Y81" s="224"/>
    </row>
    <row r="82" spans="1:25" ht="14.25" customHeight="1" x14ac:dyDescent="0.3">
      <c r="A82" s="223"/>
      <c r="B82" s="223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5"/>
      <c r="Q82" s="225"/>
      <c r="R82" s="224"/>
      <c r="S82" s="224"/>
      <c r="T82" s="224"/>
      <c r="U82" s="224"/>
      <c r="V82" s="224"/>
      <c r="W82" s="224"/>
      <c r="X82" s="224"/>
      <c r="Y82" s="224"/>
    </row>
    <row r="83" spans="1:25" ht="14.25" customHeight="1" x14ac:dyDescent="0.3">
      <c r="A83" s="223"/>
      <c r="B83" s="223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5"/>
      <c r="Q83" s="225"/>
      <c r="R83" s="224"/>
      <c r="S83" s="224"/>
      <c r="T83" s="224"/>
      <c r="U83" s="224"/>
      <c r="V83" s="224"/>
      <c r="W83" s="224"/>
      <c r="X83" s="224"/>
      <c r="Y83" s="224"/>
    </row>
    <row r="84" spans="1:25" ht="14.25" customHeight="1" x14ac:dyDescent="0.3">
      <c r="A84" s="223"/>
      <c r="B84" s="223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5"/>
      <c r="Q84" s="225"/>
      <c r="R84" s="224"/>
      <c r="S84" s="224"/>
      <c r="T84" s="224"/>
      <c r="U84" s="224"/>
      <c r="V84" s="224"/>
      <c r="W84" s="224"/>
      <c r="X84" s="224"/>
      <c r="Y84" s="224"/>
    </row>
    <row r="85" spans="1:25" ht="14.25" customHeight="1" x14ac:dyDescent="0.3">
      <c r="A85" s="223"/>
      <c r="B85" s="223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5"/>
      <c r="Q85" s="225"/>
      <c r="R85" s="224"/>
      <c r="S85" s="224"/>
      <c r="T85" s="224"/>
      <c r="U85" s="224"/>
      <c r="V85" s="224"/>
      <c r="W85" s="224"/>
      <c r="X85" s="224"/>
      <c r="Y85" s="224"/>
    </row>
    <row r="86" spans="1:25" ht="14.25" customHeight="1" x14ac:dyDescent="0.3">
      <c r="A86" s="223"/>
      <c r="B86" s="223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5"/>
      <c r="Q86" s="225"/>
      <c r="R86" s="224"/>
      <c r="S86" s="224"/>
      <c r="T86" s="224"/>
      <c r="U86" s="224"/>
      <c r="V86" s="224"/>
      <c r="W86" s="224"/>
      <c r="X86" s="224"/>
      <c r="Y86" s="224"/>
    </row>
    <row r="87" spans="1:25" ht="14.25" customHeight="1" x14ac:dyDescent="0.3">
      <c r="A87" s="223"/>
      <c r="B87" s="223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5"/>
      <c r="Q87" s="225"/>
      <c r="R87" s="224"/>
      <c r="S87" s="224"/>
      <c r="T87" s="224"/>
      <c r="U87" s="224"/>
      <c r="V87" s="224"/>
      <c r="W87" s="224"/>
      <c r="X87" s="224"/>
      <c r="Y87" s="224"/>
    </row>
    <row r="88" spans="1:25" ht="14.25" customHeight="1" x14ac:dyDescent="0.3">
      <c r="A88" s="223"/>
      <c r="B88" s="223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5"/>
      <c r="Q88" s="225"/>
      <c r="R88" s="224"/>
      <c r="S88" s="224"/>
      <c r="T88" s="224"/>
      <c r="U88" s="224"/>
      <c r="V88" s="224"/>
      <c r="W88" s="224"/>
      <c r="X88" s="224"/>
      <c r="Y88" s="224"/>
    </row>
    <row r="89" spans="1:25" ht="14.25" customHeight="1" x14ac:dyDescent="0.3">
      <c r="A89" s="223"/>
      <c r="B89" s="223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5"/>
      <c r="Q89" s="225"/>
      <c r="R89" s="224"/>
      <c r="S89" s="224"/>
      <c r="T89" s="224"/>
      <c r="U89" s="224"/>
      <c r="V89" s="224"/>
      <c r="W89" s="224"/>
      <c r="X89" s="224"/>
      <c r="Y89" s="224"/>
    </row>
    <row r="90" spans="1:25" ht="14.25" customHeight="1" x14ac:dyDescent="0.3">
      <c r="A90" s="223"/>
      <c r="B90" s="223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5"/>
      <c r="Q90" s="225"/>
      <c r="R90" s="224"/>
      <c r="S90" s="224"/>
      <c r="T90" s="224"/>
      <c r="U90" s="224"/>
      <c r="V90" s="224"/>
      <c r="W90" s="224"/>
      <c r="X90" s="224"/>
      <c r="Y90" s="224"/>
    </row>
    <row r="91" spans="1:25" ht="14.25" customHeight="1" x14ac:dyDescent="0.3">
      <c r="A91" s="223"/>
      <c r="B91" s="223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5"/>
      <c r="Q91" s="225"/>
      <c r="R91" s="224"/>
      <c r="S91" s="224"/>
      <c r="T91" s="224"/>
      <c r="U91" s="224"/>
      <c r="V91" s="224"/>
      <c r="W91" s="224"/>
      <c r="X91" s="224"/>
      <c r="Y91" s="224"/>
    </row>
    <row r="92" spans="1:25" ht="14.25" customHeight="1" x14ac:dyDescent="0.3">
      <c r="A92" s="223"/>
      <c r="B92" s="223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5"/>
      <c r="Q92" s="225"/>
      <c r="R92" s="224"/>
      <c r="S92" s="224"/>
      <c r="T92" s="224"/>
      <c r="U92" s="224"/>
      <c r="V92" s="224"/>
      <c r="W92" s="224"/>
      <c r="X92" s="224"/>
      <c r="Y92" s="224"/>
    </row>
    <row r="93" spans="1:25" ht="14.25" customHeight="1" x14ac:dyDescent="0.3">
      <c r="A93" s="223"/>
      <c r="B93" s="223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5"/>
      <c r="Q93" s="225"/>
      <c r="R93" s="224"/>
      <c r="S93" s="224"/>
      <c r="T93" s="224"/>
      <c r="U93" s="224"/>
      <c r="V93" s="224"/>
      <c r="W93" s="224"/>
      <c r="X93" s="224"/>
      <c r="Y93" s="224"/>
    </row>
    <row r="94" spans="1:25" ht="14.25" customHeight="1" x14ac:dyDescent="0.3">
      <c r="A94" s="223"/>
      <c r="B94" s="223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5"/>
      <c r="Q94" s="225"/>
      <c r="R94" s="224"/>
      <c r="S94" s="224"/>
      <c r="T94" s="224"/>
      <c r="U94" s="224"/>
      <c r="V94" s="224"/>
      <c r="W94" s="224"/>
      <c r="X94" s="224"/>
      <c r="Y94" s="224"/>
    </row>
    <row r="95" spans="1:25" ht="14.25" customHeight="1" x14ac:dyDescent="0.3">
      <c r="A95" s="223"/>
      <c r="B95" s="223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5"/>
      <c r="Q95" s="225"/>
      <c r="R95" s="224"/>
      <c r="S95" s="224"/>
      <c r="T95" s="224"/>
      <c r="U95" s="224"/>
      <c r="V95" s="224"/>
      <c r="W95" s="224"/>
      <c r="X95" s="224"/>
      <c r="Y95" s="224"/>
    </row>
    <row r="96" spans="1:25" ht="14.25" customHeight="1" x14ac:dyDescent="0.3">
      <c r="A96" s="223"/>
      <c r="B96" s="223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5"/>
      <c r="Q96" s="225"/>
      <c r="R96" s="224"/>
      <c r="S96" s="224"/>
      <c r="T96" s="224"/>
      <c r="U96" s="224"/>
      <c r="V96" s="224"/>
      <c r="W96" s="224"/>
      <c r="X96" s="224"/>
      <c r="Y96" s="224"/>
    </row>
    <row r="97" spans="1:25" ht="14.25" customHeight="1" x14ac:dyDescent="0.3">
      <c r="A97" s="223"/>
      <c r="B97" s="223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5"/>
      <c r="Q97" s="225"/>
      <c r="R97" s="224"/>
      <c r="S97" s="224"/>
      <c r="T97" s="224"/>
      <c r="U97" s="224"/>
      <c r="V97" s="224"/>
      <c r="W97" s="224"/>
      <c r="X97" s="224"/>
      <c r="Y97" s="224"/>
    </row>
    <row r="98" spans="1:25" ht="14.25" customHeight="1" x14ac:dyDescent="0.3">
      <c r="A98" s="223"/>
      <c r="B98" s="223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5"/>
      <c r="Q98" s="225"/>
      <c r="R98" s="224"/>
      <c r="S98" s="224"/>
      <c r="T98" s="224"/>
      <c r="U98" s="224"/>
      <c r="V98" s="224"/>
      <c r="W98" s="224"/>
      <c r="X98" s="224"/>
      <c r="Y98" s="224"/>
    </row>
    <row r="99" spans="1:25" ht="14.25" customHeight="1" x14ac:dyDescent="0.3">
      <c r="A99" s="223"/>
      <c r="B99" s="223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5"/>
      <c r="Q99" s="225"/>
      <c r="R99" s="224"/>
      <c r="S99" s="224"/>
      <c r="T99" s="224"/>
      <c r="U99" s="224"/>
      <c r="V99" s="224"/>
      <c r="W99" s="224"/>
      <c r="X99" s="224"/>
      <c r="Y99" s="224"/>
    </row>
    <row r="100" spans="1:25" ht="14.25" customHeight="1" x14ac:dyDescent="0.3">
      <c r="A100" s="223"/>
      <c r="B100" s="223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5"/>
      <c r="Q100" s="225"/>
      <c r="R100" s="224"/>
      <c r="S100" s="224"/>
      <c r="T100" s="224"/>
      <c r="U100" s="224"/>
      <c r="V100" s="224"/>
      <c r="W100" s="224"/>
      <c r="X100" s="224"/>
      <c r="Y100" s="224"/>
    </row>
    <row r="101" spans="1:25" ht="14.25" customHeight="1" x14ac:dyDescent="0.3">
      <c r="A101" s="223"/>
      <c r="B101" s="223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5"/>
      <c r="Q101" s="225"/>
      <c r="R101" s="224"/>
      <c r="S101" s="224"/>
      <c r="T101" s="224"/>
      <c r="U101" s="224"/>
      <c r="V101" s="224"/>
      <c r="W101" s="224"/>
      <c r="X101" s="224"/>
      <c r="Y101" s="224"/>
    </row>
    <row r="102" spans="1:25" ht="14.25" customHeight="1" x14ac:dyDescent="0.3">
      <c r="A102" s="223"/>
      <c r="B102" s="223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5"/>
      <c r="Q102" s="225"/>
      <c r="R102" s="224"/>
      <c r="S102" s="224"/>
      <c r="T102" s="224"/>
      <c r="U102" s="224"/>
      <c r="V102" s="224"/>
      <c r="W102" s="224"/>
      <c r="X102" s="224"/>
      <c r="Y102" s="224"/>
    </row>
    <row r="103" spans="1:25" ht="14.25" customHeight="1" x14ac:dyDescent="0.3">
      <c r="A103" s="223"/>
      <c r="B103" s="223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5"/>
      <c r="Q103" s="225"/>
      <c r="R103" s="224"/>
      <c r="S103" s="224"/>
      <c r="T103" s="224"/>
      <c r="U103" s="224"/>
      <c r="V103" s="224"/>
      <c r="W103" s="224"/>
      <c r="X103" s="224"/>
      <c r="Y103" s="224"/>
    </row>
    <row r="104" spans="1:25" ht="14.25" customHeight="1" x14ac:dyDescent="0.3">
      <c r="A104" s="223"/>
      <c r="B104" s="223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5"/>
      <c r="Q104" s="225"/>
      <c r="R104" s="224"/>
      <c r="S104" s="224"/>
      <c r="T104" s="224"/>
      <c r="U104" s="224"/>
      <c r="V104" s="224"/>
      <c r="W104" s="224"/>
      <c r="X104" s="224"/>
      <c r="Y104" s="224"/>
    </row>
    <row r="105" spans="1:25" ht="14.25" customHeight="1" x14ac:dyDescent="0.3">
      <c r="A105" s="223"/>
      <c r="B105" s="223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5"/>
      <c r="Q105" s="225"/>
      <c r="R105" s="224"/>
      <c r="S105" s="224"/>
      <c r="T105" s="224"/>
      <c r="U105" s="224"/>
      <c r="V105" s="224"/>
      <c r="W105" s="224"/>
      <c r="X105" s="224"/>
      <c r="Y105" s="224"/>
    </row>
    <row r="106" spans="1:25" ht="14.25" customHeight="1" x14ac:dyDescent="0.3">
      <c r="A106" s="223"/>
      <c r="B106" s="223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5"/>
      <c r="Q106" s="225"/>
      <c r="R106" s="224"/>
      <c r="S106" s="224"/>
      <c r="T106" s="224"/>
      <c r="U106" s="224"/>
      <c r="V106" s="224"/>
      <c r="W106" s="224"/>
      <c r="X106" s="224"/>
      <c r="Y106" s="224"/>
    </row>
    <row r="107" spans="1:25" ht="14.25" customHeight="1" x14ac:dyDescent="0.3">
      <c r="A107" s="223"/>
      <c r="B107" s="223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5"/>
      <c r="Q107" s="225"/>
      <c r="R107" s="224"/>
      <c r="S107" s="224"/>
      <c r="T107" s="224"/>
      <c r="U107" s="224"/>
      <c r="V107" s="224"/>
      <c r="W107" s="224"/>
      <c r="X107" s="224"/>
      <c r="Y107" s="224"/>
    </row>
    <row r="108" spans="1:25" ht="14.25" customHeight="1" x14ac:dyDescent="0.3">
      <c r="A108" s="223"/>
      <c r="B108" s="223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5"/>
      <c r="Q108" s="225"/>
      <c r="R108" s="224"/>
      <c r="S108" s="224"/>
      <c r="T108" s="224"/>
      <c r="U108" s="224"/>
      <c r="V108" s="224"/>
      <c r="W108" s="224"/>
      <c r="X108" s="224"/>
      <c r="Y108" s="224"/>
    </row>
    <row r="109" spans="1:25" ht="14.25" customHeight="1" x14ac:dyDescent="0.3">
      <c r="A109" s="223"/>
      <c r="B109" s="223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5"/>
      <c r="Q109" s="225"/>
      <c r="R109" s="224"/>
      <c r="S109" s="224"/>
      <c r="T109" s="224"/>
      <c r="U109" s="224"/>
      <c r="V109" s="224"/>
      <c r="W109" s="224"/>
      <c r="X109" s="224"/>
      <c r="Y109" s="224"/>
    </row>
    <row r="110" spans="1:25" ht="14.25" customHeight="1" x14ac:dyDescent="0.3">
      <c r="A110" s="223"/>
      <c r="B110" s="223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5"/>
      <c r="Q110" s="225"/>
      <c r="R110" s="224"/>
      <c r="S110" s="224"/>
      <c r="T110" s="224"/>
      <c r="U110" s="224"/>
      <c r="V110" s="224"/>
      <c r="W110" s="224"/>
      <c r="X110" s="224"/>
      <c r="Y110" s="224"/>
    </row>
    <row r="111" spans="1:25" ht="14.25" customHeight="1" x14ac:dyDescent="0.3">
      <c r="A111" s="223"/>
      <c r="B111" s="223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5"/>
      <c r="Q111" s="225"/>
      <c r="R111" s="224"/>
      <c r="S111" s="224"/>
      <c r="T111" s="224"/>
      <c r="U111" s="224"/>
      <c r="V111" s="224"/>
      <c r="W111" s="224"/>
      <c r="X111" s="224"/>
      <c r="Y111" s="224"/>
    </row>
    <row r="112" spans="1:25" ht="14.25" customHeight="1" x14ac:dyDescent="0.3">
      <c r="A112" s="223"/>
      <c r="B112" s="223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5"/>
      <c r="Q112" s="225"/>
      <c r="R112" s="224"/>
      <c r="S112" s="224"/>
      <c r="T112" s="224"/>
      <c r="U112" s="224"/>
      <c r="V112" s="224"/>
      <c r="W112" s="224"/>
      <c r="X112" s="224"/>
      <c r="Y112" s="224"/>
    </row>
    <row r="113" spans="1:25" ht="14.25" customHeight="1" x14ac:dyDescent="0.3">
      <c r="A113" s="223"/>
      <c r="B113" s="223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5"/>
      <c r="Q113" s="225"/>
      <c r="R113" s="224"/>
      <c r="S113" s="224"/>
      <c r="T113" s="224"/>
      <c r="U113" s="224"/>
      <c r="V113" s="224"/>
      <c r="W113" s="224"/>
      <c r="X113" s="224"/>
      <c r="Y113" s="224"/>
    </row>
    <row r="114" spans="1:25" ht="14.25" customHeight="1" x14ac:dyDescent="0.3">
      <c r="A114" s="223"/>
      <c r="B114" s="223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5"/>
      <c r="Q114" s="225"/>
      <c r="R114" s="224"/>
      <c r="S114" s="224"/>
      <c r="T114" s="224"/>
      <c r="U114" s="224"/>
      <c r="V114" s="224"/>
      <c r="W114" s="224"/>
      <c r="X114" s="224"/>
      <c r="Y114" s="224"/>
    </row>
    <row r="115" spans="1:25" ht="14.25" customHeight="1" x14ac:dyDescent="0.3">
      <c r="A115" s="223"/>
      <c r="B115" s="223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5"/>
      <c r="Q115" s="225"/>
      <c r="R115" s="224"/>
      <c r="S115" s="224"/>
      <c r="T115" s="224"/>
      <c r="U115" s="224"/>
      <c r="V115" s="224"/>
      <c r="W115" s="224"/>
      <c r="X115" s="224"/>
      <c r="Y115" s="224"/>
    </row>
    <row r="116" spans="1:25" ht="14.25" customHeight="1" x14ac:dyDescent="0.3">
      <c r="A116" s="223"/>
      <c r="B116" s="223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5"/>
      <c r="Q116" s="225"/>
      <c r="R116" s="224"/>
      <c r="S116" s="224"/>
      <c r="T116" s="224"/>
      <c r="U116" s="224"/>
      <c r="V116" s="224"/>
      <c r="W116" s="224"/>
      <c r="X116" s="224"/>
      <c r="Y116" s="224"/>
    </row>
    <row r="117" spans="1:25" ht="14.25" customHeight="1" x14ac:dyDescent="0.3">
      <c r="A117" s="223"/>
      <c r="B117" s="223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5"/>
      <c r="Q117" s="225"/>
      <c r="R117" s="224"/>
      <c r="S117" s="224"/>
      <c r="T117" s="224"/>
      <c r="U117" s="224"/>
      <c r="V117" s="224"/>
      <c r="W117" s="224"/>
      <c r="X117" s="224"/>
      <c r="Y117" s="224"/>
    </row>
    <row r="118" spans="1:25" ht="14.25" customHeight="1" x14ac:dyDescent="0.3">
      <c r="A118" s="223"/>
      <c r="B118" s="223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5"/>
      <c r="Q118" s="225"/>
      <c r="R118" s="224"/>
      <c r="S118" s="224"/>
      <c r="T118" s="224"/>
      <c r="U118" s="224"/>
      <c r="V118" s="224"/>
      <c r="W118" s="224"/>
      <c r="X118" s="224"/>
      <c r="Y118" s="224"/>
    </row>
    <row r="119" spans="1:25" ht="14.25" customHeight="1" x14ac:dyDescent="0.3">
      <c r="A119" s="223"/>
      <c r="B119" s="223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5"/>
      <c r="Q119" s="225"/>
      <c r="R119" s="224"/>
      <c r="S119" s="224"/>
      <c r="T119" s="224"/>
      <c r="U119" s="224"/>
      <c r="V119" s="224"/>
      <c r="W119" s="224"/>
      <c r="X119" s="224"/>
      <c r="Y119" s="224"/>
    </row>
    <row r="120" spans="1:25" ht="14.25" customHeight="1" x14ac:dyDescent="0.3">
      <c r="A120" s="223"/>
      <c r="B120" s="223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5"/>
      <c r="Q120" s="225"/>
      <c r="R120" s="224"/>
      <c r="S120" s="224"/>
      <c r="T120" s="224"/>
      <c r="U120" s="224"/>
      <c r="V120" s="224"/>
      <c r="W120" s="224"/>
      <c r="X120" s="224"/>
      <c r="Y120" s="224"/>
    </row>
    <row r="121" spans="1:25" ht="14.25" customHeight="1" x14ac:dyDescent="0.3">
      <c r="A121" s="223"/>
      <c r="B121" s="223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5"/>
      <c r="Q121" s="225"/>
      <c r="R121" s="224"/>
      <c r="S121" s="224"/>
      <c r="T121" s="224"/>
      <c r="U121" s="224"/>
      <c r="V121" s="224"/>
      <c r="W121" s="224"/>
      <c r="X121" s="224"/>
      <c r="Y121" s="224"/>
    </row>
    <row r="122" spans="1:25" ht="14.25" customHeight="1" x14ac:dyDescent="0.3">
      <c r="A122" s="223"/>
      <c r="B122" s="223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5"/>
      <c r="Q122" s="225"/>
      <c r="R122" s="224"/>
      <c r="S122" s="224"/>
      <c r="T122" s="224"/>
      <c r="U122" s="224"/>
      <c r="V122" s="224"/>
      <c r="W122" s="224"/>
      <c r="X122" s="224"/>
      <c r="Y122" s="224"/>
    </row>
    <row r="123" spans="1:25" ht="14.25" customHeight="1" x14ac:dyDescent="0.3">
      <c r="A123" s="223"/>
      <c r="B123" s="223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5"/>
      <c r="Q123" s="225"/>
      <c r="R123" s="224"/>
      <c r="S123" s="224"/>
      <c r="T123" s="224"/>
      <c r="U123" s="224"/>
      <c r="V123" s="224"/>
      <c r="W123" s="224"/>
      <c r="X123" s="224"/>
      <c r="Y123" s="224"/>
    </row>
    <row r="124" spans="1:25" ht="14.25" customHeight="1" x14ac:dyDescent="0.3">
      <c r="A124" s="223"/>
      <c r="B124" s="223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5"/>
      <c r="Q124" s="225"/>
      <c r="R124" s="224"/>
      <c r="S124" s="224"/>
      <c r="T124" s="224"/>
      <c r="U124" s="224"/>
      <c r="V124" s="224"/>
      <c r="W124" s="224"/>
      <c r="X124" s="224"/>
      <c r="Y124" s="224"/>
    </row>
    <row r="125" spans="1:25" ht="14.25" customHeight="1" x14ac:dyDescent="0.3">
      <c r="A125" s="223"/>
      <c r="B125" s="223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5"/>
      <c r="Q125" s="225"/>
      <c r="R125" s="224"/>
      <c r="S125" s="224"/>
      <c r="T125" s="224"/>
      <c r="U125" s="224"/>
      <c r="V125" s="224"/>
      <c r="W125" s="224"/>
      <c r="X125" s="224"/>
      <c r="Y125" s="224"/>
    </row>
    <row r="126" spans="1:25" ht="14.25" customHeight="1" x14ac:dyDescent="0.3">
      <c r="A126" s="223"/>
      <c r="B126" s="223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5"/>
      <c r="Q126" s="225"/>
      <c r="R126" s="224"/>
      <c r="S126" s="224"/>
      <c r="T126" s="224"/>
      <c r="U126" s="224"/>
      <c r="V126" s="224"/>
      <c r="W126" s="224"/>
      <c r="X126" s="224"/>
      <c r="Y126" s="224"/>
    </row>
    <row r="127" spans="1:25" ht="14.25" customHeight="1" x14ac:dyDescent="0.3">
      <c r="A127" s="223"/>
      <c r="B127" s="223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5"/>
      <c r="Q127" s="225"/>
      <c r="R127" s="224"/>
      <c r="S127" s="224"/>
      <c r="T127" s="224"/>
      <c r="U127" s="224"/>
      <c r="V127" s="224"/>
      <c r="W127" s="224"/>
      <c r="X127" s="224"/>
      <c r="Y127" s="224"/>
    </row>
    <row r="128" spans="1:25" ht="14.25" customHeight="1" x14ac:dyDescent="0.3">
      <c r="A128" s="223"/>
      <c r="B128" s="223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5"/>
      <c r="Q128" s="225"/>
      <c r="R128" s="224"/>
      <c r="S128" s="224"/>
      <c r="T128" s="224"/>
      <c r="U128" s="224"/>
      <c r="V128" s="224"/>
      <c r="W128" s="224"/>
      <c r="X128" s="224"/>
      <c r="Y128" s="224"/>
    </row>
    <row r="129" spans="1:25" ht="14.25" customHeight="1" x14ac:dyDescent="0.3">
      <c r="A129" s="223"/>
      <c r="B129" s="223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5"/>
      <c r="Q129" s="225"/>
      <c r="R129" s="224"/>
      <c r="S129" s="224"/>
      <c r="T129" s="224"/>
      <c r="U129" s="224"/>
      <c r="V129" s="224"/>
      <c r="W129" s="224"/>
      <c r="X129" s="224"/>
      <c r="Y129" s="224"/>
    </row>
    <row r="130" spans="1:25" ht="14.25" customHeight="1" x14ac:dyDescent="0.3">
      <c r="A130" s="223"/>
      <c r="B130" s="223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5"/>
      <c r="Q130" s="225"/>
      <c r="R130" s="224"/>
      <c r="S130" s="224"/>
      <c r="T130" s="224"/>
      <c r="U130" s="224"/>
      <c r="V130" s="224"/>
      <c r="W130" s="224"/>
      <c r="X130" s="224"/>
      <c r="Y130" s="224"/>
    </row>
    <row r="131" spans="1:25" ht="14.25" customHeight="1" x14ac:dyDescent="0.3">
      <c r="A131" s="223"/>
      <c r="B131" s="223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5"/>
      <c r="Q131" s="225"/>
      <c r="R131" s="224"/>
      <c r="S131" s="224"/>
      <c r="T131" s="224"/>
      <c r="U131" s="224"/>
      <c r="V131" s="224"/>
      <c r="W131" s="224"/>
      <c r="X131" s="224"/>
      <c r="Y131" s="224"/>
    </row>
    <row r="132" spans="1:25" ht="14.25" customHeight="1" x14ac:dyDescent="0.3">
      <c r="A132" s="223"/>
      <c r="B132" s="223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5"/>
      <c r="Q132" s="225"/>
      <c r="R132" s="224"/>
      <c r="S132" s="224"/>
      <c r="T132" s="224"/>
      <c r="U132" s="224"/>
      <c r="V132" s="224"/>
      <c r="W132" s="224"/>
      <c r="X132" s="224"/>
      <c r="Y132" s="224"/>
    </row>
    <row r="133" spans="1:25" ht="14.25" customHeight="1" x14ac:dyDescent="0.3">
      <c r="A133" s="223"/>
      <c r="B133" s="223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5"/>
      <c r="Q133" s="225"/>
      <c r="R133" s="224"/>
      <c r="S133" s="224"/>
      <c r="T133" s="224"/>
      <c r="U133" s="224"/>
      <c r="V133" s="224"/>
      <c r="W133" s="224"/>
      <c r="X133" s="224"/>
      <c r="Y133" s="224"/>
    </row>
    <row r="134" spans="1:25" ht="14.25" customHeight="1" x14ac:dyDescent="0.3">
      <c r="A134" s="223"/>
      <c r="B134" s="223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5"/>
      <c r="Q134" s="225"/>
      <c r="R134" s="224"/>
      <c r="S134" s="224"/>
      <c r="T134" s="224"/>
      <c r="U134" s="224"/>
      <c r="V134" s="224"/>
      <c r="W134" s="224"/>
      <c r="X134" s="224"/>
      <c r="Y134" s="224"/>
    </row>
    <row r="135" spans="1:25" ht="14.25" customHeight="1" x14ac:dyDescent="0.3">
      <c r="A135" s="223"/>
      <c r="B135" s="223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5"/>
      <c r="Q135" s="225"/>
      <c r="R135" s="224"/>
      <c r="S135" s="224"/>
      <c r="T135" s="224"/>
      <c r="U135" s="224"/>
      <c r="V135" s="224"/>
      <c r="W135" s="224"/>
      <c r="X135" s="224"/>
      <c r="Y135" s="224"/>
    </row>
    <row r="136" spans="1:25" ht="14.25" customHeight="1" x14ac:dyDescent="0.3">
      <c r="A136" s="223"/>
      <c r="B136" s="223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5"/>
      <c r="Q136" s="225"/>
      <c r="R136" s="224"/>
      <c r="S136" s="224"/>
      <c r="T136" s="224"/>
      <c r="U136" s="224"/>
      <c r="V136" s="224"/>
      <c r="W136" s="224"/>
      <c r="X136" s="224"/>
      <c r="Y136" s="224"/>
    </row>
    <row r="137" spans="1:25" ht="14.25" customHeight="1" x14ac:dyDescent="0.3">
      <c r="A137" s="223"/>
      <c r="B137" s="223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5"/>
      <c r="Q137" s="225"/>
      <c r="R137" s="224"/>
      <c r="S137" s="224"/>
      <c r="T137" s="224"/>
      <c r="U137" s="224"/>
      <c r="V137" s="224"/>
      <c r="W137" s="224"/>
      <c r="X137" s="224"/>
      <c r="Y137" s="224"/>
    </row>
    <row r="138" spans="1:25" ht="14.25" customHeight="1" x14ac:dyDescent="0.3">
      <c r="A138" s="223"/>
      <c r="B138" s="223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5"/>
      <c r="Q138" s="225"/>
      <c r="R138" s="224"/>
      <c r="S138" s="224"/>
      <c r="T138" s="224"/>
      <c r="U138" s="224"/>
      <c r="V138" s="224"/>
      <c r="W138" s="224"/>
      <c r="X138" s="224"/>
      <c r="Y138" s="224"/>
    </row>
    <row r="139" spans="1:25" ht="14.25" customHeight="1" x14ac:dyDescent="0.3">
      <c r="A139" s="223"/>
      <c r="B139" s="223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5"/>
      <c r="Q139" s="225"/>
      <c r="R139" s="224"/>
      <c r="S139" s="224"/>
      <c r="T139" s="224"/>
      <c r="U139" s="224"/>
      <c r="V139" s="224"/>
      <c r="W139" s="224"/>
      <c r="X139" s="224"/>
      <c r="Y139" s="224"/>
    </row>
    <row r="140" spans="1:25" ht="14.25" customHeight="1" x14ac:dyDescent="0.3">
      <c r="A140" s="223"/>
      <c r="B140" s="223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5"/>
      <c r="Q140" s="225"/>
      <c r="R140" s="224"/>
      <c r="S140" s="224"/>
      <c r="T140" s="224"/>
      <c r="U140" s="224"/>
      <c r="V140" s="224"/>
      <c r="W140" s="224"/>
      <c r="X140" s="224"/>
      <c r="Y140" s="224"/>
    </row>
    <row r="141" spans="1:25" ht="14.25" customHeight="1" x14ac:dyDescent="0.3">
      <c r="A141" s="223"/>
      <c r="B141" s="223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5"/>
      <c r="Q141" s="225"/>
      <c r="R141" s="224"/>
      <c r="S141" s="224"/>
      <c r="T141" s="224"/>
      <c r="U141" s="224"/>
      <c r="V141" s="224"/>
      <c r="W141" s="224"/>
      <c r="X141" s="224"/>
      <c r="Y141" s="224"/>
    </row>
    <row r="142" spans="1:25" ht="14.25" customHeight="1" x14ac:dyDescent="0.3">
      <c r="A142" s="223"/>
      <c r="B142" s="223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5"/>
      <c r="Q142" s="225"/>
      <c r="R142" s="224"/>
      <c r="S142" s="224"/>
      <c r="T142" s="224"/>
      <c r="U142" s="224"/>
      <c r="V142" s="224"/>
      <c r="W142" s="224"/>
      <c r="X142" s="224"/>
      <c r="Y142" s="224"/>
    </row>
    <row r="143" spans="1:25" ht="14.25" customHeight="1" x14ac:dyDescent="0.3">
      <c r="A143" s="223"/>
      <c r="B143" s="223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5"/>
      <c r="Q143" s="225"/>
      <c r="R143" s="224"/>
      <c r="S143" s="224"/>
      <c r="T143" s="224"/>
      <c r="U143" s="224"/>
      <c r="V143" s="224"/>
      <c r="W143" s="224"/>
      <c r="X143" s="224"/>
      <c r="Y143" s="224"/>
    </row>
    <row r="144" spans="1:25" ht="14.25" customHeight="1" x14ac:dyDescent="0.3">
      <c r="A144" s="223"/>
      <c r="B144" s="223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5"/>
      <c r="Q144" s="225"/>
      <c r="R144" s="224"/>
      <c r="S144" s="224"/>
      <c r="T144" s="224"/>
      <c r="U144" s="224"/>
      <c r="V144" s="224"/>
      <c r="W144" s="224"/>
      <c r="X144" s="224"/>
      <c r="Y144" s="224"/>
    </row>
    <row r="145" spans="1:25" ht="14.25" customHeight="1" x14ac:dyDescent="0.3">
      <c r="A145" s="223"/>
      <c r="B145" s="223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5"/>
      <c r="Q145" s="225"/>
      <c r="R145" s="224"/>
      <c r="S145" s="224"/>
      <c r="T145" s="224"/>
      <c r="U145" s="224"/>
      <c r="V145" s="224"/>
      <c r="W145" s="224"/>
      <c r="X145" s="224"/>
      <c r="Y145" s="224"/>
    </row>
    <row r="146" spans="1:25" ht="14.25" customHeight="1" x14ac:dyDescent="0.3">
      <c r="A146" s="223"/>
      <c r="B146" s="223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5"/>
      <c r="Q146" s="225"/>
      <c r="R146" s="224"/>
      <c r="S146" s="224"/>
      <c r="T146" s="224"/>
      <c r="U146" s="224"/>
      <c r="V146" s="224"/>
      <c r="W146" s="224"/>
      <c r="X146" s="224"/>
      <c r="Y146" s="224"/>
    </row>
    <row r="147" spans="1:25" ht="14.25" customHeight="1" x14ac:dyDescent="0.3">
      <c r="A147" s="223"/>
      <c r="B147" s="223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5"/>
      <c r="Q147" s="225"/>
      <c r="R147" s="224"/>
      <c r="S147" s="224"/>
      <c r="T147" s="224"/>
      <c r="U147" s="224"/>
      <c r="V147" s="224"/>
      <c r="W147" s="224"/>
      <c r="X147" s="224"/>
      <c r="Y147" s="224"/>
    </row>
    <row r="148" spans="1:25" ht="14.25" customHeight="1" x14ac:dyDescent="0.3">
      <c r="A148" s="223"/>
      <c r="B148" s="223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5"/>
      <c r="Q148" s="225"/>
      <c r="R148" s="224"/>
      <c r="S148" s="224"/>
      <c r="T148" s="224"/>
      <c r="U148" s="224"/>
      <c r="V148" s="224"/>
      <c r="W148" s="224"/>
      <c r="X148" s="224"/>
      <c r="Y148" s="224"/>
    </row>
    <row r="149" spans="1:25" ht="14.25" customHeight="1" x14ac:dyDescent="0.3">
      <c r="A149" s="223"/>
      <c r="B149" s="223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5"/>
      <c r="Q149" s="225"/>
      <c r="R149" s="224"/>
      <c r="S149" s="224"/>
      <c r="T149" s="224"/>
      <c r="U149" s="224"/>
      <c r="V149" s="224"/>
      <c r="W149" s="224"/>
      <c r="X149" s="224"/>
      <c r="Y149" s="224"/>
    </row>
    <row r="150" spans="1:25" ht="14.25" customHeight="1" x14ac:dyDescent="0.3">
      <c r="A150" s="223"/>
      <c r="B150" s="223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5"/>
      <c r="Q150" s="225"/>
      <c r="R150" s="224"/>
      <c r="S150" s="224"/>
      <c r="T150" s="224"/>
      <c r="U150" s="224"/>
      <c r="V150" s="224"/>
      <c r="W150" s="224"/>
      <c r="X150" s="224"/>
      <c r="Y150" s="224"/>
    </row>
    <row r="151" spans="1:25" ht="14.25" customHeight="1" x14ac:dyDescent="0.3">
      <c r="A151" s="223"/>
      <c r="B151" s="223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5"/>
      <c r="Q151" s="225"/>
      <c r="R151" s="224"/>
      <c r="S151" s="224"/>
      <c r="T151" s="224"/>
      <c r="U151" s="224"/>
      <c r="V151" s="224"/>
      <c r="W151" s="224"/>
      <c r="X151" s="224"/>
      <c r="Y151" s="224"/>
    </row>
    <row r="152" spans="1:25" ht="14.25" customHeight="1" x14ac:dyDescent="0.3">
      <c r="A152" s="223"/>
      <c r="B152" s="223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5"/>
      <c r="Q152" s="225"/>
      <c r="R152" s="224"/>
      <c r="S152" s="224"/>
      <c r="T152" s="224"/>
      <c r="U152" s="224"/>
      <c r="V152" s="224"/>
      <c r="W152" s="224"/>
      <c r="X152" s="224"/>
      <c r="Y152" s="224"/>
    </row>
    <row r="153" spans="1:25" ht="14.25" customHeight="1" x14ac:dyDescent="0.3">
      <c r="A153" s="223"/>
      <c r="B153" s="223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5"/>
      <c r="Q153" s="225"/>
      <c r="R153" s="224"/>
      <c r="S153" s="224"/>
      <c r="T153" s="224"/>
      <c r="U153" s="224"/>
      <c r="V153" s="224"/>
      <c r="W153" s="224"/>
      <c r="X153" s="224"/>
      <c r="Y153" s="224"/>
    </row>
    <row r="154" spans="1:25" ht="14.25" customHeight="1" x14ac:dyDescent="0.3">
      <c r="A154" s="223"/>
      <c r="B154" s="223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5"/>
      <c r="Q154" s="225"/>
      <c r="R154" s="224"/>
      <c r="S154" s="224"/>
      <c r="T154" s="224"/>
      <c r="U154" s="224"/>
      <c r="V154" s="224"/>
      <c r="W154" s="224"/>
      <c r="X154" s="224"/>
      <c r="Y154" s="224"/>
    </row>
    <row r="155" spans="1:25" ht="14.25" customHeight="1" x14ac:dyDescent="0.3">
      <c r="A155" s="223"/>
      <c r="B155" s="223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5"/>
      <c r="Q155" s="225"/>
      <c r="R155" s="224"/>
      <c r="S155" s="224"/>
      <c r="T155" s="224"/>
      <c r="U155" s="224"/>
      <c r="V155" s="224"/>
      <c r="W155" s="224"/>
      <c r="X155" s="224"/>
      <c r="Y155" s="224"/>
    </row>
    <row r="156" spans="1:25" ht="14.25" customHeight="1" x14ac:dyDescent="0.3">
      <c r="A156" s="223"/>
      <c r="B156" s="223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5"/>
      <c r="Q156" s="225"/>
      <c r="R156" s="224"/>
      <c r="S156" s="224"/>
      <c r="T156" s="224"/>
      <c r="U156" s="224"/>
      <c r="V156" s="224"/>
      <c r="W156" s="224"/>
      <c r="X156" s="224"/>
      <c r="Y156" s="224"/>
    </row>
    <row r="157" spans="1:25" ht="14.25" customHeight="1" x14ac:dyDescent="0.3">
      <c r="A157" s="223"/>
      <c r="B157" s="223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5"/>
      <c r="Q157" s="225"/>
      <c r="R157" s="224"/>
      <c r="S157" s="224"/>
      <c r="T157" s="224"/>
      <c r="U157" s="224"/>
      <c r="V157" s="224"/>
      <c r="W157" s="224"/>
      <c r="X157" s="224"/>
      <c r="Y157" s="224"/>
    </row>
    <row r="158" spans="1:25" ht="14.25" customHeight="1" x14ac:dyDescent="0.3">
      <c r="A158" s="223"/>
      <c r="B158" s="223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5"/>
      <c r="Q158" s="225"/>
      <c r="R158" s="224"/>
      <c r="S158" s="224"/>
      <c r="T158" s="224"/>
      <c r="U158" s="224"/>
      <c r="V158" s="224"/>
      <c r="W158" s="224"/>
      <c r="X158" s="224"/>
      <c r="Y158" s="224"/>
    </row>
    <row r="159" spans="1:25" ht="14.25" customHeight="1" x14ac:dyDescent="0.3">
      <c r="A159" s="223"/>
      <c r="B159" s="223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5"/>
      <c r="Q159" s="225"/>
      <c r="R159" s="224"/>
      <c r="S159" s="224"/>
      <c r="T159" s="224"/>
      <c r="U159" s="224"/>
      <c r="V159" s="224"/>
      <c r="W159" s="224"/>
      <c r="X159" s="224"/>
      <c r="Y159" s="224"/>
    </row>
    <row r="160" spans="1:25" ht="14.25" customHeight="1" x14ac:dyDescent="0.3">
      <c r="A160" s="223"/>
      <c r="B160" s="223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5"/>
      <c r="Q160" s="225"/>
      <c r="R160" s="224"/>
      <c r="S160" s="224"/>
      <c r="T160" s="224"/>
      <c r="U160" s="224"/>
      <c r="V160" s="224"/>
      <c r="W160" s="224"/>
      <c r="X160" s="224"/>
      <c r="Y160" s="224"/>
    </row>
    <row r="161" spans="1:25" ht="14.25" customHeight="1" x14ac:dyDescent="0.3">
      <c r="A161" s="223"/>
      <c r="B161" s="223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5"/>
      <c r="Q161" s="225"/>
      <c r="R161" s="224"/>
      <c r="S161" s="224"/>
      <c r="T161" s="224"/>
      <c r="U161" s="224"/>
      <c r="V161" s="224"/>
      <c r="W161" s="224"/>
      <c r="X161" s="224"/>
      <c r="Y161" s="224"/>
    </row>
    <row r="162" spans="1:25" ht="14.25" customHeight="1" x14ac:dyDescent="0.3">
      <c r="A162" s="223"/>
      <c r="B162" s="223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5"/>
      <c r="Q162" s="225"/>
      <c r="R162" s="224"/>
      <c r="S162" s="224"/>
      <c r="T162" s="224"/>
      <c r="U162" s="224"/>
      <c r="V162" s="224"/>
      <c r="W162" s="224"/>
      <c r="X162" s="224"/>
      <c r="Y162" s="224"/>
    </row>
    <row r="163" spans="1:25" ht="14.25" customHeight="1" x14ac:dyDescent="0.3">
      <c r="A163" s="223"/>
      <c r="B163" s="223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5"/>
      <c r="Q163" s="225"/>
      <c r="R163" s="224"/>
      <c r="S163" s="224"/>
      <c r="T163" s="224"/>
      <c r="U163" s="224"/>
      <c r="V163" s="224"/>
      <c r="W163" s="224"/>
      <c r="X163" s="224"/>
      <c r="Y163" s="224"/>
    </row>
    <row r="164" spans="1:25" ht="14.25" customHeight="1" x14ac:dyDescent="0.3">
      <c r="A164" s="223"/>
      <c r="B164" s="223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5"/>
      <c r="Q164" s="225"/>
      <c r="R164" s="224"/>
      <c r="S164" s="224"/>
      <c r="T164" s="224"/>
      <c r="U164" s="224"/>
      <c r="V164" s="224"/>
      <c r="W164" s="224"/>
      <c r="X164" s="224"/>
      <c r="Y164" s="224"/>
    </row>
    <row r="165" spans="1:25" ht="14.25" customHeight="1" x14ac:dyDescent="0.3">
      <c r="A165" s="223"/>
      <c r="B165" s="223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5"/>
      <c r="Q165" s="225"/>
      <c r="R165" s="224"/>
      <c r="S165" s="224"/>
      <c r="T165" s="224"/>
      <c r="U165" s="224"/>
      <c r="V165" s="224"/>
      <c r="W165" s="224"/>
      <c r="X165" s="224"/>
      <c r="Y165" s="224"/>
    </row>
    <row r="166" spans="1:25" ht="14.25" customHeight="1" x14ac:dyDescent="0.3">
      <c r="A166" s="223"/>
      <c r="B166" s="223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5"/>
      <c r="Q166" s="225"/>
      <c r="R166" s="224"/>
      <c r="S166" s="224"/>
      <c r="T166" s="224"/>
      <c r="U166" s="224"/>
      <c r="V166" s="224"/>
      <c r="W166" s="224"/>
      <c r="X166" s="224"/>
      <c r="Y166" s="224"/>
    </row>
    <row r="167" spans="1:25" ht="14.25" customHeight="1" x14ac:dyDescent="0.3">
      <c r="A167" s="223"/>
      <c r="B167" s="223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5"/>
      <c r="Q167" s="225"/>
      <c r="R167" s="224"/>
      <c r="S167" s="224"/>
      <c r="T167" s="224"/>
      <c r="U167" s="224"/>
      <c r="V167" s="224"/>
      <c r="W167" s="224"/>
      <c r="X167" s="224"/>
      <c r="Y167" s="224"/>
    </row>
    <row r="168" spans="1:25" ht="14.25" customHeight="1" x14ac:dyDescent="0.3">
      <c r="A168" s="223"/>
      <c r="B168" s="223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5"/>
      <c r="Q168" s="225"/>
      <c r="R168" s="224"/>
      <c r="S168" s="224"/>
      <c r="T168" s="224"/>
      <c r="U168" s="224"/>
      <c r="V168" s="224"/>
      <c r="W168" s="224"/>
      <c r="X168" s="224"/>
      <c r="Y168" s="224"/>
    </row>
    <row r="169" spans="1:25" ht="14.25" customHeight="1" x14ac:dyDescent="0.3">
      <c r="A169" s="223"/>
      <c r="B169" s="223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5"/>
      <c r="Q169" s="225"/>
      <c r="R169" s="224"/>
      <c r="S169" s="224"/>
      <c r="T169" s="224"/>
      <c r="U169" s="224"/>
      <c r="V169" s="224"/>
      <c r="W169" s="224"/>
      <c r="X169" s="224"/>
      <c r="Y169" s="224"/>
    </row>
    <row r="170" spans="1:25" ht="14.25" customHeight="1" x14ac:dyDescent="0.3">
      <c r="A170" s="223"/>
      <c r="B170" s="223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5"/>
      <c r="Q170" s="225"/>
      <c r="R170" s="224"/>
      <c r="S170" s="224"/>
      <c r="T170" s="224"/>
      <c r="U170" s="224"/>
      <c r="V170" s="224"/>
      <c r="W170" s="224"/>
      <c r="X170" s="224"/>
      <c r="Y170" s="224"/>
    </row>
    <row r="171" spans="1:25" ht="14.25" customHeight="1" x14ac:dyDescent="0.3">
      <c r="A171" s="223"/>
      <c r="B171" s="223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5"/>
      <c r="Q171" s="225"/>
      <c r="R171" s="224"/>
      <c r="S171" s="224"/>
      <c r="T171" s="224"/>
      <c r="U171" s="224"/>
      <c r="V171" s="224"/>
      <c r="W171" s="224"/>
      <c r="X171" s="224"/>
      <c r="Y171" s="224"/>
    </row>
    <row r="172" spans="1:25" ht="14.25" customHeight="1" x14ac:dyDescent="0.3">
      <c r="A172" s="223"/>
      <c r="B172" s="223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5"/>
      <c r="Q172" s="225"/>
      <c r="R172" s="224"/>
      <c r="S172" s="224"/>
      <c r="T172" s="224"/>
      <c r="U172" s="224"/>
      <c r="V172" s="224"/>
      <c r="W172" s="224"/>
      <c r="X172" s="224"/>
      <c r="Y172" s="224"/>
    </row>
    <row r="173" spans="1:25" ht="14.25" customHeight="1" x14ac:dyDescent="0.3">
      <c r="A173" s="223"/>
      <c r="B173" s="223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5"/>
      <c r="Q173" s="225"/>
      <c r="R173" s="224"/>
      <c r="S173" s="224"/>
      <c r="T173" s="224"/>
      <c r="U173" s="224"/>
      <c r="V173" s="224"/>
      <c r="W173" s="224"/>
      <c r="X173" s="224"/>
      <c r="Y173" s="224"/>
    </row>
    <row r="174" spans="1:25" ht="14.25" customHeight="1" x14ac:dyDescent="0.3">
      <c r="A174" s="223"/>
      <c r="B174" s="223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5"/>
      <c r="Q174" s="225"/>
      <c r="R174" s="224"/>
      <c r="S174" s="224"/>
      <c r="T174" s="224"/>
      <c r="U174" s="224"/>
      <c r="V174" s="224"/>
      <c r="W174" s="224"/>
      <c r="X174" s="224"/>
      <c r="Y174" s="224"/>
    </row>
    <row r="175" spans="1:25" ht="14.25" customHeight="1" x14ac:dyDescent="0.3">
      <c r="A175" s="223"/>
      <c r="B175" s="223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5"/>
      <c r="Q175" s="225"/>
      <c r="R175" s="224"/>
      <c r="S175" s="224"/>
      <c r="T175" s="224"/>
      <c r="U175" s="224"/>
      <c r="V175" s="224"/>
      <c r="W175" s="224"/>
      <c r="X175" s="224"/>
      <c r="Y175" s="224"/>
    </row>
    <row r="176" spans="1:25" ht="14.25" customHeight="1" x14ac:dyDescent="0.3">
      <c r="A176" s="223"/>
      <c r="B176" s="223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5"/>
      <c r="Q176" s="225"/>
      <c r="R176" s="224"/>
      <c r="S176" s="224"/>
      <c r="T176" s="224"/>
      <c r="U176" s="224"/>
      <c r="V176" s="224"/>
      <c r="W176" s="224"/>
      <c r="X176" s="224"/>
      <c r="Y176" s="224"/>
    </row>
    <row r="177" spans="1:25" ht="14.25" customHeight="1" x14ac:dyDescent="0.3">
      <c r="A177" s="223"/>
      <c r="B177" s="223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5"/>
      <c r="Q177" s="225"/>
      <c r="R177" s="224"/>
      <c r="S177" s="224"/>
      <c r="T177" s="224"/>
      <c r="U177" s="224"/>
      <c r="V177" s="224"/>
      <c r="W177" s="224"/>
      <c r="X177" s="224"/>
      <c r="Y177" s="224"/>
    </row>
    <row r="178" spans="1:25" ht="14.25" customHeight="1" x14ac:dyDescent="0.3">
      <c r="A178" s="223"/>
      <c r="B178" s="223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5"/>
      <c r="Q178" s="225"/>
      <c r="R178" s="224"/>
      <c r="S178" s="224"/>
      <c r="T178" s="224"/>
      <c r="U178" s="224"/>
      <c r="V178" s="224"/>
      <c r="W178" s="224"/>
      <c r="X178" s="224"/>
      <c r="Y178" s="224"/>
    </row>
    <row r="179" spans="1:25" ht="14.25" customHeight="1" x14ac:dyDescent="0.3">
      <c r="A179" s="223"/>
      <c r="B179" s="223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5"/>
      <c r="Q179" s="225"/>
      <c r="R179" s="224"/>
      <c r="S179" s="224"/>
      <c r="T179" s="224"/>
      <c r="U179" s="224"/>
      <c r="V179" s="224"/>
      <c r="W179" s="224"/>
      <c r="X179" s="224"/>
      <c r="Y179" s="224"/>
    </row>
    <row r="180" spans="1:25" ht="14.25" customHeight="1" x14ac:dyDescent="0.3">
      <c r="A180" s="223"/>
      <c r="B180" s="223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5"/>
      <c r="Q180" s="225"/>
      <c r="R180" s="224"/>
      <c r="S180" s="224"/>
      <c r="T180" s="224"/>
      <c r="U180" s="224"/>
      <c r="V180" s="224"/>
      <c r="W180" s="224"/>
      <c r="X180" s="224"/>
      <c r="Y180" s="224"/>
    </row>
    <row r="181" spans="1:25" ht="14.25" customHeight="1" x14ac:dyDescent="0.3">
      <c r="A181" s="223"/>
      <c r="B181" s="223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5"/>
      <c r="Q181" s="225"/>
      <c r="R181" s="224"/>
      <c r="S181" s="224"/>
      <c r="T181" s="224"/>
      <c r="U181" s="224"/>
      <c r="V181" s="224"/>
      <c r="W181" s="224"/>
      <c r="X181" s="224"/>
      <c r="Y181" s="224"/>
    </row>
    <row r="182" spans="1:25" ht="14.25" customHeight="1" x14ac:dyDescent="0.3">
      <c r="A182" s="223"/>
      <c r="B182" s="223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5"/>
      <c r="Q182" s="225"/>
      <c r="R182" s="224"/>
      <c r="S182" s="224"/>
      <c r="T182" s="224"/>
      <c r="U182" s="224"/>
      <c r="V182" s="224"/>
      <c r="W182" s="224"/>
      <c r="X182" s="224"/>
      <c r="Y182" s="224"/>
    </row>
    <row r="183" spans="1:25" ht="14.25" customHeight="1" x14ac:dyDescent="0.3">
      <c r="A183" s="223"/>
      <c r="B183" s="223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5"/>
      <c r="Q183" s="225"/>
      <c r="R183" s="224"/>
      <c r="S183" s="224"/>
      <c r="T183" s="224"/>
      <c r="U183" s="224"/>
      <c r="V183" s="224"/>
      <c r="W183" s="224"/>
      <c r="X183" s="224"/>
      <c r="Y183" s="224"/>
    </row>
    <row r="184" spans="1:25" ht="14.25" customHeight="1" x14ac:dyDescent="0.3">
      <c r="A184" s="223"/>
      <c r="B184" s="223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5"/>
      <c r="Q184" s="225"/>
      <c r="R184" s="224"/>
      <c r="S184" s="224"/>
      <c r="T184" s="224"/>
      <c r="U184" s="224"/>
      <c r="V184" s="224"/>
      <c r="W184" s="224"/>
      <c r="X184" s="224"/>
      <c r="Y184" s="224"/>
    </row>
    <row r="185" spans="1:25" ht="14.25" customHeight="1" x14ac:dyDescent="0.3">
      <c r="A185" s="223"/>
      <c r="B185" s="223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5"/>
      <c r="Q185" s="225"/>
      <c r="R185" s="224"/>
      <c r="S185" s="224"/>
      <c r="T185" s="224"/>
      <c r="U185" s="224"/>
      <c r="V185" s="224"/>
      <c r="W185" s="224"/>
      <c r="X185" s="224"/>
      <c r="Y185" s="224"/>
    </row>
    <row r="186" spans="1:25" ht="14.25" customHeight="1" x14ac:dyDescent="0.3">
      <c r="A186" s="223"/>
      <c r="B186" s="223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5"/>
      <c r="Q186" s="225"/>
      <c r="R186" s="224"/>
      <c r="S186" s="224"/>
      <c r="T186" s="224"/>
      <c r="U186" s="224"/>
      <c r="V186" s="224"/>
      <c r="W186" s="224"/>
      <c r="X186" s="224"/>
      <c r="Y186" s="224"/>
    </row>
    <row r="187" spans="1:25" ht="14.25" customHeight="1" x14ac:dyDescent="0.3">
      <c r="A187" s="223"/>
      <c r="B187" s="223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5"/>
      <c r="Q187" s="225"/>
      <c r="R187" s="224"/>
      <c r="S187" s="224"/>
      <c r="T187" s="224"/>
      <c r="U187" s="224"/>
      <c r="V187" s="224"/>
      <c r="W187" s="224"/>
      <c r="X187" s="224"/>
      <c r="Y187" s="224"/>
    </row>
    <row r="188" spans="1:25" ht="14.25" customHeight="1" x14ac:dyDescent="0.3">
      <c r="A188" s="223"/>
      <c r="B188" s="223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5"/>
      <c r="Q188" s="225"/>
      <c r="R188" s="224"/>
      <c r="S188" s="224"/>
      <c r="T188" s="224"/>
      <c r="U188" s="224"/>
      <c r="V188" s="224"/>
      <c r="W188" s="224"/>
      <c r="X188" s="224"/>
      <c r="Y188" s="224"/>
    </row>
    <row r="189" spans="1:25" ht="14.25" customHeight="1" x14ac:dyDescent="0.3">
      <c r="A189" s="223"/>
      <c r="B189" s="223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5"/>
      <c r="Q189" s="225"/>
      <c r="R189" s="224"/>
      <c r="S189" s="224"/>
      <c r="T189" s="224"/>
      <c r="U189" s="224"/>
      <c r="V189" s="224"/>
      <c r="W189" s="224"/>
      <c r="X189" s="224"/>
      <c r="Y189" s="224"/>
    </row>
    <row r="190" spans="1:25" ht="14.25" customHeight="1" x14ac:dyDescent="0.3">
      <c r="A190" s="223"/>
      <c r="B190" s="223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5"/>
      <c r="Q190" s="225"/>
      <c r="R190" s="224"/>
      <c r="S190" s="224"/>
      <c r="T190" s="224"/>
      <c r="U190" s="224"/>
      <c r="V190" s="224"/>
      <c r="W190" s="224"/>
      <c r="X190" s="224"/>
      <c r="Y190" s="224"/>
    </row>
    <row r="191" spans="1:25" ht="14.25" customHeight="1" x14ac:dyDescent="0.3">
      <c r="A191" s="223"/>
      <c r="B191" s="223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5"/>
      <c r="Q191" s="225"/>
      <c r="R191" s="224"/>
      <c r="S191" s="224"/>
      <c r="T191" s="224"/>
      <c r="U191" s="224"/>
      <c r="V191" s="224"/>
      <c r="W191" s="224"/>
      <c r="X191" s="224"/>
      <c r="Y191" s="224"/>
    </row>
    <row r="192" spans="1:25" ht="14.25" customHeight="1" x14ac:dyDescent="0.3">
      <c r="A192" s="223"/>
      <c r="B192" s="223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5"/>
      <c r="Q192" s="225"/>
      <c r="R192" s="224"/>
      <c r="S192" s="224"/>
      <c r="T192" s="224"/>
      <c r="U192" s="224"/>
      <c r="V192" s="224"/>
      <c r="W192" s="224"/>
      <c r="X192" s="224"/>
      <c r="Y192" s="224"/>
    </row>
    <row r="193" spans="1:25" ht="14.25" customHeight="1" x14ac:dyDescent="0.3">
      <c r="A193" s="223"/>
      <c r="B193" s="223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5"/>
      <c r="Q193" s="225"/>
      <c r="R193" s="224"/>
      <c r="S193" s="224"/>
      <c r="T193" s="224"/>
      <c r="U193" s="224"/>
      <c r="V193" s="224"/>
      <c r="W193" s="224"/>
      <c r="X193" s="224"/>
      <c r="Y193" s="224"/>
    </row>
    <row r="194" spans="1:25" ht="14.25" customHeight="1" x14ac:dyDescent="0.3">
      <c r="A194" s="223"/>
      <c r="B194" s="223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5"/>
      <c r="Q194" s="225"/>
      <c r="R194" s="224"/>
      <c r="S194" s="224"/>
      <c r="T194" s="224"/>
      <c r="U194" s="224"/>
      <c r="V194" s="224"/>
      <c r="W194" s="224"/>
      <c r="X194" s="224"/>
      <c r="Y194" s="224"/>
    </row>
    <row r="195" spans="1:25" ht="14.25" customHeight="1" x14ac:dyDescent="0.3">
      <c r="A195" s="223"/>
      <c r="B195" s="223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5"/>
      <c r="Q195" s="225"/>
      <c r="R195" s="224"/>
      <c r="S195" s="224"/>
      <c r="T195" s="224"/>
      <c r="U195" s="224"/>
      <c r="V195" s="224"/>
      <c r="W195" s="224"/>
      <c r="X195" s="224"/>
      <c r="Y195" s="224"/>
    </row>
    <row r="196" spans="1:25" ht="14.25" customHeight="1" x14ac:dyDescent="0.3">
      <c r="A196" s="223"/>
      <c r="B196" s="223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5"/>
      <c r="Q196" s="225"/>
      <c r="R196" s="224"/>
      <c r="S196" s="224"/>
      <c r="T196" s="224"/>
      <c r="U196" s="224"/>
      <c r="V196" s="224"/>
      <c r="W196" s="224"/>
      <c r="X196" s="224"/>
      <c r="Y196" s="224"/>
    </row>
    <row r="197" spans="1:25" ht="14.25" customHeight="1" x14ac:dyDescent="0.3">
      <c r="A197" s="223"/>
      <c r="B197" s="223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5"/>
      <c r="Q197" s="225"/>
      <c r="R197" s="224"/>
      <c r="S197" s="224"/>
      <c r="T197" s="224"/>
      <c r="U197" s="224"/>
      <c r="V197" s="224"/>
      <c r="W197" s="224"/>
      <c r="X197" s="224"/>
      <c r="Y197" s="224"/>
    </row>
    <row r="198" spans="1:25" ht="14.25" customHeight="1" x14ac:dyDescent="0.3">
      <c r="A198" s="223"/>
      <c r="B198" s="223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5"/>
      <c r="Q198" s="225"/>
      <c r="R198" s="224"/>
      <c r="S198" s="224"/>
      <c r="T198" s="224"/>
      <c r="U198" s="224"/>
      <c r="V198" s="224"/>
      <c r="W198" s="224"/>
      <c r="X198" s="224"/>
      <c r="Y198" s="224"/>
    </row>
    <row r="199" spans="1:25" ht="14.25" customHeight="1" x14ac:dyDescent="0.3">
      <c r="A199" s="223"/>
      <c r="B199" s="223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5"/>
      <c r="Q199" s="225"/>
      <c r="R199" s="224"/>
      <c r="S199" s="224"/>
      <c r="T199" s="224"/>
      <c r="U199" s="224"/>
      <c r="V199" s="224"/>
      <c r="W199" s="224"/>
      <c r="X199" s="224"/>
      <c r="Y199" s="224"/>
    </row>
    <row r="200" spans="1:25" ht="14.25" customHeight="1" x14ac:dyDescent="0.3">
      <c r="A200" s="223"/>
      <c r="B200" s="223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5"/>
      <c r="Q200" s="225"/>
      <c r="R200" s="224"/>
      <c r="S200" s="224"/>
      <c r="T200" s="224"/>
      <c r="U200" s="224"/>
      <c r="V200" s="224"/>
      <c r="W200" s="224"/>
      <c r="X200" s="224"/>
      <c r="Y200" s="224"/>
    </row>
    <row r="201" spans="1:25" ht="14.25" customHeight="1" x14ac:dyDescent="0.3">
      <c r="A201" s="223"/>
      <c r="B201" s="223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5"/>
      <c r="Q201" s="225"/>
      <c r="R201" s="224"/>
      <c r="S201" s="224"/>
      <c r="T201" s="224"/>
      <c r="U201" s="224"/>
      <c r="V201" s="224"/>
      <c r="W201" s="224"/>
      <c r="X201" s="224"/>
      <c r="Y201" s="224"/>
    </row>
    <row r="202" spans="1:25" ht="14.25" customHeight="1" x14ac:dyDescent="0.3">
      <c r="A202" s="223"/>
      <c r="B202" s="223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5"/>
      <c r="Q202" s="225"/>
      <c r="R202" s="224"/>
      <c r="S202" s="224"/>
      <c r="T202" s="224"/>
      <c r="U202" s="224"/>
      <c r="V202" s="224"/>
      <c r="W202" s="224"/>
      <c r="X202" s="224"/>
      <c r="Y202" s="224"/>
    </row>
    <row r="203" spans="1:25" ht="14.25" customHeight="1" x14ac:dyDescent="0.3">
      <c r="A203" s="223"/>
      <c r="B203" s="223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5"/>
      <c r="Q203" s="225"/>
      <c r="R203" s="224"/>
      <c r="S203" s="224"/>
      <c r="T203" s="224"/>
      <c r="U203" s="224"/>
      <c r="V203" s="224"/>
      <c r="W203" s="224"/>
      <c r="X203" s="224"/>
      <c r="Y203" s="224"/>
    </row>
    <row r="204" spans="1:25" ht="14.25" customHeight="1" x14ac:dyDescent="0.3">
      <c r="A204" s="223"/>
      <c r="B204" s="223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5"/>
      <c r="Q204" s="225"/>
      <c r="R204" s="224"/>
      <c r="S204" s="224"/>
      <c r="T204" s="224"/>
      <c r="U204" s="224"/>
      <c r="V204" s="224"/>
      <c r="W204" s="224"/>
      <c r="X204" s="224"/>
      <c r="Y204" s="224"/>
    </row>
    <row r="205" spans="1:25" ht="14.25" customHeight="1" x14ac:dyDescent="0.3">
      <c r="A205" s="223"/>
      <c r="B205" s="223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5"/>
      <c r="Q205" s="225"/>
      <c r="R205" s="224"/>
      <c r="S205" s="224"/>
      <c r="T205" s="224"/>
      <c r="U205" s="224"/>
      <c r="V205" s="224"/>
      <c r="W205" s="224"/>
      <c r="X205" s="224"/>
      <c r="Y205" s="224"/>
    </row>
    <row r="206" spans="1:25" ht="14.25" customHeight="1" x14ac:dyDescent="0.3">
      <c r="A206" s="223"/>
      <c r="B206" s="223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5"/>
      <c r="Q206" s="225"/>
      <c r="R206" s="224"/>
      <c r="S206" s="224"/>
      <c r="T206" s="224"/>
      <c r="U206" s="224"/>
      <c r="V206" s="224"/>
      <c r="W206" s="224"/>
      <c r="X206" s="224"/>
      <c r="Y206" s="224"/>
    </row>
    <row r="207" spans="1:25" ht="14.25" customHeight="1" x14ac:dyDescent="0.3">
      <c r="A207" s="223"/>
      <c r="B207" s="223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5"/>
      <c r="Q207" s="225"/>
      <c r="R207" s="224"/>
      <c r="S207" s="224"/>
      <c r="T207" s="224"/>
      <c r="U207" s="224"/>
      <c r="V207" s="224"/>
      <c r="W207" s="224"/>
      <c r="X207" s="224"/>
      <c r="Y207" s="224"/>
    </row>
    <row r="208" spans="1:25" ht="14.25" customHeight="1" x14ac:dyDescent="0.3">
      <c r="A208" s="223"/>
      <c r="B208" s="223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5"/>
      <c r="Q208" s="225"/>
      <c r="R208" s="224"/>
      <c r="S208" s="224"/>
      <c r="T208" s="224"/>
      <c r="U208" s="224"/>
      <c r="V208" s="224"/>
      <c r="W208" s="224"/>
      <c r="X208" s="224"/>
      <c r="Y208" s="224"/>
    </row>
    <row r="209" spans="1:25" ht="14.25" customHeight="1" x14ac:dyDescent="0.3">
      <c r="A209" s="223"/>
      <c r="B209" s="223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5"/>
      <c r="Q209" s="225"/>
      <c r="R209" s="224"/>
      <c r="S209" s="224"/>
      <c r="T209" s="224"/>
      <c r="U209" s="224"/>
      <c r="V209" s="224"/>
      <c r="W209" s="224"/>
      <c r="X209" s="224"/>
      <c r="Y209" s="224"/>
    </row>
    <row r="210" spans="1:25" ht="14.25" customHeight="1" x14ac:dyDescent="0.3">
      <c r="A210" s="223"/>
      <c r="B210" s="223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5"/>
      <c r="Q210" s="225"/>
      <c r="R210" s="224"/>
      <c r="S210" s="224"/>
      <c r="T210" s="224"/>
      <c r="U210" s="224"/>
      <c r="V210" s="224"/>
      <c r="W210" s="224"/>
      <c r="X210" s="224"/>
      <c r="Y210" s="224"/>
    </row>
    <row r="211" spans="1:25" ht="14.25" customHeight="1" x14ac:dyDescent="0.3">
      <c r="P211" s="225"/>
      <c r="Q211" s="225"/>
    </row>
    <row r="212" spans="1:25" ht="14.25" customHeight="1" x14ac:dyDescent="0.3">
      <c r="P212" s="225"/>
      <c r="Q212" s="225"/>
    </row>
    <row r="213" spans="1:25" ht="14.25" customHeight="1" x14ac:dyDescent="0.3">
      <c r="P213" s="225"/>
      <c r="Q213" s="225"/>
    </row>
    <row r="214" spans="1:25" ht="14.25" customHeight="1" x14ac:dyDescent="0.3">
      <c r="P214" s="225"/>
      <c r="Q214" s="225"/>
    </row>
    <row r="215" spans="1:25" ht="14.25" customHeight="1" x14ac:dyDescent="0.3">
      <c r="P215" s="225"/>
      <c r="Q215" s="225"/>
    </row>
    <row r="216" spans="1:25" ht="14.25" customHeight="1" x14ac:dyDescent="0.3">
      <c r="P216" s="225"/>
      <c r="Q216" s="225"/>
    </row>
    <row r="217" spans="1:25" ht="14.25" customHeight="1" x14ac:dyDescent="0.3">
      <c r="P217" s="225"/>
      <c r="Q217" s="225"/>
    </row>
    <row r="218" spans="1:25" ht="14.25" customHeight="1" x14ac:dyDescent="0.3">
      <c r="P218" s="225"/>
      <c r="Q218" s="225"/>
    </row>
    <row r="219" spans="1:25" ht="14.25" customHeight="1" x14ac:dyDescent="0.3">
      <c r="P219" s="225"/>
      <c r="Q219" s="225"/>
    </row>
    <row r="220" spans="1:25" ht="14.25" customHeight="1" x14ac:dyDescent="0.3">
      <c r="P220" s="225"/>
      <c r="Q220" s="225"/>
    </row>
    <row r="221" spans="1:25" ht="14.25" customHeight="1" x14ac:dyDescent="0.3">
      <c r="P221" s="225"/>
      <c r="Q221" s="225"/>
    </row>
    <row r="222" spans="1:25" ht="14.25" customHeight="1" x14ac:dyDescent="0.3">
      <c r="P222" s="225"/>
      <c r="Q222" s="225"/>
    </row>
    <row r="223" spans="1:25" ht="14.25" customHeight="1" x14ac:dyDescent="0.3">
      <c r="P223" s="225"/>
      <c r="Q223" s="225"/>
    </row>
    <row r="224" spans="1:25" ht="14.25" customHeight="1" x14ac:dyDescent="0.3">
      <c r="P224" s="225"/>
      <c r="Q224" s="225"/>
    </row>
    <row r="225" spans="16:17" ht="14.25" customHeight="1" x14ac:dyDescent="0.3">
      <c r="P225" s="225"/>
      <c r="Q225" s="225"/>
    </row>
    <row r="226" spans="16:17" ht="14.25" customHeight="1" x14ac:dyDescent="0.3">
      <c r="P226" s="225"/>
      <c r="Q226" s="225"/>
    </row>
    <row r="227" spans="16:17" ht="14.25" customHeight="1" x14ac:dyDescent="0.3">
      <c r="P227" s="225"/>
      <c r="Q227" s="225"/>
    </row>
    <row r="228" spans="16:17" ht="14.25" customHeight="1" x14ac:dyDescent="0.3">
      <c r="P228" s="225"/>
      <c r="Q228" s="225"/>
    </row>
    <row r="229" spans="16:17" ht="14.25" customHeight="1" x14ac:dyDescent="0.3">
      <c r="P229" s="225"/>
      <c r="Q229" s="225"/>
    </row>
    <row r="230" spans="16:17" ht="14.25" customHeight="1" x14ac:dyDescent="0.3">
      <c r="P230" s="225"/>
      <c r="Q230" s="225"/>
    </row>
    <row r="231" spans="16:17" ht="14.25" customHeight="1" x14ac:dyDescent="0.3">
      <c r="P231" s="225"/>
      <c r="Q231" s="225"/>
    </row>
    <row r="232" spans="16:17" ht="14.25" customHeight="1" x14ac:dyDescent="0.3">
      <c r="P232" s="225"/>
      <c r="Q232" s="225"/>
    </row>
    <row r="233" spans="16:17" ht="14.25" customHeight="1" x14ac:dyDescent="0.3">
      <c r="P233" s="225"/>
      <c r="Q233" s="225"/>
    </row>
    <row r="234" spans="16:17" ht="14.25" customHeight="1" x14ac:dyDescent="0.3">
      <c r="P234" s="225"/>
      <c r="Q234" s="225"/>
    </row>
    <row r="235" spans="16:17" ht="14.25" customHeight="1" x14ac:dyDescent="0.3">
      <c r="P235" s="225"/>
      <c r="Q235" s="225"/>
    </row>
    <row r="236" spans="16:17" ht="14.25" customHeight="1" x14ac:dyDescent="0.3">
      <c r="P236" s="225"/>
      <c r="Q236" s="225"/>
    </row>
    <row r="237" spans="16:17" ht="14.25" customHeight="1" x14ac:dyDescent="0.3">
      <c r="P237" s="225"/>
      <c r="Q237" s="225"/>
    </row>
    <row r="238" spans="16:17" ht="14.25" customHeight="1" x14ac:dyDescent="0.3">
      <c r="P238" s="225"/>
      <c r="Q238" s="225"/>
    </row>
    <row r="239" spans="16:17" ht="14.25" customHeight="1" x14ac:dyDescent="0.3">
      <c r="P239" s="225"/>
      <c r="Q239" s="225"/>
    </row>
    <row r="240" spans="16:17" ht="14.25" customHeight="1" x14ac:dyDescent="0.3">
      <c r="P240" s="225"/>
      <c r="Q240" s="225"/>
    </row>
    <row r="241" spans="16:17" ht="14.25" customHeight="1" x14ac:dyDescent="0.3">
      <c r="P241" s="225"/>
      <c r="Q241" s="225"/>
    </row>
    <row r="242" spans="16:17" ht="14.25" customHeight="1" x14ac:dyDescent="0.3">
      <c r="P242" s="225"/>
      <c r="Q242" s="225"/>
    </row>
    <row r="243" spans="16:17" ht="14.25" customHeight="1" x14ac:dyDescent="0.3">
      <c r="P243" s="225"/>
      <c r="Q243" s="225"/>
    </row>
    <row r="244" spans="16:17" ht="14.25" customHeight="1" x14ac:dyDescent="0.3">
      <c r="P244" s="225"/>
      <c r="Q244" s="225"/>
    </row>
    <row r="245" spans="16:17" ht="14.25" customHeight="1" x14ac:dyDescent="0.3">
      <c r="P245" s="225"/>
      <c r="Q245" s="225"/>
    </row>
    <row r="246" spans="16:17" ht="14.25" customHeight="1" x14ac:dyDescent="0.3">
      <c r="P246" s="225"/>
      <c r="Q246" s="225"/>
    </row>
    <row r="247" spans="16:17" ht="14.25" customHeight="1" x14ac:dyDescent="0.3">
      <c r="P247" s="225"/>
      <c r="Q247" s="225"/>
    </row>
    <row r="248" spans="16:17" ht="14.25" customHeight="1" x14ac:dyDescent="0.3">
      <c r="P248" s="225"/>
      <c r="Q248" s="225"/>
    </row>
    <row r="249" spans="16:17" ht="14.25" customHeight="1" x14ac:dyDescent="0.3">
      <c r="P249" s="225"/>
      <c r="Q249" s="225"/>
    </row>
    <row r="250" spans="16:17" ht="14.25" customHeight="1" x14ac:dyDescent="0.3">
      <c r="P250" s="225"/>
      <c r="Q250" s="225"/>
    </row>
    <row r="251" spans="16:17" ht="14.25" customHeight="1" x14ac:dyDescent="0.3">
      <c r="P251" s="225"/>
      <c r="Q251" s="225"/>
    </row>
    <row r="252" spans="16:17" ht="14.25" customHeight="1" x14ac:dyDescent="0.3">
      <c r="P252" s="225"/>
      <c r="Q252" s="225"/>
    </row>
    <row r="253" spans="16:17" ht="14.25" customHeight="1" x14ac:dyDescent="0.3">
      <c r="P253" s="225"/>
      <c r="Q253" s="225"/>
    </row>
    <row r="254" spans="16:17" ht="14.25" customHeight="1" x14ac:dyDescent="0.3">
      <c r="P254" s="225"/>
      <c r="Q254" s="225"/>
    </row>
    <row r="255" spans="16:17" ht="14.25" customHeight="1" x14ac:dyDescent="0.3">
      <c r="P255" s="225"/>
      <c r="Q255" s="225"/>
    </row>
    <row r="256" spans="16:17" ht="14.25" customHeight="1" x14ac:dyDescent="0.3">
      <c r="P256" s="225"/>
      <c r="Q256" s="225"/>
    </row>
    <row r="257" spans="16:17" ht="14.25" customHeight="1" x14ac:dyDescent="0.3">
      <c r="P257" s="225"/>
      <c r="Q257" s="225"/>
    </row>
    <row r="258" spans="16:17" ht="14.25" customHeight="1" x14ac:dyDescent="0.3">
      <c r="P258" s="225"/>
      <c r="Q258" s="225"/>
    </row>
    <row r="259" spans="16:17" ht="14.25" customHeight="1" x14ac:dyDescent="0.3">
      <c r="P259" s="225"/>
      <c r="Q259" s="225"/>
    </row>
    <row r="260" spans="16:17" ht="14.25" customHeight="1" x14ac:dyDescent="0.3">
      <c r="P260" s="225"/>
      <c r="Q260" s="225"/>
    </row>
    <row r="261" spans="16:17" ht="14.25" customHeight="1" x14ac:dyDescent="0.3">
      <c r="P261" s="225"/>
      <c r="Q261" s="225"/>
    </row>
    <row r="262" spans="16:17" ht="14.25" customHeight="1" x14ac:dyDescent="0.3">
      <c r="P262" s="225"/>
      <c r="Q262" s="225"/>
    </row>
    <row r="263" spans="16:17" ht="14.25" customHeight="1" x14ac:dyDescent="0.3">
      <c r="P263" s="225"/>
      <c r="Q263" s="225"/>
    </row>
    <row r="264" spans="16:17" ht="14.25" customHeight="1" x14ac:dyDescent="0.3">
      <c r="P264" s="225"/>
      <c r="Q264" s="225"/>
    </row>
    <row r="265" spans="16:17" ht="14.25" customHeight="1" x14ac:dyDescent="0.3">
      <c r="P265" s="225"/>
      <c r="Q265" s="225"/>
    </row>
    <row r="266" spans="16:17" ht="14.25" customHeight="1" x14ac:dyDescent="0.3">
      <c r="P266" s="225"/>
      <c r="Q266" s="225"/>
    </row>
    <row r="267" spans="16:17" ht="14.25" customHeight="1" x14ac:dyDescent="0.3">
      <c r="P267" s="225"/>
      <c r="Q267" s="225"/>
    </row>
    <row r="268" spans="16:17" ht="14.25" customHeight="1" x14ac:dyDescent="0.3">
      <c r="P268" s="225"/>
      <c r="Q268" s="225"/>
    </row>
    <row r="269" spans="16:17" ht="14.25" customHeight="1" x14ac:dyDescent="0.3">
      <c r="P269" s="225"/>
      <c r="Q269" s="225"/>
    </row>
    <row r="270" spans="16:17" ht="14.25" customHeight="1" x14ac:dyDescent="0.3">
      <c r="P270" s="225"/>
      <c r="Q270" s="225"/>
    </row>
    <row r="271" spans="16:17" ht="14.25" customHeight="1" x14ac:dyDescent="0.3">
      <c r="P271" s="225"/>
      <c r="Q271" s="225"/>
    </row>
    <row r="272" spans="16:17" ht="14.25" customHeight="1" x14ac:dyDescent="0.3">
      <c r="P272" s="225"/>
      <c r="Q272" s="225"/>
    </row>
    <row r="273" spans="16:17" ht="14.25" customHeight="1" x14ac:dyDescent="0.3">
      <c r="P273" s="225"/>
      <c r="Q273" s="225"/>
    </row>
    <row r="274" spans="16:17" ht="14.25" customHeight="1" x14ac:dyDescent="0.3">
      <c r="P274" s="225"/>
      <c r="Q274" s="225"/>
    </row>
    <row r="275" spans="16:17" ht="14.25" customHeight="1" x14ac:dyDescent="0.3">
      <c r="P275" s="225"/>
      <c r="Q275" s="225"/>
    </row>
    <row r="276" spans="16:17" ht="14.25" customHeight="1" x14ac:dyDescent="0.3">
      <c r="P276" s="225"/>
      <c r="Q276" s="225"/>
    </row>
    <row r="277" spans="16:17" ht="14.25" customHeight="1" x14ac:dyDescent="0.3">
      <c r="P277" s="225"/>
      <c r="Q277" s="225"/>
    </row>
    <row r="278" spans="16:17" ht="14.25" customHeight="1" x14ac:dyDescent="0.3">
      <c r="P278" s="225"/>
      <c r="Q278" s="225"/>
    </row>
    <row r="279" spans="16:17" ht="14.25" customHeight="1" x14ac:dyDescent="0.3">
      <c r="P279" s="225"/>
      <c r="Q279" s="225"/>
    </row>
    <row r="280" spans="16:17" ht="14.25" customHeight="1" x14ac:dyDescent="0.3">
      <c r="P280" s="225"/>
      <c r="Q280" s="225"/>
    </row>
    <row r="281" spans="16:17" ht="14.25" customHeight="1" x14ac:dyDescent="0.3">
      <c r="P281" s="225"/>
      <c r="Q281" s="225"/>
    </row>
    <row r="282" spans="16:17" ht="14.25" customHeight="1" x14ac:dyDescent="0.3">
      <c r="P282" s="225"/>
      <c r="Q282" s="225"/>
    </row>
    <row r="283" spans="16:17" ht="14.25" customHeight="1" x14ac:dyDescent="0.3">
      <c r="P283" s="225"/>
      <c r="Q283" s="225"/>
    </row>
    <row r="284" spans="16:17" ht="14.25" customHeight="1" x14ac:dyDescent="0.3">
      <c r="P284" s="225"/>
      <c r="Q284" s="225"/>
    </row>
    <row r="285" spans="16:17" ht="14.25" customHeight="1" x14ac:dyDescent="0.3">
      <c r="P285" s="225"/>
      <c r="Q285" s="225"/>
    </row>
    <row r="286" spans="16:17" ht="14.25" customHeight="1" x14ac:dyDescent="0.3">
      <c r="P286" s="225"/>
      <c r="Q286" s="225"/>
    </row>
    <row r="287" spans="16:17" ht="14.25" customHeight="1" x14ac:dyDescent="0.3">
      <c r="P287" s="225"/>
      <c r="Q287" s="225"/>
    </row>
    <row r="288" spans="16:17" ht="14.25" customHeight="1" x14ac:dyDescent="0.3">
      <c r="P288" s="225"/>
      <c r="Q288" s="225"/>
    </row>
    <row r="289" spans="16:17" ht="14.25" customHeight="1" x14ac:dyDescent="0.3">
      <c r="P289" s="225"/>
      <c r="Q289" s="225"/>
    </row>
    <row r="290" spans="16:17" ht="14.25" customHeight="1" x14ac:dyDescent="0.3">
      <c r="P290" s="225"/>
      <c r="Q290" s="225"/>
    </row>
    <row r="291" spans="16:17" ht="14.25" customHeight="1" x14ac:dyDescent="0.3">
      <c r="P291" s="225"/>
      <c r="Q291" s="225"/>
    </row>
    <row r="292" spans="16:17" ht="14.25" customHeight="1" x14ac:dyDescent="0.3">
      <c r="P292" s="225"/>
      <c r="Q292" s="225"/>
    </row>
    <row r="293" spans="16:17" ht="14.25" customHeight="1" x14ac:dyDescent="0.3">
      <c r="P293" s="225"/>
      <c r="Q293" s="225"/>
    </row>
    <row r="294" spans="16:17" ht="14.25" customHeight="1" x14ac:dyDescent="0.3">
      <c r="P294" s="225"/>
      <c r="Q294" s="225"/>
    </row>
    <row r="295" spans="16:17" ht="14.25" customHeight="1" x14ac:dyDescent="0.3">
      <c r="P295" s="225"/>
      <c r="Q295" s="225"/>
    </row>
    <row r="296" spans="16:17" ht="14.25" customHeight="1" x14ac:dyDescent="0.3">
      <c r="P296" s="225"/>
      <c r="Q296" s="225"/>
    </row>
    <row r="297" spans="16:17" ht="14.25" customHeight="1" x14ac:dyDescent="0.3">
      <c r="P297" s="225"/>
      <c r="Q297" s="225"/>
    </row>
    <row r="298" spans="16:17" ht="14.25" customHeight="1" x14ac:dyDescent="0.3">
      <c r="P298" s="225"/>
      <c r="Q298" s="225"/>
    </row>
    <row r="299" spans="16:17" ht="14.25" customHeight="1" x14ac:dyDescent="0.3">
      <c r="P299" s="225"/>
      <c r="Q299" s="225"/>
    </row>
    <row r="300" spans="16:17" ht="14.25" customHeight="1" x14ac:dyDescent="0.3">
      <c r="P300" s="225"/>
      <c r="Q300" s="225"/>
    </row>
    <row r="301" spans="16:17" ht="14.25" customHeight="1" x14ac:dyDescent="0.3">
      <c r="P301" s="225"/>
      <c r="Q301" s="225"/>
    </row>
    <row r="302" spans="16:17" ht="14.25" customHeight="1" x14ac:dyDescent="0.3">
      <c r="P302" s="225"/>
      <c r="Q302" s="225"/>
    </row>
    <row r="303" spans="16:17" ht="14.25" customHeight="1" x14ac:dyDescent="0.3">
      <c r="P303" s="225"/>
      <c r="Q303" s="225"/>
    </row>
    <row r="304" spans="16:17" ht="14.25" customHeight="1" x14ac:dyDescent="0.3">
      <c r="P304" s="225"/>
      <c r="Q304" s="225"/>
    </row>
    <row r="305" spans="16:17" ht="14.25" customHeight="1" x14ac:dyDescent="0.3">
      <c r="P305" s="225"/>
      <c r="Q305" s="225"/>
    </row>
    <row r="306" spans="16:17" ht="14.25" customHeight="1" x14ac:dyDescent="0.3">
      <c r="P306" s="225"/>
      <c r="Q306" s="225"/>
    </row>
    <row r="307" spans="16:17" ht="14.25" customHeight="1" x14ac:dyDescent="0.3">
      <c r="P307" s="225"/>
      <c r="Q307" s="225"/>
    </row>
    <row r="308" spans="16:17" ht="14.25" customHeight="1" x14ac:dyDescent="0.3">
      <c r="P308" s="225"/>
      <c r="Q308" s="225"/>
    </row>
    <row r="309" spans="16:17" ht="14.25" customHeight="1" x14ac:dyDescent="0.3">
      <c r="P309" s="225"/>
      <c r="Q309" s="225"/>
    </row>
    <row r="310" spans="16:17" ht="14.25" customHeight="1" x14ac:dyDescent="0.3">
      <c r="P310" s="225"/>
      <c r="Q310" s="225"/>
    </row>
    <row r="311" spans="16:17" ht="14.25" customHeight="1" x14ac:dyDescent="0.3">
      <c r="P311" s="225"/>
      <c r="Q311" s="225"/>
    </row>
    <row r="312" spans="16:17" ht="14.25" customHeight="1" x14ac:dyDescent="0.3">
      <c r="P312" s="225"/>
      <c r="Q312" s="225"/>
    </row>
    <row r="313" spans="16:17" ht="14.25" customHeight="1" x14ac:dyDescent="0.3">
      <c r="P313" s="225"/>
      <c r="Q313" s="225"/>
    </row>
    <row r="314" spans="16:17" ht="14.25" customHeight="1" x14ac:dyDescent="0.3">
      <c r="P314" s="225"/>
      <c r="Q314" s="225"/>
    </row>
    <row r="315" spans="16:17" ht="14.25" customHeight="1" x14ac:dyDescent="0.3">
      <c r="P315" s="225"/>
      <c r="Q315" s="225"/>
    </row>
    <row r="316" spans="16:17" ht="14.25" customHeight="1" x14ac:dyDescent="0.3">
      <c r="P316" s="225"/>
      <c r="Q316" s="225"/>
    </row>
    <row r="317" spans="16:17" ht="14.25" customHeight="1" x14ac:dyDescent="0.3">
      <c r="P317" s="225"/>
      <c r="Q317" s="225"/>
    </row>
    <row r="318" spans="16:17" ht="14.25" customHeight="1" x14ac:dyDescent="0.3">
      <c r="P318" s="225"/>
      <c r="Q318" s="225"/>
    </row>
    <row r="319" spans="16:17" ht="14.25" customHeight="1" x14ac:dyDescent="0.3">
      <c r="P319" s="225"/>
      <c r="Q319" s="225"/>
    </row>
    <row r="320" spans="16:17" ht="14.25" customHeight="1" x14ac:dyDescent="0.3">
      <c r="P320" s="225"/>
      <c r="Q320" s="225"/>
    </row>
    <row r="321" spans="16:17" ht="14.25" customHeight="1" x14ac:dyDescent="0.3">
      <c r="P321" s="225"/>
      <c r="Q321" s="225"/>
    </row>
    <row r="322" spans="16:17" ht="14.25" customHeight="1" x14ac:dyDescent="0.3">
      <c r="P322" s="225"/>
      <c r="Q322" s="225"/>
    </row>
    <row r="323" spans="16:17" ht="14.25" customHeight="1" x14ac:dyDescent="0.3">
      <c r="P323" s="225"/>
      <c r="Q323" s="225"/>
    </row>
    <row r="324" spans="16:17" ht="14.25" customHeight="1" x14ac:dyDescent="0.3">
      <c r="P324" s="225"/>
      <c r="Q324" s="225"/>
    </row>
    <row r="325" spans="16:17" ht="14.25" customHeight="1" x14ac:dyDescent="0.3">
      <c r="P325" s="225"/>
      <c r="Q325" s="225"/>
    </row>
    <row r="326" spans="16:17" ht="14.25" customHeight="1" x14ac:dyDescent="0.3">
      <c r="P326" s="225"/>
      <c r="Q326" s="225"/>
    </row>
    <row r="327" spans="16:17" ht="14.25" customHeight="1" x14ac:dyDescent="0.3">
      <c r="P327" s="225"/>
      <c r="Q327" s="225"/>
    </row>
    <row r="328" spans="16:17" ht="14.25" customHeight="1" x14ac:dyDescent="0.3">
      <c r="P328" s="225"/>
      <c r="Q328" s="225"/>
    </row>
    <row r="329" spans="16:17" ht="14.25" customHeight="1" x14ac:dyDescent="0.3">
      <c r="P329" s="225"/>
      <c r="Q329" s="225"/>
    </row>
    <row r="330" spans="16:17" ht="14.25" customHeight="1" x14ac:dyDescent="0.3">
      <c r="P330" s="225"/>
      <c r="Q330" s="225"/>
    </row>
    <row r="331" spans="16:17" ht="14.25" customHeight="1" x14ac:dyDescent="0.3">
      <c r="P331" s="225"/>
      <c r="Q331" s="225"/>
    </row>
    <row r="332" spans="16:17" ht="14.25" customHeight="1" x14ac:dyDescent="0.3">
      <c r="P332" s="225"/>
      <c r="Q332" s="225"/>
    </row>
    <row r="333" spans="16:17" ht="14.25" customHeight="1" x14ac:dyDescent="0.3">
      <c r="P333" s="225"/>
      <c r="Q333" s="225"/>
    </row>
    <row r="334" spans="16:17" ht="14.25" customHeight="1" x14ac:dyDescent="0.3">
      <c r="P334" s="225"/>
      <c r="Q334" s="225"/>
    </row>
    <row r="335" spans="16:17" ht="14.25" customHeight="1" x14ac:dyDescent="0.3">
      <c r="P335" s="225"/>
      <c r="Q335" s="225"/>
    </row>
    <row r="336" spans="16:17" ht="14.25" customHeight="1" x14ac:dyDescent="0.3">
      <c r="P336" s="225"/>
      <c r="Q336" s="225"/>
    </row>
    <row r="337" spans="16:17" ht="14.25" customHeight="1" x14ac:dyDescent="0.3">
      <c r="P337" s="225"/>
      <c r="Q337" s="225"/>
    </row>
    <row r="338" spans="16:17" ht="14.25" customHeight="1" x14ac:dyDescent="0.3">
      <c r="P338" s="225"/>
      <c r="Q338" s="225"/>
    </row>
    <row r="339" spans="16:17" ht="14.25" customHeight="1" x14ac:dyDescent="0.3">
      <c r="P339" s="225"/>
      <c r="Q339" s="225"/>
    </row>
    <row r="340" spans="16:17" ht="14.25" customHeight="1" x14ac:dyDescent="0.3">
      <c r="P340" s="225"/>
      <c r="Q340" s="225"/>
    </row>
    <row r="341" spans="16:17" ht="14.25" customHeight="1" x14ac:dyDescent="0.3">
      <c r="P341" s="225"/>
      <c r="Q341" s="225"/>
    </row>
    <row r="342" spans="16:17" ht="14.25" customHeight="1" x14ac:dyDescent="0.3">
      <c r="P342" s="225"/>
      <c r="Q342" s="225"/>
    </row>
    <row r="343" spans="16:17" ht="14.25" customHeight="1" x14ac:dyDescent="0.3">
      <c r="P343" s="225"/>
      <c r="Q343" s="225"/>
    </row>
    <row r="344" spans="16:17" ht="14.25" customHeight="1" x14ac:dyDescent="0.3">
      <c r="P344" s="225"/>
      <c r="Q344" s="225"/>
    </row>
    <row r="345" spans="16:17" ht="14.25" customHeight="1" x14ac:dyDescent="0.3">
      <c r="P345" s="225"/>
      <c r="Q345" s="225"/>
    </row>
    <row r="346" spans="16:17" ht="14.25" customHeight="1" x14ac:dyDescent="0.3">
      <c r="P346" s="225"/>
      <c r="Q346" s="225"/>
    </row>
    <row r="347" spans="16:17" ht="14.25" customHeight="1" x14ac:dyDescent="0.3">
      <c r="P347" s="225"/>
      <c r="Q347" s="225"/>
    </row>
    <row r="348" spans="16:17" ht="14.25" customHeight="1" x14ac:dyDescent="0.3">
      <c r="P348" s="225"/>
      <c r="Q348" s="225"/>
    </row>
    <row r="349" spans="16:17" ht="14.25" customHeight="1" x14ac:dyDescent="0.3">
      <c r="P349" s="225"/>
      <c r="Q349" s="225"/>
    </row>
    <row r="350" spans="16:17" ht="14.25" customHeight="1" x14ac:dyDescent="0.3">
      <c r="P350" s="225"/>
      <c r="Q350" s="225"/>
    </row>
    <row r="351" spans="16:17" ht="14.25" customHeight="1" x14ac:dyDescent="0.3">
      <c r="P351" s="225"/>
      <c r="Q351" s="225"/>
    </row>
    <row r="352" spans="16:17" ht="14.25" customHeight="1" x14ac:dyDescent="0.3">
      <c r="P352" s="225"/>
      <c r="Q352" s="225"/>
    </row>
    <row r="353" spans="16:17" ht="14.25" customHeight="1" x14ac:dyDescent="0.3">
      <c r="P353" s="225"/>
      <c r="Q353" s="225"/>
    </row>
    <row r="354" spans="16:17" ht="14.25" customHeight="1" x14ac:dyDescent="0.3">
      <c r="P354" s="225"/>
      <c r="Q354" s="225"/>
    </row>
    <row r="355" spans="16:17" ht="14.25" customHeight="1" x14ac:dyDescent="0.3">
      <c r="P355" s="225"/>
      <c r="Q355" s="225"/>
    </row>
    <row r="356" spans="16:17" ht="14.25" customHeight="1" x14ac:dyDescent="0.3">
      <c r="P356" s="225"/>
      <c r="Q356" s="225"/>
    </row>
    <row r="357" spans="16:17" ht="14.25" customHeight="1" x14ac:dyDescent="0.3">
      <c r="P357" s="225"/>
      <c r="Q357" s="225"/>
    </row>
    <row r="358" spans="16:17" ht="14.25" customHeight="1" x14ac:dyDescent="0.3">
      <c r="P358" s="225"/>
      <c r="Q358" s="225"/>
    </row>
    <row r="359" spans="16:17" ht="14.25" customHeight="1" x14ac:dyDescent="0.3">
      <c r="P359" s="225"/>
      <c r="Q359" s="225"/>
    </row>
    <row r="360" spans="16:17" ht="14.25" customHeight="1" x14ac:dyDescent="0.3">
      <c r="P360" s="225"/>
      <c r="Q360" s="225"/>
    </row>
    <row r="361" spans="16:17" ht="14.25" customHeight="1" x14ac:dyDescent="0.3">
      <c r="P361" s="225"/>
      <c r="Q361" s="225"/>
    </row>
    <row r="362" spans="16:17" ht="14.25" customHeight="1" x14ac:dyDescent="0.3">
      <c r="P362" s="225"/>
      <c r="Q362" s="225"/>
    </row>
    <row r="363" spans="16:17" ht="14.25" customHeight="1" x14ac:dyDescent="0.3">
      <c r="P363" s="225"/>
      <c r="Q363" s="225"/>
    </row>
    <row r="364" spans="16:17" ht="14.25" customHeight="1" x14ac:dyDescent="0.3">
      <c r="P364" s="225"/>
      <c r="Q364" s="225"/>
    </row>
    <row r="365" spans="16:17" ht="14.25" customHeight="1" x14ac:dyDescent="0.3">
      <c r="P365" s="225"/>
      <c r="Q365" s="225"/>
    </row>
    <row r="366" spans="16:17" ht="14.25" customHeight="1" x14ac:dyDescent="0.3">
      <c r="P366" s="225"/>
      <c r="Q366" s="225"/>
    </row>
    <row r="367" spans="16:17" ht="14.25" customHeight="1" x14ac:dyDescent="0.3">
      <c r="P367" s="225"/>
      <c r="Q367" s="225"/>
    </row>
    <row r="368" spans="16:17" ht="14.25" customHeight="1" x14ac:dyDescent="0.3">
      <c r="P368" s="225"/>
      <c r="Q368" s="225"/>
    </row>
    <row r="369" spans="16:17" ht="14.25" customHeight="1" x14ac:dyDescent="0.3">
      <c r="P369" s="225"/>
      <c r="Q369" s="225"/>
    </row>
    <row r="370" spans="16:17" ht="14.25" customHeight="1" x14ac:dyDescent="0.3">
      <c r="P370" s="225"/>
      <c r="Q370" s="225"/>
    </row>
    <row r="371" spans="16:17" ht="14.25" customHeight="1" x14ac:dyDescent="0.3">
      <c r="P371" s="225"/>
      <c r="Q371" s="225"/>
    </row>
    <row r="372" spans="16:17" ht="14.25" customHeight="1" x14ac:dyDescent="0.3">
      <c r="P372" s="225"/>
      <c r="Q372" s="225"/>
    </row>
    <row r="373" spans="16:17" ht="14.25" customHeight="1" x14ac:dyDescent="0.3">
      <c r="P373" s="225"/>
      <c r="Q373" s="225"/>
    </row>
    <row r="374" spans="16:17" ht="14.25" customHeight="1" x14ac:dyDescent="0.3">
      <c r="P374" s="225"/>
      <c r="Q374" s="225"/>
    </row>
    <row r="375" spans="16:17" ht="14.25" customHeight="1" x14ac:dyDescent="0.3">
      <c r="P375" s="225"/>
      <c r="Q375" s="225"/>
    </row>
    <row r="376" spans="16:17" ht="14.25" customHeight="1" x14ac:dyDescent="0.3">
      <c r="P376" s="225"/>
      <c r="Q376" s="225"/>
    </row>
    <row r="377" spans="16:17" ht="14.25" customHeight="1" x14ac:dyDescent="0.3">
      <c r="P377" s="225"/>
      <c r="Q377" s="225"/>
    </row>
    <row r="378" spans="16:17" ht="14.25" customHeight="1" x14ac:dyDescent="0.3">
      <c r="P378" s="225"/>
      <c r="Q378" s="225"/>
    </row>
    <row r="379" spans="16:17" ht="14.25" customHeight="1" x14ac:dyDescent="0.3">
      <c r="P379" s="225"/>
      <c r="Q379" s="225"/>
    </row>
    <row r="380" spans="16:17" ht="14.25" customHeight="1" x14ac:dyDescent="0.3">
      <c r="P380" s="225"/>
      <c r="Q380" s="225"/>
    </row>
    <row r="381" spans="16:17" ht="14.25" customHeight="1" x14ac:dyDescent="0.3">
      <c r="P381" s="225"/>
      <c r="Q381" s="225"/>
    </row>
    <row r="382" spans="16:17" ht="14.25" customHeight="1" x14ac:dyDescent="0.3">
      <c r="P382" s="225"/>
      <c r="Q382" s="225"/>
    </row>
    <row r="383" spans="16:17" ht="14.25" customHeight="1" x14ac:dyDescent="0.3">
      <c r="P383" s="225"/>
      <c r="Q383" s="225"/>
    </row>
    <row r="384" spans="16:17" ht="14.25" customHeight="1" x14ac:dyDescent="0.3">
      <c r="P384" s="225"/>
      <c r="Q384" s="225"/>
    </row>
    <row r="385" spans="16:17" ht="14.25" customHeight="1" x14ac:dyDescent="0.3">
      <c r="P385" s="225"/>
      <c r="Q385" s="225"/>
    </row>
    <row r="386" spans="16:17" ht="14.25" customHeight="1" x14ac:dyDescent="0.3">
      <c r="P386" s="225"/>
      <c r="Q386" s="225"/>
    </row>
    <row r="387" spans="16:17" ht="14.25" customHeight="1" x14ac:dyDescent="0.3">
      <c r="P387" s="225"/>
      <c r="Q387" s="225"/>
    </row>
    <row r="388" spans="16:17" ht="14.25" customHeight="1" x14ac:dyDescent="0.3">
      <c r="P388" s="225"/>
      <c r="Q388" s="225"/>
    </row>
    <row r="389" spans="16:17" ht="14.25" customHeight="1" x14ac:dyDescent="0.3">
      <c r="P389" s="225"/>
      <c r="Q389" s="225"/>
    </row>
    <row r="390" spans="16:17" ht="14.25" customHeight="1" x14ac:dyDescent="0.3">
      <c r="P390" s="225"/>
      <c r="Q390" s="225"/>
    </row>
    <row r="391" spans="16:17" ht="14.25" customHeight="1" x14ac:dyDescent="0.3">
      <c r="P391" s="225"/>
      <c r="Q391" s="225"/>
    </row>
    <row r="392" spans="16:17" ht="14.25" customHeight="1" x14ac:dyDescent="0.3">
      <c r="P392" s="225"/>
      <c r="Q392" s="225"/>
    </row>
    <row r="393" spans="16:17" ht="14.25" customHeight="1" x14ac:dyDescent="0.3">
      <c r="P393" s="225"/>
      <c r="Q393" s="225"/>
    </row>
    <row r="394" spans="16:17" ht="14.25" customHeight="1" x14ac:dyDescent="0.3">
      <c r="P394" s="225"/>
      <c r="Q394" s="225"/>
    </row>
    <row r="395" spans="16:17" ht="14.25" customHeight="1" x14ac:dyDescent="0.3">
      <c r="P395" s="225"/>
      <c r="Q395" s="225"/>
    </row>
    <row r="396" spans="16:17" ht="14.25" customHeight="1" x14ac:dyDescent="0.3">
      <c r="P396" s="225"/>
      <c r="Q396" s="225"/>
    </row>
    <row r="397" spans="16:17" ht="14.25" customHeight="1" x14ac:dyDescent="0.3">
      <c r="P397" s="225"/>
      <c r="Q397" s="225"/>
    </row>
    <row r="398" spans="16:17" ht="14.25" customHeight="1" x14ac:dyDescent="0.3">
      <c r="P398" s="225"/>
      <c r="Q398" s="225"/>
    </row>
    <row r="399" spans="16:17" ht="14.25" customHeight="1" x14ac:dyDescent="0.3">
      <c r="P399" s="225"/>
      <c r="Q399" s="225"/>
    </row>
    <row r="400" spans="16:17" ht="14.25" customHeight="1" x14ac:dyDescent="0.3">
      <c r="P400" s="225"/>
      <c r="Q400" s="225"/>
    </row>
    <row r="401" spans="16:17" ht="14.25" customHeight="1" x14ac:dyDescent="0.3">
      <c r="P401" s="225"/>
      <c r="Q401" s="225"/>
    </row>
    <row r="402" spans="16:17" ht="14.25" customHeight="1" x14ac:dyDescent="0.3">
      <c r="P402" s="225"/>
      <c r="Q402" s="225"/>
    </row>
    <row r="403" spans="16:17" ht="14.25" customHeight="1" x14ac:dyDescent="0.3">
      <c r="P403" s="225"/>
      <c r="Q403" s="225"/>
    </row>
    <row r="404" spans="16:17" ht="14.25" customHeight="1" x14ac:dyDescent="0.3">
      <c r="P404" s="225"/>
      <c r="Q404" s="225"/>
    </row>
    <row r="405" spans="16:17" ht="14.25" customHeight="1" x14ac:dyDescent="0.3">
      <c r="P405" s="225"/>
      <c r="Q405" s="225"/>
    </row>
    <row r="406" spans="16:17" ht="14.25" customHeight="1" x14ac:dyDescent="0.3">
      <c r="P406" s="225"/>
      <c r="Q406" s="225"/>
    </row>
    <row r="407" spans="16:17" ht="14.25" customHeight="1" x14ac:dyDescent="0.3">
      <c r="P407" s="225"/>
      <c r="Q407" s="225"/>
    </row>
    <row r="408" spans="16:17" ht="14.25" customHeight="1" x14ac:dyDescent="0.3">
      <c r="P408" s="225"/>
      <c r="Q408" s="225"/>
    </row>
    <row r="409" spans="16:17" ht="14.25" customHeight="1" x14ac:dyDescent="0.3">
      <c r="P409" s="225"/>
      <c r="Q409" s="225"/>
    </row>
    <row r="410" spans="16:17" ht="14.25" customHeight="1" x14ac:dyDescent="0.3">
      <c r="P410" s="225"/>
      <c r="Q410" s="225"/>
    </row>
    <row r="411" spans="16:17" ht="14.25" customHeight="1" x14ac:dyDescent="0.3">
      <c r="P411" s="225"/>
      <c r="Q411" s="225"/>
    </row>
    <row r="412" spans="16:17" ht="14.25" customHeight="1" x14ac:dyDescent="0.3">
      <c r="P412" s="225"/>
      <c r="Q412" s="225"/>
    </row>
    <row r="413" spans="16:17" ht="14.25" customHeight="1" x14ac:dyDescent="0.3">
      <c r="P413" s="225"/>
      <c r="Q413" s="225"/>
    </row>
    <row r="414" spans="16:17" ht="14.25" customHeight="1" x14ac:dyDescent="0.3">
      <c r="P414" s="225"/>
      <c r="Q414" s="225"/>
    </row>
    <row r="415" spans="16:17" ht="14.25" customHeight="1" x14ac:dyDescent="0.3">
      <c r="P415" s="225"/>
      <c r="Q415" s="225"/>
    </row>
    <row r="416" spans="16:17" ht="14.25" customHeight="1" x14ac:dyDescent="0.3">
      <c r="P416" s="225"/>
      <c r="Q416" s="225"/>
    </row>
    <row r="417" spans="16:17" ht="14.25" customHeight="1" x14ac:dyDescent="0.3">
      <c r="P417" s="225"/>
      <c r="Q417" s="225"/>
    </row>
    <row r="418" spans="16:17" ht="14.25" customHeight="1" x14ac:dyDescent="0.3">
      <c r="P418" s="225"/>
      <c r="Q418" s="225"/>
    </row>
    <row r="419" spans="16:17" ht="14.25" customHeight="1" x14ac:dyDescent="0.3">
      <c r="P419" s="225"/>
      <c r="Q419" s="225"/>
    </row>
    <row r="420" spans="16:17" ht="14.25" customHeight="1" x14ac:dyDescent="0.3">
      <c r="P420" s="225"/>
      <c r="Q420" s="225"/>
    </row>
    <row r="421" spans="16:17" ht="14.25" customHeight="1" x14ac:dyDescent="0.3">
      <c r="P421" s="225"/>
      <c r="Q421" s="225"/>
    </row>
    <row r="422" spans="16:17" ht="14.25" customHeight="1" x14ac:dyDescent="0.3">
      <c r="P422" s="225"/>
      <c r="Q422" s="225"/>
    </row>
    <row r="423" spans="16:17" ht="14.25" customHeight="1" x14ac:dyDescent="0.3">
      <c r="P423" s="225"/>
      <c r="Q423" s="225"/>
    </row>
    <row r="424" spans="16:17" ht="14.25" customHeight="1" x14ac:dyDescent="0.3">
      <c r="P424" s="225"/>
      <c r="Q424" s="225"/>
    </row>
    <row r="425" spans="16:17" ht="14.25" customHeight="1" x14ac:dyDescent="0.3">
      <c r="P425" s="225"/>
      <c r="Q425" s="225"/>
    </row>
    <row r="426" spans="16:17" ht="14.25" customHeight="1" x14ac:dyDescent="0.3">
      <c r="P426" s="225"/>
      <c r="Q426" s="225"/>
    </row>
    <row r="427" spans="16:17" ht="14.25" customHeight="1" x14ac:dyDescent="0.3">
      <c r="P427" s="225"/>
      <c r="Q427" s="225"/>
    </row>
    <row r="428" spans="16:17" ht="14.25" customHeight="1" x14ac:dyDescent="0.3">
      <c r="P428" s="225"/>
      <c r="Q428" s="225"/>
    </row>
    <row r="429" spans="16:17" ht="14.25" customHeight="1" x14ac:dyDescent="0.3">
      <c r="P429" s="225"/>
      <c r="Q429" s="225"/>
    </row>
    <row r="430" spans="16:17" ht="14.25" customHeight="1" x14ac:dyDescent="0.3">
      <c r="P430" s="225"/>
      <c r="Q430" s="225"/>
    </row>
    <row r="431" spans="16:17" ht="14.25" customHeight="1" x14ac:dyDescent="0.3">
      <c r="P431" s="225"/>
      <c r="Q431" s="225"/>
    </row>
    <row r="432" spans="16:17" ht="14.25" customHeight="1" x14ac:dyDescent="0.3">
      <c r="P432" s="225"/>
      <c r="Q432" s="225"/>
    </row>
    <row r="433" spans="16:17" ht="14.25" customHeight="1" x14ac:dyDescent="0.3">
      <c r="P433" s="225"/>
      <c r="Q433" s="225"/>
    </row>
    <row r="434" spans="16:17" ht="14.25" customHeight="1" x14ac:dyDescent="0.3">
      <c r="P434" s="225"/>
      <c r="Q434" s="225"/>
    </row>
    <row r="435" spans="16:17" ht="14.25" customHeight="1" x14ac:dyDescent="0.3">
      <c r="P435" s="225"/>
      <c r="Q435" s="225"/>
    </row>
    <row r="436" spans="16:17" ht="14.25" customHeight="1" x14ac:dyDescent="0.3">
      <c r="P436" s="225"/>
      <c r="Q436" s="225"/>
    </row>
    <row r="437" spans="16:17" ht="14.25" customHeight="1" x14ac:dyDescent="0.3">
      <c r="P437" s="225"/>
      <c r="Q437" s="225"/>
    </row>
    <row r="438" spans="16:17" ht="14.25" customHeight="1" x14ac:dyDescent="0.3">
      <c r="P438" s="225"/>
      <c r="Q438" s="225"/>
    </row>
    <row r="439" spans="16:17" ht="14.25" customHeight="1" x14ac:dyDescent="0.3">
      <c r="P439" s="225"/>
      <c r="Q439" s="225"/>
    </row>
    <row r="440" spans="16:17" ht="14.25" customHeight="1" x14ac:dyDescent="0.3">
      <c r="P440" s="225"/>
      <c r="Q440" s="225"/>
    </row>
    <row r="441" spans="16:17" ht="14.25" customHeight="1" x14ac:dyDescent="0.3">
      <c r="P441" s="225"/>
      <c r="Q441" s="225"/>
    </row>
    <row r="442" spans="16:17" ht="14.25" customHeight="1" x14ac:dyDescent="0.3">
      <c r="P442" s="225"/>
      <c r="Q442" s="225"/>
    </row>
    <row r="443" spans="16:17" ht="14.25" customHeight="1" x14ac:dyDescent="0.3">
      <c r="P443" s="225"/>
      <c r="Q443" s="225"/>
    </row>
    <row r="444" spans="16:17" ht="14.25" customHeight="1" x14ac:dyDescent="0.3">
      <c r="P444" s="225"/>
      <c r="Q444" s="225"/>
    </row>
    <row r="445" spans="16:17" ht="14.25" customHeight="1" x14ac:dyDescent="0.3">
      <c r="P445" s="225"/>
      <c r="Q445" s="225"/>
    </row>
    <row r="446" spans="16:17" ht="14.25" customHeight="1" x14ac:dyDescent="0.3">
      <c r="P446" s="225"/>
      <c r="Q446" s="225"/>
    </row>
    <row r="447" spans="16:17" ht="14.25" customHeight="1" x14ac:dyDescent="0.3">
      <c r="P447" s="225"/>
      <c r="Q447" s="225"/>
    </row>
    <row r="448" spans="16:17" ht="14.25" customHeight="1" x14ac:dyDescent="0.3">
      <c r="P448" s="225"/>
      <c r="Q448" s="225"/>
    </row>
    <row r="449" spans="16:17" ht="14.25" customHeight="1" x14ac:dyDescent="0.3">
      <c r="P449" s="225"/>
      <c r="Q449" s="225"/>
    </row>
    <row r="450" spans="16:17" ht="14.25" customHeight="1" x14ac:dyDescent="0.3">
      <c r="P450" s="225"/>
      <c r="Q450" s="225"/>
    </row>
    <row r="451" spans="16:17" ht="14.25" customHeight="1" x14ac:dyDescent="0.3">
      <c r="P451" s="225"/>
      <c r="Q451" s="225"/>
    </row>
    <row r="452" spans="16:17" ht="14.25" customHeight="1" x14ac:dyDescent="0.3">
      <c r="P452" s="225"/>
      <c r="Q452" s="225"/>
    </row>
    <row r="453" spans="16:17" ht="14.25" customHeight="1" x14ac:dyDescent="0.3">
      <c r="P453" s="225"/>
      <c r="Q453" s="225"/>
    </row>
    <row r="454" spans="16:17" ht="14.25" customHeight="1" x14ac:dyDescent="0.3">
      <c r="P454" s="225"/>
      <c r="Q454" s="225"/>
    </row>
    <row r="455" spans="16:17" ht="14.25" customHeight="1" x14ac:dyDescent="0.3">
      <c r="P455" s="225"/>
      <c r="Q455" s="225"/>
    </row>
    <row r="456" spans="16:17" ht="14.25" customHeight="1" x14ac:dyDescent="0.3">
      <c r="P456" s="225"/>
      <c r="Q456" s="225"/>
    </row>
    <row r="457" spans="16:17" ht="14.25" customHeight="1" x14ac:dyDescent="0.3">
      <c r="P457" s="225"/>
      <c r="Q457" s="225"/>
    </row>
    <row r="458" spans="16:17" ht="14.25" customHeight="1" x14ac:dyDescent="0.3">
      <c r="P458" s="225"/>
      <c r="Q458" s="225"/>
    </row>
    <row r="459" spans="16:17" ht="14.25" customHeight="1" x14ac:dyDescent="0.3">
      <c r="P459" s="225"/>
      <c r="Q459" s="225"/>
    </row>
    <row r="460" spans="16:17" ht="14.25" customHeight="1" x14ac:dyDescent="0.3">
      <c r="P460" s="225"/>
      <c r="Q460" s="225"/>
    </row>
    <row r="461" spans="16:17" ht="14.25" customHeight="1" x14ac:dyDescent="0.3">
      <c r="P461" s="225"/>
      <c r="Q461" s="225"/>
    </row>
    <row r="462" spans="16:17" ht="14.25" customHeight="1" x14ac:dyDescent="0.3">
      <c r="P462" s="225"/>
      <c r="Q462" s="225"/>
    </row>
    <row r="463" spans="16:17" ht="14.25" customHeight="1" x14ac:dyDescent="0.3">
      <c r="P463" s="225"/>
      <c r="Q463" s="225"/>
    </row>
    <row r="464" spans="16:17" ht="14.25" customHeight="1" x14ac:dyDescent="0.3">
      <c r="P464" s="225"/>
      <c r="Q464" s="225"/>
    </row>
    <row r="465" spans="16:17" ht="14.25" customHeight="1" x14ac:dyDescent="0.3">
      <c r="P465" s="225"/>
      <c r="Q465" s="225"/>
    </row>
    <row r="466" spans="16:17" ht="14.25" customHeight="1" x14ac:dyDescent="0.3">
      <c r="P466" s="225"/>
      <c r="Q466" s="225"/>
    </row>
    <row r="467" spans="16:17" ht="14.25" customHeight="1" x14ac:dyDescent="0.3">
      <c r="P467" s="225"/>
      <c r="Q467" s="225"/>
    </row>
    <row r="468" spans="16:17" ht="14.25" customHeight="1" x14ac:dyDescent="0.3">
      <c r="P468" s="225"/>
      <c r="Q468" s="225"/>
    </row>
    <row r="469" spans="16:17" ht="14.25" customHeight="1" x14ac:dyDescent="0.3">
      <c r="P469" s="225"/>
      <c r="Q469" s="225"/>
    </row>
    <row r="470" spans="16:17" ht="14.25" customHeight="1" x14ac:dyDescent="0.3">
      <c r="P470" s="225"/>
      <c r="Q470" s="225"/>
    </row>
    <row r="471" spans="16:17" ht="14.25" customHeight="1" x14ac:dyDescent="0.3">
      <c r="P471" s="225"/>
      <c r="Q471" s="225"/>
    </row>
    <row r="472" spans="16:17" ht="14.25" customHeight="1" x14ac:dyDescent="0.3">
      <c r="P472" s="225"/>
      <c r="Q472" s="225"/>
    </row>
    <row r="473" spans="16:17" ht="14.25" customHeight="1" x14ac:dyDescent="0.3">
      <c r="P473" s="225"/>
      <c r="Q473" s="225"/>
    </row>
    <row r="474" spans="16:17" ht="14.25" customHeight="1" x14ac:dyDescent="0.3">
      <c r="P474" s="225"/>
      <c r="Q474" s="225"/>
    </row>
    <row r="475" spans="16:17" ht="14.25" customHeight="1" x14ac:dyDescent="0.3">
      <c r="P475" s="225"/>
      <c r="Q475" s="225"/>
    </row>
    <row r="476" spans="16:17" ht="14.25" customHeight="1" x14ac:dyDescent="0.3">
      <c r="P476" s="225"/>
      <c r="Q476" s="225"/>
    </row>
    <row r="477" spans="16:17" ht="14.25" customHeight="1" x14ac:dyDescent="0.3">
      <c r="P477" s="225"/>
      <c r="Q477" s="225"/>
    </row>
    <row r="478" spans="16:17" ht="14.25" customHeight="1" x14ac:dyDescent="0.3">
      <c r="P478" s="225"/>
      <c r="Q478" s="225"/>
    </row>
    <row r="479" spans="16:17" ht="14.25" customHeight="1" x14ac:dyDescent="0.3">
      <c r="P479" s="225"/>
      <c r="Q479" s="225"/>
    </row>
    <row r="480" spans="16:17" ht="14.25" customHeight="1" x14ac:dyDescent="0.3">
      <c r="P480" s="225"/>
      <c r="Q480" s="225"/>
    </row>
    <row r="481" spans="16:17" ht="14.25" customHeight="1" x14ac:dyDescent="0.3">
      <c r="P481" s="225"/>
      <c r="Q481" s="225"/>
    </row>
    <row r="482" spans="16:17" ht="14.25" customHeight="1" x14ac:dyDescent="0.3">
      <c r="P482" s="225"/>
      <c r="Q482" s="225"/>
    </row>
    <row r="483" spans="16:17" ht="14.25" customHeight="1" x14ac:dyDescent="0.3">
      <c r="P483" s="225"/>
      <c r="Q483" s="225"/>
    </row>
    <row r="484" spans="16:17" ht="14.25" customHeight="1" x14ac:dyDescent="0.3">
      <c r="P484" s="225"/>
      <c r="Q484" s="225"/>
    </row>
    <row r="485" spans="16:17" ht="14.25" customHeight="1" x14ac:dyDescent="0.3">
      <c r="P485" s="225"/>
      <c r="Q485" s="225"/>
    </row>
    <row r="486" spans="16:17" ht="14.25" customHeight="1" x14ac:dyDescent="0.3">
      <c r="P486" s="225"/>
      <c r="Q486" s="225"/>
    </row>
    <row r="487" spans="16:17" ht="14.25" customHeight="1" x14ac:dyDescent="0.3">
      <c r="P487" s="225"/>
      <c r="Q487" s="225"/>
    </row>
    <row r="488" spans="16:17" ht="14.25" customHeight="1" x14ac:dyDescent="0.3">
      <c r="P488" s="225"/>
      <c r="Q488" s="225"/>
    </row>
    <row r="489" spans="16:17" ht="14.25" customHeight="1" x14ac:dyDescent="0.3">
      <c r="P489" s="225"/>
      <c r="Q489" s="225"/>
    </row>
    <row r="490" spans="16:17" ht="14.25" customHeight="1" x14ac:dyDescent="0.3">
      <c r="P490" s="225"/>
      <c r="Q490" s="225"/>
    </row>
    <row r="491" spans="16:17" ht="14.25" customHeight="1" x14ac:dyDescent="0.3">
      <c r="P491" s="225"/>
      <c r="Q491" s="225"/>
    </row>
    <row r="492" spans="16:17" ht="14.25" customHeight="1" x14ac:dyDescent="0.3">
      <c r="P492" s="225"/>
      <c r="Q492" s="225"/>
    </row>
    <row r="493" spans="16:17" ht="14.25" customHeight="1" x14ac:dyDescent="0.3">
      <c r="P493" s="225"/>
      <c r="Q493" s="225"/>
    </row>
    <row r="494" spans="16:17" ht="14.25" customHeight="1" x14ac:dyDescent="0.3">
      <c r="P494" s="225"/>
      <c r="Q494" s="225"/>
    </row>
    <row r="495" spans="16:17" ht="14.25" customHeight="1" x14ac:dyDescent="0.3">
      <c r="P495" s="225"/>
      <c r="Q495" s="225"/>
    </row>
    <row r="496" spans="16:17" ht="14.25" customHeight="1" x14ac:dyDescent="0.3">
      <c r="P496" s="225"/>
      <c r="Q496" s="225"/>
    </row>
    <row r="497" spans="16:17" ht="14.25" customHeight="1" x14ac:dyDescent="0.3">
      <c r="P497" s="225"/>
      <c r="Q497" s="225"/>
    </row>
    <row r="498" spans="16:17" ht="14.25" customHeight="1" x14ac:dyDescent="0.3">
      <c r="P498" s="225"/>
      <c r="Q498" s="225"/>
    </row>
    <row r="499" spans="16:17" ht="14.25" customHeight="1" x14ac:dyDescent="0.3">
      <c r="P499" s="225"/>
      <c r="Q499" s="225"/>
    </row>
    <row r="500" spans="16:17" ht="14.25" customHeight="1" x14ac:dyDescent="0.3">
      <c r="P500" s="225"/>
      <c r="Q500" s="225"/>
    </row>
    <row r="501" spans="16:17" ht="14.25" customHeight="1" x14ac:dyDescent="0.3">
      <c r="P501" s="225"/>
      <c r="Q501" s="225"/>
    </row>
    <row r="502" spans="16:17" ht="14.25" customHeight="1" x14ac:dyDescent="0.3">
      <c r="P502" s="225"/>
      <c r="Q502" s="225"/>
    </row>
    <row r="503" spans="16:17" ht="14.25" customHeight="1" x14ac:dyDescent="0.3">
      <c r="P503" s="225"/>
      <c r="Q503" s="225"/>
    </row>
    <row r="504" spans="16:17" ht="14.25" customHeight="1" x14ac:dyDescent="0.3">
      <c r="P504" s="225"/>
      <c r="Q504" s="225"/>
    </row>
    <row r="505" spans="16:17" ht="14.25" customHeight="1" x14ac:dyDescent="0.3">
      <c r="P505" s="225"/>
      <c r="Q505" s="225"/>
    </row>
    <row r="506" spans="16:17" ht="14.25" customHeight="1" x14ac:dyDescent="0.3">
      <c r="P506" s="225"/>
      <c r="Q506" s="225"/>
    </row>
    <row r="507" spans="16:17" ht="14.25" customHeight="1" x14ac:dyDescent="0.3">
      <c r="P507" s="225"/>
      <c r="Q507" s="225"/>
    </row>
    <row r="508" spans="16:17" ht="14.25" customHeight="1" x14ac:dyDescent="0.3">
      <c r="P508" s="225"/>
      <c r="Q508" s="225"/>
    </row>
    <row r="509" spans="16:17" ht="14.25" customHeight="1" x14ac:dyDescent="0.3">
      <c r="P509" s="225"/>
      <c r="Q509" s="225"/>
    </row>
    <row r="510" spans="16:17" ht="14.25" customHeight="1" x14ac:dyDescent="0.3">
      <c r="P510" s="225"/>
      <c r="Q510" s="225"/>
    </row>
    <row r="511" spans="16:17" ht="14.25" customHeight="1" x14ac:dyDescent="0.3">
      <c r="P511" s="225"/>
      <c r="Q511" s="225"/>
    </row>
    <row r="512" spans="16:17" ht="14.25" customHeight="1" x14ac:dyDescent="0.3">
      <c r="P512" s="225"/>
      <c r="Q512" s="225"/>
    </row>
    <row r="513" spans="16:17" ht="14.25" customHeight="1" x14ac:dyDescent="0.3">
      <c r="P513" s="225"/>
      <c r="Q513" s="225"/>
    </row>
    <row r="514" spans="16:17" ht="14.25" customHeight="1" x14ac:dyDescent="0.3">
      <c r="P514" s="225"/>
      <c r="Q514" s="225"/>
    </row>
    <row r="515" spans="16:17" ht="14.25" customHeight="1" x14ac:dyDescent="0.3">
      <c r="P515" s="225"/>
      <c r="Q515" s="225"/>
    </row>
    <row r="516" spans="16:17" ht="14.25" customHeight="1" x14ac:dyDescent="0.3">
      <c r="P516" s="225"/>
      <c r="Q516" s="225"/>
    </row>
    <row r="517" spans="16:17" ht="14.25" customHeight="1" x14ac:dyDescent="0.3">
      <c r="P517" s="225"/>
      <c r="Q517" s="225"/>
    </row>
    <row r="518" spans="16:17" ht="14.25" customHeight="1" x14ac:dyDescent="0.3">
      <c r="P518" s="225"/>
      <c r="Q518" s="225"/>
    </row>
    <row r="519" spans="16:17" ht="14.25" customHeight="1" x14ac:dyDescent="0.3">
      <c r="P519" s="225"/>
      <c r="Q519" s="225"/>
    </row>
    <row r="520" spans="16:17" ht="14.25" customHeight="1" x14ac:dyDescent="0.3">
      <c r="P520" s="225"/>
      <c r="Q520" s="225"/>
    </row>
    <row r="521" spans="16:17" ht="14.25" customHeight="1" x14ac:dyDescent="0.3">
      <c r="P521" s="225"/>
      <c r="Q521" s="225"/>
    </row>
    <row r="522" spans="16:17" ht="14.25" customHeight="1" x14ac:dyDescent="0.3">
      <c r="P522" s="225"/>
      <c r="Q522" s="225"/>
    </row>
    <row r="523" spans="16:17" ht="14.25" customHeight="1" x14ac:dyDescent="0.3">
      <c r="P523" s="225"/>
      <c r="Q523" s="225"/>
    </row>
    <row r="524" spans="16:17" ht="14.25" customHeight="1" x14ac:dyDescent="0.3">
      <c r="P524" s="225"/>
      <c r="Q524" s="225"/>
    </row>
    <row r="525" spans="16:17" ht="14.25" customHeight="1" x14ac:dyDescent="0.3">
      <c r="P525" s="225"/>
      <c r="Q525" s="225"/>
    </row>
    <row r="526" spans="16:17" ht="14.25" customHeight="1" x14ac:dyDescent="0.3">
      <c r="P526" s="225"/>
      <c r="Q526" s="225"/>
    </row>
    <row r="527" spans="16:17" ht="14.25" customHeight="1" x14ac:dyDescent="0.3">
      <c r="P527" s="225"/>
      <c r="Q527" s="225"/>
    </row>
    <row r="528" spans="16:17" ht="14.25" customHeight="1" x14ac:dyDescent="0.3">
      <c r="P528" s="225"/>
      <c r="Q528" s="225"/>
    </row>
    <row r="529" spans="16:17" ht="14.25" customHeight="1" x14ac:dyDescent="0.3">
      <c r="P529" s="225"/>
      <c r="Q529" s="225"/>
    </row>
    <row r="530" spans="16:17" ht="14.25" customHeight="1" x14ac:dyDescent="0.3">
      <c r="P530" s="225"/>
      <c r="Q530" s="225"/>
    </row>
    <row r="531" spans="16:17" ht="14.25" customHeight="1" x14ac:dyDescent="0.3">
      <c r="P531" s="225"/>
      <c r="Q531" s="225"/>
    </row>
    <row r="532" spans="16:17" ht="14.25" customHeight="1" x14ac:dyDescent="0.3">
      <c r="P532" s="225"/>
      <c r="Q532" s="225"/>
    </row>
    <row r="533" spans="16:17" ht="14.25" customHeight="1" x14ac:dyDescent="0.3">
      <c r="P533" s="225"/>
      <c r="Q533" s="225"/>
    </row>
    <row r="534" spans="16:17" ht="14.25" customHeight="1" x14ac:dyDescent="0.3">
      <c r="P534" s="225"/>
      <c r="Q534" s="225"/>
    </row>
    <row r="535" spans="16:17" ht="14.25" customHeight="1" x14ac:dyDescent="0.3">
      <c r="P535" s="225"/>
      <c r="Q535" s="225"/>
    </row>
    <row r="536" spans="16:17" ht="14.25" customHeight="1" x14ac:dyDescent="0.3">
      <c r="P536" s="225"/>
      <c r="Q536" s="225"/>
    </row>
    <row r="537" spans="16:17" ht="14.25" customHeight="1" x14ac:dyDescent="0.3">
      <c r="P537" s="225"/>
      <c r="Q537" s="225"/>
    </row>
    <row r="538" spans="16:17" ht="14.25" customHeight="1" x14ac:dyDescent="0.3">
      <c r="P538" s="225"/>
      <c r="Q538" s="225"/>
    </row>
    <row r="539" spans="16:17" ht="14.25" customHeight="1" x14ac:dyDescent="0.3">
      <c r="P539" s="225"/>
      <c r="Q539" s="225"/>
    </row>
    <row r="540" spans="16:17" ht="14.25" customHeight="1" x14ac:dyDescent="0.3">
      <c r="P540" s="225"/>
      <c r="Q540" s="225"/>
    </row>
    <row r="541" spans="16:17" ht="14.25" customHeight="1" x14ac:dyDescent="0.3">
      <c r="P541" s="225"/>
      <c r="Q541" s="225"/>
    </row>
    <row r="542" spans="16:17" ht="14.25" customHeight="1" x14ac:dyDescent="0.3">
      <c r="P542" s="225"/>
      <c r="Q542" s="225"/>
    </row>
    <row r="543" spans="16:17" ht="14.25" customHeight="1" x14ac:dyDescent="0.3">
      <c r="P543" s="225"/>
      <c r="Q543" s="225"/>
    </row>
    <row r="544" spans="16:17" ht="14.25" customHeight="1" x14ac:dyDescent="0.3">
      <c r="P544" s="225"/>
      <c r="Q544" s="225"/>
    </row>
    <row r="545" spans="16:17" ht="14.25" customHeight="1" x14ac:dyDescent="0.3">
      <c r="P545" s="225"/>
      <c r="Q545" s="225"/>
    </row>
    <row r="546" spans="16:17" ht="14.25" customHeight="1" x14ac:dyDescent="0.3">
      <c r="P546" s="225"/>
      <c r="Q546" s="225"/>
    </row>
    <row r="547" spans="16:17" ht="14.25" customHeight="1" x14ac:dyDescent="0.3">
      <c r="P547" s="225"/>
      <c r="Q547" s="225"/>
    </row>
    <row r="548" spans="16:17" ht="14.25" customHeight="1" x14ac:dyDescent="0.3">
      <c r="P548" s="225"/>
      <c r="Q548" s="225"/>
    </row>
    <row r="549" spans="16:17" ht="14.25" customHeight="1" x14ac:dyDescent="0.3">
      <c r="P549" s="225"/>
      <c r="Q549" s="225"/>
    </row>
    <row r="550" spans="16:17" ht="14.25" customHeight="1" x14ac:dyDescent="0.3">
      <c r="P550" s="225"/>
      <c r="Q550" s="225"/>
    </row>
    <row r="551" spans="16:17" ht="14.25" customHeight="1" x14ac:dyDescent="0.3">
      <c r="P551" s="225"/>
      <c r="Q551" s="225"/>
    </row>
    <row r="552" spans="16:17" ht="14.25" customHeight="1" x14ac:dyDescent="0.3">
      <c r="P552" s="225"/>
      <c r="Q552" s="225"/>
    </row>
    <row r="553" spans="16:17" ht="14.25" customHeight="1" x14ac:dyDescent="0.3">
      <c r="P553" s="225"/>
      <c r="Q553" s="225"/>
    </row>
    <row r="554" spans="16:17" ht="14.25" customHeight="1" x14ac:dyDescent="0.3">
      <c r="P554" s="225"/>
      <c r="Q554" s="225"/>
    </row>
    <row r="555" spans="16:17" ht="14.25" customHeight="1" x14ac:dyDescent="0.3">
      <c r="P555" s="225"/>
      <c r="Q555" s="225"/>
    </row>
    <row r="556" spans="16:17" ht="14.25" customHeight="1" x14ac:dyDescent="0.3">
      <c r="P556" s="225"/>
      <c r="Q556" s="225"/>
    </row>
    <row r="557" spans="16:17" ht="14.25" customHeight="1" x14ac:dyDescent="0.3">
      <c r="P557" s="225"/>
      <c r="Q557" s="225"/>
    </row>
    <row r="558" spans="16:17" ht="14.25" customHeight="1" x14ac:dyDescent="0.3">
      <c r="P558" s="225"/>
      <c r="Q558" s="225"/>
    </row>
    <row r="559" spans="16:17" ht="14.25" customHeight="1" x14ac:dyDescent="0.3">
      <c r="P559" s="225"/>
      <c r="Q559" s="225"/>
    </row>
    <row r="560" spans="16:17" ht="14.25" customHeight="1" x14ac:dyDescent="0.3">
      <c r="P560" s="225"/>
      <c r="Q560" s="225"/>
    </row>
    <row r="561" spans="16:17" ht="14.25" customHeight="1" x14ac:dyDescent="0.3">
      <c r="P561" s="225"/>
      <c r="Q561" s="225"/>
    </row>
    <row r="562" spans="16:17" ht="14.25" customHeight="1" x14ac:dyDescent="0.3">
      <c r="P562" s="225"/>
      <c r="Q562" s="225"/>
    </row>
    <row r="563" spans="16:17" ht="14.25" customHeight="1" x14ac:dyDescent="0.3">
      <c r="P563" s="225"/>
      <c r="Q563" s="225"/>
    </row>
    <row r="564" spans="16:17" ht="14.25" customHeight="1" x14ac:dyDescent="0.3">
      <c r="P564" s="225"/>
      <c r="Q564" s="225"/>
    </row>
    <row r="565" spans="16:17" ht="14.25" customHeight="1" x14ac:dyDescent="0.3">
      <c r="P565" s="225"/>
      <c r="Q565" s="225"/>
    </row>
    <row r="566" spans="16:17" ht="14.25" customHeight="1" x14ac:dyDescent="0.3">
      <c r="P566" s="225"/>
      <c r="Q566" s="225"/>
    </row>
    <row r="567" spans="16:17" ht="14.25" customHeight="1" x14ac:dyDescent="0.3">
      <c r="P567" s="225"/>
      <c r="Q567" s="225"/>
    </row>
    <row r="568" spans="16:17" ht="14.25" customHeight="1" x14ac:dyDescent="0.3">
      <c r="P568" s="225"/>
      <c r="Q568" s="225"/>
    </row>
    <row r="569" spans="16:17" ht="14.25" customHeight="1" x14ac:dyDescent="0.3">
      <c r="P569" s="225"/>
      <c r="Q569" s="225"/>
    </row>
    <row r="570" spans="16:17" ht="14.25" customHeight="1" x14ac:dyDescent="0.3">
      <c r="P570" s="225"/>
      <c r="Q570" s="225"/>
    </row>
    <row r="571" spans="16:17" ht="14.25" customHeight="1" x14ac:dyDescent="0.3">
      <c r="P571" s="225"/>
      <c r="Q571" s="225"/>
    </row>
    <row r="572" spans="16:17" ht="14.25" customHeight="1" x14ac:dyDescent="0.3">
      <c r="P572" s="225"/>
      <c r="Q572" s="225"/>
    </row>
    <row r="573" spans="16:17" ht="14.25" customHeight="1" x14ac:dyDescent="0.3">
      <c r="P573" s="225"/>
      <c r="Q573" s="225"/>
    </row>
    <row r="574" spans="16:17" ht="14.25" customHeight="1" x14ac:dyDescent="0.3">
      <c r="P574" s="225"/>
      <c r="Q574" s="225"/>
    </row>
    <row r="575" spans="16:17" ht="14.25" customHeight="1" x14ac:dyDescent="0.3">
      <c r="P575" s="225"/>
      <c r="Q575" s="225"/>
    </row>
    <row r="576" spans="16:17" ht="14.25" customHeight="1" x14ac:dyDescent="0.3">
      <c r="P576" s="225"/>
      <c r="Q576" s="225"/>
    </row>
    <row r="577" spans="16:17" ht="14.25" customHeight="1" x14ac:dyDescent="0.3">
      <c r="P577" s="225"/>
      <c r="Q577" s="225"/>
    </row>
    <row r="578" spans="16:17" ht="14.25" customHeight="1" x14ac:dyDescent="0.3">
      <c r="P578" s="225"/>
      <c r="Q578" s="225"/>
    </row>
    <row r="579" spans="16:17" ht="14.25" customHeight="1" x14ac:dyDescent="0.3">
      <c r="P579" s="225"/>
      <c r="Q579" s="225"/>
    </row>
    <row r="580" spans="16:17" ht="14.25" customHeight="1" x14ac:dyDescent="0.3">
      <c r="P580" s="225"/>
      <c r="Q580" s="225"/>
    </row>
    <row r="581" spans="16:17" ht="14.25" customHeight="1" x14ac:dyDescent="0.3">
      <c r="P581" s="225"/>
      <c r="Q581" s="225"/>
    </row>
    <row r="582" spans="16:17" ht="14.25" customHeight="1" x14ac:dyDescent="0.3">
      <c r="P582" s="225"/>
      <c r="Q582" s="225"/>
    </row>
    <row r="583" spans="16:17" ht="14.25" customHeight="1" x14ac:dyDescent="0.3">
      <c r="P583" s="225"/>
      <c r="Q583" s="225"/>
    </row>
    <row r="584" spans="16:17" ht="14.25" customHeight="1" x14ac:dyDescent="0.3">
      <c r="P584" s="225"/>
      <c r="Q584" s="225"/>
    </row>
    <row r="585" spans="16:17" ht="14.25" customHeight="1" x14ac:dyDescent="0.3">
      <c r="P585" s="225"/>
      <c r="Q585" s="225"/>
    </row>
    <row r="586" spans="16:17" ht="14.25" customHeight="1" x14ac:dyDescent="0.3">
      <c r="P586" s="225"/>
      <c r="Q586" s="225"/>
    </row>
    <row r="587" spans="16:17" ht="14.25" customHeight="1" x14ac:dyDescent="0.3">
      <c r="P587" s="225"/>
      <c r="Q587" s="225"/>
    </row>
    <row r="588" spans="16:17" ht="14.25" customHeight="1" x14ac:dyDescent="0.3">
      <c r="P588" s="225"/>
      <c r="Q588" s="225"/>
    </row>
    <row r="589" spans="16:17" ht="14.25" customHeight="1" x14ac:dyDescent="0.3">
      <c r="P589" s="225"/>
      <c r="Q589" s="225"/>
    </row>
    <row r="590" spans="16:17" ht="14.25" customHeight="1" x14ac:dyDescent="0.3">
      <c r="P590" s="225"/>
      <c r="Q590" s="225"/>
    </row>
    <row r="591" spans="16:17" ht="14.25" customHeight="1" x14ac:dyDescent="0.3">
      <c r="P591" s="225"/>
      <c r="Q591" s="225"/>
    </row>
    <row r="592" spans="16:17" ht="14.25" customHeight="1" x14ac:dyDescent="0.3">
      <c r="P592" s="225"/>
      <c r="Q592" s="225"/>
    </row>
    <row r="593" spans="16:17" ht="14.25" customHeight="1" x14ac:dyDescent="0.3">
      <c r="P593" s="225"/>
      <c r="Q593" s="225"/>
    </row>
    <row r="594" spans="16:17" ht="14.25" customHeight="1" x14ac:dyDescent="0.3">
      <c r="P594" s="225"/>
      <c r="Q594" s="225"/>
    </row>
    <row r="595" spans="16:17" ht="14.25" customHeight="1" x14ac:dyDescent="0.3">
      <c r="P595" s="225"/>
      <c r="Q595" s="225"/>
    </row>
    <row r="596" spans="16:17" ht="14.25" customHeight="1" x14ac:dyDescent="0.3">
      <c r="P596" s="225"/>
      <c r="Q596" s="225"/>
    </row>
    <row r="597" spans="16:17" ht="14.25" customHeight="1" x14ac:dyDescent="0.3">
      <c r="P597" s="225"/>
      <c r="Q597" s="225"/>
    </row>
    <row r="598" spans="16:17" ht="14.25" customHeight="1" x14ac:dyDescent="0.3">
      <c r="P598" s="225"/>
      <c r="Q598" s="225"/>
    </row>
    <row r="599" spans="16:17" ht="14.25" customHeight="1" x14ac:dyDescent="0.3">
      <c r="P599" s="225"/>
      <c r="Q599" s="225"/>
    </row>
    <row r="600" spans="16:17" ht="14.25" customHeight="1" x14ac:dyDescent="0.3">
      <c r="P600" s="225"/>
      <c r="Q600" s="225"/>
    </row>
    <row r="601" spans="16:17" ht="14.25" customHeight="1" x14ac:dyDescent="0.3">
      <c r="P601" s="225"/>
      <c r="Q601" s="225"/>
    </row>
    <row r="602" spans="16:17" ht="14.25" customHeight="1" x14ac:dyDescent="0.3">
      <c r="P602" s="225"/>
      <c r="Q602" s="225"/>
    </row>
    <row r="603" spans="16:17" ht="14.25" customHeight="1" x14ac:dyDescent="0.3">
      <c r="P603" s="225"/>
      <c r="Q603" s="225"/>
    </row>
    <row r="604" spans="16:17" ht="14.25" customHeight="1" x14ac:dyDescent="0.3">
      <c r="P604" s="225"/>
      <c r="Q604" s="225"/>
    </row>
    <row r="605" spans="16:17" ht="14.25" customHeight="1" x14ac:dyDescent="0.3">
      <c r="P605" s="225"/>
      <c r="Q605" s="225"/>
    </row>
    <row r="606" spans="16:17" ht="14.25" customHeight="1" x14ac:dyDescent="0.3">
      <c r="P606" s="225"/>
      <c r="Q606" s="225"/>
    </row>
    <row r="607" spans="16:17" ht="14.25" customHeight="1" x14ac:dyDescent="0.3">
      <c r="P607" s="225"/>
      <c r="Q607" s="225"/>
    </row>
    <row r="608" spans="16:17" ht="14.25" customHeight="1" x14ac:dyDescent="0.3">
      <c r="P608" s="225"/>
      <c r="Q608" s="225"/>
    </row>
    <row r="609" spans="16:17" ht="14.25" customHeight="1" x14ac:dyDescent="0.3">
      <c r="P609" s="225"/>
      <c r="Q609" s="225"/>
    </row>
    <row r="610" spans="16:17" ht="14.25" customHeight="1" x14ac:dyDescent="0.3">
      <c r="P610" s="225"/>
      <c r="Q610" s="225"/>
    </row>
    <row r="611" spans="16:17" ht="14.25" customHeight="1" x14ac:dyDescent="0.3">
      <c r="P611" s="225"/>
      <c r="Q611" s="225"/>
    </row>
    <row r="612" spans="16:17" ht="14.25" customHeight="1" x14ac:dyDescent="0.3">
      <c r="P612" s="225"/>
      <c r="Q612" s="225"/>
    </row>
    <row r="613" spans="16:17" ht="14.25" customHeight="1" x14ac:dyDescent="0.3">
      <c r="P613" s="225"/>
      <c r="Q613" s="225"/>
    </row>
    <row r="614" spans="16:17" ht="14.25" customHeight="1" x14ac:dyDescent="0.3">
      <c r="P614" s="225"/>
      <c r="Q614" s="225"/>
    </row>
    <row r="615" spans="16:17" ht="14.25" customHeight="1" x14ac:dyDescent="0.3">
      <c r="P615" s="225"/>
      <c r="Q615" s="225"/>
    </row>
    <row r="616" spans="16:17" ht="14.25" customHeight="1" x14ac:dyDescent="0.3">
      <c r="P616" s="225"/>
      <c r="Q616" s="225"/>
    </row>
    <row r="617" spans="16:17" ht="14.25" customHeight="1" x14ac:dyDescent="0.3">
      <c r="P617" s="225"/>
      <c r="Q617" s="225"/>
    </row>
    <row r="618" spans="16:17" ht="14.25" customHeight="1" x14ac:dyDescent="0.3">
      <c r="P618" s="225"/>
      <c r="Q618" s="225"/>
    </row>
    <row r="619" spans="16:17" ht="14.25" customHeight="1" x14ac:dyDescent="0.3">
      <c r="P619" s="225"/>
      <c r="Q619" s="225"/>
    </row>
    <row r="620" spans="16:17" ht="14.25" customHeight="1" x14ac:dyDescent="0.3">
      <c r="P620" s="225"/>
      <c r="Q620" s="225"/>
    </row>
    <row r="621" spans="16:17" ht="14.25" customHeight="1" x14ac:dyDescent="0.3">
      <c r="P621" s="225"/>
      <c r="Q621" s="225"/>
    </row>
    <row r="622" spans="16:17" ht="14.25" customHeight="1" x14ac:dyDescent="0.3">
      <c r="P622" s="225"/>
      <c r="Q622" s="225"/>
    </row>
    <row r="623" spans="16:17" ht="14.25" customHeight="1" x14ac:dyDescent="0.3">
      <c r="P623" s="225"/>
      <c r="Q623" s="225"/>
    </row>
    <row r="624" spans="16:17" ht="14.25" customHeight="1" x14ac:dyDescent="0.3">
      <c r="P624" s="225"/>
      <c r="Q624" s="225"/>
    </row>
    <row r="625" spans="16:17" ht="14.25" customHeight="1" x14ac:dyDescent="0.3">
      <c r="P625" s="225"/>
      <c r="Q625" s="225"/>
    </row>
    <row r="626" spans="16:17" ht="14.25" customHeight="1" x14ac:dyDescent="0.3">
      <c r="P626" s="225"/>
      <c r="Q626" s="225"/>
    </row>
    <row r="627" spans="16:17" ht="14.25" customHeight="1" x14ac:dyDescent="0.3">
      <c r="P627" s="225"/>
      <c r="Q627" s="225"/>
    </row>
    <row r="628" spans="16:17" ht="14.25" customHeight="1" x14ac:dyDescent="0.3">
      <c r="P628" s="225"/>
      <c r="Q628" s="225"/>
    </row>
    <row r="629" spans="16:17" ht="14.25" customHeight="1" x14ac:dyDescent="0.3">
      <c r="P629" s="225"/>
      <c r="Q629" s="225"/>
    </row>
    <row r="630" spans="16:17" ht="14.25" customHeight="1" x14ac:dyDescent="0.3">
      <c r="P630" s="225"/>
      <c r="Q630" s="225"/>
    </row>
    <row r="631" spans="16:17" ht="14.25" customHeight="1" x14ac:dyDescent="0.3">
      <c r="P631" s="225"/>
      <c r="Q631" s="225"/>
    </row>
    <row r="632" spans="16:17" ht="14.25" customHeight="1" x14ac:dyDescent="0.3">
      <c r="P632" s="225"/>
      <c r="Q632" s="225"/>
    </row>
    <row r="633" spans="16:17" ht="14.25" customHeight="1" x14ac:dyDescent="0.3">
      <c r="P633" s="225"/>
      <c r="Q633" s="225"/>
    </row>
    <row r="634" spans="16:17" ht="14.25" customHeight="1" x14ac:dyDescent="0.3">
      <c r="P634" s="225"/>
      <c r="Q634" s="225"/>
    </row>
    <row r="635" spans="16:17" ht="14.25" customHeight="1" x14ac:dyDescent="0.3">
      <c r="P635" s="225"/>
      <c r="Q635" s="225"/>
    </row>
    <row r="636" spans="16:17" ht="14.25" customHeight="1" x14ac:dyDescent="0.3">
      <c r="P636" s="225"/>
      <c r="Q636" s="225"/>
    </row>
    <row r="637" spans="16:17" ht="14.25" customHeight="1" x14ac:dyDescent="0.3">
      <c r="P637" s="225"/>
      <c r="Q637" s="225"/>
    </row>
    <row r="638" spans="16:17" ht="14.25" customHeight="1" x14ac:dyDescent="0.3">
      <c r="P638" s="225"/>
      <c r="Q638" s="225"/>
    </row>
    <row r="639" spans="16:17" ht="14.25" customHeight="1" x14ac:dyDescent="0.3">
      <c r="P639" s="225"/>
      <c r="Q639" s="225"/>
    </row>
    <row r="640" spans="16:17" ht="14.25" customHeight="1" x14ac:dyDescent="0.3">
      <c r="P640" s="225"/>
      <c r="Q640" s="225"/>
    </row>
    <row r="641" spans="16:17" ht="14.25" customHeight="1" x14ac:dyDescent="0.3">
      <c r="P641" s="225"/>
      <c r="Q641" s="225"/>
    </row>
    <row r="642" spans="16:17" ht="14.25" customHeight="1" x14ac:dyDescent="0.3">
      <c r="P642" s="225"/>
      <c r="Q642" s="225"/>
    </row>
    <row r="643" spans="16:17" ht="14.25" customHeight="1" x14ac:dyDescent="0.3">
      <c r="P643" s="225"/>
      <c r="Q643" s="225"/>
    </row>
    <row r="644" spans="16:17" ht="14.25" customHeight="1" x14ac:dyDescent="0.3">
      <c r="P644" s="225"/>
      <c r="Q644" s="225"/>
    </row>
    <row r="645" spans="16:17" ht="14.25" customHeight="1" x14ac:dyDescent="0.3">
      <c r="P645" s="225"/>
      <c r="Q645" s="225"/>
    </row>
    <row r="646" spans="16:17" ht="14.25" customHeight="1" x14ac:dyDescent="0.3">
      <c r="P646" s="225"/>
      <c r="Q646" s="225"/>
    </row>
    <row r="647" spans="16:17" ht="14.25" customHeight="1" x14ac:dyDescent="0.3">
      <c r="P647" s="225"/>
      <c r="Q647" s="225"/>
    </row>
    <row r="648" spans="16:17" ht="14.25" customHeight="1" x14ac:dyDescent="0.3">
      <c r="P648" s="225"/>
      <c r="Q648" s="225"/>
    </row>
    <row r="649" spans="16:17" ht="14.25" customHeight="1" x14ac:dyDescent="0.3">
      <c r="P649" s="225"/>
      <c r="Q649" s="225"/>
    </row>
    <row r="650" spans="16:17" ht="14.25" customHeight="1" x14ac:dyDescent="0.3">
      <c r="P650" s="225"/>
      <c r="Q650" s="225"/>
    </row>
    <row r="651" spans="16:17" ht="14.25" customHeight="1" x14ac:dyDescent="0.3">
      <c r="P651" s="225"/>
      <c r="Q651" s="225"/>
    </row>
    <row r="652" spans="16:17" ht="14.25" customHeight="1" x14ac:dyDescent="0.3">
      <c r="P652" s="225"/>
      <c r="Q652" s="225"/>
    </row>
    <row r="653" spans="16:17" ht="14.25" customHeight="1" x14ac:dyDescent="0.3">
      <c r="P653" s="225"/>
      <c r="Q653" s="225"/>
    </row>
    <row r="654" spans="16:17" ht="14.25" customHeight="1" x14ac:dyDescent="0.3">
      <c r="P654" s="225"/>
      <c r="Q654" s="225"/>
    </row>
    <row r="655" spans="16:17" ht="14.25" customHeight="1" x14ac:dyDescent="0.3">
      <c r="P655" s="225"/>
      <c r="Q655" s="225"/>
    </row>
    <row r="656" spans="16:17" ht="14.25" customHeight="1" x14ac:dyDescent="0.3">
      <c r="P656" s="225"/>
      <c r="Q656" s="225"/>
    </row>
    <row r="657" spans="16:17" ht="14.25" customHeight="1" x14ac:dyDescent="0.3">
      <c r="P657" s="225"/>
      <c r="Q657" s="225"/>
    </row>
    <row r="658" spans="16:17" ht="14.25" customHeight="1" x14ac:dyDescent="0.3">
      <c r="P658" s="225"/>
      <c r="Q658" s="225"/>
    </row>
    <row r="659" spans="16:17" ht="14.25" customHeight="1" x14ac:dyDescent="0.3">
      <c r="P659" s="225"/>
      <c r="Q659" s="225"/>
    </row>
    <row r="660" spans="16:17" ht="14.25" customHeight="1" x14ac:dyDescent="0.3">
      <c r="P660" s="225"/>
      <c r="Q660" s="225"/>
    </row>
    <row r="661" spans="16:17" ht="14.25" customHeight="1" x14ac:dyDescent="0.3">
      <c r="P661" s="225"/>
      <c r="Q661" s="225"/>
    </row>
    <row r="662" spans="16:17" ht="14.25" customHeight="1" x14ac:dyDescent="0.3">
      <c r="P662" s="225"/>
      <c r="Q662" s="225"/>
    </row>
    <row r="663" spans="16:17" ht="14.25" customHeight="1" x14ac:dyDescent="0.3">
      <c r="P663" s="225"/>
      <c r="Q663" s="225"/>
    </row>
    <row r="664" spans="16:17" ht="14.25" customHeight="1" x14ac:dyDescent="0.3">
      <c r="P664" s="225"/>
      <c r="Q664" s="225"/>
    </row>
    <row r="665" spans="16:17" ht="14.25" customHeight="1" x14ac:dyDescent="0.3">
      <c r="P665" s="225"/>
      <c r="Q665" s="225"/>
    </row>
    <row r="666" spans="16:17" ht="14.25" customHeight="1" x14ac:dyDescent="0.3">
      <c r="P666" s="225"/>
      <c r="Q666" s="225"/>
    </row>
    <row r="667" spans="16:17" ht="14.25" customHeight="1" x14ac:dyDescent="0.3">
      <c r="P667" s="225"/>
      <c r="Q667" s="225"/>
    </row>
    <row r="668" spans="16:17" ht="14.25" customHeight="1" x14ac:dyDescent="0.3">
      <c r="P668" s="225"/>
      <c r="Q668" s="225"/>
    </row>
    <row r="669" spans="16:17" ht="14.25" customHeight="1" x14ac:dyDescent="0.3">
      <c r="P669" s="225"/>
      <c r="Q669" s="225"/>
    </row>
    <row r="670" spans="16:17" ht="14.25" customHeight="1" x14ac:dyDescent="0.3">
      <c r="P670" s="225"/>
      <c r="Q670" s="225"/>
    </row>
    <row r="671" spans="16:17" ht="14.25" customHeight="1" x14ac:dyDescent="0.3">
      <c r="P671" s="225"/>
      <c r="Q671" s="225"/>
    </row>
    <row r="672" spans="16:17" ht="14.25" customHeight="1" x14ac:dyDescent="0.3">
      <c r="P672" s="225"/>
      <c r="Q672" s="225"/>
    </row>
    <row r="673" spans="16:17" ht="14.25" customHeight="1" x14ac:dyDescent="0.3">
      <c r="P673" s="225"/>
      <c r="Q673" s="225"/>
    </row>
    <row r="674" spans="16:17" ht="14.25" customHeight="1" x14ac:dyDescent="0.3">
      <c r="P674" s="225"/>
      <c r="Q674" s="225"/>
    </row>
    <row r="675" spans="16:17" ht="14.25" customHeight="1" x14ac:dyDescent="0.3">
      <c r="P675" s="225"/>
      <c r="Q675" s="225"/>
    </row>
    <row r="676" spans="16:17" ht="14.25" customHeight="1" x14ac:dyDescent="0.3">
      <c r="P676" s="225"/>
      <c r="Q676" s="225"/>
    </row>
    <row r="677" spans="16:17" ht="14.25" customHeight="1" x14ac:dyDescent="0.3">
      <c r="P677" s="225"/>
      <c r="Q677" s="225"/>
    </row>
    <row r="678" spans="16:17" ht="14.25" customHeight="1" x14ac:dyDescent="0.3">
      <c r="P678" s="225"/>
      <c r="Q678" s="225"/>
    </row>
    <row r="679" spans="16:17" ht="14.25" customHeight="1" x14ac:dyDescent="0.3">
      <c r="P679" s="225"/>
      <c r="Q679" s="225"/>
    </row>
    <row r="680" spans="16:17" ht="14.25" customHeight="1" x14ac:dyDescent="0.3">
      <c r="P680" s="225"/>
      <c r="Q680" s="225"/>
    </row>
    <row r="681" spans="16:17" ht="14.25" customHeight="1" x14ac:dyDescent="0.3">
      <c r="P681" s="225"/>
      <c r="Q681" s="225"/>
    </row>
    <row r="682" spans="16:17" ht="14.25" customHeight="1" x14ac:dyDescent="0.3">
      <c r="P682" s="225"/>
      <c r="Q682" s="225"/>
    </row>
    <row r="683" spans="16:17" ht="14.25" customHeight="1" x14ac:dyDescent="0.3">
      <c r="P683" s="225"/>
      <c r="Q683" s="225"/>
    </row>
    <row r="684" spans="16:17" ht="14.25" customHeight="1" x14ac:dyDescent="0.3">
      <c r="P684" s="225"/>
      <c r="Q684" s="225"/>
    </row>
    <row r="685" spans="16:17" ht="14.25" customHeight="1" x14ac:dyDescent="0.3">
      <c r="P685" s="225"/>
      <c r="Q685" s="225"/>
    </row>
    <row r="686" spans="16:17" ht="14.25" customHeight="1" x14ac:dyDescent="0.3">
      <c r="P686" s="225"/>
      <c r="Q686" s="225"/>
    </row>
    <row r="687" spans="16:17" ht="14.25" customHeight="1" x14ac:dyDescent="0.3">
      <c r="P687" s="225"/>
      <c r="Q687" s="225"/>
    </row>
    <row r="688" spans="16:17" ht="14.25" customHeight="1" x14ac:dyDescent="0.3">
      <c r="P688" s="225"/>
      <c r="Q688" s="225"/>
    </row>
    <row r="689" spans="16:17" ht="14.25" customHeight="1" x14ac:dyDescent="0.3">
      <c r="P689" s="225"/>
      <c r="Q689" s="225"/>
    </row>
    <row r="690" spans="16:17" ht="14.25" customHeight="1" x14ac:dyDescent="0.3">
      <c r="P690" s="225"/>
      <c r="Q690" s="225"/>
    </row>
    <row r="691" spans="16:17" ht="14.25" customHeight="1" x14ac:dyDescent="0.3">
      <c r="P691" s="225"/>
      <c r="Q691" s="225"/>
    </row>
    <row r="692" spans="16:17" ht="14.25" customHeight="1" x14ac:dyDescent="0.3">
      <c r="P692" s="225"/>
      <c r="Q692" s="225"/>
    </row>
    <row r="693" spans="16:17" ht="14.25" customHeight="1" x14ac:dyDescent="0.3">
      <c r="P693" s="225"/>
      <c r="Q693" s="225"/>
    </row>
    <row r="694" spans="16:17" ht="14.25" customHeight="1" x14ac:dyDescent="0.3">
      <c r="P694" s="225"/>
      <c r="Q694" s="225"/>
    </row>
    <row r="695" spans="16:17" ht="14.25" customHeight="1" x14ac:dyDescent="0.3">
      <c r="P695" s="225"/>
      <c r="Q695" s="225"/>
    </row>
    <row r="696" spans="16:17" ht="14.25" customHeight="1" x14ac:dyDescent="0.3">
      <c r="P696" s="225"/>
      <c r="Q696" s="225"/>
    </row>
    <row r="697" spans="16:17" ht="14.25" customHeight="1" x14ac:dyDescent="0.3">
      <c r="P697" s="225"/>
      <c r="Q697" s="225"/>
    </row>
    <row r="698" spans="16:17" ht="14.25" customHeight="1" x14ac:dyDescent="0.3">
      <c r="P698" s="225"/>
      <c r="Q698" s="225"/>
    </row>
    <row r="699" spans="16:17" ht="14.25" customHeight="1" x14ac:dyDescent="0.3">
      <c r="P699" s="225"/>
      <c r="Q699" s="225"/>
    </row>
    <row r="700" spans="16:17" ht="14.25" customHeight="1" x14ac:dyDescent="0.3">
      <c r="P700" s="225"/>
      <c r="Q700" s="225"/>
    </row>
    <row r="701" spans="16:17" ht="14.25" customHeight="1" x14ac:dyDescent="0.3">
      <c r="P701" s="225"/>
      <c r="Q701" s="225"/>
    </row>
    <row r="702" spans="16:17" ht="14.25" customHeight="1" x14ac:dyDescent="0.3">
      <c r="P702" s="225"/>
      <c r="Q702" s="225"/>
    </row>
    <row r="703" spans="16:17" ht="14.25" customHeight="1" x14ac:dyDescent="0.3">
      <c r="P703" s="225"/>
      <c r="Q703" s="225"/>
    </row>
    <row r="704" spans="16:17" ht="14.25" customHeight="1" x14ac:dyDescent="0.3">
      <c r="P704" s="225"/>
      <c r="Q704" s="225"/>
    </row>
    <row r="705" spans="16:17" ht="14.25" customHeight="1" x14ac:dyDescent="0.3">
      <c r="P705" s="225"/>
      <c r="Q705" s="225"/>
    </row>
    <row r="706" spans="16:17" ht="14.25" customHeight="1" x14ac:dyDescent="0.3">
      <c r="P706" s="225"/>
      <c r="Q706" s="225"/>
    </row>
    <row r="707" spans="16:17" ht="14.25" customHeight="1" x14ac:dyDescent="0.3">
      <c r="P707" s="225"/>
      <c r="Q707" s="225"/>
    </row>
    <row r="708" spans="16:17" ht="14.25" customHeight="1" x14ac:dyDescent="0.3">
      <c r="P708" s="225"/>
      <c r="Q708" s="225"/>
    </row>
    <row r="709" spans="16:17" ht="14.25" customHeight="1" x14ac:dyDescent="0.3">
      <c r="P709" s="225"/>
      <c r="Q709" s="225"/>
    </row>
    <row r="710" spans="16:17" ht="14.25" customHeight="1" x14ac:dyDescent="0.3">
      <c r="P710" s="225"/>
      <c r="Q710" s="225"/>
    </row>
    <row r="711" spans="16:17" ht="14.25" customHeight="1" x14ac:dyDescent="0.3">
      <c r="P711" s="225"/>
      <c r="Q711" s="225"/>
    </row>
    <row r="712" spans="16:17" ht="14.25" customHeight="1" x14ac:dyDescent="0.3">
      <c r="P712" s="225"/>
      <c r="Q712" s="225"/>
    </row>
    <row r="713" spans="16:17" ht="14.25" customHeight="1" x14ac:dyDescent="0.3">
      <c r="P713" s="225"/>
      <c r="Q713" s="225"/>
    </row>
    <row r="714" spans="16:17" ht="14.25" customHeight="1" x14ac:dyDescent="0.3">
      <c r="P714" s="225"/>
      <c r="Q714" s="225"/>
    </row>
    <row r="715" spans="16:17" ht="14.25" customHeight="1" x14ac:dyDescent="0.3">
      <c r="P715" s="225"/>
      <c r="Q715" s="225"/>
    </row>
    <row r="716" spans="16:17" ht="14.25" customHeight="1" x14ac:dyDescent="0.3">
      <c r="P716" s="225"/>
      <c r="Q716" s="225"/>
    </row>
    <row r="717" spans="16:17" ht="14.25" customHeight="1" x14ac:dyDescent="0.3">
      <c r="P717" s="225"/>
      <c r="Q717" s="225"/>
    </row>
    <row r="718" spans="16:17" ht="14.25" customHeight="1" x14ac:dyDescent="0.3">
      <c r="P718" s="225"/>
      <c r="Q718" s="225"/>
    </row>
    <row r="719" spans="16:17" ht="14.25" customHeight="1" x14ac:dyDescent="0.3">
      <c r="P719" s="225"/>
      <c r="Q719" s="225"/>
    </row>
    <row r="720" spans="16:17" ht="14.25" customHeight="1" x14ac:dyDescent="0.3">
      <c r="P720" s="225"/>
      <c r="Q720" s="225"/>
    </row>
    <row r="721" spans="16:17" ht="14.25" customHeight="1" x14ac:dyDescent="0.3">
      <c r="P721" s="225"/>
      <c r="Q721" s="225"/>
    </row>
    <row r="722" spans="16:17" ht="14.25" customHeight="1" x14ac:dyDescent="0.3">
      <c r="P722" s="225"/>
      <c r="Q722" s="225"/>
    </row>
    <row r="723" spans="16:17" ht="14.25" customHeight="1" x14ac:dyDescent="0.3">
      <c r="P723" s="225"/>
      <c r="Q723" s="225"/>
    </row>
    <row r="724" spans="16:17" ht="14.25" customHeight="1" x14ac:dyDescent="0.3">
      <c r="P724" s="225"/>
      <c r="Q724" s="225"/>
    </row>
    <row r="725" spans="16:17" ht="14.25" customHeight="1" x14ac:dyDescent="0.3">
      <c r="P725" s="225"/>
      <c r="Q725" s="225"/>
    </row>
    <row r="726" spans="16:17" ht="14.25" customHeight="1" x14ac:dyDescent="0.3">
      <c r="P726" s="225"/>
      <c r="Q726" s="225"/>
    </row>
    <row r="727" spans="16:17" ht="14.25" customHeight="1" x14ac:dyDescent="0.3">
      <c r="P727" s="225"/>
      <c r="Q727" s="225"/>
    </row>
    <row r="728" spans="16:17" ht="14.25" customHeight="1" x14ac:dyDescent="0.3">
      <c r="P728" s="225"/>
      <c r="Q728" s="225"/>
    </row>
    <row r="729" spans="16:17" ht="14.25" customHeight="1" x14ac:dyDescent="0.3">
      <c r="P729" s="225"/>
      <c r="Q729" s="225"/>
    </row>
    <row r="730" spans="16:17" ht="14.25" customHeight="1" x14ac:dyDescent="0.3">
      <c r="P730" s="225"/>
      <c r="Q730" s="225"/>
    </row>
    <row r="731" spans="16:17" ht="14.25" customHeight="1" x14ac:dyDescent="0.3">
      <c r="P731" s="225"/>
      <c r="Q731" s="225"/>
    </row>
    <row r="732" spans="16:17" ht="14.25" customHeight="1" x14ac:dyDescent="0.3">
      <c r="P732" s="225"/>
      <c r="Q732" s="225"/>
    </row>
    <row r="733" spans="16:17" ht="14.25" customHeight="1" x14ac:dyDescent="0.3">
      <c r="P733" s="225"/>
      <c r="Q733" s="225"/>
    </row>
    <row r="734" spans="16:17" ht="14.25" customHeight="1" x14ac:dyDescent="0.3">
      <c r="P734" s="225"/>
      <c r="Q734" s="225"/>
    </row>
    <row r="735" spans="16:17" ht="14.25" customHeight="1" x14ac:dyDescent="0.3">
      <c r="P735" s="225"/>
      <c r="Q735" s="225"/>
    </row>
    <row r="736" spans="16:17" ht="14.25" customHeight="1" x14ac:dyDescent="0.3">
      <c r="P736" s="225"/>
      <c r="Q736" s="225"/>
    </row>
    <row r="737" spans="16:17" ht="14.25" customHeight="1" x14ac:dyDescent="0.3">
      <c r="P737" s="225"/>
      <c r="Q737" s="225"/>
    </row>
    <row r="738" spans="16:17" ht="14.25" customHeight="1" x14ac:dyDescent="0.3">
      <c r="P738" s="225"/>
      <c r="Q738" s="225"/>
    </row>
    <row r="739" spans="16:17" ht="14.25" customHeight="1" x14ac:dyDescent="0.3">
      <c r="P739" s="225"/>
      <c r="Q739" s="225"/>
    </row>
    <row r="740" spans="16:17" ht="14.25" customHeight="1" x14ac:dyDescent="0.3">
      <c r="P740" s="225"/>
      <c r="Q740" s="225"/>
    </row>
    <row r="741" spans="16:17" ht="14.25" customHeight="1" x14ac:dyDescent="0.3">
      <c r="P741" s="225"/>
      <c r="Q741" s="225"/>
    </row>
    <row r="742" spans="16:17" ht="14.25" customHeight="1" x14ac:dyDescent="0.3">
      <c r="P742" s="225"/>
      <c r="Q742" s="225"/>
    </row>
    <row r="743" spans="16:17" ht="14.25" customHeight="1" x14ac:dyDescent="0.3">
      <c r="P743" s="225"/>
      <c r="Q743" s="225"/>
    </row>
    <row r="744" spans="16:17" ht="14.25" customHeight="1" x14ac:dyDescent="0.3">
      <c r="P744" s="225"/>
      <c r="Q744" s="225"/>
    </row>
    <row r="745" spans="16:17" ht="14.25" customHeight="1" x14ac:dyDescent="0.3">
      <c r="P745" s="225"/>
      <c r="Q745" s="225"/>
    </row>
    <row r="746" spans="16:17" ht="14.25" customHeight="1" x14ac:dyDescent="0.3">
      <c r="P746" s="225"/>
      <c r="Q746" s="225"/>
    </row>
    <row r="747" spans="16:17" ht="14.25" customHeight="1" x14ac:dyDescent="0.3">
      <c r="P747" s="225"/>
      <c r="Q747" s="225"/>
    </row>
    <row r="748" spans="16:17" ht="14.25" customHeight="1" x14ac:dyDescent="0.3">
      <c r="P748" s="225"/>
      <c r="Q748" s="225"/>
    </row>
    <row r="749" spans="16:17" ht="14.25" customHeight="1" x14ac:dyDescent="0.3">
      <c r="P749" s="225"/>
      <c r="Q749" s="225"/>
    </row>
    <row r="750" spans="16:17" ht="14.25" customHeight="1" x14ac:dyDescent="0.3">
      <c r="P750" s="225"/>
      <c r="Q750" s="225"/>
    </row>
    <row r="751" spans="16:17" ht="14.25" customHeight="1" x14ac:dyDescent="0.3">
      <c r="P751" s="225"/>
      <c r="Q751" s="225"/>
    </row>
    <row r="752" spans="16:17" ht="14.25" customHeight="1" x14ac:dyDescent="0.3">
      <c r="P752" s="225"/>
      <c r="Q752" s="225"/>
    </row>
    <row r="753" spans="16:17" ht="14.25" customHeight="1" x14ac:dyDescent="0.3">
      <c r="P753" s="225"/>
      <c r="Q753" s="225"/>
    </row>
    <row r="754" spans="16:17" ht="14.25" customHeight="1" x14ac:dyDescent="0.3">
      <c r="P754" s="225"/>
      <c r="Q754" s="225"/>
    </row>
    <row r="755" spans="16:17" ht="14.25" customHeight="1" x14ac:dyDescent="0.3">
      <c r="P755" s="225"/>
      <c r="Q755" s="225"/>
    </row>
    <row r="756" spans="16:17" ht="14.25" customHeight="1" x14ac:dyDescent="0.3">
      <c r="P756" s="225"/>
      <c r="Q756" s="225"/>
    </row>
    <row r="757" spans="16:17" ht="14.25" customHeight="1" x14ac:dyDescent="0.3">
      <c r="P757" s="225"/>
      <c r="Q757" s="225"/>
    </row>
    <row r="758" spans="16:17" ht="14.25" customHeight="1" x14ac:dyDescent="0.3">
      <c r="P758" s="225"/>
      <c r="Q758" s="225"/>
    </row>
    <row r="759" spans="16:17" ht="14.25" customHeight="1" x14ac:dyDescent="0.3">
      <c r="P759" s="225"/>
      <c r="Q759" s="225"/>
    </row>
    <row r="760" spans="16:17" ht="14.25" customHeight="1" x14ac:dyDescent="0.3">
      <c r="P760" s="225"/>
      <c r="Q760" s="225"/>
    </row>
    <row r="761" spans="16:17" ht="14.25" customHeight="1" x14ac:dyDescent="0.3">
      <c r="P761" s="225"/>
      <c r="Q761" s="225"/>
    </row>
    <row r="762" spans="16:17" ht="14.25" customHeight="1" x14ac:dyDescent="0.3">
      <c r="P762" s="225"/>
      <c r="Q762" s="225"/>
    </row>
    <row r="763" spans="16:17" ht="14.25" customHeight="1" x14ac:dyDescent="0.3">
      <c r="P763" s="225"/>
      <c r="Q763" s="225"/>
    </row>
    <row r="764" spans="16:17" ht="14.25" customHeight="1" x14ac:dyDescent="0.3">
      <c r="P764" s="225"/>
      <c r="Q764" s="225"/>
    </row>
    <row r="765" spans="16:17" ht="14.25" customHeight="1" x14ac:dyDescent="0.3">
      <c r="P765" s="225"/>
      <c r="Q765" s="225"/>
    </row>
    <row r="766" spans="16:17" ht="14.25" customHeight="1" x14ac:dyDescent="0.3">
      <c r="P766" s="225"/>
      <c r="Q766" s="225"/>
    </row>
    <row r="767" spans="16:17" ht="14.25" customHeight="1" x14ac:dyDescent="0.3">
      <c r="P767" s="225"/>
      <c r="Q767" s="225"/>
    </row>
    <row r="768" spans="16:17" ht="14.25" customHeight="1" x14ac:dyDescent="0.3">
      <c r="P768" s="225"/>
      <c r="Q768" s="225"/>
    </row>
    <row r="769" spans="16:17" ht="14.25" customHeight="1" x14ac:dyDescent="0.3">
      <c r="P769" s="225"/>
      <c r="Q769" s="225"/>
    </row>
    <row r="770" spans="16:17" ht="14.25" customHeight="1" x14ac:dyDescent="0.3">
      <c r="P770" s="225"/>
      <c r="Q770" s="225"/>
    </row>
    <row r="771" spans="16:17" ht="14.25" customHeight="1" x14ac:dyDescent="0.3">
      <c r="P771" s="225"/>
      <c r="Q771" s="225"/>
    </row>
    <row r="772" spans="16:17" ht="14.25" customHeight="1" x14ac:dyDescent="0.3">
      <c r="P772" s="225"/>
      <c r="Q772" s="225"/>
    </row>
    <row r="773" spans="16:17" ht="14.25" customHeight="1" x14ac:dyDescent="0.3">
      <c r="P773" s="225"/>
      <c r="Q773" s="225"/>
    </row>
    <row r="774" spans="16:17" ht="14.25" customHeight="1" x14ac:dyDescent="0.3">
      <c r="P774" s="225"/>
      <c r="Q774" s="225"/>
    </row>
    <row r="775" spans="16:17" ht="14.25" customHeight="1" x14ac:dyDescent="0.3">
      <c r="P775" s="225"/>
      <c r="Q775" s="225"/>
    </row>
    <row r="776" spans="16:17" ht="14.25" customHeight="1" x14ac:dyDescent="0.3">
      <c r="P776" s="225"/>
      <c r="Q776" s="225"/>
    </row>
    <row r="777" spans="16:17" ht="14.25" customHeight="1" x14ac:dyDescent="0.3">
      <c r="P777" s="225"/>
      <c r="Q777" s="225"/>
    </row>
    <row r="778" spans="16:17" ht="14.25" customHeight="1" x14ac:dyDescent="0.3">
      <c r="P778" s="225"/>
      <c r="Q778" s="225"/>
    </row>
    <row r="779" spans="16:17" ht="14.25" customHeight="1" x14ac:dyDescent="0.3">
      <c r="P779" s="225"/>
      <c r="Q779" s="225"/>
    </row>
    <row r="780" spans="16:17" ht="14.25" customHeight="1" x14ac:dyDescent="0.3">
      <c r="P780" s="225"/>
      <c r="Q780" s="225"/>
    </row>
    <row r="781" spans="16:17" ht="14.25" customHeight="1" x14ac:dyDescent="0.3">
      <c r="P781" s="225"/>
      <c r="Q781" s="225"/>
    </row>
    <row r="782" spans="16:17" ht="14.25" customHeight="1" x14ac:dyDescent="0.3">
      <c r="P782" s="225"/>
      <c r="Q782" s="225"/>
    </row>
    <row r="783" spans="16:17" ht="14.25" customHeight="1" x14ac:dyDescent="0.3">
      <c r="P783" s="225"/>
      <c r="Q783" s="225"/>
    </row>
    <row r="784" spans="16:17" ht="14.25" customHeight="1" x14ac:dyDescent="0.3">
      <c r="P784" s="225"/>
      <c r="Q784" s="225"/>
    </row>
    <row r="785" spans="16:17" ht="14.25" customHeight="1" x14ac:dyDescent="0.3">
      <c r="P785" s="225"/>
      <c r="Q785" s="225"/>
    </row>
    <row r="786" spans="16:17" ht="14.25" customHeight="1" x14ac:dyDescent="0.3">
      <c r="P786" s="225"/>
      <c r="Q786" s="225"/>
    </row>
    <row r="787" spans="16:17" ht="14.25" customHeight="1" x14ac:dyDescent="0.3">
      <c r="P787" s="225"/>
      <c r="Q787" s="225"/>
    </row>
    <row r="788" spans="16:17" ht="14.25" customHeight="1" x14ac:dyDescent="0.3">
      <c r="P788" s="225"/>
      <c r="Q788" s="225"/>
    </row>
    <row r="789" spans="16:17" ht="14.25" customHeight="1" x14ac:dyDescent="0.3">
      <c r="P789" s="225"/>
      <c r="Q789" s="225"/>
    </row>
    <row r="790" spans="16:17" ht="14.25" customHeight="1" x14ac:dyDescent="0.3">
      <c r="P790" s="225"/>
      <c r="Q790" s="225"/>
    </row>
    <row r="791" spans="16:17" ht="14.25" customHeight="1" x14ac:dyDescent="0.3">
      <c r="P791" s="225"/>
      <c r="Q791" s="225"/>
    </row>
    <row r="792" spans="16:17" ht="14.25" customHeight="1" x14ac:dyDescent="0.3">
      <c r="P792" s="225"/>
      <c r="Q792" s="225"/>
    </row>
    <row r="793" spans="16:17" ht="14.25" customHeight="1" x14ac:dyDescent="0.3">
      <c r="P793" s="225"/>
      <c r="Q793" s="225"/>
    </row>
    <row r="794" spans="16:17" ht="14.25" customHeight="1" x14ac:dyDescent="0.3">
      <c r="P794" s="225"/>
      <c r="Q794" s="225"/>
    </row>
    <row r="795" spans="16:17" ht="14.25" customHeight="1" x14ac:dyDescent="0.3">
      <c r="P795" s="225"/>
      <c r="Q795" s="225"/>
    </row>
    <row r="796" spans="16:17" ht="14.25" customHeight="1" x14ac:dyDescent="0.3">
      <c r="P796" s="225"/>
      <c r="Q796" s="225"/>
    </row>
    <row r="797" spans="16:17" ht="14.25" customHeight="1" x14ac:dyDescent="0.3">
      <c r="P797" s="225"/>
      <c r="Q797" s="225"/>
    </row>
    <row r="798" spans="16:17" ht="14.25" customHeight="1" x14ac:dyDescent="0.3">
      <c r="P798" s="225"/>
      <c r="Q798" s="225"/>
    </row>
    <row r="799" spans="16:17" ht="14.25" customHeight="1" x14ac:dyDescent="0.3">
      <c r="P799" s="225"/>
      <c r="Q799" s="225"/>
    </row>
    <row r="800" spans="16:17" ht="14.25" customHeight="1" x14ac:dyDescent="0.3">
      <c r="P800" s="225"/>
      <c r="Q800" s="225"/>
    </row>
    <row r="801" spans="16:17" ht="14.25" customHeight="1" x14ac:dyDescent="0.3">
      <c r="P801" s="225"/>
      <c r="Q801" s="225"/>
    </row>
    <row r="802" spans="16:17" ht="14.25" customHeight="1" x14ac:dyDescent="0.3">
      <c r="P802" s="225"/>
      <c r="Q802" s="225"/>
    </row>
    <row r="803" spans="16:17" ht="14.25" customHeight="1" x14ac:dyDescent="0.3">
      <c r="P803" s="225"/>
      <c r="Q803" s="225"/>
    </row>
    <row r="804" spans="16:17" ht="14.25" customHeight="1" x14ac:dyDescent="0.3">
      <c r="P804" s="225"/>
      <c r="Q804" s="225"/>
    </row>
    <row r="805" spans="16:17" ht="14.25" customHeight="1" x14ac:dyDescent="0.3">
      <c r="P805" s="225"/>
      <c r="Q805" s="225"/>
    </row>
    <row r="806" spans="16:17" ht="14.25" customHeight="1" x14ac:dyDescent="0.3">
      <c r="P806" s="225"/>
      <c r="Q806" s="225"/>
    </row>
    <row r="807" spans="16:17" ht="14.25" customHeight="1" x14ac:dyDescent="0.3">
      <c r="P807" s="225"/>
      <c r="Q807" s="225"/>
    </row>
    <row r="808" spans="16:17" ht="14.25" customHeight="1" x14ac:dyDescent="0.3">
      <c r="P808" s="225"/>
      <c r="Q808" s="225"/>
    </row>
    <row r="809" spans="16:17" ht="14.25" customHeight="1" x14ac:dyDescent="0.3">
      <c r="P809" s="225"/>
      <c r="Q809" s="225"/>
    </row>
    <row r="810" spans="16:17" ht="14.25" customHeight="1" x14ac:dyDescent="0.3">
      <c r="P810" s="225"/>
      <c r="Q810" s="225"/>
    </row>
    <row r="811" spans="16:17" ht="14.25" customHeight="1" x14ac:dyDescent="0.3">
      <c r="P811" s="225"/>
      <c r="Q811" s="225"/>
    </row>
    <row r="812" spans="16:17" ht="14.25" customHeight="1" x14ac:dyDescent="0.3">
      <c r="P812" s="225"/>
      <c r="Q812" s="225"/>
    </row>
    <row r="813" spans="16:17" ht="14.25" customHeight="1" x14ac:dyDescent="0.3">
      <c r="P813" s="225"/>
      <c r="Q813" s="225"/>
    </row>
    <row r="814" spans="16:17" ht="14.25" customHeight="1" x14ac:dyDescent="0.3">
      <c r="P814" s="225"/>
      <c r="Q814" s="225"/>
    </row>
    <row r="815" spans="16:17" ht="14.25" customHeight="1" x14ac:dyDescent="0.3">
      <c r="P815" s="225"/>
      <c r="Q815" s="225"/>
    </row>
    <row r="816" spans="16:17" ht="14.25" customHeight="1" x14ac:dyDescent="0.3">
      <c r="P816" s="225"/>
      <c r="Q816" s="225"/>
    </row>
    <row r="817" spans="16:17" ht="14.25" customHeight="1" x14ac:dyDescent="0.3">
      <c r="P817" s="225"/>
      <c r="Q817" s="225"/>
    </row>
    <row r="818" spans="16:17" ht="14.25" customHeight="1" x14ac:dyDescent="0.3">
      <c r="P818" s="225"/>
      <c r="Q818" s="225"/>
    </row>
    <row r="819" spans="16:17" ht="14.25" customHeight="1" x14ac:dyDescent="0.3">
      <c r="P819" s="225"/>
      <c r="Q819" s="225"/>
    </row>
    <row r="820" spans="16:17" ht="14.25" customHeight="1" x14ac:dyDescent="0.3">
      <c r="P820" s="225"/>
      <c r="Q820" s="225"/>
    </row>
    <row r="821" spans="16:17" ht="14.25" customHeight="1" x14ac:dyDescent="0.3">
      <c r="P821" s="225"/>
      <c r="Q821" s="225"/>
    </row>
    <row r="822" spans="16:17" ht="14.25" customHeight="1" x14ac:dyDescent="0.3">
      <c r="P822" s="225"/>
      <c r="Q822" s="225"/>
    </row>
    <row r="823" spans="16:17" ht="14.25" customHeight="1" x14ac:dyDescent="0.3">
      <c r="P823" s="225"/>
      <c r="Q823" s="225"/>
    </row>
    <row r="824" spans="16:17" ht="14.25" customHeight="1" x14ac:dyDescent="0.3">
      <c r="P824" s="225"/>
      <c r="Q824" s="225"/>
    </row>
    <row r="825" spans="16:17" ht="14.25" customHeight="1" x14ac:dyDescent="0.3">
      <c r="P825" s="225"/>
      <c r="Q825" s="225"/>
    </row>
    <row r="826" spans="16:17" ht="14.25" customHeight="1" x14ac:dyDescent="0.3">
      <c r="P826" s="225"/>
      <c r="Q826" s="225"/>
    </row>
    <row r="827" spans="16:17" ht="14.25" customHeight="1" x14ac:dyDescent="0.3">
      <c r="P827" s="225"/>
      <c r="Q827" s="225"/>
    </row>
    <row r="828" spans="16:17" ht="14.25" customHeight="1" x14ac:dyDescent="0.3">
      <c r="P828" s="225"/>
      <c r="Q828" s="225"/>
    </row>
    <row r="829" spans="16:17" ht="14.25" customHeight="1" x14ac:dyDescent="0.3">
      <c r="P829" s="225"/>
      <c r="Q829" s="225"/>
    </row>
    <row r="830" spans="16:17" ht="14.25" customHeight="1" x14ac:dyDescent="0.3">
      <c r="P830" s="225"/>
      <c r="Q830" s="225"/>
    </row>
    <row r="831" spans="16:17" ht="14.25" customHeight="1" x14ac:dyDescent="0.3">
      <c r="P831" s="225"/>
      <c r="Q831" s="225"/>
    </row>
    <row r="832" spans="16:17" ht="14.25" customHeight="1" x14ac:dyDescent="0.3">
      <c r="P832" s="225"/>
      <c r="Q832" s="225"/>
    </row>
    <row r="833" spans="16:17" ht="14.25" customHeight="1" x14ac:dyDescent="0.3">
      <c r="P833" s="225"/>
      <c r="Q833" s="225"/>
    </row>
    <row r="834" spans="16:17" ht="14.25" customHeight="1" x14ac:dyDescent="0.3">
      <c r="P834" s="225"/>
      <c r="Q834" s="225"/>
    </row>
    <row r="835" spans="16:17" ht="14.25" customHeight="1" x14ac:dyDescent="0.3">
      <c r="P835" s="225"/>
      <c r="Q835" s="225"/>
    </row>
    <row r="836" spans="16:17" ht="14.25" customHeight="1" x14ac:dyDescent="0.3">
      <c r="P836" s="225"/>
      <c r="Q836" s="225"/>
    </row>
    <row r="837" spans="16:17" ht="14.25" customHeight="1" x14ac:dyDescent="0.3">
      <c r="P837" s="225"/>
      <c r="Q837" s="225"/>
    </row>
    <row r="838" spans="16:17" ht="14.25" customHeight="1" x14ac:dyDescent="0.3">
      <c r="P838" s="225"/>
      <c r="Q838" s="225"/>
    </row>
    <row r="839" spans="16:17" ht="14.25" customHeight="1" x14ac:dyDescent="0.3">
      <c r="P839" s="225"/>
      <c r="Q839" s="225"/>
    </row>
    <row r="840" spans="16:17" ht="14.25" customHeight="1" x14ac:dyDescent="0.3">
      <c r="P840" s="225"/>
      <c r="Q840" s="225"/>
    </row>
    <row r="841" spans="16:17" ht="14.25" customHeight="1" x14ac:dyDescent="0.3">
      <c r="P841" s="225"/>
      <c r="Q841" s="225"/>
    </row>
    <row r="842" spans="16:17" ht="14.25" customHeight="1" x14ac:dyDescent="0.3">
      <c r="P842" s="225"/>
      <c r="Q842" s="225"/>
    </row>
    <row r="843" spans="16:17" ht="14.25" customHeight="1" x14ac:dyDescent="0.3">
      <c r="P843" s="225"/>
      <c r="Q843" s="225"/>
    </row>
    <row r="844" spans="16:17" ht="14.25" customHeight="1" x14ac:dyDescent="0.3">
      <c r="P844" s="225"/>
      <c r="Q844" s="225"/>
    </row>
    <row r="845" spans="16:17" ht="14.25" customHeight="1" x14ac:dyDescent="0.3">
      <c r="P845" s="225"/>
      <c r="Q845" s="225"/>
    </row>
    <row r="846" spans="16:17" ht="14.25" customHeight="1" x14ac:dyDescent="0.3">
      <c r="P846" s="225"/>
      <c r="Q846" s="225"/>
    </row>
    <row r="847" spans="16:17" ht="14.25" customHeight="1" x14ac:dyDescent="0.3">
      <c r="P847" s="225"/>
      <c r="Q847" s="225"/>
    </row>
    <row r="848" spans="16:17" ht="14.25" customHeight="1" x14ac:dyDescent="0.3">
      <c r="P848" s="225"/>
      <c r="Q848" s="225"/>
    </row>
    <row r="849" spans="16:17" ht="14.25" customHeight="1" x14ac:dyDescent="0.3">
      <c r="P849" s="225"/>
      <c r="Q849" s="225"/>
    </row>
    <row r="850" spans="16:17" ht="14.25" customHeight="1" x14ac:dyDescent="0.3">
      <c r="P850" s="225"/>
      <c r="Q850" s="225"/>
    </row>
    <row r="851" spans="16:17" ht="14.25" customHeight="1" x14ac:dyDescent="0.3">
      <c r="P851" s="225"/>
      <c r="Q851" s="225"/>
    </row>
    <row r="852" spans="16:17" ht="14.25" customHeight="1" x14ac:dyDescent="0.3">
      <c r="P852" s="225"/>
      <c r="Q852" s="225"/>
    </row>
    <row r="853" spans="16:17" ht="14.25" customHeight="1" x14ac:dyDescent="0.3">
      <c r="P853" s="225"/>
      <c r="Q853" s="225"/>
    </row>
    <row r="854" spans="16:17" ht="14.25" customHeight="1" x14ac:dyDescent="0.3">
      <c r="P854" s="225"/>
      <c r="Q854" s="225"/>
    </row>
    <row r="855" spans="16:17" ht="14.25" customHeight="1" x14ac:dyDescent="0.3">
      <c r="P855" s="225"/>
      <c r="Q855" s="225"/>
    </row>
    <row r="856" spans="16:17" ht="14.25" customHeight="1" x14ac:dyDescent="0.3">
      <c r="P856" s="225"/>
      <c r="Q856" s="225"/>
    </row>
    <row r="857" spans="16:17" ht="14.25" customHeight="1" x14ac:dyDescent="0.3">
      <c r="P857" s="225"/>
      <c r="Q857" s="225"/>
    </row>
    <row r="858" spans="16:17" ht="14.25" customHeight="1" x14ac:dyDescent="0.3">
      <c r="P858" s="225"/>
      <c r="Q858" s="225"/>
    </row>
    <row r="859" spans="16:17" ht="14.25" customHeight="1" x14ac:dyDescent="0.3">
      <c r="P859" s="225"/>
      <c r="Q859" s="225"/>
    </row>
    <row r="860" spans="16:17" ht="14.25" customHeight="1" x14ac:dyDescent="0.3">
      <c r="P860" s="225"/>
      <c r="Q860" s="225"/>
    </row>
    <row r="861" spans="16:17" ht="14.25" customHeight="1" x14ac:dyDescent="0.3">
      <c r="P861" s="225"/>
      <c r="Q861" s="225"/>
    </row>
    <row r="862" spans="16:17" ht="14.25" customHeight="1" x14ac:dyDescent="0.3">
      <c r="P862" s="225"/>
      <c r="Q862" s="225"/>
    </row>
    <row r="863" spans="16:17" ht="14.25" customHeight="1" x14ac:dyDescent="0.3">
      <c r="P863" s="225"/>
      <c r="Q863" s="225"/>
    </row>
    <row r="864" spans="16:17" ht="14.25" customHeight="1" x14ac:dyDescent="0.3">
      <c r="P864" s="225"/>
      <c r="Q864" s="225"/>
    </row>
    <row r="865" spans="16:17" ht="14.25" customHeight="1" x14ac:dyDescent="0.3">
      <c r="P865" s="225"/>
      <c r="Q865" s="225"/>
    </row>
    <row r="866" spans="16:17" ht="14.25" customHeight="1" x14ac:dyDescent="0.3">
      <c r="P866" s="225"/>
      <c r="Q866" s="225"/>
    </row>
    <row r="867" spans="16:17" ht="14.25" customHeight="1" x14ac:dyDescent="0.3">
      <c r="P867" s="225"/>
      <c r="Q867" s="225"/>
    </row>
    <row r="868" spans="16:17" ht="14.25" customHeight="1" x14ac:dyDescent="0.3">
      <c r="P868" s="225"/>
      <c r="Q868" s="225"/>
    </row>
    <row r="869" spans="16:17" ht="14.25" customHeight="1" x14ac:dyDescent="0.3">
      <c r="P869" s="225"/>
      <c r="Q869" s="225"/>
    </row>
    <row r="870" spans="16:17" ht="14.25" customHeight="1" x14ac:dyDescent="0.3">
      <c r="P870" s="225"/>
      <c r="Q870" s="225"/>
    </row>
    <row r="871" spans="16:17" ht="14.25" customHeight="1" x14ac:dyDescent="0.3">
      <c r="P871" s="225"/>
      <c r="Q871" s="225"/>
    </row>
    <row r="872" spans="16:17" ht="14.25" customHeight="1" x14ac:dyDescent="0.3">
      <c r="P872" s="225"/>
      <c r="Q872" s="225"/>
    </row>
    <row r="873" spans="16:17" ht="14.25" customHeight="1" x14ac:dyDescent="0.3">
      <c r="P873" s="225"/>
      <c r="Q873" s="225"/>
    </row>
    <row r="874" spans="16:17" ht="14.25" customHeight="1" x14ac:dyDescent="0.3">
      <c r="P874" s="225"/>
      <c r="Q874" s="225"/>
    </row>
    <row r="875" spans="16:17" ht="14.25" customHeight="1" x14ac:dyDescent="0.3">
      <c r="P875" s="225"/>
      <c r="Q875" s="225"/>
    </row>
    <row r="876" spans="16:17" ht="14.25" customHeight="1" x14ac:dyDescent="0.3">
      <c r="P876" s="225"/>
      <c r="Q876" s="225"/>
    </row>
    <row r="877" spans="16:17" ht="14.25" customHeight="1" x14ac:dyDescent="0.3">
      <c r="P877" s="225"/>
      <c r="Q877" s="225"/>
    </row>
    <row r="878" spans="16:17" ht="14.25" customHeight="1" x14ac:dyDescent="0.3">
      <c r="P878" s="225"/>
      <c r="Q878" s="225"/>
    </row>
    <row r="879" spans="16:17" ht="14.25" customHeight="1" x14ac:dyDescent="0.3">
      <c r="P879" s="225"/>
      <c r="Q879" s="225"/>
    </row>
    <row r="880" spans="16:17" ht="14.25" customHeight="1" x14ac:dyDescent="0.3">
      <c r="P880" s="225"/>
      <c r="Q880" s="225"/>
    </row>
    <row r="881" spans="16:17" ht="14.25" customHeight="1" x14ac:dyDescent="0.3">
      <c r="P881" s="225"/>
      <c r="Q881" s="225"/>
    </row>
    <row r="882" spans="16:17" ht="14.25" customHeight="1" x14ac:dyDescent="0.3">
      <c r="P882" s="225"/>
      <c r="Q882" s="225"/>
    </row>
    <row r="883" spans="16:17" ht="14.25" customHeight="1" x14ac:dyDescent="0.3">
      <c r="P883" s="225"/>
      <c r="Q883" s="225"/>
    </row>
    <row r="884" spans="16:17" ht="14.25" customHeight="1" x14ac:dyDescent="0.3">
      <c r="P884" s="225"/>
      <c r="Q884" s="225"/>
    </row>
    <row r="885" spans="16:17" ht="14.25" customHeight="1" x14ac:dyDescent="0.3">
      <c r="P885" s="225"/>
      <c r="Q885" s="225"/>
    </row>
    <row r="886" spans="16:17" ht="14.25" customHeight="1" x14ac:dyDescent="0.3">
      <c r="P886" s="225"/>
      <c r="Q886" s="225"/>
    </row>
    <row r="887" spans="16:17" ht="14.25" customHeight="1" x14ac:dyDescent="0.3">
      <c r="P887" s="225"/>
      <c r="Q887" s="225"/>
    </row>
    <row r="888" spans="16:17" ht="14.25" customHeight="1" x14ac:dyDescent="0.3">
      <c r="P888" s="225"/>
      <c r="Q888" s="225"/>
    </row>
    <row r="889" spans="16:17" ht="14.25" customHeight="1" x14ac:dyDescent="0.3">
      <c r="P889" s="225"/>
      <c r="Q889" s="225"/>
    </row>
    <row r="890" spans="16:17" ht="14.25" customHeight="1" x14ac:dyDescent="0.3">
      <c r="P890" s="225"/>
      <c r="Q890" s="225"/>
    </row>
    <row r="891" spans="16:17" ht="14.25" customHeight="1" x14ac:dyDescent="0.3">
      <c r="P891" s="225"/>
      <c r="Q891" s="225"/>
    </row>
    <row r="892" spans="16:17" ht="14.25" customHeight="1" x14ac:dyDescent="0.3">
      <c r="P892" s="225"/>
      <c r="Q892" s="225"/>
    </row>
    <row r="893" spans="16:17" ht="14.25" customHeight="1" x14ac:dyDescent="0.3">
      <c r="P893" s="225"/>
      <c r="Q893" s="225"/>
    </row>
    <row r="894" spans="16:17" ht="14.25" customHeight="1" x14ac:dyDescent="0.3">
      <c r="P894" s="225"/>
      <c r="Q894" s="225"/>
    </row>
    <row r="895" spans="16:17" ht="14.25" customHeight="1" x14ac:dyDescent="0.3">
      <c r="P895" s="225"/>
      <c r="Q895" s="225"/>
    </row>
    <row r="896" spans="16:17" ht="14.25" customHeight="1" x14ac:dyDescent="0.3">
      <c r="P896" s="225"/>
      <c r="Q896" s="225"/>
    </row>
    <row r="897" spans="16:17" ht="14.25" customHeight="1" x14ac:dyDescent="0.3">
      <c r="P897" s="225"/>
      <c r="Q897" s="225"/>
    </row>
    <row r="898" spans="16:17" ht="14.25" customHeight="1" x14ac:dyDescent="0.3">
      <c r="P898" s="225"/>
      <c r="Q898" s="225"/>
    </row>
    <row r="899" spans="16:17" ht="14.25" customHeight="1" x14ac:dyDescent="0.3">
      <c r="P899" s="225"/>
      <c r="Q899" s="225"/>
    </row>
    <row r="900" spans="16:17" ht="14.25" customHeight="1" x14ac:dyDescent="0.3">
      <c r="P900" s="225"/>
      <c r="Q900" s="225"/>
    </row>
    <row r="901" spans="16:17" ht="14.25" customHeight="1" x14ac:dyDescent="0.3">
      <c r="P901" s="225"/>
      <c r="Q901" s="225"/>
    </row>
    <row r="902" spans="16:17" ht="14.25" customHeight="1" x14ac:dyDescent="0.3">
      <c r="P902" s="225"/>
      <c r="Q902" s="225"/>
    </row>
    <row r="903" spans="16:17" ht="14.25" customHeight="1" x14ac:dyDescent="0.3">
      <c r="P903" s="225"/>
      <c r="Q903" s="225"/>
    </row>
    <row r="904" spans="16:17" ht="14.25" customHeight="1" x14ac:dyDescent="0.3">
      <c r="P904" s="225"/>
      <c r="Q904" s="225"/>
    </row>
    <row r="905" spans="16:17" ht="14.25" customHeight="1" x14ac:dyDescent="0.3">
      <c r="P905" s="225"/>
      <c r="Q905" s="225"/>
    </row>
    <row r="906" spans="16:17" ht="14.25" customHeight="1" x14ac:dyDescent="0.3">
      <c r="P906" s="225"/>
      <c r="Q906" s="225"/>
    </row>
    <row r="907" spans="16:17" ht="14.25" customHeight="1" x14ac:dyDescent="0.3">
      <c r="P907" s="225"/>
      <c r="Q907" s="225"/>
    </row>
    <row r="908" spans="16:17" ht="14.25" customHeight="1" x14ac:dyDescent="0.3">
      <c r="P908" s="225"/>
      <c r="Q908" s="225"/>
    </row>
    <row r="909" spans="16:17" ht="14.25" customHeight="1" x14ac:dyDescent="0.3">
      <c r="P909" s="225"/>
      <c r="Q909" s="225"/>
    </row>
    <row r="910" spans="16:17" ht="14.25" customHeight="1" x14ac:dyDescent="0.3">
      <c r="P910" s="225"/>
      <c r="Q910" s="225"/>
    </row>
    <row r="911" spans="16:17" ht="14.25" customHeight="1" x14ac:dyDescent="0.3">
      <c r="P911" s="225"/>
      <c r="Q911" s="225"/>
    </row>
    <row r="912" spans="16:17" ht="14.25" customHeight="1" x14ac:dyDescent="0.3">
      <c r="P912" s="225"/>
      <c r="Q912" s="225"/>
    </row>
    <row r="913" spans="16:17" ht="14.25" customHeight="1" x14ac:dyDescent="0.3">
      <c r="P913" s="225"/>
      <c r="Q913" s="225"/>
    </row>
    <row r="914" spans="16:17" ht="14.25" customHeight="1" x14ac:dyDescent="0.3">
      <c r="P914" s="225"/>
      <c r="Q914" s="225"/>
    </row>
    <row r="915" spans="16:17" ht="14.25" customHeight="1" x14ac:dyDescent="0.3">
      <c r="P915" s="225"/>
      <c r="Q915" s="225"/>
    </row>
    <row r="916" spans="16:17" ht="14.25" customHeight="1" x14ac:dyDescent="0.3">
      <c r="P916" s="225"/>
      <c r="Q916" s="225"/>
    </row>
    <row r="917" spans="16:17" ht="14.25" customHeight="1" x14ac:dyDescent="0.3">
      <c r="P917" s="225"/>
      <c r="Q917" s="225"/>
    </row>
    <row r="918" spans="16:17" ht="14.25" customHeight="1" x14ac:dyDescent="0.3">
      <c r="P918" s="225"/>
      <c r="Q918" s="225"/>
    </row>
    <row r="919" spans="16:17" ht="14.25" customHeight="1" x14ac:dyDescent="0.3">
      <c r="P919" s="225"/>
      <c r="Q919" s="225"/>
    </row>
    <row r="920" spans="16:17" ht="14.25" customHeight="1" x14ac:dyDescent="0.3">
      <c r="P920" s="225"/>
      <c r="Q920" s="225"/>
    </row>
    <row r="921" spans="16:17" ht="14.25" customHeight="1" x14ac:dyDescent="0.3">
      <c r="P921" s="225"/>
      <c r="Q921" s="225"/>
    </row>
    <row r="922" spans="16:17" ht="14.25" customHeight="1" x14ac:dyDescent="0.3">
      <c r="P922" s="225"/>
      <c r="Q922" s="225"/>
    </row>
    <row r="923" spans="16:17" ht="14.25" customHeight="1" x14ac:dyDescent="0.3">
      <c r="P923" s="225"/>
      <c r="Q923" s="225"/>
    </row>
    <row r="924" spans="16:17" ht="14.25" customHeight="1" x14ac:dyDescent="0.3">
      <c r="P924" s="225"/>
      <c r="Q924" s="225"/>
    </row>
    <row r="925" spans="16:17" ht="14.25" customHeight="1" x14ac:dyDescent="0.3">
      <c r="P925" s="225"/>
      <c r="Q925" s="225"/>
    </row>
    <row r="926" spans="16:17" ht="14.25" customHeight="1" x14ac:dyDescent="0.3">
      <c r="P926" s="225"/>
      <c r="Q926" s="225"/>
    </row>
    <row r="927" spans="16:17" ht="14.25" customHeight="1" x14ac:dyDescent="0.3">
      <c r="P927" s="225"/>
      <c r="Q927" s="225"/>
    </row>
    <row r="928" spans="16:17" ht="14.25" customHeight="1" x14ac:dyDescent="0.3">
      <c r="P928" s="225"/>
      <c r="Q928" s="225"/>
    </row>
    <row r="929" spans="16:17" ht="14.25" customHeight="1" x14ac:dyDescent="0.3">
      <c r="P929" s="225"/>
      <c r="Q929" s="225"/>
    </row>
    <row r="930" spans="16:17" ht="14.25" customHeight="1" x14ac:dyDescent="0.3">
      <c r="P930" s="225"/>
      <c r="Q930" s="225"/>
    </row>
    <row r="931" spans="16:17" ht="14.25" customHeight="1" x14ac:dyDescent="0.3">
      <c r="P931" s="225"/>
      <c r="Q931" s="225"/>
    </row>
    <row r="932" spans="16:17" ht="14.25" customHeight="1" x14ac:dyDescent="0.3">
      <c r="P932" s="225"/>
      <c r="Q932" s="225"/>
    </row>
    <row r="933" spans="16:17" ht="14.25" customHeight="1" x14ac:dyDescent="0.3">
      <c r="P933" s="225"/>
      <c r="Q933" s="225"/>
    </row>
    <row r="934" spans="16:17" ht="14.25" customHeight="1" x14ac:dyDescent="0.3">
      <c r="P934" s="225"/>
      <c r="Q934" s="225"/>
    </row>
    <row r="935" spans="16:17" ht="14.25" customHeight="1" x14ac:dyDescent="0.3">
      <c r="P935" s="225"/>
      <c r="Q935" s="225"/>
    </row>
    <row r="936" spans="16:17" ht="14.25" customHeight="1" x14ac:dyDescent="0.3">
      <c r="P936" s="225"/>
      <c r="Q936" s="225"/>
    </row>
    <row r="937" spans="16:17" ht="14.25" customHeight="1" x14ac:dyDescent="0.3">
      <c r="P937" s="225"/>
      <c r="Q937" s="225"/>
    </row>
    <row r="938" spans="16:17" ht="14.25" customHeight="1" x14ac:dyDescent="0.3">
      <c r="P938" s="225"/>
      <c r="Q938" s="225"/>
    </row>
    <row r="939" spans="16:17" ht="14.25" customHeight="1" x14ac:dyDescent="0.3">
      <c r="P939" s="225"/>
      <c r="Q939" s="225"/>
    </row>
    <row r="940" spans="16:17" ht="14.25" customHeight="1" x14ac:dyDescent="0.3">
      <c r="P940" s="225"/>
      <c r="Q940" s="225"/>
    </row>
    <row r="941" spans="16:17" ht="14.25" customHeight="1" x14ac:dyDescent="0.3">
      <c r="P941" s="225"/>
      <c r="Q941" s="225"/>
    </row>
    <row r="942" spans="16:17" ht="14.25" customHeight="1" x14ac:dyDescent="0.3">
      <c r="P942" s="225"/>
      <c r="Q942" s="225"/>
    </row>
    <row r="943" spans="16:17" ht="14.25" customHeight="1" x14ac:dyDescent="0.3">
      <c r="P943" s="225"/>
      <c r="Q943" s="225"/>
    </row>
    <row r="944" spans="16:17" ht="14.25" customHeight="1" x14ac:dyDescent="0.3">
      <c r="P944" s="225"/>
      <c r="Q944" s="225"/>
    </row>
    <row r="945" spans="16:17" ht="14.25" customHeight="1" x14ac:dyDescent="0.3">
      <c r="P945" s="225"/>
      <c r="Q945" s="225"/>
    </row>
    <row r="946" spans="16:17" ht="14.25" customHeight="1" x14ac:dyDescent="0.3">
      <c r="P946" s="225"/>
      <c r="Q946" s="225"/>
    </row>
    <row r="947" spans="16:17" ht="14.25" customHeight="1" x14ac:dyDescent="0.3">
      <c r="P947" s="225"/>
      <c r="Q947" s="225"/>
    </row>
    <row r="948" spans="16:17" ht="14.25" customHeight="1" x14ac:dyDescent="0.3">
      <c r="P948" s="225"/>
      <c r="Q948" s="225"/>
    </row>
    <row r="949" spans="16:17" ht="14.25" customHeight="1" x14ac:dyDescent="0.3">
      <c r="P949" s="225"/>
      <c r="Q949" s="225"/>
    </row>
    <row r="950" spans="16:17" ht="14.25" customHeight="1" x14ac:dyDescent="0.3">
      <c r="P950" s="225"/>
      <c r="Q950" s="225"/>
    </row>
    <row r="951" spans="16:17" ht="14.25" customHeight="1" x14ac:dyDescent="0.3">
      <c r="P951" s="225"/>
      <c r="Q951" s="225"/>
    </row>
    <row r="952" spans="16:17" ht="14.25" customHeight="1" x14ac:dyDescent="0.3">
      <c r="P952" s="225"/>
      <c r="Q952" s="225"/>
    </row>
    <row r="953" spans="16:17" ht="14.25" customHeight="1" x14ac:dyDescent="0.3">
      <c r="P953" s="225"/>
      <c r="Q953" s="225"/>
    </row>
    <row r="954" spans="16:17" ht="14.25" customHeight="1" x14ac:dyDescent="0.3">
      <c r="P954" s="225"/>
      <c r="Q954" s="225"/>
    </row>
    <row r="955" spans="16:17" ht="14.25" customHeight="1" x14ac:dyDescent="0.3">
      <c r="P955" s="225"/>
      <c r="Q955" s="225"/>
    </row>
    <row r="956" spans="16:17" ht="14.25" customHeight="1" x14ac:dyDescent="0.3">
      <c r="P956" s="225"/>
      <c r="Q956" s="225"/>
    </row>
    <row r="957" spans="16:17" ht="14.25" customHeight="1" x14ac:dyDescent="0.3">
      <c r="P957" s="225"/>
      <c r="Q957" s="225"/>
    </row>
    <row r="958" spans="16:17" ht="14.25" customHeight="1" x14ac:dyDescent="0.3">
      <c r="P958" s="225"/>
      <c r="Q958" s="225"/>
    </row>
    <row r="959" spans="16:17" ht="14.25" customHeight="1" x14ac:dyDescent="0.3">
      <c r="P959" s="225"/>
      <c r="Q959" s="225"/>
    </row>
    <row r="960" spans="16:17" ht="14.25" customHeight="1" x14ac:dyDescent="0.3">
      <c r="P960" s="225"/>
      <c r="Q960" s="225"/>
    </row>
    <row r="961" spans="16:17" ht="14.25" customHeight="1" x14ac:dyDescent="0.3">
      <c r="P961" s="225"/>
      <c r="Q961" s="225"/>
    </row>
    <row r="962" spans="16:17" ht="14.25" customHeight="1" x14ac:dyDescent="0.3">
      <c r="P962" s="225"/>
      <c r="Q962" s="225"/>
    </row>
    <row r="963" spans="16:17" ht="14.25" customHeight="1" x14ac:dyDescent="0.3">
      <c r="P963" s="225"/>
      <c r="Q963" s="225"/>
    </row>
    <row r="964" spans="16:17" ht="14.25" customHeight="1" x14ac:dyDescent="0.3">
      <c r="P964" s="225"/>
      <c r="Q964" s="225"/>
    </row>
    <row r="965" spans="16:17" ht="14.25" customHeight="1" x14ac:dyDescent="0.3">
      <c r="P965" s="225"/>
      <c r="Q965" s="225"/>
    </row>
    <row r="966" spans="16:17" ht="14.25" customHeight="1" x14ac:dyDescent="0.3">
      <c r="P966" s="225"/>
      <c r="Q966" s="225"/>
    </row>
    <row r="967" spans="16:17" ht="14.25" customHeight="1" x14ac:dyDescent="0.3">
      <c r="P967" s="225"/>
      <c r="Q967" s="225"/>
    </row>
    <row r="968" spans="16:17" ht="14.25" customHeight="1" x14ac:dyDescent="0.3">
      <c r="P968" s="225"/>
      <c r="Q968" s="225"/>
    </row>
    <row r="969" spans="16:17" ht="14.25" customHeight="1" x14ac:dyDescent="0.3">
      <c r="P969" s="225"/>
      <c r="Q969" s="225"/>
    </row>
    <row r="970" spans="16:17" ht="14.25" customHeight="1" x14ac:dyDescent="0.3">
      <c r="P970" s="225"/>
      <c r="Q970" s="225"/>
    </row>
    <row r="971" spans="16:17" ht="14.25" customHeight="1" x14ac:dyDescent="0.3">
      <c r="P971" s="225"/>
      <c r="Q971" s="225"/>
    </row>
    <row r="972" spans="16:17" ht="14.25" customHeight="1" x14ac:dyDescent="0.3">
      <c r="P972" s="225"/>
      <c r="Q972" s="225"/>
    </row>
    <row r="973" spans="16:17" ht="14.25" customHeight="1" x14ac:dyDescent="0.3">
      <c r="P973" s="225"/>
      <c r="Q973" s="225"/>
    </row>
    <row r="974" spans="16:17" ht="14.25" customHeight="1" x14ac:dyDescent="0.3">
      <c r="P974" s="225"/>
      <c r="Q974" s="225"/>
    </row>
    <row r="975" spans="16:17" ht="14.25" customHeight="1" x14ac:dyDescent="0.3">
      <c r="P975" s="225"/>
      <c r="Q975" s="225"/>
    </row>
    <row r="976" spans="16:17" ht="14.25" customHeight="1" x14ac:dyDescent="0.3">
      <c r="P976" s="225"/>
      <c r="Q976" s="225"/>
    </row>
    <row r="977" spans="16:17" ht="14.25" customHeight="1" x14ac:dyDescent="0.3">
      <c r="P977" s="225"/>
      <c r="Q977" s="225"/>
    </row>
    <row r="978" spans="16:17" ht="14.25" customHeight="1" x14ac:dyDescent="0.3">
      <c r="P978" s="225"/>
      <c r="Q978" s="225"/>
    </row>
    <row r="979" spans="16:17" ht="14.25" customHeight="1" x14ac:dyDescent="0.3">
      <c r="P979" s="225"/>
      <c r="Q979" s="225"/>
    </row>
    <row r="980" spans="16:17" ht="14.25" customHeight="1" x14ac:dyDescent="0.3">
      <c r="P980" s="225"/>
      <c r="Q980" s="225"/>
    </row>
    <row r="981" spans="16:17" ht="14.25" customHeight="1" x14ac:dyDescent="0.3">
      <c r="P981" s="225"/>
      <c r="Q981" s="225"/>
    </row>
    <row r="982" spans="16:17" ht="14.25" customHeight="1" x14ac:dyDescent="0.3">
      <c r="P982" s="225"/>
      <c r="Q982" s="225"/>
    </row>
    <row r="983" spans="16:17" ht="14.25" customHeight="1" x14ac:dyDescent="0.3">
      <c r="P983" s="225"/>
      <c r="Q983" s="225"/>
    </row>
    <row r="984" spans="16:17" ht="14.25" customHeight="1" x14ac:dyDescent="0.3">
      <c r="P984" s="225"/>
      <c r="Q984" s="225"/>
    </row>
    <row r="985" spans="16:17" ht="14.25" customHeight="1" x14ac:dyDescent="0.3">
      <c r="P985" s="225"/>
      <c r="Q985" s="225"/>
    </row>
    <row r="986" spans="16:17" ht="14.25" customHeight="1" x14ac:dyDescent="0.3">
      <c r="P986" s="225"/>
      <c r="Q986" s="225"/>
    </row>
    <row r="987" spans="16:17" ht="14.25" customHeight="1" x14ac:dyDescent="0.3">
      <c r="P987" s="225"/>
      <c r="Q987" s="225"/>
    </row>
    <row r="988" spans="16:17" ht="14.25" customHeight="1" x14ac:dyDescent="0.3">
      <c r="P988" s="225"/>
      <c r="Q988" s="225"/>
    </row>
    <row r="989" spans="16:17" ht="14.25" customHeight="1" x14ac:dyDescent="0.3">
      <c r="P989" s="225"/>
      <c r="Q989" s="225"/>
    </row>
    <row r="990" spans="16:17" ht="14.25" customHeight="1" x14ac:dyDescent="0.3">
      <c r="P990" s="225"/>
      <c r="Q990" s="225"/>
    </row>
    <row r="991" spans="16:17" ht="14.25" customHeight="1" x14ac:dyDescent="0.3">
      <c r="P991" s="225"/>
      <c r="Q991" s="225"/>
    </row>
    <row r="992" spans="16:17" ht="14.25" customHeight="1" x14ac:dyDescent="0.3">
      <c r="P992" s="225"/>
      <c r="Q992" s="225"/>
    </row>
    <row r="993" spans="16:17" ht="14.25" customHeight="1" x14ac:dyDescent="0.3">
      <c r="P993" s="225"/>
      <c r="Q993" s="225"/>
    </row>
    <row r="994" spans="16:17" ht="14.25" customHeight="1" x14ac:dyDescent="0.3">
      <c r="P994" s="225"/>
      <c r="Q994" s="225"/>
    </row>
    <row r="995" spans="16:17" ht="14.25" customHeight="1" x14ac:dyDescent="0.3">
      <c r="P995" s="225"/>
      <c r="Q995" s="225"/>
    </row>
    <row r="996" spans="16:17" ht="14.25" customHeight="1" x14ac:dyDescent="0.3">
      <c r="P996" s="225"/>
      <c r="Q996" s="225"/>
    </row>
    <row r="997" spans="16:17" ht="14.25" customHeight="1" x14ac:dyDescent="0.3">
      <c r="P997" s="225"/>
      <c r="Q997" s="225"/>
    </row>
    <row r="998" spans="16:17" ht="14.25" customHeight="1" x14ac:dyDescent="0.3">
      <c r="P998" s="225"/>
      <c r="Q998" s="225"/>
    </row>
    <row r="999" spans="16:17" ht="14.25" customHeight="1" x14ac:dyDescent="0.3">
      <c r="P999" s="225"/>
      <c r="Q999" s="225"/>
    </row>
    <row r="1000" spans="16:17" ht="14.25" customHeight="1" x14ac:dyDescent="0.3">
      <c r="P1000" s="225"/>
      <c r="Q1000" s="225"/>
    </row>
  </sheetData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1" width="10.09765625" customWidth="1"/>
    <col min="2" max="2" width="9.8984375" customWidth="1"/>
    <col min="3" max="3" width="15.09765625" customWidth="1"/>
    <col min="4" max="4" width="9.3984375" customWidth="1"/>
    <col min="5" max="5" width="47.8984375" customWidth="1"/>
    <col min="6" max="6" width="23.09765625" customWidth="1"/>
    <col min="7" max="7" width="10.3984375" customWidth="1"/>
    <col min="8" max="8" width="26" customWidth="1"/>
    <col min="9" max="9" width="11.59765625" customWidth="1"/>
    <col min="10" max="10" width="23.09765625" customWidth="1"/>
    <col min="11" max="11" width="11.59765625" customWidth="1"/>
    <col min="12" max="12" width="6.8984375" customWidth="1"/>
    <col min="13" max="13" width="18.5" customWidth="1"/>
    <col min="14" max="14" width="17.19921875" customWidth="1"/>
    <col min="15" max="15" width="7.5" customWidth="1"/>
    <col min="16" max="16" width="15.5" customWidth="1"/>
    <col min="17" max="17" width="31.3984375" customWidth="1"/>
    <col min="18" max="18" width="34.09765625" customWidth="1"/>
    <col min="19" max="19" width="18.8984375" customWidth="1"/>
    <col min="20" max="20" width="17.69921875" customWidth="1"/>
    <col min="21" max="21" width="19.5" customWidth="1"/>
    <col min="22" max="22" width="25.59765625" customWidth="1"/>
    <col min="23" max="23" width="21.69921875" customWidth="1"/>
    <col min="24" max="24" width="23.3984375" customWidth="1"/>
    <col min="25" max="25" width="19.5" customWidth="1"/>
    <col min="26" max="26" width="7.59765625" customWidth="1"/>
  </cols>
  <sheetData>
    <row r="1" spans="1:25" ht="14.25" customHeight="1" x14ac:dyDescent="0.3">
      <c r="A1" s="197" t="s">
        <v>0</v>
      </c>
      <c r="B1" s="198" t="s">
        <v>1</v>
      </c>
      <c r="C1" s="198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8" t="s">
        <v>8</v>
      </c>
      <c r="J1" s="198" t="s">
        <v>9</v>
      </c>
      <c r="K1" s="198" t="s">
        <v>10</v>
      </c>
      <c r="L1" s="198" t="s">
        <v>11</v>
      </c>
      <c r="M1" s="198" t="s">
        <v>12</v>
      </c>
      <c r="N1" s="198" t="s">
        <v>13</v>
      </c>
      <c r="O1" s="198" t="s">
        <v>14</v>
      </c>
      <c r="P1" s="199" t="s">
        <v>910</v>
      </c>
      <c r="Q1" s="199" t="s">
        <v>911</v>
      </c>
      <c r="R1" s="198" t="s">
        <v>17</v>
      </c>
      <c r="S1" s="198" t="s">
        <v>18</v>
      </c>
      <c r="T1" s="198" t="s">
        <v>19</v>
      </c>
      <c r="U1" s="198" t="s">
        <v>20</v>
      </c>
      <c r="V1" s="198" t="s">
        <v>21</v>
      </c>
      <c r="W1" s="198" t="s">
        <v>22</v>
      </c>
      <c r="X1" s="198" t="s">
        <v>912</v>
      </c>
      <c r="Y1" s="200" t="s">
        <v>913</v>
      </c>
    </row>
    <row r="2" spans="1:25" ht="14.25" customHeight="1" x14ac:dyDescent="0.3">
      <c r="A2" s="201">
        <v>45886</v>
      </c>
      <c r="B2" s="202">
        <v>45892</v>
      </c>
      <c r="C2" s="203" t="s">
        <v>27</v>
      </c>
      <c r="D2" s="203" t="s">
        <v>28</v>
      </c>
      <c r="E2" s="203" t="s">
        <v>29</v>
      </c>
      <c r="F2" s="203" t="s">
        <v>30</v>
      </c>
      <c r="G2" s="203" t="s">
        <v>31</v>
      </c>
      <c r="H2" s="203" t="s">
        <v>30</v>
      </c>
      <c r="I2" s="203" t="s">
        <v>32</v>
      </c>
      <c r="J2" s="203" t="s">
        <v>30</v>
      </c>
      <c r="K2" s="204">
        <v>640</v>
      </c>
      <c r="L2" s="204">
        <v>10</v>
      </c>
      <c r="M2" s="205">
        <v>1.5625E-2</v>
      </c>
      <c r="N2" s="206">
        <v>3.4980000000000002</v>
      </c>
      <c r="O2" s="208">
        <v>34.979999999999997</v>
      </c>
      <c r="P2" s="208">
        <v>74.820000000000007</v>
      </c>
      <c r="Q2" s="208">
        <v>46.752205292702484</v>
      </c>
      <c r="R2" s="221">
        <v>213.89365351629502</v>
      </c>
      <c r="S2" s="204">
        <v>3</v>
      </c>
      <c r="T2" s="204">
        <v>3</v>
      </c>
      <c r="U2" s="205">
        <v>0.3</v>
      </c>
      <c r="V2" s="204">
        <v>3</v>
      </c>
      <c r="W2" s="204">
        <v>0</v>
      </c>
      <c r="X2" s="206">
        <v>74.820000000000007</v>
      </c>
      <c r="Y2" s="222">
        <v>0</v>
      </c>
    </row>
    <row r="3" spans="1:25" ht="14.25" customHeight="1" x14ac:dyDescent="0.3">
      <c r="A3" s="201">
        <v>45886</v>
      </c>
      <c r="B3" s="202">
        <v>45888</v>
      </c>
      <c r="C3" s="203" t="s">
        <v>105</v>
      </c>
      <c r="D3" s="203" t="s">
        <v>28</v>
      </c>
      <c r="E3" s="203" t="s">
        <v>669</v>
      </c>
      <c r="F3" s="203" t="s">
        <v>30</v>
      </c>
      <c r="G3" s="203" t="s">
        <v>31</v>
      </c>
      <c r="H3" s="203" t="s">
        <v>30</v>
      </c>
      <c r="I3" s="203" t="s">
        <v>65</v>
      </c>
      <c r="J3" s="203" t="s">
        <v>30</v>
      </c>
      <c r="K3" s="204">
        <v>126</v>
      </c>
      <c r="L3" s="204">
        <v>4</v>
      </c>
      <c r="M3" s="205">
        <v>3.1746031746031744E-2</v>
      </c>
      <c r="N3" s="206">
        <v>3.0550000000000002</v>
      </c>
      <c r="O3" s="208">
        <v>12.22</v>
      </c>
      <c r="P3" s="208">
        <v>24.94</v>
      </c>
      <c r="Q3" s="208">
        <v>48.997594226142745</v>
      </c>
      <c r="R3" s="221">
        <v>204.09165302782327</v>
      </c>
      <c r="S3" s="204">
        <v>1</v>
      </c>
      <c r="T3" s="204">
        <v>1</v>
      </c>
      <c r="U3" s="205">
        <v>0.25</v>
      </c>
      <c r="V3" s="204">
        <v>1</v>
      </c>
      <c r="W3" s="204">
        <v>0</v>
      </c>
      <c r="X3" s="206">
        <v>24.94</v>
      </c>
      <c r="Y3" s="222">
        <v>0</v>
      </c>
    </row>
    <row r="4" spans="1:25" ht="14.25" customHeight="1" x14ac:dyDescent="0.3">
      <c r="A4" s="201">
        <v>45886</v>
      </c>
      <c r="B4" s="202">
        <v>45886</v>
      </c>
      <c r="C4" s="203" t="s">
        <v>27</v>
      </c>
      <c r="D4" s="203" t="s">
        <v>28</v>
      </c>
      <c r="E4" s="203" t="s">
        <v>71</v>
      </c>
      <c r="F4" s="203" t="s">
        <v>72</v>
      </c>
      <c r="G4" s="203" t="s">
        <v>31</v>
      </c>
      <c r="H4" s="203" t="s">
        <v>51</v>
      </c>
      <c r="I4" s="203" t="s">
        <v>52</v>
      </c>
      <c r="J4" s="203" t="s">
        <v>74</v>
      </c>
      <c r="K4" s="204">
        <v>2</v>
      </c>
      <c r="L4" s="204">
        <v>1</v>
      </c>
      <c r="M4" s="205">
        <v>0.5</v>
      </c>
      <c r="N4" s="206">
        <v>3.5</v>
      </c>
      <c r="O4" s="208">
        <v>3.5</v>
      </c>
      <c r="P4" s="208">
        <v>24.94</v>
      </c>
      <c r="Q4" s="208">
        <v>14.033680834001602</v>
      </c>
      <c r="R4" s="221">
        <v>712.57142857142867</v>
      </c>
      <c r="S4" s="204">
        <v>1</v>
      </c>
      <c r="T4" s="204">
        <v>1</v>
      </c>
      <c r="U4" s="205">
        <v>1</v>
      </c>
      <c r="V4" s="204">
        <v>1</v>
      </c>
      <c r="W4" s="204">
        <v>0</v>
      </c>
      <c r="X4" s="206">
        <v>24.94</v>
      </c>
      <c r="Y4" s="222">
        <v>0</v>
      </c>
    </row>
    <row r="5" spans="1:25" ht="14.25" customHeight="1" x14ac:dyDescent="0.3">
      <c r="A5" s="201">
        <v>45886</v>
      </c>
      <c r="B5" s="202">
        <v>45892</v>
      </c>
      <c r="C5" s="203" t="s">
        <v>143</v>
      </c>
      <c r="D5" s="203" t="s">
        <v>28</v>
      </c>
      <c r="E5" s="203" t="s">
        <v>144</v>
      </c>
      <c r="F5" s="203" t="s">
        <v>32</v>
      </c>
      <c r="G5" s="203" t="s">
        <v>31</v>
      </c>
      <c r="H5" s="203" t="s">
        <v>30</v>
      </c>
      <c r="I5" s="203" t="s">
        <v>44</v>
      </c>
      <c r="J5" s="203" t="s">
        <v>145</v>
      </c>
      <c r="K5" s="204">
        <v>469</v>
      </c>
      <c r="L5" s="204">
        <v>4</v>
      </c>
      <c r="M5" s="205">
        <v>8.5287846481876331E-3</v>
      </c>
      <c r="N5" s="206">
        <v>1.3075000000000001</v>
      </c>
      <c r="O5" s="208">
        <v>5.23</v>
      </c>
      <c r="P5" s="208">
        <v>24.94</v>
      </c>
      <c r="Q5" s="208">
        <v>20.970328789093827</v>
      </c>
      <c r="R5" s="221">
        <v>476.86424474187385</v>
      </c>
      <c r="S5" s="204">
        <v>1</v>
      </c>
      <c r="T5" s="204">
        <v>1</v>
      </c>
      <c r="U5" s="205">
        <v>0.25</v>
      </c>
      <c r="V5" s="204">
        <v>1</v>
      </c>
      <c r="W5" s="204">
        <v>0</v>
      </c>
      <c r="X5" s="206">
        <v>24.94</v>
      </c>
      <c r="Y5" s="222">
        <v>0</v>
      </c>
    </row>
    <row r="6" spans="1:25" ht="14.25" customHeight="1" x14ac:dyDescent="0.3">
      <c r="A6" s="201">
        <v>45886</v>
      </c>
      <c r="B6" s="202">
        <v>45886</v>
      </c>
      <c r="C6" s="203" t="s">
        <v>27</v>
      </c>
      <c r="D6" s="203" t="s">
        <v>28</v>
      </c>
      <c r="E6" s="203" t="s">
        <v>29</v>
      </c>
      <c r="F6" s="203" t="s">
        <v>30</v>
      </c>
      <c r="G6" s="203" t="s">
        <v>31</v>
      </c>
      <c r="H6" s="203" t="s">
        <v>145</v>
      </c>
      <c r="I6" s="203" t="s">
        <v>32</v>
      </c>
      <c r="J6" s="203" t="s">
        <v>404</v>
      </c>
      <c r="K6" s="204">
        <v>1</v>
      </c>
      <c r="L6" s="204">
        <v>1</v>
      </c>
      <c r="M6" s="205">
        <v>1</v>
      </c>
      <c r="N6" s="206">
        <v>2.95</v>
      </c>
      <c r="O6" s="208">
        <v>2.95</v>
      </c>
      <c r="P6" s="208">
        <v>24.94</v>
      </c>
      <c r="Q6" s="208">
        <v>11.828388131515638</v>
      </c>
      <c r="R6" s="221">
        <v>845.42372881355925</v>
      </c>
      <c r="S6" s="204">
        <v>1</v>
      </c>
      <c r="T6" s="204">
        <v>1</v>
      </c>
      <c r="U6" s="205">
        <v>1</v>
      </c>
      <c r="V6" s="204">
        <v>1</v>
      </c>
      <c r="W6" s="204">
        <v>0</v>
      </c>
      <c r="X6" s="206">
        <v>24.94</v>
      </c>
      <c r="Y6" s="222">
        <v>0</v>
      </c>
    </row>
    <row r="7" spans="1:25" ht="14.25" customHeight="1" x14ac:dyDescent="0.3">
      <c r="A7" s="201">
        <v>45886</v>
      </c>
      <c r="B7" s="202">
        <v>45888</v>
      </c>
      <c r="C7" s="203" t="s">
        <v>105</v>
      </c>
      <c r="D7" s="203" t="s">
        <v>28</v>
      </c>
      <c r="E7" s="203" t="s">
        <v>117</v>
      </c>
      <c r="F7" s="203" t="s">
        <v>915</v>
      </c>
      <c r="G7" s="203" t="s">
        <v>31</v>
      </c>
      <c r="H7" s="203" t="s">
        <v>119</v>
      </c>
      <c r="I7" s="203" t="s">
        <v>65</v>
      </c>
      <c r="J7" s="203" t="s">
        <v>119</v>
      </c>
      <c r="K7" s="204">
        <v>400</v>
      </c>
      <c r="L7" s="204">
        <v>14</v>
      </c>
      <c r="M7" s="205">
        <v>3.5000000000000003E-2</v>
      </c>
      <c r="N7" s="206">
        <v>2.3607142857142853</v>
      </c>
      <c r="O7" s="208">
        <v>33.049999999999997</v>
      </c>
      <c r="P7" s="208">
        <v>24.94</v>
      </c>
      <c r="Q7" s="208">
        <v>132.51804330392943</v>
      </c>
      <c r="R7" s="221">
        <v>75.461422087745859</v>
      </c>
      <c r="S7" s="204">
        <v>1</v>
      </c>
      <c r="T7" s="204">
        <v>1</v>
      </c>
      <c r="U7" s="205">
        <v>7.1428571428571425E-2</v>
      </c>
      <c r="V7" s="204">
        <v>1</v>
      </c>
      <c r="W7" s="204">
        <v>0</v>
      </c>
      <c r="X7" s="206">
        <v>24.94</v>
      </c>
      <c r="Y7" s="222">
        <v>0</v>
      </c>
    </row>
    <row r="8" spans="1:25" ht="14.25" customHeight="1" x14ac:dyDescent="0.3">
      <c r="A8" s="201">
        <v>45886</v>
      </c>
      <c r="B8" s="202">
        <v>45890</v>
      </c>
      <c r="C8" s="203" t="s">
        <v>27</v>
      </c>
      <c r="D8" s="203" t="s">
        <v>28</v>
      </c>
      <c r="E8" s="203" t="s">
        <v>56</v>
      </c>
      <c r="F8" s="203" t="s">
        <v>57</v>
      </c>
      <c r="G8" s="203" t="s">
        <v>31</v>
      </c>
      <c r="H8" s="203" t="s">
        <v>914</v>
      </c>
      <c r="I8" s="203" t="s">
        <v>32</v>
      </c>
      <c r="J8" s="203" t="s">
        <v>119</v>
      </c>
      <c r="K8" s="204">
        <v>3421</v>
      </c>
      <c r="L8" s="204">
        <v>34</v>
      </c>
      <c r="M8" s="205">
        <v>9.9386144402221575E-3</v>
      </c>
      <c r="N8" s="206">
        <v>2.7602941176470588</v>
      </c>
      <c r="O8" s="208">
        <v>93.85</v>
      </c>
      <c r="P8" s="208">
        <v>124.70000000000002</v>
      </c>
      <c r="Q8" s="208">
        <v>75.260625501202867</v>
      </c>
      <c r="R8" s="221">
        <v>132.87160362280238</v>
      </c>
      <c r="S8" s="204">
        <v>5</v>
      </c>
      <c r="T8" s="204">
        <v>5</v>
      </c>
      <c r="U8" s="205">
        <v>0.14705882352941177</v>
      </c>
      <c r="V8" s="204">
        <v>5</v>
      </c>
      <c r="W8" s="204">
        <v>0</v>
      </c>
      <c r="X8" s="206">
        <v>124.70000000000002</v>
      </c>
      <c r="Y8" s="222">
        <v>0</v>
      </c>
    </row>
    <row r="9" spans="1:25" ht="14.25" customHeight="1" x14ac:dyDescent="0.3">
      <c r="A9" s="201">
        <v>45886</v>
      </c>
      <c r="B9" s="202">
        <v>45888</v>
      </c>
      <c r="C9" s="203" t="s">
        <v>40</v>
      </c>
      <c r="D9" s="203" t="s">
        <v>28</v>
      </c>
      <c r="E9" s="203" t="s">
        <v>41</v>
      </c>
      <c r="F9" s="203" t="s">
        <v>42</v>
      </c>
      <c r="G9" s="203" t="s">
        <v>31</v>
      </c>
      <c r="H9" s="203" t="s">
        <v>43</v>
      </c>
      <c r="I9" s="203" t="s">
        <v>44</v>
      </c>
      <c r="J9" s="203" t="s">
        <v>60</v>
      </c>
      <c r="K9" s="204">
        <v>12</v>
      </c>
      <c r="L9" s="204">
        <v>2</v>
      </c>
      <c r="M9" s="205">
        <v>0.16666666666666663</v>
      </c>
      <c r="N9" s="206">
        <v>3.27</v>
      </c>
      <c r="O9" s="208">
        <v>6.54</v>
      </c>
      <c r="P9" s="208">
        <v>24.94</v>
      </c>
      <c r="Q9" s="208">
        <v>26.222935044105856</v>
      </c>
      <c r="R9" s="221">
        <v>381.3455657492355</v>
      </c>
      <c r="S9" s="204">
        <v>1</v>
      </c>
      <c r="T9" s="204">
        <v>1</v>
      </c>
      <c r="U9" s="205">
        <v>0.5</v>
      </c>
      <c r="V9" s="204">
        <v>1</v>
      </c>
      <c r="W9" s="204">
        <v>0</v>
      </c>
      <c r="X9" s="206">
        <v>24.94</v>
      </c>
      <c r="Y9" s="222">
        <v>0</v>
      </c>
    </row>
    <row r="10" spans="1:25" ht="14.25" customHeight="1" x14ac:dyDescent="0.3">
      <c r="A10" s="201">
        <v>45886</v>
      </c>
      <c r="B10" s="202">
        <v>45892</v>
      </c>
      <c r="C10" s="203" t="s">
        <v>40</v>
      </c>
      <c r="D10" s="203" t="s">
        <v>28</v>
      </c>
      <c r="E10" s="203" t="s">
        <v>41</v>
      </c>
      <c r="F10" s="203" t="s">
        <v>42</v>
      </c>
      <c r="G10" s="203" t="s">
        <v>31</v>
      </c>
      <c r="H10" s="203" t="s">
        <v>43</v>
      </c>
      <c r="I10" s="203" t="s">
        <v>44</v>
      </c>
      <c r="J10" s="203" t="s">
        <v>43</v>
      </c>
      <c r="K10" s="204">
        <v>214</v>
      </c>
      <c r="L10" s="204">
        <v>5</v>
      </c>
      <c r="M10" s="205">
        <v>2.336448598130841E-2</v>
      </c>
      <c r="N10" s="206">
        <v>2.758</v>
      </c>
      <c r="O10" s="208">
        <v>13.79</v>
      </c>
      <c r="P10" s="208">
        <v>97.32</v>
      </c>
      <c r="Q10" s="208">
        <v>14.169749280723387</v>
      </c>
      <c r="R10" s="221">
        <v>705.72878897751991</v>
      </c>
      <c r="S10" s="204">
        <v>4</v>
      </c>
      <c r="T10" s="204">
        <v>4</v>
      </c>
      <c r="U10" s="205">
        <v>0.8</v>
      </c>
      <c r="V10" s="204">
        <v>4</v>
      </c>
      <c r="W10" s="204">
        <v>0</v>
      </c>
      <c r="X10" s="206">
        <v>97.32</v>
      </c>
      <c r="Y10" s="222">
        <v>0</v>
      </c>
    </row>
    <row r="11" spans="1:25" ht="14.25" customHeight="1" x14ac:dyDescent="0.3">
      <c r="A11" s="201">
        <v>45886</v>
      </c>
      <c r="B11" s="202">
        <v>45886</v>
      </c>
      <c r="C11" s="203" t="s">
        <v>143</v>
      </c>
      <c r="D11" s="203" t="s">
        <v>28</v>
      </c>
      <c r="E11" s="203" t="s">
        <v>144</v>
      </c>
      <c r="F11" s="203" t="s">
        <v>32</v>
      </c>
      <c r="G11" s="203" t="s">
        <v>31</v>
      </c>
      <c r="H11" s="203" t="s">
        <v>30</v>
      </c>
      <c r="I11" s="203" t="s">
        <v>44</v>
      </c>
      <c r="J11" s="203" t="s">
        <v>679</v>
      </c>
      <c r="K11" s="204">
        <v>33</v>
      </c>
      <c r="L11" s="204">
        <v>1</v>
      </c>
      <c r="M11" s="205">
        <v>3.0303030303030304E-2</v>
      </c>
      <c r="N11" s="206">
        <v>1.36</v>
      </c>
      <c r="O11" s="208">
        <v>1.36</v>
      </c>
      <c r="P11" s="208">
        <v>24.94</v>
      </c>
      <c r="Q11" s="208">
        <v>5.4530874097834801</v>
      </c>
      <c r="R11" s="221">
        <v>1833.8235294117644</v>
      </c>
      <c r="S11" s="204">
        <v>1</v>
      </c>
      <c r="T11" s="204">
        <v>1</v>
      </c>
      <c r="U11" s="205">
        <v>1</v>
      </c>
      <c r="V11" s="204">
        <v>1</v>
      </c>
      <c r="W11" s="204">
        <v>0</v>
      </c>
      <c r="X11" s="206">
        <v>24.94</v>
      </c>
      <c r="Y11" s="222">
        <v>0</v>
      </c>
    </row>
    <row r="12" spans="1:25" ht="14.25" customHeight="1" x14ac:dyDescent="0.3">
      <c r="A12" s="201">
        <v>45886</v>
      </c>
      <c r="B12" s="202">
        <v>45886</v>
      </c>
      <c r="C12" s="203" t="s">
        <v>27</v>
      </c>
      <c r="D12" s="203" t="s">
        <v>28</v>
      </c>
      <c r="E12" s="203" t="s">
        <v>71</v>
      </c>
      <c r="F12" s="203" t="s">
        <v>72</v>
      </c>
      <c r="G12" s="203" t="s">
        <v>31</v>
      </c>
      <c r="H12" s="203" t="s">
        <v>51</v>
      </c>
      <c r="I12" s="203" t="s">
        <v>52</v>
      </c>
      <c r="J12" s="203" t="s">
        <v>680</v>
      </c>
      <c r="K12" s="204">
        <v>1</v>
      </c>
      <c r="L12" s="204">
        <v>1</v>
      </c>
      <c r="M12" s="205">
        <v>1</v>
      </c>
      <c r="N12" s="206">
        <v>2.5</v>
      </c>
      <c r="O12" s="208">
        <v>2.5</v>
      </c>
      <c r="P12" s="208">
        <v>49.88</v>
      </c>
      <c r="Q12" s="208">
        <v>5.0120288692862873</v>
      </c>
      <c r="R12" s="221">
        <v>1995.2000000000003</v>
      </c>
      <c r="S12" s="204">
        <v>2</v>
      </c>
      <c r="T12" s="204">
        <v>2</v>
      </c>
      <c r="U12" s="205">
        <v>2</v>
      </c>
      <c r="V12" s="204">
        <v>2</v>
      </c>
      <c r="W12" s="204">
        <v>0</v>
      </c>
      <c r="X12" s="206">
        <v>49.88</v>
      </c>
      <c r="Y12" s="222">
        <v>0</v>
      </c>
    </row>
    <row r="13" spans="1:25" ht="14.25" customHeight="1" x14ac:dyDescent="0.3">
      <c r="A13" s="201">
        <v>45886</v>
      </c>
      <c r="B13" s="202">
        <v>45888</v>
      </c>
      <c r="C13" s="203" t="s">
        <v>85</v>
      </c>
      <c r="D13" s="203" t="s">
        <v>28</v>
      </c>
      <c r="E13" s="203" t="s">
        <v>86</v>
      </c>
      <c r="F13" s="203" t="s">
        <v>87</v>
      </c>
      <c r="G13" s="203" t="s">
        <v>31</v>
      </c>
      <c r="H13" s="203" t="s">
        <v>88</v>
      </c>
      <c r="I13" s="203" t="s">
        <v>44</v>
      </c>
      <c r="J13" s="203" t="s">
        <v>89</v>
      </c>
      <c r="K13" s="204">
        <v>34</v>
      </c>
      <c r="L13" s="204">
        <v>2</v>
      </c>
      <c r="M13" s="205">
        <v>5.8823529411764698E-2</v>
      </c>
      <c r="N13" s="206">
        <v>3.645</v>
      </c>
      <c r="O13" s="208">
        <v>7.29</v>
      </c>
      <c r="P13" s="208">
        <v>21.95</v>
      </c>
      <c r="Q13" s="208">
        <v>33.211845102505691</v>
      </c>
      <c r="R13" s="221">
        <v>301.09739368998629</v>
      </c>
      <c r="S13" s="204">
        <v>1</v>
      </c>
      <c r="T13" s="204">
        <v>1</v>
      </c>
      <c r="U13" s="205">
        <v>0.5</v>
      </c>
      <c r="V13" s="204">
        <v>1</v>
      </c>
      <c r="W13" s="204">
        <v>0</v>
      </c>
      <c r="X13" s="206">
        <v>21.95</v>
      </c>
      <c r="Y13" s="222">
        <v>0</v>
      </c>
    </row>
    <row r="14" spans="1:25" ht="14.25" customHeight="1" x14ac:dyDescent="0.3">
      <c r="A14" s="201">
        <v>45886</v>
      </c>
      <c r="B14" s="202">
        <v>45886</v>
      </c>
      <c r="C14" s="203" t="s">
        <v>48</v>
      </c>
      <c r="D14" s="203" t="s">
        <v>28</v>
      </c>
      <c r="E14" s="203" t="s">
        <v>225</v>
      </c>
      <c r="F14" s="203" t="s">
        <v>226</v>
      </c>
      <c r="G14" s="203" t="s">
        <v>31</v>
      </c>
      <c r="H14" s="203" t="s">
        <v>372</v>
      </c>
      <c r="I14" s="203" t="s">
        <v>32</v>
      </c>
      <c r="J14" s="203" t="s">
        <v>171</v>
      </c>
      <c r="K14" s="204">
        <v>2</v>
      </c>
      <c r="L14" s="204">
        <v>1</v>
      </c>
      <c r="M14" s="205">
        <v>0.5</v>
      </c>
      <c r="N14" s="206">
        <v>2.04</v>
      </c>
      <c r="O14" s="208">
        <v>2.04</v>
      </c>
      <c r="P14" s="208">
        <v>21.95</v>
      </c>
      <c r="Q14" s="208">
        <v>9.2938496583143522</v>
      </c>
      <c r="R14" s="221">
        <v>1075.9803921568628</v>
      </c>
      <c r="S14" s="204">
        <v>1</v>
      </c>
      <c r="T14" s="204">
        <v>1</v>
      </c>
      <c r="U14" s="205">
        <v>1</v>
      </c>
      <c r="V14" s="204">
        <v>1</v>
      </c>
      <c r="W14" s="204">
        <v>0</v>
      </c>
      <c r="X14" s="206">
        <v>21.95</v>
      </c>
      <c r="Y14" s="222">
        <v>0</v>
      </c>
    </row>
    <row r="15" spans="1:25" ht="14.25" customHeight="1" x14ac:dyDescent="0.3">
      <c r="A15" s="201">
        <v>45886</v>
      </c>
      <c r="B15" s="202">
        <v>45886</v>
      </c>
      <c r="C15" s="203" t="s">
        <v>48</v>
      </c>
      <c r="D15" s="203" t="s">
        <v>28</v>
      </c>
      <c r="E15" s="203" t="s">
        <v>62</v>
      </c>
      <c r="F15" s="203" t="s">
        <v>63</v>
      </c>
      <c r="G15" s="203" t="s">
        <v>31</v>
      </c>
      <c r="H15" s="203" t="s">
        <v>168</v>
      </c>
      <c r="I15" s="203" t="s">
        <v>65</v>
      </c>
      <c r="J15" s="203" t="s">
        <v>168</v>
      </c>
      <c r="K15" s="204">
        <v>3</v>
      </c>
      <c r="L15" s="204">
        <v>2</v>
      </c>
      <c r="M15" s="205">
        <v>0.66666666666666663</v>
      </c>
      <c r="N15" s="206">
        <v>2.6749999999999998</v>
      </c>
      <c r="O15" s="208">
        <v>5.35</v>
      </c>
      <c r="P15" s="208">
        <v>21.95</v>
      </c>
      <c r="Q15" s="208">
        <v>24.373576309794988</v>
      </c>
      <c r="R15" s="221">
        <v>410.28037383177571</v>
      </c>
      <c r="S15" s="204">
        <v>1</v>
      </c>
      <c r="T15" s="204">
        <v>1</v>
      </c>
      <c r="U15" s="205">
        <v>0.5</v>
      </c>
      <c r="V15" s="204">
        <v>1</v>
      </c>
      <c r="W15" s="204">
        <v>0</v>
      </c>
      <c r="X15" s="206">
        <v>21.95</v>
      </c>
      <c r="Y15" s="222">
        <v>0</v>
      </c>
    </row>
    <row r="16" spans="1:25" ht="14.25" customHeight="1" x14ac:dyDescent="0.3">
      <c r="A16" s="201">
        <v>45887</v>
      </c>
      <c r="B16" s="202">
        <v>45887</v>
      </c>
      <c r="C16" s="203" t="s">
        <v>143</v>
      </c>
      <c r="D16" s="203" t="s">
        <v>28</v>
      </c>
      <c r="E16" s="203" t="s">
        <v>144</v>
      </c>
      <c r="F16" s="203" t="s">
        <v>32</v>
      </c>
      <c r="G16" s="203" t="s">
        <v>31</v>
      </c>
      <c r="H16" s="203" t="s">
        <v>119</v>
      </c>
      <c r="I16" s="203" t="s">
        <v>32</v>
      </c>
      <c r="J16" s="203" t="s">
        <v>657</v>
      </c>
      <c r="K16" s="204">
        <v>1</v>
      </c>
      <c r="L16" s="204">
        <v>1</v>
      </c>
      <c r="M16" s="205">
        <v>1</v>
      </c>
      <c r="N16" s="206">
        <v>0.76</v>
      </c>
      <c r="O16" s="208">
        <v>0.76</v>
      </c>
      <c r="P16" s="208">
        <v>24.94</v>
      </c>
      <c r="Q16" s="208">
        <v>3.0473135525260626</v>
      </c>
      <c r="R16" s="221">
        <v>3281.5789473684213</v>
      </c>
      <c r="S16" s="204">
        <v>1</v>
      </c>
      <c r="T16" s="204">
        <v>1</v>
      </c>
      <c r="U16" s="205">
        <v>1</v>
      </c>
      <c r="V16" s="204">
        <v>1</v>
      </c>
      <c r="W16" s="204">
        <v>0</v>
      </c>
      <c r="X16" s="206">
        <v>24.94</v>
      </c>
      <c r="Y16" s="222">
        <v>0</v>
      </c>
    </row>
    <row r="17" spans="1:25" ht="14.25" customHeight="1" x14ac:dyDescent="0.3">
      <c r="A17" s="201">
        <v>45887</v>
      </c>
      <c r="B17" s="202">
        <v>45887</v>
      </c>
      <c r="C17" s="203" t="s">
        <v>27</v>
      </c>
      <c r="D17" s="203" t="s">
        <v>28</v>
      </c>
      <c r="E17" s="203" t="s">
        <v>71</v>
      </c>
      <c r="F17" s="203" t="s">
        <v>72</v>
      </c>
      <c r="G17" s="203" t="s">
        <v>31</v>
      </c>
      <c r="H17" s="203" t="s">
        <v>51</v>
      </c>
      <c r="I17" s="203" t="s">
        <v>52</v>
      </c>
      <c r="J17" s="203" t="s">
        <v>658</v>
      </c>
      <c r="K17" s="204">
        <v>1</v>
      </c>
      <c r="L17" s="204">
        <v>1</v>
      </c>
      <c r="M17" s="205">
        <v>1</v>
      </c>
      <c r="N17" s="206">
        <v>3.5</v>
      </c>
      <c r="O17" s="208">
        <v>3.5</v>
      </c>
      <c r="P17" s="208">
        <v>24.94</v>
      </c>
      <c r="Q17" s="208">
        <v>14.033680834001602</v>
      </c>
      <c r="R17" s="221">
        <v>712.57142857142867</v>
      </c>
      <c r="S17" s="204">
        <v>1</v>
      </c>
      <c r="T17" s="204">
        <v>1</v>
      </c>
      <c r="U17" s="205">
        <v>1</v>
      </c>
      <c r="V17" s="204">
        <v>1</v>
      </c>
      <c r="W17" s="204">
        <v>0</v>
      </c>
      <c r="X17" s="206">
        <v>24.94</v>
      </c>
      <c r="Y17" s="222">
        <v>0</v>
      </c>
    </row>
    <row r="18" spans="1:25" ht="14.25" customHeight="1" x14ac:dyDescent="0.3">
      <c r="A18" s="201">
        <v>45887</v>
      </c>
      <c r="B18" s="202">
        <v>45892</v>
      </c>
      <c r="C18" s="203" t="s">
        <v>27</v>
      </c>
      <c r="D18" s="203" t="s">
        <v>28</v>
      </c>
      <c r="E18" s="203" t="s">
        <v>71</v>
      </c>
      <c r="F18" s="203" t="s">
        <v>72</v>
      </c>
      <c r="G18" s="203" t="s">
        <v>31</v>
      </c>
      <c r="H18" s="203" t="s">
        <v>73</v>
      </c>
      <c r="I18" s="203" t="s">
        <v>52</v>
      </c>
      <c r="J18" s="203" t="s">
        <v>101</v>
      </c>
      <c r="K18" s="204">
        <v>1090</v>
      </c>
      <c r="L18" s="204">
        <v>10</v>
      </c>
      <c r="M18" s="205">
        <v>9.1743119266055051E-3</v>
      </c>
      <c r="N18" s="206">
        <v>3.6320000000000001</v>
      </c>
      <c r="O18" s="208">
        <v>36.32</v>
      </c>
      <c r="P18" s="208">
        <v>124.69999999999999</v>
      </c>
      <c r="Q18" s="208">
        <v>29.125902165196475</v>
      </c>
      <c r="R18" s="221">
        <v>343.33700440528634</v>
      </c>
      <c r="S18" s="204">
        <v>4</v>
      </c>
      <c r="T18" s="204">
        <v>5</v>
      </c>
      <c r="U18" s="205">
        <v>0.4</v>
      </c>
      <c r="V18" s="204">
        <v>5</v>
      </c>
      <c r="W18" s="204">
        <v>0</v>
      </c>
      <c r="X18" s="206">
        <v>124.69999999999999</v>
      </c>
      <c r="Y18" s="222">
        <v>0</v>
      </c>
    </row>
    <row r="19" spans="1:25" ht="14.25" customHeight="1" x14ac:dyDescent="0.3">
      <c r="A19" s="201">
        <v>45887</v>
      </c>
      <c r="B19" s="202">
        <v>45887</v>
      </c>
      <c r="C19" s="203" t="s">
        <v>27</v>
      </c>
      <c r="D19" s="203" t="s">
        <v>28</v>
      </c>
      <c r="E19" s="203" t="s">
        <v>71</v>
      </c>
      <c r="F19" s="203" t="s">
        <v>72</v>
      </c>
      <c r="G19" s="203" t="s">
        <v>31</v>
      </c>
      <c r="H19" s="203" t="s">
        <v>73</v>
      </c>
      <c r="I19" s="203" t="s">
        <v>52</v>
      </c>
      <c r="J19" s="203" t="s">
        <v>660</v>
      </c>
      <c r="K19" s="204">
        <v>2</v>
      </c>
      <c r="L19" s="204">
        <v>1</v>
      </c>
      <c r="M19" s="205">
        <v>0.5</v>
      </c>
      <c r="N19" s="206">
        <v>2.66</v>
      </c>
      <c r="O19" s="208">
        <v>2.66</v>
      </c>
      <c r="P19" s="208">
        <v>24.94</v>
      </c>
      <c r="Q19" s="208">
        <v>10.665597433841219</v>
      </c>
      <c r="R19" s="221">
        <v>937.59398496240601</v>
      </c>
      <c r="S19" s="204">
        <v>1</v>
      </c>
      <c r="T19" s="204">
        <v>1</v>
      </c>
      <c r="U19" s="205">
        <v>1</v>
      </c>
      <c r="V19" s="204">
        <v>1</v>
      </c>
      <c r="W19" s="204">
        <v>0</v>
      </c>
      <c r="X19" s="206">
        <v>24.94</v>
      </c>
      <c r="Y19" s="222">
        <v>0</v>
      </c>
    </row>
    <row r="20" spans="1:25" ht="14.25" customHeight="1" x14ac:dyDescent="0.3">
      <c r="A20" s="201">
        <v>45887</v>
      </c>
      <c r="B20" s="202">
        <v>45891</v>
      </c>
      <c r="C20" s="203" t="s">
        <v>48</v>
      </c>
      <c r="D20" s="203" t="s">
        <v>28</v>
      </c>
      <c r="E20" s="203" t="s">
        <v>233</v>
      </c>
      <c r="F20" s="203" t="s">
        <v>234</v>
      </c>
      <c r="G20" s="203" t="s">
        <v>31</v>
      </c>
      <c r="H20" s="203" t="s">
        <v>916</v>
      </c>
      <c r="I20" s="203" t="s">
        <v>32</v>
      </c>
      <c r="J20" s="203" t="s">
        <v>450</v>
      </c>
      <c r="K20" s="204">
        <v>38</v>
      </c>
      <c r="L20" s="204">
        <v>4</v>
      </c>
      <c r="M20" s="205">
        <v>0.10526315789473684</v>
      </c>
      <c r="N20" s="206">
        <v>3.31</v>
      </c>
      <c r="O20" s="208">
        <v>13.24</v>
      </c>
      <c r="P20" s="208">
        <v>43.9</v>
      </c>
      <c r="Q20" s="208">
        <v>30.159453302961275</v>
      </c>
      <c r="R20" s="221">
        <v>331.57099697885195</v>
      </c>
      <c r="S20" s="204">
        <v>2</v>
      </c>
      <c r="T20" s="204">
        <v>2</v>
      </c>
      <c r="U20" s="205">
        <v>0.5</v>
      </c>
      <c r="V20" s="204">
        <v>2</v>
      </c>
      <c r="W20" s="204">
        <v>0</v>
      </c>
      <c r="X20" s="206">
        <v>43.9</v>
      </c>
      <c r="Y20" s="222">
        <v>0</v>
      </c>
    </row>
    <row r="21" spans="1:25" ht="14.25" customHeight="1" x14ac:dyDescent="0.3">
      <c r="A21" s="201">
        <v>45887</v>
      </c>
      <c r="B21" s="202">
        <v>45891</v>
      </c>
      <c r="C21" s="203" t="s">
        <v>85</v>
      </c>
      <c r="D21" s="203" t="s">
        <v>28</v>
      </c>
      <c r="E21" s="203" t="s">
        <v>86</v>
      </c>
      <c r="F21" s="203" t="s">
        <v>87</v>
      </c>
      <c r="G21" s="203" t="s">
        <v>31</v>
      </c>
      <c r="H21" s="203" t="s">
        <v>88</v>
      </c>
      <c r="I21" s="203" t="s">
        <v>44</v>
      </c>
      <c r="J21" s="203" t="s">
        <v>88</v>
      </c>
      <c r="K21" s="204">
        <v>20</v>
      </c>
      <c r="L21" s="204">
        <v>5</v>
      </c>
      <c r="M21" s="205">
        <v>0.25</v>
      </c>
      <c r="N21" s="206">
        <v>3.1840000000000002</v>
      </c>
      <c r="O21" s="208">
        <v>15.92</v>
      </c>
      <c r="P21" s="208">
        <v>43.9</v>
      </c>
      <c r="Q21" s="208">
        <v>36.264236902050115</v>
      </c>
      <c r="R21" s="221">
        <v>275.75376884422104</v>
      </c>
      <c r="S21" s="204">
        <v>2</v>
      </c>
      <c r="T21" s="204">
        <v>2</v>
      </c>
      <c r="U21" s="205">
        <v>0.4</v>
      </c>
      <c r="V21" s="204">
        <v>2</v>
      </c>
      <c r="W21" s="204">
        <v>0</v>
      </c>
      <c r="X21" s="206">
        <v>43.9</v>
      </c>
      <c r="Y21" s="222">
        <v>0</v>
      </c>
    </row>
    <row r="22" spans="1:25" ht="14.25" customHeight="1" x14ac:dyDescent="0.3">
      <c r="A22" s="201">
        <v>45887</v>
      </c>
      <c r="B22" s="202">
        <v>45891</v>
      </c>
      <c r="C22" s="203" t="s">
        <v>48</v>
      </c>
      <c r="D22" s="203" t="s">
        <v>28</v>
      </c>
      <c r="E22" s="203" t="s">
        <v>62</v>
      </c>
      <c r="F22" s="203" t="s">
        <v>63</v>
      </c>
      <c r="G22" s="203" t="s">
        <v>31</v>
      </c>
      <c r="H22" s="203" t="s">
        <v>64</v>
      </c>
      <c r="I22" s="203" t="s">
        <v>65</v>
      </c>
      <c r="J22" s="203" t="s">
        <v>64</v>
      </c>
      <c r="K22" s="204">
        <v>104</v>
      </c>
      <c r="L22" s="204">
        <v>5</v>
      </c>
      <c r="M22" s="205">
        <v>4.807692307692308E-2</v>
      </c>
      <c r="N22" s="206">
        <v>5.4580000000000002</v>
      </c>
      <c r="O22" s="208">
        <v>27.29</v>
      </c>
      <c r="P22" s="208">
        <v>43.9</v>
      </c>
      <c r="Q22" s="208">
        <v>62.164009111617311</v>
      </c>
      <c r="R22" s="221">
        <v>160.86478563576401</v>
      </c>
      <c r="S22" s="204">
        <v>2</v>
      </c>
      <c r="T22" s="204">
        <v>2</v>
      </c>
      <c r="U22" s="205">
        <v>0.4</v>
      </c>
      <c r="V22" s="204">
        <v>2</v>
      </c>
      <c r="W22" s="204">
        <v>0</v>
      </c>
      <c r="X22" s="206">
        <v>43.9</v>
      </c>
      <c r="Y22" s="222">
        <v>0</v>
      </c>
    </row>
    <row r="23" spans="1:25" ht="14.25" customHeight="1" x14ac:dyDescent="0.3">
      <c r="A23" s="201">
        <v>45888</v>
      </c>
      <c r="B23" s="202">
        <v>45888</v>
      </c>
      <c r="C23" s="203" t="s">
        <v>27</v>
      </c>
      <c r="D23" s="203" t="s">
        <v>28</v>
      </c>
      <c r="E23" s="203" t="s">
        <v>29</v>
      </c>
      <c r="F23" s="203" t="s">
        <v>30</v>
      </c>
      <c r="G23" s="203" t="s">
        <v>31</v>
      </c>
      <c r="H23" s="203" t="s">
        <v>644</v>
      </c>
      <c r="I23" s="203" t="s">
        <v>32</v>
      </c>
      <c r="J23" s="203" t="s">
        <v>645</v>
      </c>
      <c r="K23" s="204">
        <v>8</v>
      </c>
      <c r="L23" s="204">
        <v>1</v>
      </c>
      <c r="M23" s="205">
        <v>0.125</v>
      </c>
      <c r="N23" s="206">
        <v>2.5499999999999998</v>
      </c>
      <c r="O23" s="208">
        <v>2.5499999999999998</v>
      </c>
      <c r="P23" s="208">
        <v>24.94</v>
      </c>
      <c r="Q23" s="208">
        <v>10.224538893344025</v>
      </c>
      <c r="R23" s="221">
        <v>978.03921568627459</v>
      </c>
      <c r="S23" s="204">
        <v>1</v>
      </c>
      <c r="T23" s="204">
        <v>1</v>
      </c>
      <c r="U23" s="205">
        <v>1</v>
      </c>
      <c r="V23" s="204">
        <v>1</v>
      </c>
      <c r="W23" s="204">
        <v>0</v>
      </c>
      <c r="X23" s="206">
        <v>24.94</v>
      </c>
      <c r="Y23" s="222">
        <v>0</v>
      </c>
    </row>
    <row r="24" spans="1:25" ht="14.25" customHeight="1" x14ac:dyDescent="0.3">
      <c r="A24" s="201">
        <v>45888</v>
      </c>
      <c r="B24" s="202">
        <v>45889</v>
      </c>
      <c r="C24" s="203" t="s">
        <v>48</v>
      </c>
      <c r="D24" s="203" t="s">
        <v>28</v>
      </c>
      <c r="E24" s="203" t="s">
        <v>225</v>
      </c>
      <c r="F24" s="203" t="s">
        <v>226</v>
      </c>
      <c r="G24" s="203" t="s">
        <v>31</v>
      </c>
      <c r="H24" s="203" t="s">
        <v>88</v>
      </c>
      <c r="I24" s="203" t="s">
        <v>32</v>
      </c>
      <c r="J24" s="203" t="s">
        <v>130</v>
      </c>
      <c r="K24" s="204">
        <v>14</v>
      </c>
      <c r="L24" s="204">
        <v>2</v>
      </c>
      <c r="M24" s="205">
        <v>0.14285714285714285</v>
      </c>
      <c r="N24" s="206">
        <v>4.2949999999999999</v>
      </c>
      <c r="O24" s="208">
        <v>8.59</v>
      </c>
      <c r="P24" s="208">
        <v>21.95</v>
      </c>
      <c r="Q24" s="208">
        <v>39.134396355353076</v>
      </c>
      <c r="R24" s="221">
        <v>255.52968568102443</v>
      </c>
      <c r="S24" s="204">
        <v>1</v>
      </c>
      <c r="T24" s="204">
        <v>1</v>
      </c>
      <c r="U24" s="205">
        <v>0.5</v>
      </c>
      <c r="V24" s="204">
        <v>1</v>
      </c>
      <c r="W24" s="204">
        <v>0</v>
      </c>
      <c r="X24" s="206">
        <v>21.95</v>
      </c>
      <c r="Y24" s="222">
        <v>0</v>
      </c>
    </row>
    <row r="25" spans="1:25" ht="14.25" customHeight="1" x14ac:dyDescent="0.3">
      <c r="A25" s="201">
        <v>45888</v>
      </c>
      <c r="B25" s="202">
        <v>45892</v>
      </c>
      <c r="C25" s="203" t="s">
        <v>48</v>
      </c>
      <c r="D25" s="203" t="s">
        <v>28</v>
      </c>
      <c r="E25" s="203" t="s">
        <v>62</v>
      </c>
      <c r="F25" s="203" t="s">
        <v>63</v>
      </c>
      <c r="G25" s="203" t="s">
        <v>31</v>
      </c>
      <c r="H25" s="203" t="s">
        <v>68</v>
      </c>
      <c r="I25" s="203" t="s">
        <v>65</v>
      </c>
      <c r="J25" s="203" t="s">
        <v>68</v>
      </c>
      <c r="K25" s="204">
        <v>103</v>
      </c>
      <c r="L25" s="204">
        <v>5</v>
      </c>
      <c r="M25" s="205">
        <v>4.8543689320388349E-2</v>
      </c>
      <c r="N25" s="206">
        <v>3.714</v>
      </c>
      <c r="O25" s="208">
        <v>18.57</v>
      </c>
      <c r="P25" s="208">
        <v>21.95</v>
      </c>
      <c r="Q25" s="208">
        <v>84.601366742596824</v>
      </c>
      <c r="R25" s="221">
        <v>118.20140010770059</v>
      </c>
      <c r="S25" s="204">
        <v>1</v>
      </c>
      <c r="T25" s="204">
        <v>1</v>
      </c>
      <c r="U25" s="205">
        <v>0.2</v>
      </c>
      <c r="V25" s="204">
        <v>1</v>
      </c>
      <c r="W25" s="204">
        <v>0</v>
      </c>
      <c r="X25" s="206">
        <v>21.95</v>
      </c>
      <c r="Y25" s="222">
        <v>0</v>
      </c>
    </row>
    <row r="26" spans="1:25" ht="14.25" customHeight="1" x14ac:dyDescent="0.3">
      <c r="A26" s="201">
        <v>45888</v>
      </c>
      <c r="B26" s="202">
        <v>45888</v>
      </c>
      <c r="C26" s="203" t="s">
        <v>48</v>
      </c>
      <c r="D26" s="203" t="s">
        <v>28</v>
      </c>
      <c r="E26" s="203" t="s">
        <v>446</v>
      </c>
      <c r="F26" s="203" t="s">
        <v>447</v>
      </c>
      <c r="G26" s="203" t="s">
        <v>31</v>
      </c>
      <c r="H26" s="203" t="s">
        <v>448</v>
      </c>
      <c r="I26" s="203" t="s">
        <v>44</v>
      </c>
      <c r="J26" s="203" t="s">
        <v>650</v>
      </c>
      <c r="K26" s="204">
        <v>2</v>
      </c>
      <c r="L26" s="204">
        <v>1</v>
      </c>
      <c r="M26" s="205">
        <v>0.5</v>
      </c>
      <c r="N26" s="206">
        <v>3.08</v>
      </c>
      <c r="O26" s="208">
        <v>3.08</v>
      </c>
      <c r="P26" s="208">
        <v>21.95</v>
      </c>
      <c r="Q26" s="208">
        <v>14.031890660592255</v>
      </c>
      <c r="R26" s="221">
        <v>712.66233766233768</v>
      </c>
      <c r="S26" s="204">
        <v>1</v>
      </c>
      <c r="T26" s="204">
        <v>1</v>
      </c>
      <c r="U26" s="205">
        <v>1</v>
      </c>
      <c r="V26" s="204">
        <v>1</v>
      </c>
      <c r="W26" s="204">
        <v>0</v>
      </c>
      <c r="X26" s="206">
        <v>21.95</v>
      </c>
      <c r="Y26" s="222">
        <v>0</v>
      </c>
    </row>
    <row r="27" spans="1:25" ht="14.25" customHeight="1" x14ac:dyDescent="0.3">
      <c r="A27" s="201">
        <v>45888</v>
      </c>
      <c r="B27" s="202">
        <v>45888</v>
      </c>
      <c r="C27" s="203" t="s">
        <v>494</v>
      </c>
      <c r="D27" s="203" t="s">
        <v>28</v>
      </c>
      <c r="E27" s="203" t="s">
        <v>495</v>
      </c>
      <c r="F27" s="203" t="s">
        <v>496</v>
      </c>
      <c r="G27" s="203" t="s">
        <v>31</v>
      </c>
      <c r="H27" s="203" t="s">
        <v>51</v>
      </c>
      <c r="I27" s="203" t="s">
        <v>52</v>
      </c>
      <c r="J27" s="203" t="s">
        <v>651</v>
      </c>
      <c r="K27" s="204">
        <v>1</v>
      </c>
      <c r="L27" s="204">
        <v>1</v>
      </c>
      <c r="M27" s="205">
        <v>1</v>
      </c>
      <c r="N27" s="206">
        <v>3.72</v>
      </c>
      <c r="O27" s="208">
        <v>3.72</v>
      </c>
      <c r="P27" s="208">
        <v>29.99</v>
      </c>
      <c r="Q27" s="208">
        <v>12.404134711570522</v>
      </c>
      <c r="R27" s="221">
        <v>806.18279569892456</v>
      </c>
      <c r="S27" s="204">
        <v>1</v>
      </c>
      <c r="T27" s="204">
        <v>1</v>
      </c>
      <c r="U27" s="205">
        <v>1</v>
      </c>
      <c r="V27" s="204">
        <v>1</v>
      </c>
      <c r="W27" s="204">
        <v>0</v>
      </c>
      <c r="X27" s="206">
        <v>29.99</v>
      </c>
      <c r="Y27" s="222">
        <v>0</v>
      </c>
    </row>
    <row r="28" spans="1:25" ht="14.25" customHeight="1" x14ac:dyDescent="0.3">
      <c r="A28" s="201">
        <v>45888</v>
      </c>
      <c r="B28" s="202">
        <v>45888</v>
      </c>
      <c r="C28" s="203" t="s">
        <v>27</v>
      </c>
      <c r="D28" s="203" t="s">
        <v>28</v>
      </c>
      <c r="E28" s="203" t="s">
        <v>56</v>
      </c>
      <c r="F28" s="203" t="s">
        <v>57</v>
      </c>
      <c r="G28" s="203" t="s">
        <v>31</v>
      </c>
      <c r="H28" s="203" t="s">
        <v>914</v>
      </c>
      <c r="I28" s="203" t="s">
        <v>32</v>
      </c>
      <c r="J28" s="203" t="s">
        <v>652</v>
      </c>
      <c r="K28" s="204">
        <v>1</v>
      </c>
      <c r="L28" s="204">
        <v>1</v>
      </c>
      <c r="M28" s="205">
        <v>1</v>
      </c>
      <c r="N28" s="206">
        <v>2.66</v>
      </c>
      <c r="O28" s="208">
        <v>2.66</v>
      </c>
      <c r="P28" s="208">
        <v>24.94</v>
      </c>
      <c r="Q28" s="208">
        <v>10.665597433841219</v>
      </c>
      <c r="R28" s="221">
        <v>937.59398496240601</v>
      </c>
      <c r="S28" s="204">
        <v>1</v>
      </c>
      <c r="T28" s="204">
        <v>1</v>
      </c>
      <c r="U28" s="205">
        <v>1</v>
      </c>
      <c r="V28" s="204">
        <v>1</v>
      </c>
      <c r="W28" s="204">
        <v>0</v>
      </c>
      <c r="X28" s="206">
        <v>24.94</v>
      </c>
      <c r="Y28" s="222">
        <v>0</v>
      </c>
    </row>
    <row r="29" spans="1:25" ht="14.25" customHeight="1" x14ac:dyDescent="0.3">
      <c r="A29" s="201">
        <v>45888</v>
      </c>
      <c r="B29" s="202">
        <v>45888</v>
      </c>
      <c r="C29" s="203" t="s">
        <v>27</v>
      </c>
      <c r="D29" s="203" t="s">
        <v>28</v>
      </c>
      <c r="E29" s="203" t="s">
        <v>71</v>
      </c>
      <c r="F29" s="203" t="s">
        <v>72</v>
      </c>
      <c r="G29" s="203" t="s">
        <v>31</v>
      </c>
      <c r="H29" s="203" t="s">
        <v>73</v>
      </c>
      <c r="I29" s="203" t="s">
        <v>52</v>
      </c>
      <c r="J29" s="203" t="s">
        <v>654</v>
      </c>
      <c r="K29" s="204">
        <v>2</v>
      </c>
      <c r="L29" s="204">
        <v>1</v>
      </c>
      <c r="M29" s="205">
        <v>0.5</v>
      </c>
      <c r="N29" s="206">
        <v>3.33</v>
      </c>
      <c r="O29" s="208">
        <v>3.33</v>
      </c>
      <c r="P29" s="208">
        <v>24.94</v>
      </c>
      <c r="Q29" s="208">
        <v>13.352044907778668</v>
      </c>
      <c r="R29" s="221">
        <v>748.94894894894901</v>
      </c>
      <c r="S29" s="204">
        <v>1</v>
      </c>
      <c r="T29" s="204">
        <v>1</v>
      </c>
      <c r="U29" s="205">
        <v>1</v>
      </c>
      <c r="V29" s="204">
        <v>1</v>
      </c>
      <c r="W29" s="204">
        <v>0</v>
      </c>
      <c r="X29" s="206">
        <v>24.94</v>
      </c>
      <c r="Y29" s="222">
        <v>0</v>
      </c>
    </row>
    <row r="30" spans="1:25" ht="14.25" customHeight="1" x14ac:dyDescent="0.3">
      <c r="A30" s="201">
        <v>45888</v>
      </c>
      <c r="B30" s="202">
        <v>45888</v>
      </c>
      <c r="C30" s="203" t="s">
        <v>27</v>
      </c>
      <c r="D30" s="203" t="s">
        <v>28</v>
      </c>
      <c r="E30" s="203" t="s">
        <v>71</v>
      </c>
      <c r="F30" s="203" t="s">
        <v>72</v>
      </c>
      <c r="G30" s="203" t="s">
        <v>31</v>
      </c>
      <c r="H30" s="203" t="s">
        <v>51</v>
      </c>
      <c r="I30" s="203" t="s">
        <v>52</v>
      </c>
      <c r="J30" s="203" t="s">
        <v>655</v>
      </c>
      <c r="K30" s="204">
        <v>5</v>
      </c>
      <c r="L30" s="204">
        <v>1</v>
      </c>
      <c r="M30" s="205">
        <v>0.2</v>
      </c>
      <c r="N30" s="206">
        <v>2.17</v>
      </c>
      <c r="O30" s="208">
        <v>2.17</v>
      </c>
      <c r="P30" s="208">
        <v>24.94</v>
      </c>
      <c r="Q30" s="208">
        <v>8.7008821170809938</v>
      </c>
      <c r="R30" s="221">
        <v>1149.3087557603687</v>
      </c>
      <c r="S30" s="204">
        <v>1</v>
      </c>
      <c r="T30" s="204">
        <v>1</v>
      </c>
      <c r="U30" s="205">
        <v>1</v>
      </c>
      <c r="V30" s="204">
        <v>1</v>
      </c>
      <c r="W30" s="204">
        <v>0</v>
      </c>
      <c r="X30" s="206">
        <v>24.94</v>
      </c>
      <c r="Y30" s="222">
        <v>0</v>
      </c>
    </row>
    <row r="31" spans="1:25" ht="14.25" customHeight="1" x14ac:dyDescent="0.3">
      <c r="A31" s="201">
        <v>45889</v>
      </c>
      <c r="B31" s="202">
        <v>45889</v>
      </c>
      <c r="C31" s="203" t="s">
        <v>494</v>
      </c>
      <c r="D31" s="203" t="s">
        <v>28</v>
      </c>
      <c r="E31" s="203" t="s">
        <v>495</v>
      </c>
      <c r="F31" s="203" t="s">
        <v>496</v>
      </c>
      <c r="G31" s="203" t="s">
        <v>31</v>
      </c>
      <c r="H31" s="203" t="s">
        <v>51</v>
      </c>
      <c r="I31" s="203" t="s">
        <v>52</v>
      </c>
      <c r="J31" s="203" t="s">
        <v>633</v>
      </c>
      <c r="K31" s="204">
        <v>1</v>
      </c>
      <c r="L31" s="204">
        <v>1</v>
      </c>
      <c r="M31" s="205">
        <v>1</v>
      </c>
      <c r="N31" s="206">
        <v>3.24</v>
      </c>
      <c r="O31" s="208">
        <v>3.24</v>
      </c>
      <c r="P31" s="208">
        <v>29.99</v>
      </c>
      <c r="Q31" s="208">
        <v>10.803601200400134</v>
      </c>
      <c r="R31" s="221">
        <v>925.61728395061721</v>
      </c>
      <c r="S31" s="204">
        <v>1</v>
      </c>
      <c r="T31" s="204">
        <v>1</v>
      </c>
      <c r="U31" s="205">
        <v>1</v>
      </c>
      <c r="V31" s="204">
        <v>1</v>
      </c>
      <c r="W31" s="204">
        <v>0</v>
      </c>
      <c r="X31" s="206">
        <v>29.99</v>
      </c>
      <c r="Y31" s="222">
        <v>0</v>
      </c>
    </row>
    <row r="32" spans="1:25" ht="14.25" customHeight="1" x14ac:dyDescent="0.3">
      <c r="A32" s="201">
        <v>45889</v>
      </c>
      <c r="B32" s="202">
        <v>45889</v>
      </c>
      <c r="C32" s="203" t="s">
        <v>48</v>
      </c>
      <c r="D32" s="203" t="s">
        <v>28</v>
      </c>
      <c r="E32" s="203" t="s">
        <v>62</v>
      </c>
      <c r="F32" s="203" t="s">
        <v>63</v>
      </c>
      <c r="G32" s="203" t="s">
        <v>31</v>
      </c>
      <c r="H32" s="203" t="s">
        <v>64</v>
      </c>
      <c r="I32" s="203" t="s">
        <v>65</v>
      </c>
      <c r="J32" s="203" t="s">
        <v>579</v>
      </c>
      <c r="K32" s="204">
        <v>15</v>
      </c>
      <c r="L32" s="204">
        <v>1</v>
      </c>
      <c r="M32" s="205">
        <v>6.6666666666666666E-2</v>
      </c>
      <c r="N32" s="206">
        <v>5.68</v>
      </c>
      <c r="O32" s="208">
        <v>5.68</v>
      </c>
      <c r="P32" s="208">
        <v>21.95</v>
      </c>
      <c r="Q32" s="208">
        <v>25.876993166287015</v>
      </c>
      <c r="R32" s="221">
        <v>386.44366197183098</v>
      </c>
      <c r="S32" s="204">
        <v>1</v>
      </c>
      <c r="T32" s="204">
        <v>1</v>
      </c>
      <c r="U32" s="205">
        <v>1</v>
      </c>
      <c r="V32" s="204">
        <v>1</v>
      </c>
      <c r="W32" s="204">
        <v>0</v>
      </c>
      <c r="X32" s="206">
        <v>21.95</v>
      </c>
      <c r="Y32" s="222">
        <v>0</v>
      </c>
    </row>
    <row r="33" spans="1:25" ht="14.25" customHeight="1" x14ac:dyDescent="0.3">
      <c r="A33" s="201">
        <v>45889</v>
      </c>
      <c r="B33" s="202">
        <v>45892</v>
      </c>
      <c r="C33" s="203" t="s">
        <v>48</v>
      </c>
      <c r="D33" s="203" t="s">
        <v>28</v>
      </c>
      <c r="E33" s="203" t="s">
        <v>634</v>
      </c>
      <c r="F33" s="203" t="s">
        <v>635</v>
      </c>
      <c r="G33" s="203" t="s">
        <v>31</v>
      </c>
      <c r="H33" s="203" t="s">
        <v>636</v>
      </c>
      <c r="I33" s="203" t="s">
        <v>65</v>
      </c>
      <c r="J33" s="203" t="s">
        <v>153</v>
      </c>
      <c r="K33" s="204">
        <v>4899</v>
      </c>
      <c r="L33" s="204">
        <v>23</v>
      </c>
      <c r="M33" s="205">
        <v>4.6948356807511738E-3</v>
      </c>
      <c r="N33" s="206">
        <v>3.8469565217391306</v>
      </c>
      <c r="O33" s="208">
        <v>88.48</v>
      </c>
      <c r="P33" s="208">
        <v>65.849999999999994</v>
      </c>
      <c r="Q33" s="208">
        <v>134.3659832953683</v>
      </c>
      <c r="R33" s="221">
        <v>74.423598553345386</v>
      </c>
      <c r="S33" s="204">
        <v>2</v>
      </c>
      <c r="T33" s="204">
        <v>3</v>
      </c>
      <c r="U33" s="205">
        <v>8.6956521739130432E-2</v>
      </c>
      <c r="V33" s="204">
        <v>3</v>
      </c>
      <c r="W33" s="204">
        <v>0</v>
      </c>
      <c r="X33" s="206">
        <v>65.849999999999994</v>
      </c>
      <c r="Y33" s="222">
        <v>0</v>
      </c>
    </row>
    <row r="34" spans="1:25" ht="14.25" customHeight="1" x14ac:dyDescent="0.3">
      <c r="A34" s="201">
        <v>45889</v>
      </c>
      <c r="B34" s="202">
        <v>45889</v>
      </c>
      <c r="C34" s="203" t="s">
        <v>143</v>
      </c>
      <c r="D34" s="203" t="s">
        <v>28</v>
      </c>
      <c r="E34" s="203" t="s">
        <v>144</v>
      </c>
      <c r="F34" s="203" t="s">
        <v>32</v>
      </c>
      <c r="G34" s="203" t="s">
        <v>31</v>
      </c>
      <c r="H34" s="203" t="s">
        <v>640</v>
      </c>
      <c r="I34" s="203" t="s">
        <v>44</v>
      </c>
      <c r="J34" s="203" t="s">
        <v>641</v>
      </c>
      <c r="K34" s="204">
        <v>9</v>
      </c>
      <c r="L34" s="204">
        <v>1</v>
      </c>
      <c r="M34" s="205">
        <v>0.1111111111111111</v>
      </c>
      <c r="N34" s="206">
        <v>0.18</v>
      </c>
      <c r="O34" s="208">
        <v>0.18</v>
      </c>
      <c r="P34" s="208">
        <v>24.94</v>
      </c>
      <c r="Q34" s="208">
        <v>0.72173215717722528</v>
      </c>
      <c r="R34" s="221">
        <v>13855.555555555557</v>
      </c>
      <c r="S34" s="204">
        <v>1</v>
      </c>
      <c r="T34" s="204">
        <v>1</v>
      </c>
      <c r="U34" s="205">
        <v>1</v>
      </c>
      <c r="V34" s="204">
        <v>1</v>
      </c>
      <c r="W34" s="204">
        <v>0</v>
      </c>
      <c r="X34" s="206">
        <v>24.94</v>
      </c>
      <c r="Y34" s="222">
        <v>0</v>
      </c>
    </row>
    <row r="35" spans="1:25" ht="14.25" customHeight="1" x14ac:dyDescent="0.3">
      <c r="A35" s="201">
        <v>45889</v>
      </c>
      <c r="B35" s="202">
        <v>45889</v>
      </c>
      <c r="C35" s="203" t="s">
        <v>48</v>
      </c>
      <c r="D35" s="203" t="s">
        <v>28</v>
      </c>
      <c r="E35" s="203" t="s">
        <v>49</v>
      </c>
      <c r="F35" s="203" t="s">
        <v>50</v>
      </c>
      <c r="G35" s="203" t="s">
        <v>31</v>
      </c>
      <c r="H35" s="203" t="s">
        <v>51</v>
      </c>
      <c r="I35" s="203" t="s">
        <v>52</v>
      </c>
      <c r="J35" s="203" t="s">
        <v>643</v>
      </c>
      <c r="K35" s="204">
        <v>1</v>
      </c>
      <c r="L35" s="204">
        <v>1</v>
      </c>
      <c r="M35" s="205">
        <v>1</v>
      </c>
      <c r="N35" s="206">
        <v>2</v>
      </c>
      <c r="O35" s="208">
        <v>2</v>
      </c>
      <c r="P35" s="208">
        <v>21.95</v>
      </c>
      <c r="Q35" s="208">
        <v>9.1116173120728927</v>
      </c>
      <c r="R35" s="221">
        <v>1097.5</v>
      </c>
      <c r="S35" s="204">
        <v>1</v>
      </c>
      <c r="T35" s="204">
        <v>1</v>
      </c>
      <c r="U35" s="205">
        <v>1</v>
      </c>
      <c r="V35" s="204">
        <v>1</v>
      </c>
      <c r="W35" s="204">
        <v>0</v>
      </c>
      <c r="X35" s="206">
        <v>21.95</v>
      </c>
      <c r="Y35" s="222">
        <v>0</v>
      </c>
    </row>
    <row r="36" spans="1:25" ht="14.25" customHeight="1" x14ac:dyDescent="0.3">
      <c r="A36" s="201">
        <v>45890</v>
      </c>
      <c r="B36" s="202">
        <v>45890</v>
      </c>
      <c r="C36" s="203" t="s">
        <v>48</v>
      </c>
      <c r="D36" s="203" t="s">
        <v>28</v>
      </c>
      <c r="E36" s="203" t="s">
        <v>49</v>
      </c>
      <c r="F36" s="203" t="s">
        <v>50</v>
      </c>
      <c r="G36" s="203" t="s">
        <v>31</v>
      </c>
      <c r="H36" s="203" t="s">
        <v>51</v>
      </c>
      <c r="I36" s="203" t="s">
        <v>52</v>
      </c>
      <c r="J36" s="203" t="s">
        <v>632</v>
      </c>
      <c r="K36" s="204">
        <v>9</v>
      </c>
      <c r="L36" s="204">
        <v>1</v>
      </c>
      <c r="M36" s="205">
        <v>0.1111111111111111</v>
      </c>
      <c r="N36" s="206">
        <v>2</v>
      </c>
      <c r="O36" s="208">
        <v>2</v>
      </c>
      <c r="P36" s="208">
        <v>21.95</v>
      </c>
      <c r="Q36" s="208">
        <v>9.1116173120728927</v>
      </c>
      <c r="R36" s="221">
        <v>1097.5</v>
      </c>
      <c r="S36" s="204">
        <v>1</v>
      </c>
      <c r="T36" s="204">
        <v>1</v>
      </c>
      <c r="U36" s="205">
        <v>1</v>
      </c>
      <c r="V36" s="204">
        <v>1</v>
      </c>
      <c r="W36" s="204">
        <v>0</v>
      </c>
      <c r="X36" s="206">
        <v>21.95</v>
      </c>
      <c r="Y36" s="222">
        <v>0</v>
      </c>
    </row>
    <row r="37" spans="1:25" ht="14.25" customHeight="1" x14ac:dyDescent="0.3">
      <c r="A37" s="201">
        <v>45891</v>
      </c>
      <c r="B37" s="202">
        <v>45891</v>
      </c>
      <c r="C37" s="203" t="s">
        <v>48</v>
      </c>
      <c r="D37" s="203" t="s">
        <v>28</v>
      </c>
      <c r="E37" s="203" t="s">
        <v>49</v>
      </c>
      <c r="F37" s="203" t="s">
        <v>50</v>
      </c>
      <c r="G37" s="203" t="s">
        <v>31</v>
      </c>
      <c r="H37" s="203" t="s">
        <v>51</v>
      </c>
      <c r="I37" s="203" t="s">
        <v>52</v>
      </c>
      <c r="J37" s="203" t="s">
        <v>631</v>
      </c>
      <c r="K37" s="204">
        <v>2</v>
      </c>
      <c r="L37" s="204">
        <v>1</v>
      </c>
      <c r="M37" s="205">
        <v>0.5</v>
      </c>
      <c r="N37" s="206">
        <v>2</v>
      </c>
      <c r="O37" s="208">
        <v>2</v>
      </c>
      <c r="P37" s="208">
        <v>21.95</v>
      </c>
      <c r="Q37" s="208">
        <v>9.1116173120728927</v>
      </c>
      <c r="R37" s="221">
        <v>1097.5</v>
      </c>
      <c r="S37" s="204">
        <v>1</v>
      </c>
      <c r="T37" s="204">
        <v>1</v>
      </c>
      <c r="U37" s="205">
        <v>1</v>
      </c>
      <c r="V37" s="204">
        <v>1</v>
      </c>
      <c r="W37" s="204">
        <v>0</v>
      </c>
      <c r="X37" s="206">
        <v>21.95</v>
      </c>
      <c r="Y37" s="222">
        <v>0</v>
      </c>
    </row>
    <row r="38" spans="1:25" ht="14.25" customHeight="1" x14ac:dyDescent="0.3">
      <c r="A38" s="223"/>
      <c r="B38" s="223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5"/>
      <c r="Q38" s="225"/>
      <c r="R38" s="224"/>
      <c r="S38" s="224"/>
      <c r="T38" s="224"/>
      <c r="U38" s="224"/>
      <c r="V38" s="224"/>
      <c r="W38" s="224"/>
      <c r="X38" s="224"/>
      <c r="Y38" s="224"/>
    </row>
    <row r="39" spans="1:25" ht="14.25" customHeight="1" x14ac:dyDescent="0.3">
      <c r="A39" s="223"/>
      <c r="B39" s="223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5"/>
      <c r="Q39" s="225"/>
      <c r="R39" s="224"/>
      <c r="S39" s="224"/>
      <c r="T39" s="224"/>
      <c r="U39" s="224"/>
      <c r="V39" s="224"/>
      <c r="W39" s="224"/>
      <c r="X39" s="224"/>
      <c r="Y39" s="224"/>
    </row>
    <row r="40" spans="1:25" ht="14.25" customHeight="1" x14ac:dyDescent="0.3">
      <c r="A40" s="223"/>
      <c r="B40" s="223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5"/>
      <c r="Q40" s="225"/>
      <c r="R40" s="224"/>
      <c r="S40" s="224"/>
      <c r="T40" s="224"/>
      <c r="U40" s="224"/>
      <c r="V40" s="224"/>
      <c r="W40" s="224"/>
      <c r="X40" s="224"/>
      <c r="Y40" s="224"/>
    </row>
    <row r="41" spans="1:25" ht="14.25" customHeight="1" x14ac:dyDescent="0.3">
      <c r="A41" s="223"/>
      <c r="B41" s="223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5"/>
      <c r="Q41" s="225"/>
      <c r="R41" s="224"/>
      <c r="S41" s="224"/>
      <c r="T41" s="224"/>
      <c r="U41" s="224"/>
      <c r="V41" s="224"/>
      <c r="W41" s="224"/>
      <c r="X41" s="224"/>
      <c r="Y41" s="224"/>
    </row>
    <row r="42" spans="1:25" ht="14.25" customHeight="1" x14ac:dyDescent="0.3">
      <c r="A42" s="223"/>
      <c r="B42" s="223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5"/>
      <c r="Q42" s="225"/>
      <c r="R42" s="224"/>
      <c r="S42" s="224"/>
      <c r="T42" s="224"/>
      <c r="U42" s="224"/>
      <c r="V42" s="224"/>
      <c r="W42" s="224"/>
      <c r="X42" s="224"/>
      <c r="Y42" s="224"/>
    </row>
    <row r="43" spans="1:25" ht="14.25" customHeight="1" x14ac:dyDescent="0.3">
      <c r="A43" s="223"/>
      <c r="B43" s="223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5"/>
      <c r="Q43" s="225"/>
      <c r="R43" s="224"/>
      <c r="S43" s="224"/>
      <c r="T43" s="224"/>
      <c r="U43" s="224"/>
      <c r="V43" s="224"/>
      <c r="W43" s="224"/>
      <c r="X43" s="224"/>
      <c r="Y43" s="224"/>
    </row>
    <row r="44" spans="1:25" ht="14.25" customHeight="1" x14ac:dyDescent="0.3">
      <c r="A44" s="223"/>
      <c r="B44" s="223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5"/>
      <c r="Q44" s="225"/>
      <c r="R44" s="224"/>
      <c r="S44" s="224"/>
      <c r="T44" s="224"/>
      <c r="U44" s="224"/>
      <c r="V44" s="224"/>
      <c r="W44" s="224"/>
      <c r="X44" s="224"/>
      <c r="Y44" s="224"/>
    </row>
    <row r="45" spans="1:25" ht="14.25" customHeight="1" x14ac:dyDescent="0.3">
      <c r="A45" s="223"/>
      <c r="B45" s="223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5"/>
      <c r="Q45" s="225"/>
      <c r="R45" s="224"/>
      <c r="S45" s="224"/>
      <c r="T45" s="224"/>
      <c r="U45" s="224"/>
      <c r="V45" s="224"/>
      <c r="W45" s="224"/>
      <c r="X45" s="224"/>
      <c r="Y45" s="224"/>
    </row>
    <row r="46" spans="1:25" ht="14.25" customHeight="1" x14ac:dyDescent="0.3">
      <c r="A46" s="223"/>
      <c r="B46" s="223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5"/>
      <c r="Q46" s="225"/>
      <c r="R46" s="224"/>
      <c r="S46" s="224"/>
      <c r="T46" s="224"/>
      <c r="U46" s="224"/>
      <c r="V46" s="224"/>
      <c r="W46" s="224"/>
      <c r="X46" s="224"/>
      <c r="Y46" s="224"/>
    </row>
    <row r="47" spans="1:25" ht="14.25" customHeight="1" x14ac:dyDescent="0.3">
      <c r="A47" s="223"/>
      <c r="B47" s="223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5"/>
      <c r="Q47" s="225"/>
      <c r="R47" s="224"/>
      <c r="S47" s="224"/>
      <c r="T47" s="224"/>
      <c r="U47" s="224"/>
      <c r="V47" s="224"/>
      <c r="W47" s="224"/>
      <c r="X47" s="224"/>
      <c r="Y47" s="224"/>
    </row>
    <row r="48" spans="1:25" ht="14.25" customHeight="1" x14ac:dyDescent="0.3">
      <c r="A48" s="223"/>
      <c r="B48" s="223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5"/>
      <c r="Q48" s="225"/>
      <c r="R48" s="224"/>
      <c r="S48" s="224"/>
      <c r="T48" s="224"/>
      <c r="U48" s="224"/>
      <c r="V48" s="224"/>
      <c r="W48" s="224"/>
      <c r="X48" s="224"/>
      <c r="Y48" s="224"/>
    </row>
    <row r="49" spans="1:25" ht="14.25" customHeight="1" x14ac:dyDescent="0.3">
      <c r="A49" s="223"/>
      <c r="B49" s="223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5"/>
      <c r="Q49" s="225"/>
      <c r="R49" s="224"/>
      <c r="S49" s="224"/>
      <c r="T49" s="224"/>
      <c r="U49" s="224"/>
      <c r="V49" s="224"/>
      <c r="W49" s="224"/>
      <c r="X49" s="224"/>
      <c r="Y49" s="224"/>
    </row>
    <row r="50" spans="1:25" ht="14.25" customHeight="1" x14ac:dyDescent="0.3">
      <c r="A50" s="223"/>
      <c r="B50" s="223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5"/>
      <c r="Q50" s="225"/>
      <c r="R50" s="224"/>
      <c r="S50" s="224"/>
      <c r="T50" s="224"/>
      <c r="U50" s="224"/>
      <c r="V50" s="224"/>
      <c r="W50" s="224"/>
      <c r="X50" s="224"/>
      <c r="Y50" s="224"/>
    </row>
    <row r="51" spans="1:25" ht="14.25" customHeight="1" x14ac:dyDescent="0.3">
      <c r="A51" s="223"/>
      <c r="B51" s="223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5"/>
      <c r="Q51" s="225"/>
      <c r="R51" s="224"/>
      <c r="S51" s="224"/>
      <c r="T51" s="224"/>
      <c r="U51" s="224"/>
      <c r="V51" s="224"/>
      <c r="W51" s="224"/>
      <c r="X51" s="224"/>
      <c r="Y51" s="224"/>
    </row>
    <row r="52" spans="1:25" ht="14.25" customHeight="1" x14ac:dyDescent="0.3">
      <c r="A52" s="223"/>
      <c r="B52" s="223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5"/>
      <c r="Q52" s="225"/>
      <c r="R52" s="224"/>
      <c r="S52" s="224"/>
      <c r="T52" s="224"/>
      <c r="U52" s="224"/>
      <c r="V52" s="224"/>
      <c r="W52" s="224"/>
      <c r="X52" s="224"/>
      <c r="Y52" s="224"/>
    </row>
    <row r="53" spans="1:25" ht="14.25" customHeight="1" x14ac:dyDescent="0.3">
      <c r="A53" s="223"/>
      <c r="B53" s="223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5"/>
      <c r="Q53" s="225"/>
      <c r="R53" s="224"/>
      <c r="S53" s="224"/>
      <c r="T53" s="224"/>
      <c r="U53" s="224"/>
      <c r="V53" s="224"/>
      <c r="W53" s="224"/>
      <c r="X53" s="224"/>
      <c r="Y53" s="224"/>
    </row>
    <row r="54" spans="1:25" ht="14.25" customHeight="1" x14ac:dyDescent="0.3">
      <c r="A54" s="223"/>
      <c r="B54" s="223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5"/>
      <c r="Q54" s="225"/>
      <c r="R54" s="224"/>
      <c r="S54" s="224"/>
      <c r="T54" s="224"/>
      <c r="U54" s="224"/>
      <c r="V54" s="224"/>
      <c r="W54" s="224"/>
      <c r="X54" s="224"/>
      <c r="Y54" s="224"/>
    </row>
    <row r="55" spans="1:25" ht="14.25" customHeight="1" x14ac:dyDescent="0.3">
      <c r="A55" s="223"/>
      <c r="B55" s="223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5"/>
      <c r="Q55" s="225"/>
      <c r="R55" s="224"/>
      <c r="S55" s="224"/>
      <c r="T55" s="224"/>
      <c r="U55" s="224"/>
      <c r="V55" s="224"/>
      <c r="W55" s="224"/>
      <c r="X55" s="224"/>
      <c r="Y55" s="224"/>
    </row>
    <row r="56" spans="1:25" ht="14.25" customHeight="1" x14ac:dyDescent="0.3">
      <c r="A56" s="223"/>
      <c r="B56" s="223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5"/>
      <c r="Q56" s="225"/>
      <c r="R56" s="224"/>
      <c r="S56" s="224"/>
      <c r="T56" s="224"/>
      <c r="U56" s="224"/>
      <c r="V56" s="224"/>
      <c r="W56" s="224"/>
      <c r="X56" s="224"/>
      <c r="Y56" s="224"/>
    </row>
    <row r="57" spans="1:25" ht="14.25" customHeight="1" x14ac:dyDescent="0.3">
      <c r="A57" s="223"/>
      <c r="B57" s="223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5"/>
      <c r="Q57" s="225"/>
      <c r="R57" s="224"/>
      <c r="S57" s="224"/>
      <c r="T57" s="224"/>
      <c r="U57" s="224"/>
      <c r="V57" s="224"/>
      <c r="W57" s="224"/>
      <c r="X57" s="224"/>
      <c r="Y57" s="224"/>
    </row>
    <row r="58" spans="1:25" ht="14.25" customHeight="1" x14ac:dyDescent="0.3">
      <c r="A58" s="223"/>
      <c r="B58" s="223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5"/>
      <c r="Q58" s="225"/>
      <c r="R58" s="224"/>
      <c r="S58" s="224"/>
      <c r="T58" s="224"/>
      <c r="U58" s="224"/>
      <c r="V58" s="224"/>
      <c r="W58" s="224"/>
      <c r="X58" s="224"/>
      <c r="Y58" s="224"/>
    </row>
    <row r="59" spans="1:25" ht="14.25" customHeight="1" x14ac:dyDescent="0.3">
      <c r="A59" s="223"/>
      <c r="B59" s="223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5"/>
      <c r="Q59" s="225"/>
      <c r="R59" s="224"/>
      <c r="S59" s="224"/>
      <c r="T59" s="224"/>
      <c r="U59" s="224"/>
      <c r="V59" s="224"/>
      <c r="W59" s="224"/>
      <c r="X59" s="224"/>
      <c r="Y59" s="224"/>
    </row>
    <row r="60" spans="1:25" ht="14.25" customHeight="1" x14ac:dyDescent="0.3">
      <c r="A60" s="223"/>
      <c r="B60" s="223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5"/>
      <c r="Q60" s="225"/>
      <c r="R60" s="224"/>
      <c r="S60" s="224"/>
      <c r="T60" s="224"/>
      <c r="U60" s="224"/>
      <c r="V60" s="224"/>
      <c r="W60" s="224"/>
      <c r="X60" s="224"/>
      <c r="Y60" s="224"/>
    </row>
    <row r="61" spans="1:25" ht="14.25" customHeight="1" x14ac:dyDescent="0.3">
      <c r="A61" s="223"/>
      <c r="B61" s="223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5"/>
      <c r="Q61" s="225"/>
      <c r="R61" s="224"/>
      <c r="S61" s="224"/>
      <c r="T61" s="224"/>
      <c r="U61" s="224"/>
      <c r="V61" s="224"/>
      <c r="W61" s="224"/>
      <c r="X61" s="224"/>
      <c r="Y61" s="224"/>
    </row>
    <row r="62" spans="1:25" ht="14.25" customHeight="1" x14ac:dyDescent="0.3">
      <c r="A62" s="223"/>
      <c r="B62" s="223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5"/>
      <c r="Q62" s="225"/>
      <c r="R62" s="224"/>
      <c r="S62" s="224"/>
      <c r="T62" s="224"/>
      <c r="U62" s="224"/>
      <c r="V62" s="224"/>
      <c r="W62" s="224"/>
      <c r="X62" s="224"/>
      <c r="Y62" s="224"/>
    </row>
    <row r="63" spans="1:25" ht="14.25" customHeight="1" x14ac:dyDescent="0.3">
      <c r="A63" s="223"/>
      <c r="B63" s="223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5"/>
      <c r="Q63" s="225"/>
      <c r="R63" s="224"/>
      <c r="S63" s="224"/>
      <c r="T63" s="224"/>
      <c r="U63" s="224"/>
      <c r="V63" s="224"/>
      <c r="W63" s="224"/>
      <c r="X63" s="224"/>
      <c r="Y63" s="224"/>
    </row>
    <row r="64" spans="1:25" ht="14.25" customHeight="1" x14ac:dyDescent="0.3">
      <c r="A64" s="223"/>
      <c r="B64" s="223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5"/>
      <c r="Q64" s="225"/>
      <c r="R64" s="224"/>
      <c r="S64" s="224"/>
      <c r="T64" s="224"/>
      <c r="U64" s="224"/>
      <c r="V64" s="224"/>
      <c r="W64" s="224"/>
      <c r="X64" s="224"/>
      <c r="Y64" s="224"/>
    </row>
    <row r="65" spans="1:25" ht="14.25" customHeight="1" x14ac:dyDescent="0.3">
      <c r="A65" s="223"/>
      <c r="B65" s="223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5"/>
      <c r="Q65" s="225"/>
      <c r="R65" s="224"/>
      <c r="S65" s="224"/>
      <c r="T65" s="224"/>
      <c r="U65" s="224"/>
      <c r="V65" s="224"/>
      <c r="W65" s="224"/>
      <c r="X65" s="224"/>
      <c r="Y65" s="224"/>
    </row>
    <row r="66" spans="1:25" ht="14.25" customHeight="1" x14ac:dyDescent="0.3">
      <c r="A66" s="223"/>
      <c r="B66" s="223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25"/>
      <c r="R66" s="224"/>
      <c r="S66" s="224"/>
      <c r="T66" s="224"/>
      <c r="U66" s="224"/>
      <c r="V66" s="224"/>
      <c r="W66" s="224"/>
      <c r="X66" s="224"/>
      <c r="Y66" s="224"/>
    </row>
    <row r="67" spans="1:25" ht="14.25" customHeight="1" x14ac:dyDescent="0.3">
      <c r="A67" s="223"/>
      <c r="B67" s="223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5"/>
      <c r="Q67" s="225"/>
      <c r="R67" s="224"/>
      <c r="S67" s="224"/>
      <c r="T67" s="224"/>
      <c r="U67" s="224"/>
      <c r="V67" s="224"/>
      <c r="W67" s="224"/>
      <c r="X67" s="224"/>
      <c r="Y67" s="224"/>
    </row>
    <row r="68" spans="1:25" ht="14.25" customHeight="1" x14ac:dyDescent="0.3">
      <c r="A68" s="223"/>
      <c r="B68" s="223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5"/>
      <c r="R68" s="224"/>
      <c r="S68" s="224"/>
      <c r="T68" s="224"/>
      <c r="U68" s="224"/>
      <c r="V68" s="224"/>
      <c r="W68" s="224"/>
      <c r="X68" s="224"/>
      <c r="Y68" s="224"/>
    </row>
    <row r="69" spans="1:25" ht="14.25" customHeight="1" x14ac:dyDescent="0.3">
      <c r="A69" s="223"/>
      <c r="B69" s="223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5"/>
      <c r="Q69" s="225"/>
      <c r="R69" s="224"/>
      <c r="S69" s="224"/>
      <c r="T69" s="224"/>
      <c r="U69" s="224"/>
      <c r="V69" s="224"/>
      <c r="W69" s="224"/>
      <c r="X69" s="224"/>
      <c r="Y69" s="224"/>
    </row>
    <row r="70" spans="1:25" ht="14.25" customHeight="1" x14ac:dyDescent="0.3">
      <c r="A70" s="223"/>
      <c r="B70" s="223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5"/>
      <c r="R70" s="224"/>
      <c r="S70" s="224"/>
      <c r="T70" s="224"/>
      <c r="U70" s="224"/>
      <c r="V70" s="224"/>
      <c r="W70" s="224"/>
      <c r="X70" s="224"/>
      <c r="Y70" s="224"/>
    </row>
    <row r="71" spans="1:25" ht="14.25" customHeight="1" x14ac:dyDescent="0.3">
      <c r="A71" s="223"/>
      <c r="B71" s="223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5"/>
      <c r="Q71" s="225"/>
      <c r="R71" s="224"/>
      <c r="S71" s="224"/>
      <c r="T71" s="224"/>
      <c r="U71" s="224"/>
      <c r="V71" s="224"/>
      <c r="W71" s="224"/>
      <c r="X71" s="224"/>
      <c r="Y71" s="224"/>
    </row>
    <row r="72" spans="1:25" ht="14.25" customHeight="1" x14ac:dyDescent="0.3">
      <c r="A72" s="223"/>
      <c r="B72" s="223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5"/>
      <c r="R72" s="224"/>
      <c r="S72" s="224"/>
      <c r="T72" s="224"/>
      <c r="U72" s="224"/>
      <c r="V72" s="224"/>
      <c r="W72" s="224"/>
      <c r="X72" s="224"/>
      <c r="Y72" s="224"/>
    </row>
    <row r="73" spans="1:25" ht="14.25" customHeight="1" x14ac:dyDescent="0.3">
      <c r="A73" s="223"/>
      <c r="B73" s="223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5"/>
      <c r="Q73" s="225"/>
      <c r="R73" s="224"/>
      <c r="S73" s="224"/>
      <c r="T73" s="224"/>
      <c r="U73" s="224"/>
      <c r="V73" s="224"/>
      <c r="W73" s="224"/>
      <c r="X73" s="224"/>
      <c r="Y73" s="224"/>
    </row>
    <row r="74" spans="1:25" ht="14.25" customHeight="1" x14ac:dyDescent="0.3">
      <c r="A74" s="223"/>
      <c r="B74" s="223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5"/>
      <c r="R74" s="224"/>
      <c r="S74" s="224"/>
      <c r="T74" s="224"/>
      <c r="U74" s="224"/>
      <c r="V74" s="224"/>
      <c r="W74" s="224"/>
      <c r="X74" s="224"/>
      <c r="Y74" s="224"/>
    </row>
    <row r="75" spans="1:25" ht="14.25" customHeight="1" x14ac:dyDescent="0.3">
      <c r="A75" s="223"/>
      <c r="B75" s="223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5"/>
      <c r="Q75" s="225"/>
      <c r="R75" s="224"/>
      <c r="S75" s="224"/>
      <c r="T75" s="224"/>
      <c r="U75" s="224"/>
      <c r="V75" s="224"/>
      <c r="W75" s="224"/>
      <c r="X75" s="224"/>
      <c r="Y75" s="224"/>
    </row>
    <row r="76" spans="1:25" ht="14.25" customHeight="1" x14ac:dyDescent="0.3">
      <c r="A76" s="223"/>
      <c r="B76" s="223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5"/>
      <c r="R76" s="224"/>
      <c r="S76" s="224"/>
      <c r="T76" s="224"/>
      <c r="U76" s="224"/>
      <c r="V76" s="224"/>
      <c r="W76" s="224"/>
      <c r="X76" s="224"/>
      <c r="Y76" s="224"/>
    </row>
    <row r="77" spans="1:25" ht="14.25" customHeight="1" x14ac:dyDescent="0.3">
      <c r="A77" s="223"/>
      <c r="B77" s="223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5"/>
      <c r="Q77" s="225"/>
      <c r="R77" s="224"/>
      <c r="S77" s="224"/>
      <c r="T77" s="224"/>
      <c r="U77" s="224"/>
      <c r="V77" s="224"/>
      <c r="W77" s="224"/>
      <c r="X77" s="224"/>
      <c r="Y77" s="224"/>
    </row>
    <row r="78" spans="1:25" ht="14.25" customHeight="1" x14ac:dyDescent="0.3">
      <c r="A78" s="223"/>
      <c r="B78" s="223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5"/>
      <c r="Q78" s="225"/>
      <c r="R78" s="224"/>
      <c r="S78" s="224"/>
      <c r="T78" s="224"/>
      <c r="U78" s="224"/>
      <c r="V78" s="224"/>
      <c r="W78" s="224"/>
      <c r="X78" s="224"/>
      <c r="Y78" s="224"/>
    </row>
    <row r="79" spans="1:25" ht="14.25" customHeight="1" x14ac:dyDescent="0.3">
      <c r="A79" s="223"/>
      <c r="B79" s="223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5"/>
      <c r="Q79" s="225"/>
      <c r="R79" s="224"/>
      <c r="S79" s="224"/>
      <c r="T79" s="224"/>
      <c r="U79" s="224"/>
      <c r="V79" s="224"/>
      <c r="W79" s="224"/>
      <c r="X79" s="224"/>
      <c r="Y79" s="224"/>
    </row>
    <row r="80" spans="1:25" ht="14.25" customHeight="1" x14ac:dyDescent="0.3">
      <c r="A80" s="223"/>
      <c r="B80" s="223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5"/>
      <c r="Q80" s="225"/>
      <c r="R80" s="224"/>
      <c r="S80" s="224"/>
      <c r="T80" s="224"/>
      <c r="U80" s="224"/>
      <c r="V80" s="224"/>
      <c r="W80" s="224"/>
      <c r="X80" s="224"/>
      <c r="Y80" s="224"/>
    </row>
    <row r="81" spans="1:25" ht="14.25" customHeight="1" x14ac:dyDescent="0.3">
      <c r="A81" s="223"/>
      <c r="B81" s="223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5"/>
      <c r="Q81" s="225"/>
      <c r="R81" s="224"/>
      <c r="S81" s="224"/>
      <c r="T81" s="224"/>
      <c r="U81" s="224"/>
      <c r="V81" s="224"/>
      <c r="W81" s="224"/>
      <c r="X81" s="224"/>
      <c r="Y81" s="224"/>
    </row>
    <row r="82" spans="1:25" ht="14.25" customHeight="1" x14ac:dyDescent="0.3">
      <c r="A82" s="223"/>
      <c r="B82" s="223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5"/>
      <c r="Q82" s="225"/>
      <c r="R82" s="224"/>
      <c r="S82" s="224"/>
      <c r="T82" s="224"/>
      <c r="U82" s="224"/>
      <c r="V82" s="224"/>
      <c r="W82" s="224"/>
      <c r="X82" s="224"/>
      <c r="Y82" s="224"/>
    </row>
    <row r="83" spans="1:25" ht="14.25" customHeight="1" x14ac:dyDescent="0.3">
      <c r="A83" s="223"/>
      <c r="B83" s="223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5"/>
      <c r="Q83" s="225"/>
      <c r="R83" s="224"/>
      <c r="S83" s="224"/>
      <c r="T83" s="224"/>
      <c r="U83" s="224"/>
      <c r="V83" s="224"/>
      <c r="W83" s="224"/>
      <c r="X83" s="224"/>
      <c r="Y83" s="224"/>
    </row>
    <row r="84" spans="1:25" ht="14.25" customHeight="1" x14ac:dyDescent="0.3">
      <c r="A84" s="223"/>
      <c r="B84" s="223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5"/>
      <c r="Q84" s="225"/>
      <c r="R84" s="224"/>
      <c r="S84" s="224"/>
      <c r="T84" s="224"/>
      <c r="U84" s="224"/>
      <c r="V84" s="224"/>
      <c r="W84" s="224"/>
      <c r="X84" s="224"/>
      <c r="Y84" s="224"/>
    </row>
    <row r="85" spans="1:25" ht="14.25" customHeight="1" x14ac:dyDescent="0.3">
      <c r="A85" s="223"/>
      <c r="B85" s="223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5"/>
      <c r="Q85" s="225"/>
      <c r="R85" s="224"/>
      <c r="S85" s="224"/>
      <c r="T85" s="224"/>
      <c r="U85" s="224"/>
      <c r="V85" s="224"/>
      <c r="W85" s="224"/>
      <c r="X85" s="224"/>
      <c r="Y85" s="224"/>
    </row>
    <row r="86" spans="1:25" ht="14.25" customHeight="1" x14ac:dyDescent="0.3">
      <c r="A86" s="223"/>
      <c r="B86" s="223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5"/>
      <c r="Q86" s="225"/>
      <c r="R86" s="224"/>
      <c r="S86" s="224"/>
      <c r="T86" s="224"/>
      <c r="U86" s="224"/>
      <c r="V86" s="224"/>
      <c r="W86" s="224"/>
      <c r="X86" s="224"/>
      <c r="Y86" s="224"/>
    </row>
    <row r="87" spans="1:25" ht="14.25" customHeight="1" x14ac:dyDescent="0.3">
      <c r="A87" s="223"/>
      <c r="B87" s="223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5"/>
      <c r="Q87" s="225"/>
      <c r="R87" s="224"/>
      <c r="S87" s="224"/>
      <c r="T87" s="224"/>
      <c r="U87" s="224"/>
      <c r="V87" s="224"/>
      <c r="W87" s="224"/>
      <c r="X87" s="224"/>
      <c r="Y87" s="224"/>
    </row>
    <row r="88" spans="1:25" ht="14.25" customHeight="1" x14ac:dyDescent="0.3">
      <c r="A88" s="223"/>
      <c r="B88" s="223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5"/>
      <c r="Q88" s="225"/>
      <c r="R88" s="224"/>
      <c r="S88" s="224"/>
      <c r="T88" s="224"/>
      <c r="U88" s="224"/>
      <c r="V88" s="224"/>
      <c r="W88" s="224"/>
      <c r="X88" s="224"/>
      <c r="Y88" s="224"/>
    </row>
    <row r="89" spans="1:25" ht="14.25" customHeight="1" x14ac:dyDescent="0.3">
      <c r="A89" s="223"/>
      <c r="B89" s="223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5"/>
      <c r="Q89" s="225"/>
      <c r="R89" s="224"/>
      <c r="S89" s="224"/>
      <c r="T89" s="224"/>
      <c r="U89" s="224"/>
      <c r="V89" s="224"/>
      <c r="W89" s="224"/>
      <c r="X89" s="224"/>
      <c r="Y89" s="224"/>
    </row>
    <row r="90" spans="1:25" ht="14.25" customHeight="1" x14ac:dyDescent="0.3">
      <c r="A90" s="223"/>
      <c r="B90" s="223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5"/>
      <c r="Q90" s="225"/>
      <c r="R90" s="224"/>
      <c r="S90" s="224"/>
      <c r="T90" s="224"/>
      <c r="U90" s="224"/>
      <c r="V90" s="224"/>
      <c r="W90" s="224"/>
      <c r="X90" s="224"/>
      <c r="Y90" s="224"/>
    </row>
    <row r="91" spans="1:25" ht="14.25" customHeight="1" x14ac:dyDescent="0.3">
      <c r="A91" s="223"/>
      <c r="B91" s="223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5"/>
      <c r="Q91" s="225"/>
      <c r="R91" s="224"/>
      <c r="S91" s="224"/>
      <c r="T91" s="224"/>
      <c r="U91" s="224"/>
      <c r="V91" s="224"/>
      <c r="W91" s="224"/>
      <c r="X91" s="224"/>
      <c r="Y91" s="224"/>
    </row>
    <row r="92" spans="1:25" ht="14.25" customHeight="1" x14ac:dyDescent="0.3">
      <c r="A92" s="223"/>
      <c r="B92" s="223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5"/>
      <c r="Q92" s="225"/>
      <c r="R92" s="224"/>
      <c r="S92" s="224"/>
      <c r="T92" s="224"/>
      <c r="U92" s="224"/>
      <c r="V92" s="224"/>
      <c r="W92" s="224"/>
      <c r="X92" s="224"/>
      <c r="Y92" s="224"/>
    </row>
    <row r="93" spans="1:25" ht="14.25" customHeight="1" x14ac:dyDescent="0.3">
      <c r="A93" s="223"/>
      <c r="B93" s="223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5"/>
      <c r="Q93" s="225"/>
      <c r="R93" s="224"/>
      <c r="S93" s="224"/>
      <c r="T93" s="224"/>
      <c r="U93" s="224"/>
      <c r="V93" s="224"/>
      <c r="W93" s="224"/>
      <c r="X93" s="224"/>
      <c r="Y93" s="224"/>
    </row>
    <row r="94" spans="1:25" ht="14.25" customHeight="1" x14ac:dyDescent="0.3">
      <c r="A94" s="223"/>
      <c r="B94" s="223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5"/>
      <c r="Q94" s="225"/>
      <c r="R94" s="224"/>
      <c r="S94" s="224"/>
      <c r="T94" s="224"/>
      <c r="U94" s="224"/>
      <c r="V94" s="224"/>
      <c r="W94" s="224"/>
      <c r="X94" s="224"/>
      <c r="Y94" s="224"/>
    </row>
    <row r="95" spans="1:25" ht="14.25" customHeight="1" x14ac:dyDescent="0.3">
      <c r="A95" s="223"/>
      <c r="B95" s="223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5"/>
      <c r="Q95" s="225"/>
      <c r="R95" s="224"/>
      <c r="S95" s="224"/>
      <c r="T95" s="224"/>
      <c r="U95" s="224"/>
      <c r="V95" s="224"/>
      <c r="W95" s="224"/>
      <c r="X95" s="224"/>
      <c r="Y95" s="224"/>
    </row>
    <row r="96" spans="1:25" ht="14.25" customHeight="1" x14ac:dyDescent="0.3">
      <c r="A96" s="223"/>
      <c r="B96" s="223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5"/>
      <c r="Q96" s="225"/>
      <c r="R96" s="224"/>
      <c r="S96" s="224"/>
      <c r="T96" s="224"/>
      <c r="U96" s="224"/>
      <c r="V96" s="224"/>
      <c r="W96" s="224"/>
      <c r="X96" s="224"/>
      <c r="Y96" s="224"/>
    </row>
    <row r="97" spans="1:25" ht="14.25" customHeight="1" x14ac:dyDescent="0.3">
      <c r="A97" s="223"/>
      <c r="B97" s="223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5"/>
      <c r="Q97" s="225"/>
      <c r="R97" s="224"/>
      <c r="S97" s="224"/>
      <c r="T97" s="224"/>
      <c r="U97" s="224"/>
      <c r="V97" s="224"/>
      <c r="W97" s="224"/>
      <c r="X97" s="224"/>
      <c r="Y97" s="224"/>
    </row>
    <row r="98" spans="1:25" ht="14.25" customHeight="1" x14ac:dyDescent="0.3">
      <c r="A98" s="223"/>
      <c r="B98" s="223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5"/>
      <c r="Q98" s="225"/>
      <c r="R98" s="224"/>
      <c r="S98" s="224"/>
      <c r="T98" s="224"/>
      <c r="U98" s="224"/>
      <c r="V98" s="224"/>
      <c r="W98" s="224"/>
      <c r="X98" s="224"/>
      <c r="Y98" s="224"/>
    </row>
    <row r="99" spans="1:25" ht="14.25" customHeight="1" x14ac:dyDescent="0.3">
      <c r="A99" s="223"/>
      <c r="B99" s="223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5"/>
      <c r="Q99" s="225"/>
      <c r="R99" s="224"/>
      <c r="S99" s="224"/>
      <c r="T99" s="224"/>
      <c r="U99" s="224"/>
      <c r="V99" s="224"/>
      <c r="W99" s="224"/>
      <c r="X99" s="224"/>
      <c r="Y99" s="224"/>
    </row>
    <row r="100" spans="1:25" ht="14.25" customHeight="1" x14ac:dyDescent="0.3">
      <c r="A100" s="223"/>
      <c r="B100" s="223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5"/>
      <c r="Q100" s="225"/>
      <c r="R100" s="224"/>
      <c r="S100" s="224"/>
      <c r="T100" s="224"/>
      <c r="U100" s="224"/>
      <c r="V100" s="224"/>
      <c r="W100" s="224"/>
      <c r="X100" s="224"/>
      <c r="Y100" s="224"/>
    </row>
    <row r="101" spans="1:25" ht="14.25" customHeight="1" x14ac:dyDescent="0.3">
      <c r="A101" s="223"/>
      <c r="B101" s="223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5"/>
      <c r="Q101" s="225"/>
      <c r="R101" s="224"/>
      <c r="S101" s="224"/>
      <c r="T101" s="224"/>
      <c r="U101" s="224"/>
      <c r="V101" s="224"/>
      <c r="W101" s="224"/>
      <c r="X101" s="224"/>
      <c r="Y101" s="224"/>
    </row>
    <row r="102" spans="1:25" ht="14.25" customHeight="1" x14ac:dyDescent="0.3">
      <c r="A102" s="223"/>
      <c r="B102" s="223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5"/>
      <c r="Q102" s="225"/>
      <c r="R102" s="224"/>
      <c r="S102" s="224"/>
      <c r="T102" s="224"/>
      <c r="U102" s="224"/>
      <c r="V102" s="224"/>
      <c r="W102" s="224"/>
      <c r="X102" s="224"/>
      <c r="Y102" s="224"/>
    </row>
    <row r="103" spans="1:25" ht="14.25" customHeight="1" x14ac:dyDescent="0.3">
      <c r="A103" s="223"/>
      <c r="B103" s="223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5"/>
      <c r="Q103" s="225"/>
      <c r="R103" s="224"/>
      <c r="S103" s="224"/>
      <c r="T103" s="224"/>
      <c r="U103" s="224"/>
      <c r="V103" s="224"/>
      <c r="W103" s="224"/>
      <c r="X103" s="224"/>
      <c r="Y103" s="224"/>
    </row>
    <row r="104" spans="1:25" ht="14.25" customHeight="1" x14ac:dyDescent="0.3">
      <c r="A104" s="223"/>
      <c r="B104" s="223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5"/>
      <c r="Q104" s="225"/>
      <c r="R104" s="224"/>
      <c r="S104" s="224"/>
      <c r="T104" s="224"/>
      <c r="U104" s="224"/>
      <c r="V104" s="224"/>
      <c r="W104" s="224"/>
      <c r="X104" s="224"/>
      <c r="Y104" s="224"/>
    </row>
    <row r="105" spans="1:25" ht="14.25" customHeight="1" x14ac:dyDescent="0.3">
      <c r="A105" s="223"/>
      <c r="B105" s="223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5"/>
      <c r="Q105" s="225"/>
      <c r="R105" s="224"/>
      <c r="S105" s="224"/>
      <c r="T105" s="224"/>
      <c r="U105" s="224"/>
      <c r="V105" s="224"/>
      <c r="W105" s="224"/>
      <c r="X105" s="224"/>
      <c r="Y105" s="224"/>
    </row>
    <row r="106" spans="1:25" ht="14.25" customHeight="1" x14ac:dyDescent="0.3">
      <c r="A106" s="223"/>
      <c r="B106" s="223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5"/>
      <c r="Q106" s="225"/>
      <c r="R106" s="224"/>
      <c r="S106" s="224"/>
      <c r="T106" s="224"/>
      <c r="U106" s="224"/>
      <c r="V106" s="224"/>
      <c r="W106" s="224"/>
      <c r="X106" s="224"/>
      <c r="Y106" s="224"/>
    </row>
    <row r="107" spans="1:25" ht="14.25" customHeight="1" x14ac:dyDescent="0.3">
      <c r="A107" s="223"/>
      <c r="B107" s="223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5"/>
      <c r="Q107" s="225"/>
      <c r="R107" s="224"/>
      <c r="S107" s="224"/>
      <c r="T107" s="224"/>
      <c r="U107" s="224"/>
      <c r="V107" s="224"/>
      <c r="W107" s="224"/>
      <c r="X107" s="224"/>
      <c r="Y107" s="224"/>
    </row>
    <row r="108" spans="1:25" ht="14.25" customHeight="1" x14ac:dyDescent="0.3">
      <c r="A108" s="223"/>
      <c r="B108" s="223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5"/>
      <c r="Q108" s="225"/>
      <c r="R108" s="224"/>
      <c r="S108" s="224"/>
      <c r="T108" s="224"/>
      <c r="U108" s="224"/>
      <c r="V108" s="224"/>
      <c r="W108" s="224"/>
      <c r="X108" s="224"/>
      <c r="Y108" s="224"/>
    </row>
    <row r="109" spans="1:25" ht="14.25" customHeight="1" x14ac:dyDescent="0.3">
      <c r="A109" s="223"/>
      <c r="B109" s="223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5"/>
      <c r="Q109" s="225"/>
      <c r="R109" s="224"/>
      <c r="S109" s="224"/>
      <c r="T109" s="224"/>
      <c r="U109" s="224"/>
      <c r="V109" s="224"/>
      <c r="W109" s="224"/>
      <c r="X109" s="224"/>
      <c r="Y109" s="224"/>
    </row>
    <row r="110" spans="1:25" ht="14.25" customHeight="1" x14ac:dyDescent="0.3">
      <c r="A110" s="223"/>
      <c r="B110" s="223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5"/>
      <c r="Q110" s="225"/>
      <c r="R110" s="224"/>
      <c r="S110" s="224"/>
      <c r="T110" s="224"/>
      <c r="U110" s="224"/>
      <c r="V110" s="224"/>
      <c r="W110" s="224"/>
      <c r="X110" s="224"/>
      <c r="Y110" s="224"/>
    </row>
    <row r="111" spans="1:25" ht="14.25" customHeight="1" x14ac:dyDescent="0.3">
      <c r="A111" s="223"/>
      <c r="B111" s="223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5"/>
      <c r="Q111" s="225"/>
      <c r="R111" s="224"/>
      <c r="S111" s="224"/>
      <c r="T111" s="224"/>
      <c r="U111" s="224"/>
      <c r="V111" s="224"/>
      <c r="W111" s="224"/>
      <c r="X111" s="224"/>
      <c r="Y111" s="224"/>
    </row>
    <row r="112" spans="1:25" ht="14.25" customHeight="1" x14ac:dyDescent="0.3">
      <c r="A112" s="223"/>
      <c r="B112" s="223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5"/>
      <c r="Q112" s="225"/>
      <c r="R112" s="224"/>
      <c r="S112" s="224"/>
      <c r="T112" s="224"/>
      <c r="U112" s="224"/>
      <c r="V112" s="224"/>
      <c r="W112" s="224"/>
      <c r="X112" s="224"/>
      <c r="Y112" s="224"/>
    </row>
    <row r="113" spans="1:25" ht="14.25" customHeight="1" x14ac:dyDescent="0.3">
      <c r="A113" s="223"/>
      <c r="B113" s="223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5"/>
      <c r="Q113" s="225"/>
      <c r="R113" s="224"/>
      <c r="S113" s="224"/>
      <c r="T113" s="224"/>
      <c r="U113" s="224"/>
      <c r="V113" s="224"/>
      <c r="W113" s="224"/>
      <c r="X113" s="224"/>
      <c r="Y113" s="224"/>
    </row>
    <row r="114" spans="1:25" ht="14.25" customHeight="1" x14ac:dyDescent="0.3">
      <c r="A114" s="223"/>
      <c r="B114" s="223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5"/>
      <c r="Q114" s="225"/>
      <c r="R114" s="224"/>
      <c r="S114" s="224"/>
      <c r="T114" s="224"/>
      <c r="U114" s="224"/>
      <c r="V114" s="224"/>
      <c r="W114" s="224"/>
      <c r="X114" s="224"/>
      <c r="Y114" s="224"/>
    </row>
    <row r="115" spans="1:25" ht="14.25" customHeight="1" x14ac:dyDescent="0.3">
      <c r="A115" s="223"/>
      <c r="B115" s="223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5"/>
      <c r="Q115" s="225"/>
      <c r="R115" s="224"/>
      <c r="S115" s="224"/>
      <c r="T115" s="224"/>
      <c r="U115" s="224"/>
      <c r="V115" s="224"/>
      <c r="W115" s="224"/>
      <c r="X115" s="224"/>
      <c r="Y115" s="224"/>
    </row>
    <row r="116" spans="1:25" ht="14.25" customHeight="1" x14ac:dyDescent="0.3">
      <c r="A116" s="223"/>
      <c r="B116" s="223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5"/>
      <c r="Q116" s="225"/>
      <c r="R116" s="224"/>
      <c r="S116" s="224"/>
      <c r="T116" s="224"/>
      <c r="U116" s="224"/>
      <c r="V116" s="224"/>
      <c r="W116" s="224"/>
      <c r="X116" s="224"/>
      <c r="Y116" s="224"/>
    </row>
    <row r="117" spans="1:25" ht="14.25" customHeight="1" x14ac:dyDescent="0.3">
      <c r="A117" s="223"/>
      <c r="B117" s="223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5"/>
      <c r="Q117" s="225"/>
      <c r="R117" s="224"/>
      <c r="S117" s="224"/>
      <c r="T117" s="224"/>
      <c r="U117" s="224"/>
      <c r="V117" s="224"/>
      <c r="W117" s="224"/>
      <c r="X117" s="224"/>
      <c r="Y117" s="224"/>
    </row>
    <row r="118" spans="1:25" ht="14.25" customHeight="1" x14ac:dyDescent="0.3">
      <c r="A118" s="223"/>
      <c r="B118" s="223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5"/>
      <c r="Q118" s="225"/>
      <c r="R118" s="224"/>
      <c r="S118" s="224"/>
      <c r="T118" s="224"/>
      <c r="U118" s="224"/>
      <c r="V118" s="224"/>
      <c r="W118" s="224"/>
      <c r="X118" s="224"/>
      <c r="Y118" s="224"/>
    </row>
    <row r="119" spans="1:25" ht="14.25" customHeight="1" x14ac:dyDescent="0.3">
      <c r="A119" s="223"/>
      <c r="B119" s="223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5"/>
      <c r="Q119" s="225"/>
      <c r="R119" s="224"/>
      <c r="S119" s="224"/>
      <c r="T119" s="224"/>
      <c r="U119" s="224"/>
      <c r="V119" s="224"/>
      <c r="W119" s="224"/>
      <c r="X119" s="224"/>
      <c r="Y119" s="224"/>
    </row>
    <row r="120" spans="1:25" ht="14.25" customHeight="1" x14ac:dyDescent="0.3">
      <c r="A120" s="223"/>
      <c r="B120" s="223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5"/>
      <c r="Q120" s="225"/>
      <c r="R120" s="224"/>
      <c r="S120" s="224"/>
      <c r="T120" s="224"/>
      <c r="U120" s="224"/>
      <c r="V120" s="224"/>
      <c r="W120" s="224"/>
      <c r="X120" s="224"/>
      <c r="Y120" s="224"/>
    </row>
    <row r="121" spans="1:25" ht="14.25" customHeight="1" x14ac:dyDescent="0.3">
      <c r="A121" s="223"/>
      <c r="B121" s="223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5"/>
      <c r="Q121" s="225"/>
      <c r="R121" s="224"/>
      <c r="S121" s="224"/>
      <c r="T121" s="224"/>
      <c r="U121" s="224"/>
      <c r="V121" s="224"/>
      <c r="W121" s="224"/>
      <c r="X121" s="224"/>
      <c r="Y121" s="224"/>
    </row>
    <row r="122" spans="1:25" ht="14.25" customHeight="1" x14ac:dyDescent="0.3">
      <c r="A122" s="223"/>
      <c r="B122" s="223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5"/>
      <c r="Q122" s="225"/>
      <c r="R122" s="224"/>
      <c r="S122" s="224"/>
      <c r="T122" s="224"/>
      <c r="U122" s="224"/>
      <c r="V122" s="224"/>
      <c r="W122" s="224"/>
      <c r="X122" s="224"/>
      <c r="Y122" s="224"/>
    </row>
    <row r="123" spans="1:25" ht="14.25" customHeight="1" x14ac:dyDescent="0.3">
      <c r="A123" s="223"/>
      <c r="B123" s="223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5"/>
      <c r="Q123" s="225"/>
      <c r="R123" s="224"/>
      <c r="S123" s="224"/>
      <c r="T123" s="224"/>
      <c r="U123" s="224"/>
      <c r="V123" s="224"/>
      <c r="W123" s="224"/>
      <c r="X123" s="224"/>
      <c r="Y123" s="224"/>
    </row>
    <row r="124" spans="1:25" ht="14.25" customHeight="1" x14ac:dyDescent="0.3">
      <c r="A124" s="223"/>
      <c r="B124" s="223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5"/>
      <c r="Q124" s="225"/>
      <c r="R124" s="224"/>
      <c r="S124" s="224"/>
      <c r="T124" s="224"/>
      <c r="U124" s="224"/>
      <c r="V124" s="224"/>
      <c r="W124" s="224"/>
      <c r="X124" s="224"/>
      <c r="Y124" s="224"/>
    </row>
    <row r="125" spans="1:25" ht="14.25" customHeight="1" x14ac:dyDescent="0.3">
      <c r="A125" s="223"/>
      <c r="B125" s="223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5"/>
      <c r="Q125" s="225"/>
      <c r="R125" s="224"/>
      <c r="S125" s="224"/>
      <c r="T125" s="224"/>
      <c r="U125" s="224"/>
      <c r="V125" s="224"/>
      <c r="W125" s="224"/>
      <c r="X125" s="224"/>
      <c r="Y125" s="224"/>
    </row>
    <row r="126" spans="1:25" ht="14.25" customHeight="1" x14ac:dyDescent="0.3">
      <c r="A126" s="223"/>
      <c r="B126" s="223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5"/>
      <c r="Q126" s="225"/>
      <c r="R126" s="224"/>
      <c r="S126" s="224"/>
      <c r="T126" s="224"/>
      <c r="U126" s="224"/>
      <c r="V126" s="224"/>
      <c r="W126" s="224"/>
      <c r="X126" s="224"/>
      <c r="Y126" s="224"/>
    </row>
    <row r="127" spans="1:25" ht="14.25" customHeight="1" x14ac:dyDescent="0.3">
      <c r="A127" s="223"/>
      <c r="B127" s="223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5"/>
      <c r="Q127" s="225"/>
      <c r="R127" s="224"/>
      <c r="S127" s="224"/>
      <c r="T127" s="224"/>
      <c r="U127" s="224"/>
      <c r="V127" s="224"/>
      <c r="W127" s="224"/>
      <c r="X127" s="224"/>
      <c r="Y127" s="224"/>
    </row>
    <row r="128" spans="1:25" ht="14.25" customHeight="1" x14ac:dyDescent="0.3">
      <c r="A128" s="223"/>
      <c r="B128" s="223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5"/>
      <c r="Q128" s="225"/>
      <c r="R128" s="224"/>
      <c r="S128" s="224"/>
      <c r="T128" s="224"/>
      <c r="U128" s="224"/>
      <c r="V128" s="224"/>
      <c r="W128" s="224"/>
      <c r="X128" s="224"/>
      <c r="Y128" s="224"/>
    </row>
    <row r="129" spans="1:25" ht="14.25" customHeight="1" x14ac:dyDescent="0.3">
      <c r="A129" s="223"/>
      <c r="B129" s="223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5"/>
      <c r="Q129" s="225"/>
      <c r="R129" s="224"/>
      <c r="S129" s="224"/>
      <c r="T129" s="224"/>
      <c r="U129" s="224"/>
      <c r="V129" s="224"/>
      <c r="W129" s="224"/>
      <c r="X129" s="224"/>
      <c r="Y129" s="224"/>
    </row>
    <row r="130" spans="1:25" ht="14.25" customHeight="1" x14ac:dyDescent="0.3">
      <c r="A130" s="223"/>
      <c r="B130" s="223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5"/>
      <c r="Q130" s="225"/>
      <c r="R130" s="224"/>
      <c r="S130" s="224"/>
      <c r="T130" s="224"/>
      <c r="U130" s="224"/>
      <c r="V130" s="224"/>
      <c r="W130" s="224"/>
      <c r="X130" s="224"/>
      <c r="Y130" s="224"/>
    </row>
    <row r="131" spans="1:25" ht="14.25" customHeight="1" x14ac:dyDescent="0.3">
      <c r="A131" s="223"/>
      <c r="B131" s="223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5"/>
      <c r="Q131" s="225"/>
      <c r="R131" s="224"/>
      <c r="S131" s="224"/>
      <c r="T131" s="224"/>
      <c r="U131" s="224"/>
      <c r="V131" s="224"/>
      <c r="W131" s="224"/>
      <c r="X131" s="224"/>
      <c r="Y131" s="224"/>
    </row>
    <row r="132" spans="1:25" ht="14.25" customHeight="1" x14ac:dyDescent="0.3">
      <c r="A132" s="223"/>
      <c r="B132" s="223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5"/>
      <c r="Q132" s="225"/>
      <c r="R132" s="224"/>
      <c r="S132" s="224"/>
      <c r="T132" s="224"/>
      <c r="U132" s="224"/>
      <c r="V132" s="224"/>
      <c r="W132" s="224"/>
      <c r="X132" s="224"/>
      <c r="Y132" s="224"/>
    </row>
    <row r="133" spans="1:25" ht="14.25" customHeight="1" x14ac:dyDescent="0.3">
      <c r="A133" s="223"/>
      <c r="B133" s="223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5"/>
      <c r="Q133" s="225"/>
      <c r="R133" s="224"/>
      <c r="S133" s="224"/>
      <c r="T133" s="224"/>
      <c r="U133" s="224"/>
      <c r="V133" s="224"/>
      <c r="W133" s="224"/>
      <c r="X133" s="224"/>
      <c r="Y133" s="224"/>
    </row>
    <row r="134" spans="1:25" ht="14.25" customHeight="1" x14ac:dyDescent="0.3">
      <c r="A134" s="223"/>
      <c r="B134" s="223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5"/>
      <c r="Q134" s="225"/>
      <c r="R134" s="224"/>
      <c r="S134" s="224"/>
      <c r="T134" s="224"/>
      <c r="U134" s="224"/>
      <c r="V134" s="224"/>
      <c r="W134" s="224"/>
      <c r="X134" s="224"/>
      <c r="Y134" s="224"/>
    </row>
    <row r="135" spans="1:25" ht="14.25" customHeight="1" x14ac:dyDescent="0.3">
      <c r="A135" s="223"/>
      <c r="B135" s="223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5"/>
      <c r="Q135" s="225"/>
      <c r="R135" s="224"/>
      <c r="S135" s="224"/>
      <c r="T135" s="224"/>
      <c r="U135" s="224"/>
      <c r="V135" s="224"/>
      <c r="W135" s="224"/>
      <c r="X135" s="224"/>
      <c r="Y135" s="224"/>
    </row>
    <row r="136" spans="1:25" ht="14.25" customHeight="1" x14ac:dyDescent="0.3">
      <c r="A136" s="223"/>
      <c r="B136" s="223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5"/>
      <c r="Q136" s="225"/>
      <c r="R136" s="224"/>
      <c r="S136" s="224"/>
      <c r="T136" s="224"/>
      <c r="U136" s="224"/>
      <c r="V136" s="224"/>
      <c r="W136" s="224"/>
      <c r="X136" s="224"/>
      <c r="Y136" s="224"/>
    </row>
    <row r="137" spans="1:25" ht="14.25" customHeight="1" x14ac:dyDescent="0.3">
      <c r="A137" s="223"/>
      <c r="B137" s="223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5"/>
      <c r="Q137" s="225"/>
      <c r="R137" s="224"/>
      <c r="S137" s="224"/>
      <c r="T137" s="224"/>
      <c r="U137" s="224"/>
      <c r="V137" s="224"/>
      <c r="W137" s="224"/>
      <c r="X137" s="224"/>
      <c r="Y137" s="224"/>
    </row>
    <row r="138" spans="1:25" ht="14.25" customHeight="1" x14ac:dyDescent="0.3">
      <c r="A138" s="223"/>
      <c r="B138" s="223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5"/>
      <c r="Q138" s="225"/>
      <c r="R138" s="224"/>
      <c r="S138" s="224"/>
      <c r="T138" s="224"/>
      <c r="U138" s="224"/>
      <c r="V138" s="224"/>
      <c r="W138" s="224"/>
      <c r="X138" s="224"/>
      <c r="Y138" s="224"/>
    </row>
    <row r="139" spans="1:25" ht="14.25" customHeight="1" x14ac:dyDescent="0.3">
      <c r="A139" s="223"/>
      <c r="B139" s="223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5"/>
      <c r="Q139" s="225"/>
      <c r="R139" s="224"/>
      <c r="S139" s="224"/>
      <c r="T139" s="224"/>
      <c r="U139" s="224"/>
      <c r="V139" s="224"/>
      <c r="W139" s="224"/>
      <c r="X139" s="224"/>
      <c r="Y139" s="224"/>
    </row>
    <row r="140" spans="1:25" ht="14.25" customHeight="1" x14ac:dyDescent="0.3">
      <c r="A140" s="223"/>
      <c r="B140" s="223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5"/>
      <c r="Q140" s="225"/>
      <c r="R140" s="224"/>
      <c r="S140" s="224"/>
      <c r="T140" s="224"/>
      <c r="U140" s="224"/>
      <c r="V140" s="224"/>
      <c r="W140" s="224"/>
      <c r="X140" s="224"/>
      <c r="Y140" s="224"/>
    </row>
    <row r="141" spans="1:25" ht="14.25" customHeight="1" x14ac:dyDescent="0.3">
      <c r="A141" s="223"/>
      <c r="B141" s="223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5"/>
      <c r="Q141" s="225"/>
      <c r="R141" s="224"/>
      <c r="S141" s="224"/>
      <c r="T141" s="224"/>
      <c r="U141" s="224"/>
      <c r="V141" s="224"/>
      <c r="W141" s="224"/>
      <c r="X141" s="224"/>
      <c r="Y141" s="224"/>
    </row>
    <row r="142" spans="1:25" ht="14.25" customHeight="1" x14ac:dyDescent="0.3">
      <c r="A142" s="223"/>
      <c r="B142" s="223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5"/>
      <c r="Q142" s="225"/>
      <c r="R142" s="224"/>
      <c r="S142" s="224"/>
      <c r="T142" s="224"/>
      <c r="U142" s="224"/>
      <c r="V142" s="224"/>
      <c r="W142" s="224"/>
      <c r="X142" s="224"/>
      <c r="Y142" s="224"/>
    </row>
    <row r="143" spans="1:25" ht="14.25" customHeight="1" x14ac:dyDescent="0.3">
      <c r="A143" s="223"/>
      <c r="B143" s="223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5"/>
      <c r="Q143" s="225"/>
      <c r="R143" s="224"/>
      <c r="S143" s="224"/>
      <c r="T143" s="224"/>
      <c r="U143" s="224"/>
      <c r="V143" s="224"/>
      <c r="W143" s="224"/>
      <c r="X143" s="224"/>
      <c r="Y143" s="224"/>
    </row>
    <row r="144" spans="1:25" ht="14.25" customHeight="1" x14ac:dyDescent="0.3">
      <c r="A144" s="223"/>
      <c r="B144" s="223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5"/>
      <c r="Q144" s="225"/>
      <c r="R144" s="224"/>
      <c r="S144" s="224"/>
      <c r="T144" s="224"/>
      <c r="U144" s="224"/>
      <c r="V144" s="224"/>
      <c r="W144" s="224"/>
      <c r="X144" s="224"/>
      <c r="Y144" s="224"/>
    </row>
    <row r="145" spans="1:25" ht="14.25" customHeight="1" x14ac:dyDescent="0.3">
      <c r="A145" s="223"/>
      <c r="B145" s="223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5"/>
      <c r="Q145" s="225"/>
      <c r="R145" s="224"/>
      <c r="S145" s="224"/>
      <c r="T145" s="224"/>
      <c r="U145" s="224"/>
      <c r="V145" s="224"/>
      <c r="W145" s="224"/>
      <c r="X145" s="224"/>
      <c r="Y145" s="224"/>
    </row>
    <row r="146" spans="1:25" ht="14.25" customHeight="1" x14ac:dyDescent="0.3">
      <c r="A146" s="223"/>
      <c r="B146" s="223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5"/>
      <c r="Q146" s="225"/>
      <c r="R146" s="224"/>
      <c r="S146" s="224"/>
      <c r="T146" s="224"/>
      <c r="U146" s="224"/>
      <c r="V146" s="224"/>
      <c r="W146" s="224"/>
      <c r="X146" s="224"/>
      <c r="Y146" s="224"/>
    </row>
    <row r="147" spans="1:25" ht="14.25" customHeight="1" x14ac:dyDescent="0.3">
      <c r="A147" s="223"/>
      <c r="B147" s="223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5"/>
      <c r="Q147" s="225"/>
      <c r="R147" s="224"/>
      <c r="S147" s="224"/>
      <c r="T147" s="224"/>
      <c r="U147" s="224"/>
      <c r="V147" s="224"/>
      <c r="W147" s="224"/>
      <c r="X147" s="224"/>
      <c r="Y147" s="224"/>
    </row>
    <row r="148" spans="1:25" ht="14.25" customHeight="1" x14ac:dyDescent="0.3">
      <c r="A148" s="223"/>
      <c r="B148" s="223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5"/>
      <c r="Q148" s="225"/>
      <c r="R148" s="224"/>
      <c r="S148" s="224"/>
      <c r="T148" s="224"/>
      <c r="U148" s="224"/>
      <c r="V148" s="224"/>
      <c r="W148" s="224"/>
      <c r="X148" s="224"/>
      <c r="Y148" s="224"/>
    </row>
    <row r="149" spans="1:25" ht="14.25" customHeight="1" x14ac:dyDescent="0.3">
      <c r="A149" s="223"/>
      <c r="B149" s="223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5"/>
      <c r="Q149" s="225"/>
      <c r="R149" s="224"/>
      <c r="S149" s="224"/>
      <c r="T149" s="224"/>
      <c r="U149" s="224"/>
      <c r="V149" s="224"/>
      <c r="W149" s="224"/>
      <c r="X149" s="224"/>
      <c r="Y149" s="224"/>
    </row>
    <row r="150" spans="1:25" ht="14.25" customHeight="1" x14ac:dyDescent="0.3">
      <c r="A150" s="223"/>
      <c r="B150" s="223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5"/>
      <c r="Q150" s="225"/>
      <c r="R150" s="224"/>
      <c r="S150" s="224"/>
      <c r="T150" s="224"/>
      <c r="U150" s="224"/>
      <c r="V150" s="224"/>
      <c r="W150" s="224"/>
      <c r="X150" s="224"/>
      <c r="Y150" s="224"/>
    </row>
    <row r="151" spans="1:25" ht="14.25" customHeight="1" x14ac:dyDescent="0.3">
      <c r="A151" s="223"/>
      <c r="B151" s="223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5"/>
      <c r="Q151" s="225"/>
      <c r="R151" s="224"/>
      <c r="S151" s="224"/>
      <c r="T151" s="224"/>
      <c r="U151" s="224"/>
      <c r="V151" s="224"/>
      <c r="W151" s="224"/>
      <c r="X151" s="224"/>
      <c r="Y151" s="224"/>
    </row>
    <row r="152" spans="1:25" ht="14.25" customHeight="1" x14ac:dyDescent="0.3">
      <c r="A152" s="223"/>
      <c r="B152" s="223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5"/>
      <c r="Q152" s="225"/>
      <c r="R152" s="224"/>
      <c r="S152" s="224"/>
      <c r="T152" s="224"/>
      <c r="U152" s="224"/>
      <c r="V152" s="224"/>
      <c r="W152" s="224"/>
      <c r="X152" s="224"/>
      <c r="Y152" s="224"/>
    </row>
    <row r="153" spans="1:25" ht="14.25" customHeight="1" x14ac:dyDescent="0.3">
      <c r="A153" s="223"/>
      <c r="B153" s="223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5"/>
      <c r="Q153" s="225"/>
      <c r="R153" s="224"/>
      <c r="S153" s="224"/>
      <c r="T153" s="224"/>
      <c r="U153" s="224"/>
      <c r="V153" s="224"/>
      <c r="W153" s="224"/>
      <c r="X153" s="224"/>
      <c r="Y153" s="224"/>
    </row>
    <row r="154" spans="1:25" ht="14.25" customHeight="1" x14ac:dyDescent="0.3">
      <c r="A154" s="223"/>
      <c r="B154" s="223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5"/>
      <c r="Q154" s="225"/>
      <c r="R154" s="224"/>
      <c r="S154" s="224"/>
      <c r="T154" s="224"/>
      <c r="U154" s="224"/>
      <c r="V154" s="224"/>
      <c r="W154" s="224"/>
      <c r="X154" s="224"/>
      <c r="Y154" s="224"/>
    </row>
    <row r="155" spans="1:25" ht="14.25" customHeight="1" x14ac:dyDescent="0.3">
      <c r="A155" s="223"/>
      <c r="B155" s="223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5"/>
      <c r="Q155" s="225"/>
      <c r="R155" s="224"/>
      <c r="S155" s="224"/>
      <c r="T155" s="224"/>
      <c r="U155" s="224"/>
      <c r="V155" s="224"/>
      <c r="W155" s="224"/>
      <c r="X155" s="224"/>
      <c r="Y155" s="224"/>
    </row>
    <row r="156" spans="1:25" ht="14.25" customHeight="1" x14ac:dyDescent="0.3">
      <c r="A156" s="223"/>
      <c r="B156" s="223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5"/>
      <c r="Q156" s="225"/>
      <c r="R156" s="224"/>
      <c r="S156" s="224"/>
      <c r="T156" s="224"/>
      <c r="U156" s="224"/>
      <c r="V156" s="224"/>
      <c r="W156" s="224"/>
      <c r="X156" s="224"/>
      <c r="Y156" s="224"/>
    </row>
    <row r="157" spans="1:25" ht="14.25" customHeight="1" x14ac:dyDescent="0.3">
      <c r="A157" s="223"/>
      <c r="B157" s="223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5"/>
      <c r="Q157" s="225"/>
      <c r="R157" s="224"/>
      <c r="S157" s="224"/>
      <c r="T157" s="224"/>
      <c r="U157" s="224"/>
      <c r="V157" s="224"/>
      <c r="W157" s="224"/>
      <c r="X157" s="224"/>
      <c r="Y157" s="224"/>
    </row>
    <row r="158" spans="1:25" ht="14.25" customHeight="1" x14ac:dyDescent="0.3">
      <c r="A158" s="223"/>
      <c r="B158" s="223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5"/>
      <c r="Q158" s="225"/>
      <c r="R158" s="224"/>
      <c r="S158" s="224"/>
      <c r="T158" s="224"/>
      <c r="U158" s="224"/>
      <c r="V158" s="224"/>
      <c r="W158" s="224"/>
      <c r="X158" s="224"/>
      <c r="Y158" s="224"/>
    </row>
    <row r="159" spans="1:25" ht="14.25" customHeight="1" x14ac:dyDescent="0.3">
      <c r="A159" s="223"/>
      <c r="B159" s="223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5"/>
      <c r="Q159" s="225"/>
      <c r="R159" s="224"/>
      <c r="S159" s="224"/>
      <c r="T159" s="224"/>
      <c r="U159" s="224"/>
      <c r="V159" s="224"/>
      <c r="W159" s="224"/>
      <c r="X159" s="224"/>
      <c r="Y159" s="224"/>
    </row>
    <row r="160" spans="1:25" ht="14.25" customHeight="1" x14ac:dyDescent="0.3">
      <c r="A160" s="223"/>
      <c r="B160" s="223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5"/>
      <c r="Q160" s="225"/>
      <c r="R160" s="224"/>
      <c r="S160" s="224"/>
      <c r="T160" s="224"/>
      <c r="U160" s="224"/>
      <c r="V160" s="224"/>
      <c r="W160" s="224"/>
      <c r="X160" s="224"/>
      <c r="Y160" s="224"/>
    </row>
    <row r="161" spans="1:25" ht="14.25" customHeight="1" x14ac:dyDescent="0.3">
      <c r="A161" s="223"/>
      <c r="B161" s="223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5"/>
      <c r="Q161" s="225"/>
      <c r="R161" s="224"/>
      <c r="S161" s="224"/>
      <c r="T161" s="224"/>
      <c r="U161" s="224"/>
      <c r="V161" s="224"/>
      <c r="W161" s="224"/>
      <c r="X161" s="224"/>
      <c r="Y161" s="224"/>
    </row>
    <row r="162" spans="1:25" ht="14.25" customHeight="1" x14ac:dyDescent="0.3">
      <c r="A162" s="223"/>
      <c r="B162" s="223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5"/>
      <c r="Q162" s="225"/>
      <c r="R162" s="224"/>
      <c r="S162" s="224"/>
      <c r="T162" s="224"/>
      <c r="U162" s="224"/>
      <c r="V162" s="224"/>
      <c r="W162" s="224"/>
      <c r="X162" s="224"/>
      <c r="Y162" s="224"/>
    </row>
    <row r="163" spans="1:25" ht="14.25" customHeight="1" x14ac:dyDescent="0.3">
      <c r="A163" s="223"/>
      <c r="B163" s="223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5"/>
      <c r="Q163" s="225"/>
      <c r="R163" s="224"/>
      <c r="S163" s="224"/>
      <c r="T163" s="224"/>
      <c r="U163" s="224"/>
      <c r="V163" s="224"/>
      <c r="W163" s="224"/>
      <c r="X163" s="224"/>
      <c r="Y163" s="224"/>
    </row>
    <row r="164" spans="1:25" ht="14.25" customHeight="1" x14ac:dyDescent="0.3">
      <c r="A164" s="223"/>
      <c r="B164" s="223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5"/>
      <c r="Q164" s="225"/>
      <c r="R164" s="224"/>
      <c r="S164" s="224"/>
      <c r="T164" s="224"/>
      <c r="U164" s="224"/>
      <c r="V164" s="224"/>
      <c r="W164" s="224"/>
      <c r="X164" s="224"/>
      <c r="Y164" s="224"/>
    </row>
    <row r="165" spans="1:25" ht="14.25" customHeight="1" x14ac:dyDescent="0.3">
      <c r="A165" s="223"/>
      <c r="B165" s="223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5"/>
      <c r="Q165" s="225"/>
      <c r="R165" s="224"/>
      <c r="S165" s="224"/>
      <c r="T165" s="224"/>
      <c r="U165" s="224"/>
      <c r="V165" s="224"/>
      <c r="W165" s="224"/>
      <c r="X165" s="224"/>
      <c r="Y165" s="224"/>
    </row>
    <row r="166" spans="1:25" ht="14.25" customHeight="1" x14ac:dyDescent="0.3">
      <c r="A166" s="223"/>
      <c r="B166" s="223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5"/>
      <c r="Q166" s="225"/>
      <c r="R166" s="224"/>
      <c r="S166" s="224"/>
      <c r="T166" s="224"/>
      <c r="U166" s="224"/>
      <c r="V166" s="224"/>
      <c r="W166" s="224"/>
      <c r="X166" s="224"/>
      <c r="Y166" s="224"/>
    </row>
    <row r="167" spans="1:25" ht="14.25" customHeight="1" x14ac:dyDescent="0.3">
      <c r="A167" s="223"/>
      <c r="B167" s="223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5"/>
      <c r="Q167" s="225"/>
      <c r="R167" s="224"/>
      <c r="S167" s="224"/>
      <c r="T167" s="224"/>
      <c r="U167" s="224"/>
      <c r="V167" s="224"/>
      <c r="W167" s="224"/>
      <c r="X167" s="224"/>
      <c r="Y167" s="224"/>
    </row>
    <row r="168" spans="1:25" ht="14.25" customHeight="1" x14ac:dyDescent="0.3">
      <c r="A168" s="223"/>
      <c r="B168" s="223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5"/>
      <c r="Q168" s="225"/>
      <c r="R168" s="224"/>
      <c r="S168" s="224"/>
      <c r="T168" s="224"/>
      <c r="U168" s="224"/>
      <c r="V168" s="224"/>
      <c r="W168" s="224"/>
      <c r="X168" s="224"/>
      <c r="Y168" s="224"/>
    </row>
    <row r="169" spans="1:25" ht="14.25" customHeight="1" x14ac:dyDescent="0.3">
      <c r="A169" s="223"/>
      <c r="B169" s="223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5"/>
      <c r="Q169" s="225"/>
      <c r="R169" s="224"/>
      <c r="S169" s="224"/>
      <c r="T169" s="224"/>
      <c r="U169" s="224"/>
      <c r="V169" s="224"/>
      <c r="W169" s="224"/>
      <c r="X169" s="224"/>
      <c r="Y169" s="224"/>
    </row>
    <row r="170" spans="1:25" ht="14.25" customHeight="1" x14ac:dyDescent="0.3">
      <c r="A170" s="223"/>
      <c r="B170" s="223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5"/>
      <c r="Q170" s="225"/>
      <c r="R170" s="224"/>
      <c r="S170" s="224"/>
      <c r="T170" s="224"/>
      <c r="U170" s="224"/>
      <c r="V170" s="224"/>
      <c r="W170" s="224"/>
      <c r="X170" s="224"/>
      <c r="Y170" s="224"/>
    </row>
    <row r="171" spans="1:25" ht="14.25" customHeight="1" x14ac:dyDescent="0.3">
      <c r="A171" s="223"/>
      <c r="B171" s="223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5"/>
      <c r="Q171" s="225"/>
      <c r="R171" s="224"/>
      <c r="S171" s="224"/>
      <c r="T171" s="224"/>
      <c r="U171" s="224"/>
      <c r="V171" s="224"/>
      <c r="W171" s="224"/>
      <c r="X171" s="224"/>
      <c r="Y171" s="224"/>
    </row>
    <row r="172" spans="1:25" ht="14.25" customHeight="1" x14ac:dyDescent="0.3">
      <c r="A172" s="223"/>
      <c r="B172" s="223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5"/>
      <c r="Q172" s="225"/>
      <c r="R172" s="224"/>
      <c r="S172" s="224"/>
      <c r="T172" s="224"/>
      <c r="U172" s="224"/>
      <c r="V172" s="224"/>
      <c r="W172" s="224"/>
      <c r="X172" s="224"/>
      <c r="Y172" s="224"/>
    </row>
    <row r="173" spans="1:25" ht="14.25" customHeight="1" x14ac:dyDescent="0.3">
      <c r="A173" s="223"/>
      <c r="B173" s="223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5"/>
      <c r="Q173" s="225"/>
      <c r="R173" s="224"/>
      <c r="S173" s="224"/>
      <c r="T173" s="224"/>
      <c r="U173" s="224"/>
      <c r="V173" s="224"/>
      <c r="W173" s="224"/>
      <c r="X173" s="224"/>
      <c r="Y173" s="224"/>
    </row>
    <row r="174" spans="1:25" ht="14.25" customHeight="1" x14ac:dyDescent="0.3">
      <c r="A174" s="223"/>
      <c r="B174" s="223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5"/>
      <c r="Q174" s="225"/>
      <c r="R174" s="224"/>
      <c r="S174" s="224"/>
      <c r="T174" s="224"/>
      <c r="U174" s="224"/>
      <c r="V174" s="224"/>
      <c r="W174" s="224"/>
      <c r="X174" s="224"/>
      <c r="Y174" s="224"/>
    </row>
    <row r="175" spans="1:25" ht="14.25" customHeight="1" x14ac:dyDescent="0.3">
      <c r="A175" s="223"/>
      <c r="B175" s="223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5"/>
      <c r="Q175" s="225"/>
      <c r="R175" s="224"/>
      <c r="S175" s="224"/>
      <c r="T175" s="224"/>
      <c r="U175" s="224"/>
      <c r="V175" s="224"/>
      <c r="W175" s="224"/>
      <c r="X175" s="224"/>
      <c r="Y175" s="224"/>
    </row>
    <row r="176" spans="1:25" ht="14.25" customHeight="1" x14ac:dyDescent="0.3">
      <c r="A176" s="223"/>
      <c r="B176" s="223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5"/>
      <c r="Q176" s="225"/>
      <c r="R176" s="224"/>
      <c r="S176" s="224"/>
      <c r="T176" s="224"/>
      <c r="U176" s="224"/>
      <c r="V176" s="224"/>
      <c r="W176" s="224"/>
      <c r="X176" s="224"/>
      <c r="Y176" s="224"/>
    </row>
    <row r="177" spans="1:25" ht="14.25" customHeight="1" x14ac:dyDescent="0.3">
      <c r="A177" s="223"/>
      <c r="B177" s="223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5"/>
      <c r="Q177" s="225"/>
      <c r="R177" s="224"/>
      <c r="S177" s="224"/>
      <c r="T177" s="224"/>
      <c r="U177" s="224"/>
      <c r="V177" s="224"/>
      <c r="W177" s="224"/>
      <c r="X177" s="224"/>
      <c r="Y177" s="224"/>
    </row>
    <row r="178" spans="1:25" ht="14.25" customHeight="1" x14ac:dyDescent="0.3">
      <c r="A178" s="223"/>
      <c r="B178" s="223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5"/>
      <c r="Q178" s="225"/>
      <c r="R178" s="224"/>
      <c r="S178" s="224"/>
      <c r="T178" s="224"/>
      <c r="U178" s="224"/>
      <c r="V178" s="224"/>
      <c r="W178" s="224"/>
      <c r="X178" s="224"/>
      <c r="Y178" s="224"/>
    </row>
    <row r="179" spans="1:25" ht="14.25" customHeight="1" x14ac:dyDescent="0.3">
      <c r="A179" s="223"/>
      <c r="B179" s="223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5"/>
      <c r="Q179" s="225"/>
      <c r="R179" s="224"/>
      <c r="S179" s="224"/>
      <c r="T179" s="224"/>
      <c r="U179" s="224"/>
      <c r="V179" s="224"/>
      <c r="W179" s="224"/>
      <c r="X179" s="224"/>
      <c r="Y179" s="224"/>
    </row>
    <row r="180" spans="1:25" ht="14.25" customHeight="1" x14ac:dyDescent="0.3">
      <c r="A180" s="223"/>
      <c r="B180" s="223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5"/>
      <c r="Q180" s="225"/>
      <c r="R180" s="224"/>
      <c r="S180" s="224"/>
      <c r="T180" s="224"/>
      <c r="U180" s="224"/>
      <c r="V180" s="224"/>
      <c r="W180" s="224"/>
      <c r="X180" s="224"/>
      <c r="Y180" s="224"/>
    </row>
    <row r="181" spans="1:25" ht="14.25" customHeight="1" x14ac:dyDescent="0.3">
      <c r="A181" s="223"/>
      <c r="B181" s="223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5"/>
      <c r="Q181" s="225"/>
      <c r="R181" s="224"/>
      <c r="S181" s="224"/>
      <c r="T181" s="224"/>
      <c r="U181" s="224"/>
      <c r="V181" s="224"/>
      <c r="W181" s="224"/>
      <c r="X181" s="224"/>
      <c r="Y181" s="224"/>
    </row>
    <row r="182" spans="1:25" ht="14.25" customHeight="1" x14ac:dyDescent="0.3">
      <c r="A182" s="223"/>
      <c r="B182" s="223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5"/>
      <c r="Q182" s="225"/>
      <c r="R182" s="224"/>
      <c r="S182" s="224"/>
      <c r="T182" s="224"/>
      <c r="U182" s="224"/>
      <c r="V182" s="224"/>
      <c r="W182" s="224"/>
      <c r="X182" s="224"/>
      <c r="Y182" s="224"/>
    </row>
    <row r="183" spans="1:25" ht="14.25" customHeight="1" x14ac:dyDescent="0.3">
      <c r="A183" s="223"/>
      <c r="B183" s="223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5"/>
      <c r="Q183" s="225"/>
      <c r="R183" s="224"/>
      <c r="S183" s="224"/>
      <c r="T183" s="224"/>
      <c r="U183" s="224"/>
      <c r="V183" s="224"/>
      <c r="W183" s="224"/>
      <c r="X183" s="224"/>
      <c r="Y183" s="224"/>
    </row>
    <row r="184" spans="1:25" ht="14.25" customHeight="1" x14ac:dyDescent="0.3">
      <c r="A184" s="223"/>
      <c r="B184" s="223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5"/>
      <c r="Q184" s="225"/>
      <c r="R184" s="224"/>
      <c r="S184" s="224"/>
      <c r="T184" s="224"/>
      <c r="U184" s="224"/>
      <c r="V184" s="224"/>
      <c r="W184" s="224"/>
      <c r="X184" s="224"/>
      <c r="Y184" s="224"/>
    </row>
    <row r="185" spans="1:25" ht="14.25" customHeight="1" x14ac:dyDescent="0.3">
      <c r="A185" s="223"/>
      <c r="B185" s="223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5"/>
      <c r="Q185" s="225"/>
      <c r="R185" s="224"/>
      <c r="S185" s="224"/>
      <c r="T185" s="224"/>
      <c r="U185" s="224"/>
      <c r="V185" s="224"/>
      <c r="W185" s="224"/>
      <c r="X185" s="224"/>
      <c r="Y185" s="224"/>
    </row>
    <row r="186" spans="1:25" ht="14.25" customHeight="1" x14ac:dyDescent="0.3">
      <c r="A186" s="223"/>
      <c r="B186" s="223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5"/>
      <c r="Q186" s="225"/>
      <c r="R186" s="224"/>
      <c r="S186" s="224"/>
      <c r="T186" s="224"/>
      <c r="U186" s="224"/>
      <c r="V186" s="224"/>
      <c r="W186" s="224"/>
      <c r="X186" s="224"/>
      <c r="Y186" s="224"/>
    </row>
    <row r="187" spans="1:25" ht="14.25" customHeight="1" x14ac:dyDescent="0.3">
      <c r="A187" s="223"/>
      <c r="B187" s="223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5"/>
      <c r="Q187" s="225"/>
      <c r="R187" s="224"/>
      <c r="S187" s="224"/>
      <c r="T187" s="224"/>
      <c r="U187" s="224"/>
      <c r="V187" s="224"/>
      <c r="W187" s="224"/>
      <c r="X187" s="224"/>
      <c r="Y187" s="224"/>
    </row>
    <row r="188" spans="1:25" ht="14.25" customHeight="1" x14ac:dyDescent="0.3">
      <c r="A188" s="223"/>
      <c r="B188" s="223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5"/>
      <c r="Q188" s="225"/>
      <c r="R188" s="224"/>
      <c r="S188" s="224"/>
      <c r="T188" s="224"/>
      <c r="U188" s="224"/>
      <c r="V188" s="224"/>
      <c r="W188" s="224"/>
      <c r="X188" s="224"/>
      <c r="Y188" s="224"/>
    </row>
    <row r="189" spans="1:25" ht="14.25" customHeight="1" x14ac:dyDescent="0.3">
      <c r="A189" s="223"/>
      <c r="B189" s="223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5"/>
      <c r="Q189" s="225"/>
      <c r="R189" s="224"/>
      <c r="S189" s="224"/>
      <c r="T189" s="224"/>
      <c r="U189" s="224"/>
      <c r="V189" s="224"/>
      <c r="W189" s="224"/>
      <c r="X189" s="224"/>
      <c r="Y189" s="224"/>
    </row>
    <row r="190" spans="1:25" ht="14.25" customHeight="1" x14ac:dyDescent="0.3">
      <c r="A190" s="223"/>
      <c r="B190" s="223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5"/>
      <c r="Q190" s="225"/>
      <c r="R190" s="224"/>
      <c r="S190" s="224"/>
      <c r="T190" s="224"/>
      <c r="U190" s="224"/>
      <c r="V190" s="224"/>
      <c r="W190" s="224"/>
      <c r="X190" s="224"/>
      <c r="Y190" s="224"/>
    </row>
    <row r="191" spans="1:25" ht="14.25" customHeight="1" x14ac:dyDescent="0.3">
      <c r="A191" s="223"/>
      <c r="B191" s="223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5"/>
      <c r="Q191" s="225"/>
      <c r="R191" s="224"/>
      <c r="S191" s="224"/>
      <c r="T191" s="224"/>
      <c r="U191" s="224"/>
      <c r="V191" s="224"/>
      <c r="W191" s="224"/>
      <c r="X191" s="224"/>
      <c r="Y191" s="224"/>
    </row>
    <row r="192" spans="1:25" ht="14.25" customHeight="1" x14ac:dyDescent="0.3">
      <c r="A192" s="223"/>
      <c r="B192" s="223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5"/>
      <c r="Q192" s="225"/>
      <c r="R192" s="224"/>
      <c r="S192" s="224"/>
      <c r="T192" s="224"/>
      <c r="U192" s="224"/>
      <c r="V192" s="224"/>
      <c r="W192" s="224"/>
      <c r="X192" s="224"/>
      <c r="Y192" s="224"/>
    </row>
    <row r="193" spans="1:25" ht="14.25" customHeight="1" x14ac:dyDescent="0.3">
      <c r="A193" s="223"/>
      <c r="B193" s="223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5"/>
      <c r="Q193" s="225"/>
      <c r="R193" s="224"/>
      <c r="S193" s="224"/>
      <c r="T193" s="224"/>
      <c r="U193" s="224"/>
      <c r="V193" s="224"/>
      <c r="W193" s="224"/>
      <c r="X193" s="224"/>
      <c r="Y193" s="224"/>
    </row>
    <row r="194" spans="1:25" ht="14.25" customHeight="1" x14ac:dyDescent="0.3">
      <c r="A194" s="223"/>
      <c r="B194" s="223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5"/>
      <c r="Q194" s="225"/>
      <c r="R194" s="224"/>
      <c r="S194" s="224"/>
      <c r="T194" s="224"/>
      <c r="U194" s="224"/>
      <c r="V194" s="224"/>
      <c r="W194" s="224"/>
      <c r="X194" s="224"/>
      <c r="Y194" s="224"/>
    </row>
    <row r="195" spans="1:25" ht="14.25" customHeight="1" x14ac:dyDescent="0.3">
      <c r="A195" s="223"/>
      <c r="B195" s="223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5"/>
      <c r="Q195" s="225"/>
      <c r="R195" s="224"/>
      <c r="S195" s="224"/>
      <c r="T195" s="224"/>
      <c r="U195" s="224"/>
      <c r="V195" s="224"/>
      <c r="W195" s="224"/>
      <c r="X195" s="224"/>
      <c r="Y195" s="224"/>
    </row>
    <row r="196" spans="1:25" ht="14.25" customHeight="1" x14ac:dyDescent="0.3">
      <c r="A196" s="223"/>
      <c r="B196" s="223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5"/>
      <c r="Q196" s="225"/>
      <c r="R196" s="224"/>
      <c r="S196" s="224"/>
      <c r="T196" s="224"/>
      <c r="U196" s="224"/>
      <c r="V196" s="224"/>
      <c r="W196" s="224"/>
      <c r="X196" s="224"/>
      <c r="Y196" s="224"/>
    </row>
    <row r="197" spans="1:25" ht="14.25" customHeight="1" x14ac:dyDescent="0.3">
      <c r="A197" s="223"/>
      <c r="B197" s="223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5"/>
      <c r="Q197" s="225"/>
      <c r="R197" s="224"/>
      <c r="S197" s="224"/>
      <c r="T197" s="224"/>
      <c r="U197" s="224"/>
      <c r="V197" s="224"/>
      <c r="W197" s="224"/>
      <c r="X197" s="224"/>
      <c r="Y197" s="224"/>
    </row>
    <row r="198" spans="1:25" ht="14.25" customHeight="1" x14ac:dyDescent="0.3">
      <c r="P198" s="225"/>
      <c r="Q198" s="225"/>
    </row>
    <row r="199" spans="1:25" ht="14.25" customHeight="1" x14ac:dyDescent="0.3">
      <c r="P199" s="225"/>
      <c r="Q199" s="225"/>
    </row>
    <row r="200" spans="1:25" ht="14.25" customHeight="1" x14ac:dyDescent="0.3">
      <c r="P200" s="225"/>
      <c r="Q200" s="225"/>
    </row>
    <row r="201" spans="1:25" ht="14.25" customHeight="1" x14ac:dyDescent="0.3">
      <c r="P201" s="225"/>
      <c r="Q201" s="225"/>
    </row>
    <row r="202" spans="1:25" ht="14.25" customHeight="1" x14ac:dyDescent="0.3">
      <c r="P202" s="225"/>
      <c r="Q202" s="225"/>
    </row>
    <row r="203" spans="1:25" ht="14.25" customHeight="1" x14ac:dyDescent="0.3">
      <c r="P203" s="225"/>
      <c r="Q203" s="225"/>
    </row>
    <row r="204" spans="1:25" ht="14.25" customHeight="1" x14ac:dyDescent="0.3">
      <c r="P204" s="225"/>
      <c r="Q204" s="225"/>
    </row>
    <row r="205" spans="1:25" ht="14.25" customHeight="1" x14ac:dyDescent="0.3">
      <c r="P205" s="225"/>
      <c r="Q205" s="225"/>
    </row>
    <row r="206" spans="1:25" ht="14.25" customHeight="1" x14ac:dyDescent="0.3">
      <c r="P206" s="225"/>
      <c r="Q206" s="225"/>
    </row>
    <row r="207" spans="1:25" ht="14.25" customHeight="1" x14ac:dyDescent="0.3">
      <c r="P207" s="225"/>
      <c r="Q207" s="225"/>
    </row>
    <row r="208" spans="1:25" ht="14.25" customHeight="1" x14ac:dyDescent="0.3">
      <c r="P208" s="225"/>
      <c r="Q208" s="225"/>
    </row>
    <row r="209" spans="16:17" ht="14.25" customHeight="1" x14ac:dyDescent="0.3">
      <c r="P209" s="225"/>
      <c r="Q209" s="225"/>
    </row>
    <row r="210" spans="16:17" ht="14.25" customHeight="1" x14ac:dyDescent="0.3">
      <c r="P210" s="225"/>
      <c r="Q210" s="225"/>
    </row>
    <row r="211" spans="16:17" ht="14.25" customHeight="1" x14ac:dyDescent="0.3">
      <c r="P211" s="225"/>
      <c r="Q211" s="225"/>
    </row>
    <row r="212" spans="16:17" ht="14.25" customHeight="1" x14ac:dyDescent="0.3">
      <c r="P212" s="225"/>
      <c r="Q212" s="225"/>
    </row>
    <row r="213" spans="16:17" ht="14.25" customHeight="1" x14ac:dyDescent="0.3">
      <c r="P213" s="225"/>
      <c r="Q213" s="225"/>
    </row>
    <row r="214" spans="16:17" ht="14.25" customHeight="1" x14ac:dyDescent="0.3">
      <c r="P214" s="225"/>
      <c r="Q214" s="225"/>
    </row>
    <row r="215" spans="16:17" ht="14.25" customHeight="1" x14ac:dyDescent="0.3">
      <c r="P215" s="225"/>
      <c r="Q215" s="225"/>
    </row>
    <row r="216" spans="16:17" ht="14.25" customHeight="1" x14ac:dyDescent="0.3">
      <c r="P216" s="225"/>
      <c r="Q216" s="225"/>
    </row>
    <row r="217" spans="16:17" ht="14.25" customHeight="1" x14ac:dyDescent="0.3">
      <c r="P217" s="225"/>
      <c r="Q217" s="225"/>
    </row>
    <row r="218" spans="16:17" ht="14.25" customHeight="1" x14ac:dyDescent="0.3">
      <c r="P218" s="225"/>
      <c r="Q218" s="225"/>
    </row>
    <row r="219" spans="16:17" ht="14.25" customHeight="1" x14ac:dyDescent="0.3">
      <c r="P219" s="225"/>
      <c r="Q219" s="225"/>
    </row>
    <row r="220" spans="16:17" ht="14.25" customHeight="1" x14ac:dyDescent="0.3">
      <c r="P220" s="225"/>
      <c r="Q220" s="225"/>
    </row>
    <row r="221" spans="16:17" ht="14.25" customHeight="1" x14ac:dyDescent="0.3">
      <c r="P221" s="225"/>
      <c r="Q221" s="225"/>
    </row>
    <row r="222" spans="16:17" ht="14.25" customHeight="1" x14ac:dyDescent="0.3">
      <c r="P222" s="225"/>
      <c r="Q222" s="225"/>
    </row>
    <row r="223" spans="16:17" ht="14.25" customHeight="1" x14ac:dyDescent="0.3">
      <c r="P223" s="225"/>
      <c r="Q223" s="225"/>
    </row>
    <row r="224" spans="16:17" ht="14.25" customHeight="1" x14ac:dyDescent="0.3">
      <c r="P224" s="225"/>
      <c r="Q224" s="225"/>
    </row>
    <row r="225" spans="16:17" ht="14.25" customHeight="1" x14ac:dyDescent="0.3">
      <c r="P225" s="225"/>
      <c r="Q225" s="225"/>
    </row>
    <row r="226" spans="16:17" ht="14.25" customHeight="1" x14ac:dyDescent="0.3">
      <c r="P226" s="225"/>
      <c r="Q226" s="225"/>
    </row>
    <row r="227" spans="16:17" ht="14.25" customHeight="1" x14ac:dyDescent="0.3">
      <c r="P227" s="225"/>
      <c r="Q227" s="225"/>
    </row>
    <row r="228" spans="16:17" ht="14.25" customHeight="1" x14ac:dyDescent="0.3">
      <c r="P228" s="225"/>
      <c r="Q228" s="225"/>
    </row>
    <row r="229" spans="16:17" ht="14.25" customHeight="1" x14ac:dyDescent="0.3">
      <c r="P229" s="225"/>
      <c r="Q229" s="225"/>
    </row>
    <row r="230" spans="16:17" ht="14.25" customHeight="1" x14ac:dyDescent="0.3">
      <c r="P230" s="225"/>
      <c r="Q230" s="225"/>
    </row>
    <row r="231" spans="16:17" ht="14.25" customHeight="1" x14ac:dyDescent="0.3">
      <c r="P231" s="225"/>
      <c r="Q231" s="225"/>
    </row>
    <row r="232" spans="16:17" ht="14.25" customHeight="1" x14ac:dyDescent="0.3">
      <c r="P232" s="225"/>
      <c r="Q232" s="225"/>
    </row>
    <row r="233" spans="16:17" ht="14.25" customHeight="1" x14ac:dyDescent="0.3">
      <c r="P233" s="225"/>
      <c r="Q233" s="225"/>
    </row>
    <row r="234" spans="16:17" ht="14.25" customHeight="1" x14ac:dyDescent="0.3">
      <c r="P234" s="225"/>
      <c r="Q234" s="225"/>
    </row>
    <row r="235" spans="16:17" ht="14.25" customHeight="1" x14ac:dyDescent="0.3">
      <c r="P235" s="225"/>
      <c r="Q235" s="225"/>
    </row>
    <row r="236" spans="16:17" ht="14.25" customHeight="1" x14ac:dyDescent="0.3">
      <c r="P236" s="225"/>
      <c r="Q236" s="225"/>
    </row>
    <row r="237" spans="16:17" ht="14.25" customHeight="1" x14ac:dyDescent="0.3">
      <c r="P237" s="225"/>
      <c r="Q237" s="225"/>
    </row>
    <row r="238" spans="16:17" ht="14.25" customHeight="1" x14ac:dyDescent="0.3">
      <c r="P238" s="225"/>
      <c r="Q238" s="225"/>
    </row>
    <row r="239" spans="16:17" ht="14.25" customHeight="1" x14ac:dyDescent="0.3">
      <c r="P239" s="225"/>
      <c r="Q239" s="225"/>
    </row>
    <row r="240" spans="16:17" ht="14.25" customHeight="1" x14ac:dyDescent="0.3">
      <c r="P240" s="225"/>
      <c r="Q240" s="225"/>
    </row>
    <row r="241" spans="16:17" ht="14.25" customHeight="1" x14ac:dyDescent="0.3">
      <c r="P241" s="225"/>
      <c r="Q241" s="225"/>
    </row>
    <row r="242" spans="16:17" ht="14.25" customHeight="1" x14ac:dyDescent="0.3">
      <c r="P242" s="225"/>
      <c r="Q242" s="225"/>
    </row>
    <row r="243" spans="16:17" ht="14.25" customHeight="1" x14ac:dyDescent="0.3">
      <c r="P243" s="225"/>
      <c r="Q243" s="225"/>
    </row>
    <row r="244" spans="16:17" ht="14.25" customHeight="1" x14ac:dyDescent="0.3">
      <c r="P244" s="225"/>
      <c r="Q244" s="225"/>
    </row>
    <row r="245" spans="16:17" ht="14.25" customHeight="1" x14ac:dyDescent="0.3">
      <c r="P245" s="225"/>
      <c r="Q245" s="225"/>
    </row>
    <row r="246" spans="16:17" ht="14.25" customHeight="1" x14ac:dyDescent="0.3">
      <c r="P246" s="225"/>
      <c r="Q246" s="225"/>
    </row>
    <row r="247" spans="16:17" ht="14.25" customHeight="1" x14ac:dyDescent="0.3">
      <c r="P247" s="225"/>
      <c r="Q247" s="225"/>
    </row>
    <row r="248" spans="16:17" ht="14.25" customHeight="1" x14ac:dyDescent="0.3">
      <c r="P248" s="225"/>
      <c r="Q248" s="225"/>
    </row>
    <row r="249" spans="16:17" ht="14.25" customHeight="1" x14ac:dyDescent="0.3">
      <c r="P249" s="225"/>
      <c r="Q249" s="225"/>
    </row>
    <row r="250" spans="16:17" ht="14.25" customHeight="1" x14ac:dyDescent="0.3">
      <c r="P250" s="225"/>
      <c r="Q250" s="225"/>
    </row>
    <row r="251" spans="16:17" ht="14.25" customHeight="1" x14ac:dyDescent="0.3">
      <c r="P251" s="225"/>
      <c r="Q251" s="225"/>
    </row>
    <row r="252" spans="16:17" ht="14.25" customHeight="1" x14ac:dyDescent="0.3">
      <c r="P252" s="225"/>
      <c r="Q252" s="225"/>
    </row>
    <row r="253" spans="16:17" ht="14.25" customHeight="1" x14ac:dyDescent="0.3">
      <c r="P253" s="225"/>
      <c r="Q253" s="225"/>
    </row>
    <row r="254" spans="16:17" ht="14.25" customHeight="1" x14ac:dyDescent="0.3">
      <c r="P254" s="225"/>
      <c r="Q254" s="225"/>
    </row>
    <row r="255" spans="16:17" ht="14.25" customHeight="1" x14ac:dyDescent="0.3">
      <c r="P255" s="225"/>
      <c r="Q255" s="225"/>
    </row>
    <row r="256" spans="16:17" ht="14.25" customHeight="1" x14ac:dyDescent="0.3">
      <c r="P256" s="225"/>
      <c r="Q256" s="225"/>
    </row>
    <row r="257" spans="16:17" ht="14.25" customHeight="1" x14ac:dyDescent="0.3">
      <c r="P257" s="225"/>
      <c r="Q257" s="225"/>
    </row>
    <row r="258" spans="16:17" ht="14.25" customHeight="1" x14ac:dyDescent="0.3">
      <c r="P258" s="225"/>
      <c r="Q258" s="225"/>
    </row>
    <row r="259" spans="16:17" ht="14.25" customHeight="1" x14ac:dyDescent="0.3">
      <c r="P259" s="225"/>
      <c r="Q259" s="225"/>
    </row>
    <row r="260" spans="16:17" ht="14.25" customHeight="1" x14ac:dyDescent="0.3">
      <c r="P260" s="225"/>
      <c r="Q260" s="225"/>
    </row>
    <row r="261" spans="16:17" ht="14.25" customHeight="1" x14ac:dyDescent="0.3">
      <c r="P261" s="225"/>
      <c r="Q261" s="225"/>
    </row>
    <row r="262" spans="16:17" ht="14.25" customHeight="1" x14ac:dyDescent="0.3">
      <c r="P262" s="225"/>
      <c r="Q262" s="225"/>
    </row>
    <row r="263" spans="16:17" ht="14.25" customHeight="1" x14ac:dyDescent="0.3">
      <c r="P263" s="225"/>
      <c r="Q263" s="225"/>
    </row>
    <row r="264" spans="16:17" ht="14.25" customHeight="1" x14ac:dyDescent="0.3">
      <c r="P264" s="225"/>
      <c r="Q264" s="225"/>
    </row>
    <row r="265" spans="16:17" ht="14.25" customHeight="1" x14ac:dyDescent="0.3">
      <c r="P265" s="225"/>
      <c r="Q265" s="225"/>
    </row>
    <row r="266" spans="16:17" ht="14.25" customHeight="1" x14ac:dyDescent="0.3">
      <c r="P266" s="225"/>
      <c r="Q266" s="225"/>
    </row>
    <row r="267" spans="16:17" ht="14.25" customHeight="1" x14ac:dyDescent="0.3">
      <c r="P267" s="225"/>
      <c r="Q267" s="225"/>
    </row>
    <row r="268" spans="16:17" ht="14.25" customHeight="1" x14ac:dyDescent="0.3">
      <c r="P268" s="225"/>
      <c r="Q268" s="225"/>
    </row>
    <row r="269" spans="16:17" ht="14.25" customHeight="1" x14ac:dyDescent="0.3">
      <c r="P269" s="225"/>
      <c r="Q269" s="225"/>
    </row>
    <row r="270" spans="16:17" ht="14.25" customHeight="1" x14ac:dyDescent="0.3">
      <c r="P270" s="225"/>
      <c r="Q270" s="225"/>
    </row>
    <row r="271" spans="16:17" ht="14.25" customHeight="1" x14ac:dyDescent="0.3">
      <c r="P271" s="225"/>
      <c r="Q271" s="225"/>
    </row>
    <row r="272" spans="16:17" ht="14.25" customHeight="1" x14ac:dyDescent="0.3">
      <c r="P272" s="225"/>
      <c r="Q272" s="225"/>
    </row>
    <row r="273" spans="16:17" ht="14.25" customHeight="1" x14ac:dyDescent="0.3">
      <c r="P273" s="225"/>
      <c r="Q273" s="225"/>
    </row>
    <row r="274" spans="16:17" ht="14.25" customHeight="1" x14ac:dyDescent="0.3">
      <c r="P274" s="225"/>
      <c r="Q274" s="225"/>
    </row>
    <row r="275" spans="16:17" ht="14.25" customHeight="1" x14ac:dyDescent="0.3">
      <c r="P275" s="225"/>
      <c r="Q275" s="225"/>
    </row>
    <row r="276" spans="16:17" ht="14.25" customHeight="1" x14ac:dyDescent="0.3">
      <c r="P276" s="225"/>
      <c r="Q276" s="225"/>
    </row>
    <row r="277" spans="16:17" ht="14.25" customHeight="1" x14ac:dyDescent="0.3">
      <c r="P277" s="225"/>
      <c r="Q277" s="225"/>
    </row>
    <row r="278" spans="16:17" ht="14.25" customHeight="1" x14ac:dyDescent="0.3">
      <c r="P278" s="225"/>
      <c r="Q278" s="225"/>
    </row>
    <row r="279" spans="16:17" ht="14.25" customHeight="1" x14ac:dyDescent="0.3">
      <c r="P279" s="225"/>
      <c r="Q279" s="225"/>
    </row>
    <row r="280" spans="16:17" ht="14.25" customHeight="1" x14ac:dyDescent="0.3">
      <c r="P280" s="225"/>
      <c r="Q280" s="225"/>
    </row>
    <row r="281" spans="16:17" ht="14.25" customHeight="1" x14ac:dyDescent="0.3">
      <c r="P281" s="225"/>
      <c r="Q281" s="225"/>
    </row>
    <row r="282" spans="16:17" ht="14.25" customHeight="1" x14ac:dyDescent="0.3">
      <c r="P282" s="225"/>
      <c r="Q282" s="225"/>
    </row>
    <row r="283" spans="16:17" ht="14.25" customHeight="1" x14ac:dyDescent="0.3">
      <c r="P283" s="225"/>
      <c r="Q283" s="225"/>
    </row>
    <row r="284" spans="16:17" ht="14.25" customHeight="1" x14ac:dyDescent="0.3">
      <c r="P284" s="225"/>
      <c r="Q284" s="225"/>
    </row>
    <row r="285" spans="16:17" ht="14.25" customHeight="1" x14ac:dyDescent="0.3">
      <c r="P285" s="225"/>
      <c r="Q285" s="225"/>
    </row>
    <row r="286" spans="16:17" ht="14.25" customHeight="1" x14ac:dyDescent="0.3">
      <c r="P286" s="225"/>
      <c r="Q286" s="225"/>
    </row>
    <row r="287" spans="16:17" ht="14.25" customHeight="1" x14ac:dyDescent="0.3">
      <c r="P287" s="225"/>
      <c r="Q287" s="225"/>
    </row>
    <row r="288" spans="16:17" ht="14.25" customHeight="1" x14ac:dyDescent="0.3">
      <c r="P288" s="225"/>
      <c r="Q288" s="225"/>
    </row>
    <row r="289" spans="16:17" ht="14.25" customHeight="1" x14ac:dyDescent="0.3">
      <c r="P289" s="225"/>
      <c r="Q289" s="225"/>
    </row>
    <row r="290" spans="16:17" ht="14.25" customHeight="1" x14ac:dyDescent="0.3">
      <c r="P290" s="225"/>
      <c r="Q290" s="225"/>
    </row>
    <row r="291" spans="16:17" ht="14.25" customHeight="1" x14ac:dyDescent="0.3">
      <c r="P291" s="225"/>
      <c r="Q291" s="225"/>
    </row>
    <row r="292" spans="16:17" ht="14.25" customHeight="1" x14ac:dyDescent="0.3">
      <c r="P292" s="225"/>
      <c r="Q292" s="225"/>
    </row>
    <row r="293" spans="16:17" ht="14.25" customHeight="1" x14ac:dyDescent="0.3">
      <c r="P293" s="225"/>
      <c r="Q293" s="225"/>
    </row>
    <row r="294" spans="16:17" ht="14.25" customHeight="1" x14ac:dyDescent="0.3">
      <c r="P294" s="225"/>
      <c r="Q294" s="225"/>
    </row>
    <row r="295" spans="16:17" ht="14.25" customHeight="1" x14ac:dyDescent="0.3">
      <c r="P295" s="225"/>
      <c r="Q295" s="225"/>
    </row>
    <row r="296" spans="16:17" ht="14.25" customHeight="1" x14ac:dyDescent="0.3">
      <c r="P296" s="225"/>
      <c r="Q296" s="225"/>
    </row>
    <row r="297" spans="16:17" ht="14.25" customHeight="1" x14ac:dyDescent="0.3">
      <c r="P297" s="225"/>
      <c r="Q297" s="225"/>
    </row>
    <row r="298" spans="16:17" ht="14.25" customHeight="1" x14ac:dyDescent="0.3">
      <c r="P298" s="225"/>
      <c r="Q298" s="225"/>
    </row>
    <row r="299" spans="16:17" ht="14.25" customHeight="1" x14ac:dyDescent="0.3">
      <c r="P299" s="225"/>
      <c r="Q299" s="225"/>
    </row>
    <row r="300" spans="16:17" ht="14.25" customHeight="1" x14ac:dyDescent="0.3">
      <c r="P300" s="225"/>
      <c r="Q300" s="225"/>
    </row>
    <row r="301" spans="16:17" ht="14.25" customHeight="1" x14ac:dyDescent="0.3">
      <c r="P301" s="225"/>
      <c r="Q301" s="225"/>
    </row>
    <row r="302" spans="16:17" ht="14.25" customHeight="1" x14ac:dyDescent="0.3">
      <c r="P302" s="225"/>
      <c r="Q302" s="225"/>
    </row>
    <row r="303" spans="16:17" ht="14.25" customHeight="1" x14ac:dyDescent="0.3">
      <c r="P303" s="225"/>
      <c r="Q303" s="225"/>
    </row>
    <row r="304" spans="16:17" ht="14.25" customHeight="1" x14ac:dyDescent="0.3">
      <c r="P304" s="225"/>
      <c r="Q304" s="225"/>
    </row>
    <row r="305" spans="16:17" ht="14.25" customHeight="1" x14ac:dyDescent="0.3">
      <c r="P305" s="225"/>
      <c r="Q305" s="225"/>
    </row>
    <row r="306" spans="16:17" ht="14.25" customHeight="1" x14ac:dyDescent="0.3">
      <c r="P306" s="225"/>
      <c r="Q306" s="225"/>
    </row>
    <row r="307" spans="16:17" ht="14.25" customHeight="1" x14ac:dyDescent="0.3">
      <c r="P307" s="225"/>
      <c r="Q307" s="225"/>
    </row>
    <row r="308" spans="16:17" ht="14.25" customHeight="1" x14ac:dyDescent="0.3">
      <c r="P308" s="225"/>
      <c r="Q308" s="225"/>
    </row>
    <row r="309" spans="16:17" ht="14.25" customHeight="1" x14ac:dyDescent="0.3">
      <c r="P309" s="225"/>
      <c r="Q309" s="225"/>
    </row>
    <row r="310" spans="16:17" ht="14.25" customHeight="1" x14ac:dyDescent="0.3">
      <c r="P310" s="225"/>
      <c r="Q310" s="225"/>
    </row>
    <row r="311" spans="16:17" ht="14.25" customHeight="1" x14ac:dyDescent="0.3">
      <c r="P311" s="225"/>
      <c r="Q311" s="225"/>
    </row>
    <row r="312" spans="16:17" ht="14.25" customHeight="1" x14ac:dyDescent="0.3">
      <c r="P312" s="225"/>
      <c r="Q312" s="225"/>
    </row>
    <row r="313" spans="16:17" ht="14.25" customHeight="1" x14ac:dyDescent="0.3">
      <c r="P313" s="225"/>
      <c r="Q313" s="225"/>
    </row>
    <row r="314" spans="16:17" ht="14.25" customHeight="1" x14ac:dyDescent="0.3">
      <c r="P314" s="225"/>
      <c r="Q314" s="225"/>
    </row>
    <row r="315" spans="16:17" ht="14.25" customHeight="1" x14ac:dyDescent="0.3">
      <c r="P315" s="225"/>
      <c r="Q315" s="225"/>
    </row>
    <row r="316" spans="16:17" ht="14.25" customHeight="1" x14ac:dyDescent="0.3">
      <c r="P316" s="225"/>
      <c r="Q316" s="225"/>
    </row>
    <row r="317" spans="16:17" ht="14.25" customHeight="1" x14ac:dyDescent="0.3">
      <c r="P317" s="225"/>
      <c r="Q317" s="225"/>
    </row>
    <row r="318" spans="16:17" ht="14.25" customHeight="1" x14ac:dyDescent="0.3">
      <c r="P318" s="225"/>
      <c r="Q318" s="225"/>
    </row>
    <row r="319" spans="16:17" ht="14.25" customHeight="1" x14ac:dyDescent="0.3">
      <c r="P319" s="225"/>
      <c r="Q319" s="225"/>
    </row>
    <row r="320" spans="16:17" ht="14.25" customHeight="1" x14ac:dyDescent="0.3">
      <c r="P320" s="225"/>
      <c r="Q320" s="225"/>
    </row>
    <row r="321" spans="16:17" ht="14.25" customHeight="1" x14ac:dyDescent="0.3">
      <c r="P321" s="225"/>
      <c r="Q321" s="225"/>
    </row>
    <row r="322" spans="16:17" ht="14.25" customHeight="1" x14ac:dyDescent="0.3">
      <c r="P322" s="225"/>
      <c r="Q322" s="225"/>
    </row>
    <row r="323" spans="16:17" ht="14.25" customHeight="1" x14ac:dyDescent="0.3">
      <c r="P323" s="225"/>
      <c r="Q323" s="225"/>
    </row>
    <row r="324" spans="16:17" ht="14.25" customHeight="1" x14ac:dyDescent="0.3">
      <c r="P324" s="225"/>
      <c r="Q324" s="225"/>
    </row>
    <row r="325" spans="16:17" ht="14.25" customHeight="1" x14ac:dyDescent="0.3">
      <c r="P325" s="225"/>
      <c r="Q325" s="225"/>
    </row>
    <row r="326" spans="16:17" ht="14.25" customHeight="1" x14ac:dyDescent="0.3">
      <c r="P326" s="225"/>
      <c r="Q326" s="225"/>
    </row>
    <row r="327" spans="16:17" ht="14.25" customHeight="1" x14ac:dyDescent="0.3">
      <c r="P327" s="225"/>
      <c r="Q327" s="225"/>
    </row>
    <row r="328" spans="16:17" ht="14.25" customHeight="1" x14ac:dyDescent="0.3">
      <c r="P328" s="225"/>
      <c r="Q328" s="225"/>
    </row>
    <row r="329" spans="16:17" ht="14.25" customHeight="1" x14ac:dyDescent="0.3">
      <c r="P329" s="225"/>
      <c r="Q329" s="225"/>
    </row>
    <row r="330" spans="16:17" ht="14.25" customHeight="1" x14ac:dyDescent="0.3">
      <c r="P330" s="225"/>
      <c r="Q330" s="225"/>
    </row>
    <row r="331" spans="16:17" ht="14.25" customHeight="1" x14ac:dyDescent="0.3">
      <c r="P331" s="225"/>
      <c r="Q331" s="225"/>
    </row>
    <row r="332" spans="16:17" ht="14.25" customHeight="1" x14ac:dyDescent="0.3">
      <c r="P332" s="225"/>
      <c r="Q332" s="225"/>
    </row>
    <row r="333" spans="16:17" ht="14.25" customHeight="1" x14ac:dyDescent="0.3">
      <c r="P333" s="225"/>
      <c r="Q333" s="225"/>
    </row>
    <row r="334" spans="16:17" ht="14.25" customHeight="1" x14ac:dyDescent="0.3">
      <c r="P334" s="225"/>
      <c r="Q334" s="225"/>
    </row>
    <row r="335" spans="16:17" ht="14.25" customHeight="1" x14ac:dyDescent="0.3">
      <c r="P335" s="225"/>
      <c r="Q335" s="225"/>
    </row>
    <row r="336" spans="16:17" ht="14.25" customHeight="1" x14ac:dyDescent="0.3">
      <c r="P336" s="225"/>
      <c r="Q336" s="225"/>
    </row>
    <row r="337" spans="16:17" ht="14.25" customHeight="1" x14ac:dyDescent="0.3">
      <c r="P337" s="225"/>
      <c r="Q337" s="225"/>
    </row>
    <row r="338" spans="16:17" ht="14.25" customHeight="1" x14ac:dyDescent="0.3">
      <c r="P338" s="225"/>
      <c r="Q338" s="225"/>
    </row>
    <row r="339" spans="16:17" ht="14.25" customHeight="1" x14ac:dyDescent="0.3">
      <c r="P339" s="225"/>
      <c r="Q339" s="225"/>
    </row>
    <row r="340" spans="16:17" ht="14.25" customHeight="1" x14ac:dyDescent="0.3">
      <c r="P340" s="225"/>
      <c r="Q340" s="225"/>
    </row>
    <row r="341" spans="16:17" ht="14.25" customHeight="1" x14ac:dyDescent="0.3">
      <c r="P341" s="225"/>
      <c r="Q341" s="225"/>
    </row>
    <row r="342" spans="16:17" ht="14.25" customHeight="1" x14ac:dyDescent="0.3">
      <c r="P342" s="225"/>
      <c r="Q342" s="225"/>
    </row>
    <row r="343" spans="16:17" ht="14.25" customHeight="1" x14ac:dyDescent="0.3">
      <c r="P343" s="225"/>
      <c r="Q343" s="225"/>
    </row>
    <row r="344" spans="16:17" ht="14.25" customHeight="1" x14ac:dyDescent="0.3">
      <c r="P344" s="225"/>
      <c r="Q344" s="225"/>
    </row>
    <row r="345" spans="16:17" ht="14.25" customHeight="1" x14ac:dyDescent="0.3">
      <c r="P345" s="225"/>
      <c r="Q345" s="225"/>
    </row>
    <row r="346" spans="16:17" ht="14.25" customHeight="1" x14ac:dyDescent="0.3">
      <c r="P346" s="225"/>
      <c r="Q346" s="225"/>
    </row>
    <row r="347" spans="16:17" ht="14.25" customHeight="1" x14ac:dyDescent="0.3">
      <c r="P347" s="225"/>
      <c r="Q347" s="225"/>
    </row>
    <row r="348" spans="16:17" ht="14.25" customHeight="1" x14ac:dyDescent="0.3">
      <c r="P348" s="225"/>
      <c r="Q348" s="225"/>
    </row>
    <row r="349" spans="16:17" ht="14.25" customHeight="1" x14ac:dyDescent="0.3">
      <c r="P349" s="225"/>
      <c r="Q349" s="225"/>
    </row>
    <row r="350" spans="16:17" ht="14.25" customHeight="1" x14ac:dyDescent="0.3">
      <c r="P350" s="225"/>
      <c r="Q350" s="225"/>
    </row>
    <row r="351" spans="16:17" ht="14.25" customHeight="1" x14ac:dyDescent="0.3">
      <c r="P351" s="225"/>
      <c r="Q351" s="225"/>
    </row>
    <row r="352" spans="16:17" ht="14.25" customHeight="1" x14ac:dyDescent="0.3">
      <c r="P352" s="225"/>
      <c r="Q352" s="225"/>
    </row>
    <row r="353" spans="16:17" ht="14.25" customHeight="1" x14ac:dyDescent="0.3">
      <c r="P353" s="225"/>
      <c r="Q353" s="225"/>
    </row>
    <row r="354" spans="16:17" ht="14.25" customHeight="1" x14ac:dyDescent="0.3">
      <c r="P354" s="225"/>
      <c r="Q354" s="225"/>
    </row>
    <row r="355" spans="16:17" ht="14.25" customHeight="1" x14ac:dyDescent="0.3">
      <c r="P355" s="225"/>
      <c r="Q355" s="225"/>
    </row>
    <row r="356" spans="16:17" ht="14.25" customHeight="1" x14ac:dyDescent="0.3">
      <c r="P356" s="225"/>
      <c r="Q356" s="225"/>
    </row>
    <row r="357" spans="16:17" ht="14.25" customHeight="1" x14ac:dyDescent="0.3">
      <c r="P357" s="225"/>
      <c r="Q357" s="225"/>
    </row>
    <row r="358" spans="16:17" ht="14.25" customHeight="1" x14ac:dyDescent="0.3">
      <c r="P358" s="225"/>
      <c r="Q358" s="225"/>
    </row>
    <row r="359" spans="16:17" ht="14.25" customHeight="1" x14ac:dyDescent="0.3">
      <c r="P359" s="225"/>
      <c r="Q359" s="225"/>
    </row>
    <row r="360" spans="16:17" ht="14.25" customHeight="1" x14ac:dyDescent="0.3">
      <c r="P360" s="225"/>
      <c r="Q360" s="225"/>
    </row>
    <row r="361" spans="16:17" ht="14.25" customHeight="1" x14ac:dyDescent="0.3">
      <c r="P361" s="225"/>
      <c r="Q361" s="225"/>
    </row>
    <row r="362" spans="16:17" ht="14.25" customHeight="1" x14ac:dyDescent="0.3">
      <c r="P362" s="225"/>
      <c r="Q362" s="225"/>
    </row>
    <row r="363" spans="16:17" ht="14.25" customHeight="1" x14ac:dyDescent="0.3">
      <c r="P363" s="225"/>
      <c r="Q363" s="225"/>
    </row>
    <row r="364" spans="16:17" ht="14.25" customHeight="1" x14ac:dyDescent="0.3">
      <c r="P364" s="225"/>
      <c r="Q364" s="225"/>
    </row>
    <row r="365" spans="16:17" ht="14.25" customHeight="1" x14ac:dyDescent="0.3">
      <c r="P365" s="225"/>
      <c r="Q365" s="225"/>
    </row>
    <row r="366" spans="16:17" ht="14.25" customHeight="1" x14ac:dyDescent="0.3">
      <c r="P366" s="225"/>
      <c r="Q366" s="225"/>
    </row>
    <row r="367" spans="16:17" ht="14.25" customHeight="1" x14ac:dyDescent="0.3">
      <c r="P367" s="225"/>
      <c r="Q367" s="225"/>
    </row>
    <row r="368" spans="16:17" ht="14.25" customHeight="1" x14ac:dyDescent="0.3">
      <c r="P368" s="225"/>
      <c r="Q368" s="225"/>
    </row>
    <row r="369" spans="16:17" ht="14.25" customHeight="1" x14ac:dyDescent="0.3">
      <c r="P369" s="225"/>
      <c r="Q369" s="225"/>
    </row>
    <row r="370" spans="16:17" ht="14.25" customHeight="1" x14ac:dyDescent="0.3">
      <c r="P370" s="225"/>
      <c r="Q370" s="225"/>
    </row>
    <row r="371" spans="16:17" ht="14.25" customHeight="1" x14ac:dyDescent="0.3">
      <c r="P371" s="225"/>
      <c r="Q371" s="225"/>
    </row>
    <row r="372" spans="16:17" ht="14.25" customHeight="1" x14ac:dyDescent="0.3">
      <c r="P372" s="225"/>
      <c r="Q372" s="225"/>
    </row>
    <row r="373" spans="16:17" ht="14.25" customHeight="1" x14ac:dyDescent="0.3">
      <c r="P373" s="225"/>
      <c r="Q373" s="225"/>
    </row>
    <row r="374" spans="16:17" ht="14.25" customHeight="1" x14ac:dyDescent="0.3">
      <c r="P374" s="225"/>
      <c r="Q374" s="225"/>
    </row>
    <row r="375" spans="16:17" ht="14.25" customHeight="1" x14ac:dyDescent="0.3">
      <c r="P375" s="225"/>
      <c r="Q375" s="225"/>
    </row>
    <row r="376" spans="16:17" ht="14.25" customHeight="1" x14ac:dyDescent="0.3">
      <c r="P376" s="225"/>
      <c r="Q376" s="225"/>
    </row>
    <row r="377" spans="16:17" ht="14.25" customHeight="1" x14ac:dyDescent="0.3">
      <c r="P377" s="225"/>
      <c r="Q377" s="225"/>
    </row>
    <row r="378" spans="16:17" ht="14.25" customHeight="1" x14ac:dyDescent="0.3">
      <c r="P378" s="225"/>
      <c r="Q378" s="225"/>
    </row>
    <row r="379" spans="16:17" ht="14.25" customHeight="1" x14ac:dyDescent="0.3">
      <c r="P379" s="225"/>
      <c r="Q379" s="225"/>
    </row>
    <row r="380" spans="16:17" ht="14.25" customHeight="1" x14ac:dyDescent="0.3">
      <c r="P380" s="225"/>
      <c r="Q380" s="225"/>
    </row>
    <row r="381" spans="16:17" ht="14.25" customHeight="1" x14ac:dyDescent="0.3">
      <c r="P381" s="225"/>
      <c r="Q381" s="225"/>
    </row>
    <row r="382" spans="16:17" ht="14.25" customHeight="1" x14ac:dyDescent="0.3">
      <c r="P382" s="225"/>
      <c r="Q382" s="225"/>
    </row>
    <row r="383" spans="16:17" ht="14.25" customHeight="1" x14ac:dyDescent="0.3">
      <c r="P383" s="225"/>
      <c r="Q383" s="225"/>
    </row>
    <row r="384" spans="16:17" ht="14.25" customHeight="1" x14ac:dyDescent="0.3">
      <c r="P384" s="225"/>
      <c r="Q384" s="225"/>
    </row>
    <row r="385" spans="16:17" ht="14.25" customHeight="1" x14ac:dyDescent="0.3">
      <c r="P385" s="225"/>
      <c r="Q385" s="225"/>
    </row>
    <row r="386" spans="16:17" ht="14.25" customHeight="1" x14ac:dyDescent="0.3">
      <c r="P386" s="225"/>
      <c r="Q386" s="225"/>
    </row>
    <row r="387" spans="16:17" ht="14.25" customHeight="1" x14ac:dyDescent="0.3">
      <c r="P387" s="225"/>
      <c r="Q387" s="225"/>
    </row>
    <row r="388" spans="16:17" ht="14.25" customHeight="1" x14ac:dyDescent="0.3">
      <c r="P388" s="225"/>
      <c r="Q388" s="225"/>
    </row>
    <row r="389" spans="16:17" ht="14.25" customHeight="1" x14ac:dyDescent="0.3">
      <c r="P389" s="225"/>
      <c r="Q389" s="225"/>
    </row>
    <row r="390" spans="16:17" ht="14.25" customHeight="1" x14ac:dyDescent="0.3">
      <c r="P390" s="225"/>
      <c r="Q390" s="225"/>
    </row>
    <row r="391" spans="16:17" ht="14.25" customHeight="1" x14ac:dyDescent="0.3">
      <c r="P391" s="225"/>
      <c r="Q391" s="225"/>
    </row>
    <row r="392" spans="16:17" ht="14.25" customHeight="1" x14ac:dyDescent="0.3">
      <c r="P392" s="225"/>
      <c r="Q392" s="225"/>
    </row>
    <row r="393" spans="16:17" ht="14.25" customHeight="1" x14ac:dyDescent="0.3">
      <c r="P393" s="225"/>
      <c r="Q393" s="225"/>
    </row>
    <row r="394" spans="16:17" ht="14.25" customHeight="1" x14ac:dyDescent="0.3">
      <c r="P394" s="225"/>
      <c r="Q394" s="225"/>
    </row>
    <row r="395" spans="16:17" ht="14.25" customHeight="1" x14ac:dyDescent="0.3">
      <c r="P395" s="225"/>
      <c r="Q395" s="225"/>
    </row>
    <row r="396" spans="16:17" ht="14.25" customHeight="1" x14ac:dyDescent="0.3">
      <c r="P396" s="225"/>
      <c r="Q396" s="225"/>
    </row>
    <row r="397" spans="16:17" ht="14.25" customHeight="1" x14ac:dyDescent="0.3">
      <c r="P397" s="225"/>
      <c r="Q397" s="225"/>
    </row>
    <row r="398" spans="16:17" ht="14.25" customHeight="1" x14ac:dyDescent="0.3">
      <c r="P398" s="225"/>
      <c r="Q398" s="225"/>
    </row>
    <row r="399" spans="16:17" ht="14.25" customHeight="1" x14ac:dyDescent="0.3">
      <c r="P399" s="225"/>
      <c r="Q399" s="225"/>
    </row>
    <row r="400" spans="16:17" ht="14.25" customHeight="1" x14ac:dyDescent="0.3">
      <c r="P400" s="225"/>
      <c r="Q400" s="225"/>
    </row>
    <row r="401" spans="16:17" ht="14.25" customHeight="1" x14ac:dyDescent="0.3">
      <c r="P401" s="225"/>
      <c r="Q401" s="225"/>
    </row>
    <row r="402" spans="16:17" ht="14.25" customHeight="1" x14ac:dyDescent="0.3">
      <c r="P402" s="225"/>
      <c r="Q402" s="225"/>
    </row>
    <row r="403" spans="16:17" ht="14.25" customHeight="1" x14ac:dyDescent="0.3">
      <c r="P403" s="225"/>
      <c r="Q403" s="225"/>
    </row>
    <row r="404" spans="16:17" ht="14.25" customHeight="1" x14ac:dyDescent="0.3">
      <c r="P404" s="225"/>
      <c r="Q404" s="225"/>
    </row>
    <row r="405" spans="16:17" ht="14.25" customHeight="1" x14ac:dyDescent="0.3">
      <c r="P405" s="225"/>
      <c r="Q405" s="225"/>
    </row>
    <row r="406" spans="16:17" ht="14.25" customHeight="1" x14ac:dyDescent="0.3">
      <c r="P406" s="225"/>
      <c r="Q406" s="225"/>
    </row>
    <row r="407" spans="16:17" ht="14.25" customHeight="1" x14ac:dyDescent="0.3">
      <c r="P407" s="225"/>
      <c r="Q407" s="225"/>
    </row>
    <row r="408" spans="16:17" ht="14.25" customHeight="1" x14ac:dyDescent="0.3">
      <c r="P408" s="225"/>
      <c r="Q408" s="225"/>
    </row>
    <row r="409" spans="16:17" ht="14.25" customHeight="1" x14ac:dyDescent="0.3">
      <c r="P409" s="225"/>
      <c r="Q409" s="225"/>
    </row>
    <row r="410" spans="16:17" ht="14.25" customHeight="1" x14ac:dyDescent="0.3">
      <c r="P410" s="225"/>
      <c r="Q410" s="225"/>
    </row>
    <row r="411" spans="16:17" ht="14.25" customHeight="1" x14ac:dyDescent="0.3">
      <c r="P411" s="225"/>
      <c r="Q411" s="225"/>
    </row>
    <row r="412" spans="16:17" ht="14.25" customHeight="1" x14ac:dyDescent="0.3">
      <c r="P412" s="225"/>
      <c r="Q412" s="225"/>
    </row>
    <row r="413" spans="16:17" ht="14.25" customHeight="1" x14ac:dyDescent="0.3">
      <c r="P413" s="225"/>
      <c r="Q413" s="225"/>
    </row>
    <row r="414" spans="16:17" ht="14.25" customHeight="1" x14ac:dyDescent="0.3">
      <c r="P414" s="225"/>
      <c r="Q414" s="225"/>
    </row>
    <row r="415" spans="16:17" ht="14.25" customHeight="1" x14ac:dyDescent="0.3">
      <c r="P415" s="225"/>
      <c r="Q415" s="225"/>
    </row>
    <row r="416" spans="16:17" ht="14.25" customHeight="1" x14ac:dyDescent="0.3">
      <c r="P416" s="225"/>
      <c r="Q416" s="225"/>
    </row>
    <row r="417" spans="16:17" ht="14.25" customHeight="1" x14ac:dyDescent="0.3">
      <c r="P417" s="225"/>
      <c r="Q417" s="225"/>
    </row>
    <row r="418" spans="16:17" ht="14.25" customHeight="1" x14ac:dyDescent="0.3">
      <c r="P418" s="225"/>
      <c r="Q418" s="225"/>
    </row>
    <row r="419" spans="16:17" ht="14.25" customHeight="1" x14ac:dyDescent="0.3">
      <c r="P419" s="225"/>
      <c r="Q419" s="225"/>
    </row>
    <row r="420" spans="16:17" ht="14.25" customHeight="1" x14ac:dyDescent="0.3">
      <c r="P420" s="225"/>
      <c r="Q420" s="225"/>
    </row>
    <row r="421" spans="16:17" ht="14.25" customHeight="1" x14ac:dyDescent="0.3">
      <c r="P421" s="225"/>
      <c r="Q421" s="225"/>
    </row>
    <row r="422" spans="16:17" ht="14.25" customHeight="1" x14ac:dyDescent="0.3">
      <c r="P422" s="225"/>
      <c r="Q422" s="225"/>
    </row>
    <row r="423" spans="16:17" ht="14.25" customHeight="1" x14ac:dyDescent="0.3">
      <c r="P423" s="225"/>
      <c r="Q423" s="225"/>
    </row>
    <row r="424" spans="16:17" ht="14.25" customHeight="1" x14ac:dyDescent="0.3">
      <c r="P424" s="225"/>
      <c r="Q424" s="225"/>
    </row>
    <row r="425" spans="16:17" ht="14.25" customHeight="1" x14ac:dyDescent="0.3">
      <c r="P425" s="225"/>
      <c r="Q425" s="225"/>
    </row>
    <row r="426" spans="16:17" ht="14.25" customHeight="1" x14ac:dyDescent="0.3">
      <c r="P426" s="225"/>
      <c r="Q426" s="225"/>
    </row>
    <row r="427" spans="16:17" ht="14.25" customHeight="1" x14ac:dyDescent="0.3">
      <c r="P427" s="225"/>
      <c r="Q427" s="225"/>
    </row>
    <row r="428" spans="16:17" ht="14.25" customHeight="1" x14ac:dyDescent="0.3">
      <c r="P428" s="225"/>
      <c r="Q428" s="225"/>
    </row>
    <row r="429" spans="16:17" ht="14.25" customHeight="1" x14ac:dyDescent="0.3">
      <c r="P429" s="225"/>
      <c r="Q429" s="225"/>
    </row>
    <row r="430" spans="16:17" ht="14.25" customHeight="1" x14ac:dyDescent="0.3">
      <c r="P430" s="225"/>
      <c r="Q430" s="225"/>
    </row>
    <row r="431" spans="16:17" ht="14.25" customHeight="1" x14ac:dyDescent="0.3">
      <c r="P431" s="225"/>
      <c r="Q431" s="225"/>
    </row>
    <row r="432" spans="16:17" ht="14.25" customHeight="1" x14ac:dyDescent="0.3">
      <c r="P432" s="225"/>
      <c r="Q432" s="225"/>
    </row>
    <row r="433" spans="16:17" ht="14.25" customHeight="1" x14ac:dyDescent="0.3">
      <c r="P433" s="225"/>
      <c r="Q433" s="225"/>
    </row>
    <row r="434" spans="16:17" ht="14.25" customHeight="1" x14ac:dyDescent="0.3">
      <c r="P434" s="225"/>
      <c r="Q434" s="225"/>
    </row>
    <row r="435" spans="16:17" ht="14.25" customHeight="1" x14ac:dyDescent="0.3">
      <c r="P435" s="225"/>
      <c r="Q435" s="225"/>
    </row>
    <row r="436" spans="16:17" ht="14.25" customHeight="1" x14ac:dyDescent="0.3">
      <c r="P436" s="225"/>
      <c r="Q436" s="225"/>
    </row>
    <row r="437" spans="16:17" ht="14.25" customHeight="1" x14ac:dyDescent="0.3">
      <c r="P437" s="225"/>
      <c r="Q437" s="225"/>
    </row>
    <row r="438" spans="16:17" ht="14.25" customHeight="1" x14ac:dyDescent="0.3">
      <c r="P438" s="225"/>
      <c r="Q438" s="225"/>
    </row>
    <row r="439" spans="16:17" ht="14.25" customHeight="1" x14ac:dyDescent="0.3">
      <c r="P439" s="225"/>
      <c r="Q439" s="225"/>
    </row>
    <row r="440" spans="16:17" ht="14.25" customHeight="1" x14ac:dyDescent="0.3">
      <c r="P440" s="225"/>
      <c r="Q440" s="225"/>
    </row>
    <row r="441" spans="16:17" ht="14.25" customHeight="1" x14ac:dyDescent="0.3">
      <c r="P441" s="225"/>
      <c r="Q441" s="225"/>
    </row>
    <row r="442" spans="16:17" ht="14.25" customHeight="1" x14ac:dyDescent="0.3">
      <c r="P442" s="225"/>
      <c r="Q442" s="225"/>
    </row>
    <row r="443" spans="16:17" ht="14.25" customHeight="1" x14ac:dyDescent="0.3">
      <c r="P443" s="225"/>
      <c r="Q443" s="225"/>
    </row>
    <row r="444" spans="16:17" ht="14.25" customHeight="1" x14ac:dyDescent="0.3">
      <c r="P444" s="225"/>
      <c r="Q444" s="225"/>
    </row>
    <row r="445" spans="16:17" ht="14.25" customHeight="1" x14ac:dyDescent="0.3">
      <c r="P445" s="225"/>
      <c r="Q445" s="225"/>
    </row>
    <row r="446" spans="16:17" ht="14.25" customHeight="1" x14ac:dyDescent="0.3">
      <c r="P446" s="225"/>
      <c r="Q446" s="225"/>
    </row>
    <row r="447" spans="16:17" ht="14.25" customHeight="1" x14ac:dyDescent="0.3">
      <c r="P447" s="225"/>
      <c r="Q447" s="225"/>
    </row>
    <row r="448" spans="16:17" ht="14.25" customHeight="1" x14ac:dyDescent="0.3">
      <c r="P448" s="225"/>
      <c r="Q448" s="225"/>
    </row>
    <row r="449" spans="16:17" ht="14.25" customHeight="1" x14ac:dyDescent="0.3">
      <c r="P449" s="225"/>
      <c r="Q449" s="225"/>
    </row>
    <row r="450" spans="16:17" ht="14.25" customHeight="1" x14ac:dyDescent="0.3">
      <c r="P450" s="225"/>
      <c r="Q450" s="225"/>
    </row>
    <row r="451" spans="16:17" ht="14.25" customHeight="1" x14ac:dyDescent="0.3">
      <c r="P451" s="225"/>
      <c r="Q451" s="225"/>
    </row>
    <row r="452" spans="16:17" ht="14.25" customHeight="1" x14ac:dyDescent="0.3">
      <c r="P452" s="225"/>
      <c r="Q452" s="225"/>
    </row>
    <row r="453" spans="16:17" ht="14.25" customHeight="1" x14ac:dyDescent="0.3">
      <c r="P453" s="225"/>
      <c r="Q453" s="225"/>
    </row>
    <row r="454" spans="16:17" ht="14.25" customHeight="1" x14ac:dyDescent="0.3">
      <c r="P454" s="225"/>
      <c r="Q454" s="225"/>
    </row>
    <row r="455" spans="16:17" ht="14.25" customHeight="1" x14ac:dyDescent="0.3">
      <c r="P455" s="225"/>
      <c r="Q455" s="225"/>
    </row>
    <row r="456" spans="16:17" ht="14.25" customHeight="1" x14ac:dyDescent="0.3">
      <c r="P456" s="225"/>
      <c r="Q456" s="225"/>
    </row>
    <row r="457" spans="16:17" ht="14.25" customHeight="1" x14ac:dyDescent="0.3">
      <c r="P457" s="225"/>
      <c r="Q457" s="225"/>
    </row>
    <row r="458" spans="16:17" ht="14.25" customHeight="1" x14ac:dyDescent="0.3">
      <c r="P458" s="225"/>
      <c r="Q458" s="225"/>
    </row>
    <row r="459" spans="16:17" ht="14.25" customHeight="1" x14ac:dyDescent="0.3">
      <c r="P459" s="225"/>
      <c r="Q459" s="225"/>
    </row>
    <row r="460" spans="16:17" ht="14.25" customHeight="1" x14ac:dyDescent="0.3">
      <c r="P460" s="225"/>
      <c r="Q460" s="225"/>
    </row>
    <row r="461" spans="16:17" ht="14.25" customHeight="1" x14ac:dyDescent="0.3">
      <c r="P461" s="225"/>
      <c r="Q461" s="225"/>
    </row>
    <row r="462" spans="16:17" ht="14.25" customHeight="1" x14ac:dyDescent="0.3">
      <c r="P462" s="225"/>
      <c r="Q462" s="225"/>
    </row>
    <row r="463" spans="16:17" ht="14.25" customHeight="1" x14ac:dyDescent="0.3">
      <c r="P463" s="225"/>
      <c r="Q463" s="225"/>
    </row>
    <row r="464" spans="16:17" ht="14.25" customHeight="1" x14ac:dyDescent="0.3">
      <c r="P464" s="225"/>
      <c r="Q464" s="225"/>
    </row>
    <row r="465" spans="16:17" ht="14.25" customHeight="1" x14ac:dyDescent="0.3">
      <c r="P465" s="225"/>
      <c r="Q465" s="225"/>
    </row>
    <row r="466" spans="16:17" ht="14.25" customHeight="1" x14ac:dyDescent="0.3">
      <c r="P466" s="225"/>
      <c r="Q466" s="225"/>
    </row>
    <row r="467" spans="16:17" ht="14.25" customHeight="1" x14ac:dyDescent="0.3">
      <c r="P467" s="225"/>
      <c r="Q467" s="225"/>
    </row>
    <row r="468" spans="16:17" ht="14.25" customHeight="1" x14ac:dyDescent="0.3">
      <c r="P468" s="225"/>
      <c r="Q468" s="225"/>
    </row>
    <row r="469" spans="16:17" ht="14.25" customHeight="1" x14ac:dyDescent="0.3">
      <c r="P469" s="225"/>
      <c r="Q469" s="225"/>
    </row>
    <row r="470" spans="16:17" ht="14.25" customHeight="1" x14ac:dyDescent="0.3">
      <c r="P470" s="225"/>
      <c r="Q470" s="225"/>
    </row>
    <row r="471" spans="16:17" ht="14.25" customHeight="1" x14ac:dyDescent="0.3">
      <c r="P471" s="225"/>
      <c r="Q471" s="225"/>
    </row>
    <row r="472" spans="16:17" ht="14.25" customHeight="1" x14ac:dyDescent="0.3">
      <c r="P472" s="225"/>
      <c r="Q472" s="225"/>
    </row>
    <row r="473" spans="16:17" ht="14.25" customHeight="1" x14ac:dyDescent="0.3">
      <c r="P473" s="225"/>
      <c r="Q473" s="225"/>
    </row>
    <row r="474" spans="16:17" ht="14.25" customHeight="1" x14ac:dyDescent="0.3">
      <c r="P474" s="225"/>
      <c r="Q474" s="225"/>
    </row>
    <row r="475" spans="16:17" ht="14.25" customHeight="1" x14ac:dyDescent="0.3">
      <c r="P475" s="225"/>
      <c r="Q475" s="225"/>
    </row>
    <row r="476" spans="16:17" ht="14.25" customHeight="1" x14ac:dyDescent="0.3">
      <c r="P476" s="225"/>
      <c r="Q476" s="225"/>
    </row>
    <row r="477" spans="16:17" ht="14.25" customHeight="1" x14ac:dyDescent="0.3">
      <c r="P477" s="225"/>
      <c r="Q477" s="225"/>
    </row>
    <row r="478" spans="16:17" ht="14.25" customHeight="1" x14ac:dyDescent="0.3">
      <c r="P478" s="225"/>
      <c r="Q478" s="225"/>
    </row>
    <row r="479" spans="16:17" ht="14.25" customHeight="1" x14ac:dyDescent="0.3">
      <c r="P479" s="225"/>
      <c r="Q479" s="225"/>
    </row>
    <row r="480" spans="16:17" ht="14.25" customHeight="1" x14ac:dyDescent="0.3">
      <c r="P480" s="225"/>
      <c r="Q480" s="225"/>
    </row>
    <row r="481" spans="16:17" ht="14.25" customHeight="1" x14ac:dyDescent="0.3">
      <c r="P481" s="225"/>
      <c r="Q481" s="225"/>
    </row>
    <row r="482" spans="16:17" ht="14.25" customHeight="1" x14ac:dyDescent="0.3">
      <c r="P482" s="225"/>
      <c r="Q482" s="225"/>
    </row>
    <row r="483" spans="16:17" ht="14.25" customHeight="1" x14ac:dyDescent="0.3">
      <c r="P483" s="225"/>
      <c r="Q483" s="225"/>
    </row>
    <row r="484" spans="16:17" ht="14.25" customHeight="1" x14ac:dyDescent="0.3">
      <c r="P484" s="225"/>
      <c r="Q484" s="225"/>
    </row>
    <row r="485" spans="16:17" ht="14.25" customHeight="1" x14ac:dyDescent="0.3">
      <c r="P485" s="225"/>
      <c r="Q485" s="225"/>
    </row>
    <row r="486" spans="16:17" ht="14.25" customHeight="1" x14ac:dyDescent="0.3">
      <c r="P486" s="225"/>
      <c r="Q486" s="225"/>
    </row>
    <row r="487" spans="16:17" ht="14.25" customHeight="1" x14ac:dyDescent="0.3">
      <c r="P487" s="225"/>
      <c r="Q487" s="225"/>
    </row>
    <row r="488" spans="16:17" ht="14.25" customHeight="1" x14ac:dyDescent="0.3">
      <c r="P488" s="225"/>
      <c r="Q488" s="225"/>
    </row>
    <row r="489" spans="16:17" ht="14.25" customHeight="1" x14ac:dyDescent="0.3">
      <c r="P489" s="225"/>
      <c r="Q489" s="225"/>
    </row>
    <row r="490" spans="16:17" ht="14.25" customHeight="1" x14ac:dyDescent="0.3">
      <c r="P490" s="225"/>
      <c r="Q490" s="225"/>
    </row>
    <row r="491" spans="16:17" ht="14.25" customHeight="1" x14ac:dyDescent="0.3">
      <c r="P491" s="225"/>
      <c r="Q491" s="225"/>
    </row>
    <row r="492" spans="16:17" ht="14.25" customHeight="1" x14ac:dyDescent="0.3">
      <c r="P492" s="225"/>
      <c r="Q492" s="225"/>
    </row>
    <row r="493" spans="16:17" ht="14.25" customHeight="1" x14ac:dyDescent="0.3">
      <c r="P493" s="225"/>
      <c r="Q493" s="225"/>
    </row>
    <row r="494" spans="16:17" ht="14.25" customHeight="1" x14ac:dyDescent="0.3">
      <c r="P494" s="225"/>
      <c r="Q494" s="225"/>
    </row>
    <row r="495" spans="16:17" ht="14.25" customHeight="1" x14ac:dyDescent="0.3">
      <c r="P495" s="225"/>
      <c r="Q495" s="225"/>
    </row>
    <row r="496" spans="16:17" ht="14.25" customHeight="1" x14ac:dyDescent="0.3">
      <c r="P496" s="225"/>
      <c r="Q496" s="225"/>
    </row>
    <row r="497" spans="16:17" ht="14.25" customHeight="1" x14ac:dyDescent="0.3">
      <c r="P497" s="225"/>
      <c r="Q497" s="225"/>
    </row>
    <row r="498" spans="16:17" ht="14.25" customHeight="1" x14ac:dyDescent="0.3">
      <c r="P498" s="225"/>
      <c r="Q498" s="225"/>
    </row>
    <row r="499" spans="16:17" ht="14.25" customHeight="1" x14ac:dyDescent="0.3">
      <c r="P499" s="225"/>
      <c r="Q499" s="225"/>
    </row>
    <row r="500" spans="16:17" ht="14.25" customHeight="1" x14ac:dyDescent="0.3">
      <c r="P500" s="225"/>
      <c r="Q500" s="225"/>
    </row>
    <row r="501" spans="16:17" ht="14.25" customHeight="1" x14ac:dyDescent="0.3">
      <c r="P501" s="225"/>
      <c r="Q501" s="225"/>
    </row>
    <row r="502" spans="16:17" ht="14.25" customHeight="1" x14ac:dyDescent="0.3">
      <c r="P502" s="225"/>
      <c r="Q502" s="225"/>
    </row>
    <row r="503" spans="16:17" ht="14.25" customHeight="1" x14ac:dyDescent="0.3">
      <c r="P503" s="225"/>
      <c r="Q503" s="225"/>
    </row>
    <row r="504" spans="16:17" ht="14.25" customHeight="1" x14ac:dyDescent="0.3">
      <c r="P504" s="225"/>
      <c r="Q504" s="225"/>
    </row>
    <row r="505" spans="16:17" ht="14.25" customHeight="1" x14ac:dyDescent="0.3">
      <c r="P505" s="225"/>
      <c r="Q505" s="225"/>
    </row>
    <row r="506" spans="16:17" ht="14.25" customHeight="1" x14ac:dyDescent="0.3">
      <c r="P506" s="225"/>
      <c r="Q506" s="225"/>
    </row>
    <row r="507" spans="16:17" ht="14.25" customHeight="1" x14ac:dyDescent="0.3">
      <c r="P507" s="225"/>
      <c r="Q507" s="225"/>
    </row>
    <row r="508" spans="16:17" ht="14.25" customHeight="1" x14ac:dyDescent="0.3">
      <c r="P508" s="225"/>
      <c r="Q508" s="225"/>
    </row>
    <row r="509" spans="16:17" ht="14.25" customHeight="1" x14ac:dyDescent="0.3">
      <c r="P509" s="225"/>
      <c r="Q509" s="225"/>
    </row>
    <row r="510" spans="16:17" ht="14.25" customHeight="1" x14ac:dyDescent="0.3">
      <c r="P510" s="225"/>
      <c r="Q510" s="225"/>
    </row>
    <row r="511" spans="16:17" ht="14.25" customHeight="1" x14ac:dyDescent="0.3">
      <c r="P511" s="225"/>
      <c r="Q511" s="225"/>
    </row>
    <row r="512" spans="16:17" ht="14.25" customHeight="1" x14ac:dyDescent="0.3">
      <c r="P512" s="225"/>
      <c r="Q512" s="225"/>
    </row>
    <row r="513" spans="16:17" ht="14.25" customHeight="1" x14ac:dyDescent="0.3">
      <c r="P513" s="225"/>
      <c r="Q513" s="225"/>
    </row>
    <row r="514" spans="16:17" ht="14.25" customHeight="1" x14ac:dyDescent="0.3">
      <c r="P514" s="225"/>
      <c r="Q514" s="225"/>
    </row>
    <row r="515" spans="16:17" ht="14.25" customHeight="1" x14ac:dyDescent="0.3">
      <c r="P515" s="225"/>
      <c r="Q515" s="225"/>
    </row>
    <row r="516" spans="16:17" ht="14.25" customHeight="1" x14ac:dyDescent="0.3">
      <c r="P516" s="225"/>
      <c r="Q516" s="225"/>
    </row>
    <row r="517" spans="16:17" ht="14.25" customHeight="1" x14ac:dyDescent="0.3">
      <c r="P517" s="225"/>
      <c r="Q517" s="225"/>
    </row>
    <row r="518" spans="16:17" ht="14.25" customHeight="1" x14ac:dyDescent="0.3">
      <c r="P518" s="225"/>
      <c r="Q518" s="225"/>
    </row>
    <row r="519" spans="16:17" ht="14.25" customHeight="1" x14ac:dyDescent="0.3">
      <c r="P519" s="225"/>
      <c r="Q519" s="225"/>
    </row>
    <row r="520" spans="16:17" ht="14.25" customHeight="1" x14ac:dyDescent="0.3">
      <c r="P520" s="225"/>
      <c r="Q520" s="225"/>
    </row>
    <row r="521" spans="16:17" ht="14.25" customHeight="1" x14ac:dyDescent="0.3">
      <c r="P521" s="225"/>
      <c r="Q521" s="225"/>
    </row>
    <row r="522" spans="16:17" ht="14.25" customHeight="1" x14ac:dyDescent="0.3">
      <c r="P522" s="225"/>
      <c r="Q522" s="225"/>
    </row>
    <row r="523" spans="16:17" ht="14.25" customHeight="1" x14ac:dyDescent="0.3">
      <c r="P523" s="225"/>
      <c r="Q523" s="225"/>
    </row>
    <row r="524" spans="16:17" ht="14.25" customHeight="1" x14ac:dyDescent="0.3">
      <c r="P524" s="225"/>
      <c r="Q524" s="225"/>
    </row>
    <row r="525" spans="16:17" ht="14.25" customHeight="1" x14ac:dyDescent="0.3">
      <c r="P525" s="225"/>
      <c r="Q525" s="225"/>
    </row>
    <row r="526" spans="16:17" ht="14.25" customHeight="1" x14ac:dyDescent="0.3">
      <c r="P526" s="225"/>
      <c r="Q526" s="225"/>
    </row>
    <row r="527" spans="16:17" ht="14.25" customHeight="1" x14ac:dyDescent="0.3">
      <c r="P527" s="225"/>
      <c r="Q527" s="225"/>
    </row>
    <row r="528" spans="16:17" ht="14.25" customHeight="1" x14ac:dyDescent="0.3">
      <c r="P528" s="225"/>
      <c r="Q528" s="225"/>
    </row>
    <row r="529" spans="16:17" ht="14.25" customHeight="1" x14ac:dyDescent="0.3">
      <c r="P529" s="225"/>
      <c r="Q529" s="225"/>
    </row>
    <row r="530" spans="16:17" ht="14.25" customHeight="1" x14ac:dyDescent="0.3">
      <c r="P530" s="225"/>
      <c r="Q530" s="225"/>
    </row>
    <row r="531" spans="16:17" ht="14.25" customHeight="1" x14ac:dyDescent="0.3">
      <c r="P531" s="225"/>
      <c r="Q531" s="225"/>
    </row>
    <row r="532" spans="16:17" ht="14.25" customHeight="1" x14ac:dyDescent="0.3">
      <c r="P532" s="225"/>
      <c r="Q532" s="225"/>
    </row>
    <row r="533" spans="16:17" ht="14.25" customHeight="1" x14ac:dyDescent="0.3">
      <c r="P533" s="225"/>
      <c r="Q533" s="225"/>
    </row>
    <row r="534" spans="16:17" ht="14.25" customHeight="1" x14ac:dyDescent="0.3">
      <c r="P534" s="225"/>
      <c r="Q534" s="225"/>
    </row>
    <row r="535" spans="16:17" ht="14.25" customHeight="1" x14ac:dyDescent="0.3">
      <c r="P535" s="225"/>
      <c r="Q535" s="225"/>
    </row>
    <row r="536" spans="16:17" ht="14.25" customHeight="1" x14ac:dyDescent="0.3">
      <c r="P536" s="225"/>
      <c r="Q536" s="225"/>
    </row>
    <row r="537" spans="16:17" ht="14.25" customHeight="1" x14ac:dyDescent="0.3">
      <c r="P537" s="225"/>
      <c r="Q537" s="225"/>
    </row>
    <row r="538" spans="16:17" ht="14.25" customHeight="1" x14ac:dyDescent="0.3">
      <c r="P538" s="225"/>
      <c r="Q538" s="225"/>
    </row>
    <row r="539" spans="16:17" ht="14.25" customHeight="1" x14ac:dyDescent="0.3">
      <c r="P539" s="225"/>
      <c r="Q539" s="225"/>
    </row>
    <row r="540" spans="16:17" ht="14.25" customHeight="1" x14ac:dyDescent="0.3">
      <c r="P540" s="225"/>
      <c r="Q540" s="225"/>
    </row>
    <row r="541" spans="16:17" ht="14.25" customHeight="1" x14ac:dyDescent="0.3">
      <c r="P541" s="225"/>
      <c r="Q541" s="225"/>
    </row>
    <row r="542" spans="16:17" ht="14.25" customHeight="1" x14ac:dyDescent="0.3">
      <c r="P542" s="225"/>
      <c r="Q542" s="225"/>
    </row>
    <row r="543" spans="16:17" ht="14.25" customHeight="1" x14ac:dyDescent="0.3">
      <c r="P543" s="225"/>
      <c r="Q543" s="225"/>
    </row>
    <row r="544" spans="16:17" ht="14.25" customHeight="1" x14ac:dyDescent="0.3">
      <c r="P544" s="225"/>
      <c r="Q544" s="225"/>
    </row>
    <row r="545" spans="16:17" ht="14.25" customHeight="1" x14ac:dyDescent="0.3">
      <c r="P545" s="225"/>
      <c r="Q545" s="225"/>
    </row>
    <row r="546" spans="16:17" ht="14.25" customHeight="1" x14ac:dyDescent="0.3">
      <c r="P546" s="225"/>
      <c r="Q546" s="225"/>
    </row>
    <row r="547" spans="16:17" ht="14.25" customHeight="1" x14ac:dyDescent="0.3">
      <c r="P547" s="225"/>
      <c r="Q547" s="225"/>
    </row>
    <row r="548" spans="16:17" ht="14.25" customHeight="1" x14ac:dyDescent="0.3">
      <c r="P548" s="225"/>
      <c r="Q548" s="225"/>
    </row>
    <row r="549" spans="16:17" ht="14.25" customHeight="1" x14ac:dyDescent="0.3">
      <c r="P549" s="225"/>
      <c r="Q549" s="225"/>
    </row>
    <row r="550" spans="16:17" ht="14.25" customHeight="1" x14ac:dyDescent="0.3">
      <c r="P550" s="225"/>
      <c r="Q550" s="225"/>
    </row>
    <row r="551" spans="16:17" ht="14.25" customHeight="1" x14ac:dyDescent="0.3">
      <c r="P551" s="225"/>
      <c r="Q551" s="225"/>
    </row>
    <row r="552" spans="16:17" ht="14.25" customHeight="1" x14ac:dyDescent="0.3">
      <c r="P552" s="225"/>
      <c r="Q552" s="225"/>
    </row>
    <row r="553" spans="16:17" ht="14.25" customHeight="1" x14ac:dyDescent="0.3">
      <c r="P553" s="225"/>
      <c r="Q553" s="225"/>
    </row>
    <row r="554" spans="16:17" ht="14.25" customHeight="1" x14ac:dyDescent="0.3">
      <c r="P554" s="225"/>
      <c r="Q554" s="225"/>
    </row>
    <row r="555" spans="16:17" ht="14.25" customHeight="1" x14ac:dyDescent="0.3">
      <c r="P555" s="225"/>
      <c r="Q555" s="225"/>
    </row>
    <row r="556" spans="16:17" ht="14.25" customHeight="1" x14ac:dyDescent="0.3">
      <c r="P556" s="225"/>
      <c r="Q556" s="225"/>
    </row>
    <row r="557" spans="16:17" ht="14.25" customHeight="1" x14ac:dyDescent="0.3">
      <c r="P557" s="225"/>
      <c r="Q557" s="225"/>
    </row>
    <row r="558" spans="16:17" ht="14.25" customHeight="1" x14ac:dyDescent="0.3">
      <c r="P558" s="225"/>
      <c r="Q558" s="225"/>
    </row>
    <row r="559" spans="16:17" ht="14.25" customHeight="1" x14ac:dyDescent="0.3">
      <c r="P559" s="225"/>
      <c r="Q559" s="225"/>
    </row>
    <row r="560" spans="16:17" ht="14.25" customHeight="1" x14ac:dyDescent="0.3">
      <c r="P560" s="225"/>
      <c r="Q560" s="225"/>
    </row>
    <row r="561" spans="16:17" ht="14.25" customHeight="1" x14ac:dyDescent="0.3">
      <c r="P561" s="225"/>
      <c r="Q561" s="225"/>
    </row>
    <row r="562" spans="16:17" ht="14.25" customHeight="1" x14ac:dyDescent="0.3">
      <c r="P562" s="225"/>
      <c r="Q562" s="225"/>
    </row>
    <row r="563" spans="16:17" ht="14.25" customHeight="1" x14ac:dyDescent="0.3">
      <c r="P563" s="225"/>
      <c r="Q563" s="225"/>
    </row>
    <row r="564" spans="16:17" ht="14.25" customHeight="1" x14ac:dyDescent="0.3">
      <c r="P564" s="225"/>
      <c r="Q564" s="225"/>
    </row>
    <row r="565" spans="16:17" ht="14.25" customHeight="1" x14ac:dyDescent="0.3">
      <c r="P565" s="225"/>
      <c r="Q565" s="225"/>
    </row>
    <row r="566" spans="16:17" ht="14.25" customHeight="1" x14ac:dyDescent="0.3">
      <c r="P566" s="225"/>
      <c r="Q566" s="225"/>
    </row>
    <row r="567" spans="16:17" ht="14.25" customHeight="1" x14ac:dyDescent="0.3">
      <c r="P567" s="225"/>
      <c r="Q567" s="225"/>
    </row>
    <row r="568" spans="16:17" ht="14.25" customHeight="1" x14ac:dyDescent="0.3">
      <c r="P568" s="225"/>
      <c r="Q568" s="225"/>
    </row>
    <row r="569" spans="16:17" ht="14.25" customHeight="1" x14ac:dyDescent="0.3">
      <c r="P569" s="225"/>
      <c r="Q569" s="225"/>
    </row>
    <row r="570" spans="16:17" ht="14.25" customHeight="1" x14ac:dyDescent="0.3">
      <c r="P570" s="225"/>
      <c r="Q570" s="225"/>
    </row>
    <row r="571" spans="16:17" ht="14.25" customHeight="1" x14ac:dyDescent="0.3">
      <c r="P571" s="225"/>
      <c r="Q571" s="225"/>
    </row>
    <row r="572" spans="16:17" ht="14.25" customHeight="1" x14ac:dyDescent="0.3">
      <c r="P572" s="225"/>
      <c r="Q572" s="225"/>
    </row>
    <row r="573" spans="16:17" ht="14.25" customHeight="1" x14ac:dyDescent="0.3">
      <c r="P573" s="225"/>
      <c r="Q573" s="225"/>
    </row>
    <row r="574" spans="16:17" ht="14.25" customHeight="1" x14ac:dyDescent="0.3">
      <c r="P574" s="225"/>
      <c r="Q574" s="225"/>
    </row>
    <row r="575" spans="16:17" ht="14.25" customHeight="1" x14ac:dyDescent="0.3">
      <c r="P575" s="225"/>
      <c r="Q575" s="225"/>
    </row>
    <row r="576" spans="16:17" ht="14.25" customHeight="1" x14ac:dyDescent="0.3">
      <c r="P576" s="225"/>
      <c r="Q576" s="225"/>
    </row>
    <row r="577" spans="16:17" ht="14.25" customHeight="1" x14ac:dyDescent="0.3">
      <c r="P577" s="225"/>
      <c r="Q577" s="225"/>
    </row>
    <row r="578" spans="16:17" ht="14.25" customHeight="1" x14ac:dyDescent="0.3">
      <c r="P578" s="225"/>
      <c r="Q578" s="225"/>
    </row>
    <row r="579" spans="16:17" ht="14.25" customHeight="1" x14ac:dyDescent="0.3">
      <c r="P579" s="225"/>
      <c r="Q579" s="225"/>
    </row>
    <row r="580" spans="16:17" ht="14.25" customHeight="1" x14ac:dyDescent="0.3">
      <c r="P580" s="225"/>
      <c r="Q580" s="225"/>
    </row>
    <row r="581" spans="16:17" ht="14.25" customHeight="1" x14ac:dyDescent="0.3">
      <c r="P581" s="225"/>
      <c r="Q581" s="225"/>
    </row>
    <row r="582" spans="16:17" ht="14.25" customHeight="1" x14ac:dyDescent="0.3">
      <c r="P582" s="225"/>
      <c r="Q582" s="225"/>
    </row>
    <row r="583" spans="16:17" ht="14.25" customHeight="1" x14ac:dyDescent="0.3">
      <c r="P583" s="225"/>
      <c r="Q583" s="225"/>
    </row>
    <row r="584" spans="16:17" ht="14.25" customHeight="1" x14ac:dyDescent="0.3">
      <c r="P584" s="225"/>
      <c r="Q584" s="225"/>
    </row>
    <row r="585" spans="16:17" ht="14.25" customHeight="1" x14ac:dyDescent="0.3">
      <c r="P585" s="225"/>
      <c r="Q585" s="225"/>
    </row>
    <row r="586" spans="16:17" ht="14.25" customHeight="1" x14ac:dyDescent="0.3">
      <c r="P586" s="225"/>
      <c r="Q586" s="225"/>
    </row>
    <row r="587" spans="16:17" ht="14.25" customHeight="1" x14ac:dyDescent="0.3">
      <c r="P587" s="225"/>
      <c r="Q587" s="225"/>
    </row>
    <row r="588" spans="16:17" ht="14.25" customHeight="1" x14ac:dyDescent="0.3">
      <c r="P588" s="225"/>
      <c r="Q588" s="225"/>
    </row>
    <row r="589" spans="16:17" ht="14.25" customHeight="1" x14ac:dyDescent="0.3">
      <c r="P589" s="225"/>
      <c r="Q589" s="225"/>
    </row>
    <row r="590" spans="16:17" ht="14.25" customHeight="1" x14ac:dyDescent="0.3">
      <c r="P590" s="225"/>
      <c r="Q590" s="225"/>
    </row>
    <row r="591" spans="16:17" ht="14.25" customHeight="1" x14ac:dyDescent="0.3">
      <c r="P591" s="225"/>
      <c r="Q591" s="225"/>
    </row>
    <row r="592" spans="16:17" ht="14.25" customHeight="1" x14ac:dyDescent="0.3">
      <c r="P592" s="225"/>
      <c r="Q592" s="225"/>
    </row>
    <row r="593" spans="16:17" ht="14.25" customHeight="1" x14ac:dyDescent="0.3">
      <c r="P593" s="225"/>
      <c r="Q593" s="225"/>
    </row>
    <row r="594" spans="16:17" ht="14.25" customHeight="1" x14ac:dyDescent="0.3">
      <c r="P594" s="225"/>
      <c r="Q594" s="225"/>
    </row>
    <row r="595" spans="16:17" ht="14.25" customHeight="1" x14ac:dyDescent="0.3">
      <c r="P595" s="225"/>
      <c r="Q595" s="225"/>
    </row>
    <row r="596" spans="16:17" ht="14.25" customHeight="1" x14ac:dyDescent="0.3">
      <c r="P596" s="225"/>
      <c r="Q596" s="225"/>
    </row>
    <row r="597" spans="16:17" ht="14.25" customHeight="1" x14ac:dyDescent="0.3">
      <c r="P597" s="225"/>
      <c r="Q597" s="225"/>
    </row>
    <row r="598" spans="16:17" ht="14.25" customHeight="1" x14ac:dyDescent="0.3">
      <c r="P598" s="225"/>
      <c r="Q598" s="225"/>
    </row>
    <row r="599" spans="16:17" ht="14.25" customHeight="1" x14ac:dyDescent="0.3">
      <c r="P599" s="225"/>
      <c r="Q599" s="225"/>
    </row>
    <row r="600" spans="16:17" ht="14.25" customHeight="1" x14ac:dyDescent="0.3">
      <c r="P600" s="225"/>
      <c r="Q600" s="225"/>
    </row>
    <row r="601" spans="16:17" ht="14.25" customHeight="1" x14ac:dyDescent="0.3">
      <c r="P601" s="225"/>
      <c r="Q601" s="225"/>
    </row>
    <row r="602" spans="16:17" ht="14.25" customHeight="1" x14ac:dyDescent="0.3">
      <c r="P602" s="225"/>
      <c r="Q602" s="225"/>
    </row>
    <row r="603" spans="16:17" ht="14.25" customHeight="1" x14ac:dyDescent="0.3">
      <c r="P603" s="225"/>
      <c r="Q603" s="225"/>
    </row>
    <row r="604" spans="16:17" ht="14.25" customHeight="1" x14ac:dyDescent="0.3">
      <c r="P604" s="225"/>
      <c r="Q604" s="225"/>
    </row>
    <row r="605" spans="16:17" ht="14.25" customHeight="1" x14ac:dyDescent="0.3">
      <c r="P605" s="225"/>
      <c r="Q605" s="225"/>
    </row>
    <row r="606" spans="16:17" ht="14.25" customHeight="1" x14ac:dyDescent="0.3">
      <c r="P606" s="225"/>
      <c r="Q606" s="225"/>
    </row>
    <row r="607" spans="16:17" ht="14.25" customHeight="1" x14ac:dyDescent="0.3">
      <c r="P607" s="225"/>
      <c r="Q607" s="225"/>
    </row>
    <row r="608" spans="16:17" ht="14.25" customHeight="1" x14ac:dyDescent="0.3">
      <c r="P608" s="225"/>
      <c r="Q608" s="225"/>
    </row>
    <row r="609" spans="16:17" ht="14.25" customHeight="1" x14ac:dyDescent="0.3">
      <c r="P609" s="225"/>
      <c r="Q609" s="225"/>
    </row>
    <row r="610" spans="16:17" ht="14.25" customHeight="1" x14ac:dyDescent="0.3">
      <c r="P610" s="225"/>
      <c r="Q610" s="225"/>
    </row>
    <row r="611" spans="16:17" ht="14.25" customHeight="1" x14ac:dyDescent="0.3">
      <c r="P611" s="225"/>
      <c r="Q611" s="225"/>
    </row>
    <row r="612" spans="16:17" ht="14.25" customHeight="1" x14ac:dyDescent="0.3">
      <c r="P612" s="225"/>
      <c r="Q612" s="225"/>
    </row>
    <row r="613" spans="16:17" ht="14.25" customHeight="1" x14ac:dyDescent="0.3">
      <c r="P613" s="225"/>
      <c r="Q613" s="225"/>
    </row>
    <row r="614" spans="16:17" ht="14.25" customHeight="1" x14ac:dyDescent="0.3">
      <c r="P614" s="225"/>
      <c r="Q614" s="225"/>
    </row>
    <row r="615" spans="16:17" ht="14.25" customHeight="1" x14ac:dyDescent="0.3">
      <c r="P615" s="225"/>
      <c r="Q615" s="225"/>
    </row>
    <row r="616" spans="16:17" ht="14.25" customHeight="1" x14ac:dyDescent="0.3">
      <c r="P616" s="225"/>
      <c r="Q616" s="225"/>
    </row>
    <row r="617" spans="16:17" ht="14.25" customHeight="1" x14ac:dyDescent="0.3">
      <c r="P617" s="225"/>
      <c r="Q617" s="225"/>
    </row>
    <row r="618" spans="16:17" ht="14.25" customHeight="1" x14ac:dyDescent="0.3">
      <c r="P618" s="225"/>
      <c r="Q618" s="225"/>
    </row>
    <row r="619" spans="16:17" ht="14.25" customHeight="1" x14ac:dyDescent="0.3">
      <c r="P619" s="225"/>
      <c r="Q619" s="225"/>
    </row>
    <row r="620" spans="16:17" ht="14.25" customHeight="1" x14ac:dyDescent="0.3">
      <c r="P620" s="225"/>
      <c r="Q620" s="225"/>
    </row>
    <row r="621" spans="16:17" ht="14.25" customHeight="1" x14ac:dyDescent="0.3">
      <c r="P621" s="225"/>
      <c r="Q621" s="225"/>
    </row>
    <row r="622" spans="16:17" ht="14.25" customHeight="1" x14ac:dyDescent="0.3">
      <c r="P622" s="225"/>
      <c r="Q622" s="225"/>
    </row>
    <row r="623" spans="16:17" ht="14.25" customHeight="1" x14ac:dyDescent="0.3">
      <c r="P623" s="225"/>
      <c r="Q623" s="225"/>
    </row>
    <row r="624" spans="16:17" ht="14.25" customHeight="1" x14ac:dyDescent="0.3">
      <c r="P624" s="225"/>
      <c r="Q624" s="225"/>
    </row>
    <row r="625" spans="16:17" ht="14.25" customHeight="1" x14ac:dyDescent="0.3">
      <c r="P625" s="225"/>
      <c r="Q625" s="225"/>
    </row>
    <row r="626" spans="16:17" ht="14.25" customHeight="1" x14ac:dyDescent="0.3">
      <c r="P626" s="225"/>
      <c r="Q626" s="225"/>
    </row>
    <row r="627" spans="16:17" ht="14.25" customHeight="1" x14ac:dyDescent="0.3">
      <c r="P627" s="225"/>
      <c r="Q627" s="225"/>
    </row>
    <row r="628" spans="16:17" ht="14.25" customHeight="1" x14ac:dyDescent="0.3">
      <c r="P628" s="225"/>
      <c r="Q628" s="225"/>
    </row>
    <row r="629" spans="16:17" ht="14.25" customHeight="1" x14ac:dyDescent="0.3">
      <c r="P629" s="225"/>
      <c r="Q629" s="225"/>
    </row>
    <row r="630" spans="16:17" ht="14.25" customHeight="1" x14ac:dyDescent="0.3">
      <c r="P630" s="225"/>
      <c r="Q630" s="225"/>
    </row>
    <row r="631" spans="16:17" ht="14.25" customHeight="1" x14ac:dyDescent="0.3">
      <c r="P631" s="225"/>
      <c r="Q631" s="225"/>
    </row>
    <row r="632" spans="16:17" ht="14.25" customHeight="1" x14ac:dyDescent="0.3">
      <c r="P632" s="225"/>
      <c r="Q632" s="225"/>
    </row>
    <row r="633" spans="16:17" ht="14.25" customHeight="1" x14ac:dyDescent="0.3">
      <c r="P633" s="225"/>
      <c r="Q633" s="225"/>
    </row>
    <row r="634" spans="16:17" ht="14.25" customHeight="1" x14ac:dyDescent="0.3">
      <c r="P634" s="225"/>
      <c r="Q634" s="225"/>
    </row>
    <row r="635" spans="16:17" ht="14.25" customHeight="1" x14ac:dyDescent="0.3">
      <c r="P635" s="225"/>
      <c r="Q635" s="225"/>
    </row>
    <row r="636" spans="16:17" ht="14.25" customHeight="1" x14ac:dyDescent="0.3">
      <c r="P636" s="225"/>
      <c r="Q636" s="225"/>
    </row>
    <row r="637" spans="16:17" ht="14.25" customHeight="1" x14ac:dyDescent="0.3">
      <c r="P637" s="225"/>
      <c r="Q637" s="225"/>
    </row>
    <row r="638" spans="16:17" ht="14.25" customHeight="1" x14ac:dyDescent="0.3">
      <c r="P638" s="225"/>
      <c r="Q638" s="225"/>
    </row>
    <row r="639" spans="16:17" ht="14.25" customHeight="1" x14ac:dyDescent="0.3">
      <c r="P639" s="225"/>
      <c r="Q639" s="225"/>
    </row>
    <row r="640" spans="16:17" ht="14.25" customHeight="1" x14ac:dyDescent="0.3">
      <c r="P640" s="225"/>
      <c r="Q640" s="225"/>
    </row>
    <row r="641" spans="16:17" ht="14.25" customHeight="1" x14ac:dyDescent="0.3">
      <c r="P641" s="225"/>
      <c r="Q641" s="225"/>
    </row>
    <row r="642" spans="16:17" ht="14.25" customHeight="1" x14ac:dyDescent="0.3">
      <c r="P642" s="225"/>
      <c r="Q642" s="225"/>
    </row>
    <row r="643" spans="16:17" ht="14.25" customHeight="1" x14ac:dyDescent="0.3">
      <c r="P643" s="225"/>
      <c r="Q643" s="225"/>
    </row>
    <row r="644" spans="16:17" ht="14.25" customHeight="1" x14ac:dyDescent="0.3">
      <c r="P644" s="225"/>
      <c r="Q644" s="225"/>
    </row>
    <row r="645" spans="16:17" ht="14.25" customHeight="1" x14ac:dyDescent="0.3">
      <c r="P645" s="225"/>
      <c r="Q645" s="225"/>
    </row>
    <row r="646" spans="16:17" ht="14.25" customHeight="1" x14ac:dyDescent="0.3">
      <c r="P646" s="225"/>
      <c r="Q646" s="225"/>
    </row>
    <row r="647" spans="16:17" ht="14.25" customHeight="1" x14ac:dyDescent="0.3">
      <c r="P647" s="225"/>
      <c r="Q647" s="225"/>
    </row>
    <row r="648" spans="16:17" ht="14.25" customHeight="1" x14ac:dyDescent="0.3">
      <c r="P648" s="225"/>
      <c r="Q648" s="225"/>
    </row>
    <row r="649" spans="16:17" ht="14.25" customHeight="1" x14ac:dyDescent="0.3">
      <c r="P649" s="225"/>
      <c r="Q649" s="225"/>
    </row>
    <row r="650" spans="16:17" ht="14.25" customHeight="1" x14ac:dyDescent="0.3">
      <c r="P650" s="225"/>
      <c r="Q650" s="225"/>
    </row>
    <row r="651" spans="16:17" ht="14.25" customHeight="1" x14ac:dyDescent="0.3">
      <c r="P651" s="225"/>
      <c r="Q651" s="225"/>
    </row>
    <row r="652" spans="16:17" ht="14.25" customHeight="1" x14ac:dyDescent="0.3">
      <c r="P652" s="225"/>
      <c r="Q652" s="225"/>
    </row>
    <row r="653" spans="16:17" ht="14.25" customHeight="1" x14ac:dyDescent="0.3">
      <c r="P653" s="225"/>
      <c r="Q653" s="225"/>
    </row>
    <row r="654" spans="16:17" ht="14.25" customHeight="1" x14ac:dyDescent="0.3">
      <c r="P654" s="225"/>
      <c r="Q654" s="225"/>
    </row>
    <row r="655" spans="16:17" ht="14.25" customHeight="1" x14ac:dyDescent="0.3">
      <c r="P655" s="225"/>
      <c r="Q655" s="225"/>
    </row>
    <row r="656" spans="16:17" ht="14.25" customHeight="1" x14ac:dyDescent="0.3">
      <c r="P656" s="225"/>
      <c r="Q656" s="225"/>
    </row>
    <row r="657" spans="16:17" ht="14.25" customHeight="1" x14ac:dyDescent="0.3">
      <c r="P657" s="225"/>
      <c r="Q657" s="225"/>
    </row>
    <row r="658" spans="16:17" ht="14.25" customHeight="1" x14ac:dyDescent="0.3">
      <c r="P658" s="225"/>
      <c r="Q658" s="225"/>
    </row>
    <row r="659" spans="16:17" ht="14.25" customHeight="1" x14ac:dyDescent="0.3">
      <c r="P659" s="225"/>
      <c r="Q659" s="225"/>
    </row>
    <row r="660" spans="16:17" ht="14.25" customHeight="1" x14ac:dyDescent="0.3">
      <c r="P660" s="225"/>
      <c r="Q660" s="225"/>
    </row>
    <row r="661" spans="16:17" ht="14.25" customHeight="1" x14ac:dyDescent="0.3">
      <c r="P661" s="225"/>
      <c r="Q661" s="225"/>
    </row>
    <row r="662" spans="16:17" ht="14.25" customHeight="1" x14ac:dyDescent="0.3">
      <c r="P662" s="225"/>
      <c r="Q662" s="225"/>
    </row>
    <row r="663" spans="16:17" ht="14.25" customHeight="1" x14ac:dyDescent="0.3">
      <c r="P663" s="225"/>
      <c r="Q663" s="225"/>
    </row>
    <row r="664" spans="16:17" ht="14.25" customHeight="1" x14ac:dyDescent="0.3">
      <c r="P664" s="225"/>
      <c r="Q664" s="225"/>
    </row>
    <row r="665" spans="16:17" ht="14.25" customHeight="1" x14ac:dyDescent="0.3">
      <c r="P665" s="225"/>
      <c r="Q665" s="225"/>
    </row>
    <row r="666" spans="16:17" ht="14.25" customHeight="1" x14ac:dyDescent="0.3">
      <c r="P666" s="225"/>
      <c r="Q666" s="225"/>
    </row>
    <row r="667" spans="16:17" ht="14.25" customHeight="1" x14ac:dyDescent="0.3">
      <c r="P667" s="225"/>
      <c r="Q667" s="225"/>
    </row>
    <row r="668" spans="16:17" ht="14.25" customHeight="1" x14ac:dyDescent="0.3">
      <c r="P668" s="225"/>
      <c r="Q668" s="225"/>
    </row>
    <row r="669" spans="16:17" ht="14.25" customHeight="1" x14ac:dyDescent="0.3">
      <c r="P669" s="225"/>
      <c r="Q669" s="225"/>
    </row>
    <row r="670" spans="16:17" ht="14.25" customHeight="1" x14ac:dyDescent="0.3">
      <c r="P670" s="225"/>
      <c r="Q670" s="225"/>
    </row>
    <row r="671" spans="16:17" ht="14.25" customHeight="1" x14ac:dyDescent="0.3">
      <c r="P671" s="225"/>
      <c r="Q671" s="225"/>
    </row>
    <row r="672" spans="16:17" ht="14.25" customHeight="1" x14ac:dyDescent="0.3">
      <c r="P672" s="225"/>
      <c r="Q672" s="225"/>
    </row>
    <row r="673" spans="16:17" ht="14.25" customHeight="1" x14ac:dyDescent="0.3">
      <c r="P673" s="225"/>
      <c r="Q673" s="225"/>
    </row>
    <row r="674" spans="16:17" ht="14.25" customHeight="1" x14ac:dyDescent="0.3">
      <c r="P674" s="225"/>
      <c r="Q674" s="225"/>
    </row>
    <row r="675" spans="16:17" ht="14.25" customHeight="1" x14ac:dyDescent="0.3">
      <c r="P675" s="225"/>
      <c r="Q675" s="225"/>
    </row>
    <row r="676" spans="16:17" ht="14.25" customHeight="1" x14ac:dyDescent="0.3">
      <c r="P676" s="225"/>
      <c r="Q676" s="225"/>
    </row>
    <row r="677" spans="16:17" ht="14.25" customHeight="1" x14ac:dyDescent="0.3">
      <c r="P677" s="225"/>
      <c r="Q677" s="225"/>
    </row>
    <row r="678" spans="16:17" ht="14.25" customHeight="1" x14ac:dyDescent="0.3">
      <c r="P678" s="225"/>
      <c r="Q678" s="225"/>
    </row>
    <row r="679" spans="16:17" ht="14.25" customHeight="1" x14ac:dyDescent="0.3">
      <c r="P679" s="225"/>
      <c r="Q679" s="225"/>
    </row>
    <row r="680" spans="16:17" ht="14.25" customHeight="1" x14ac:dyDescent="0.3">
      <c r="P680" s="225"/>
      <c r="Q680" s="225"/>
    </row>
    <row r="681" spans="16:17" ht="14.25" customHeight="1" x14ac:dyDescent="0.3">
      <c r="P681" s="225"/>
      <c r="Q681" s="225"/>
    </row>
    <row r="682" spans="16:17" ht="14.25" customHeight="1" x14ac:dyDescent="0.3">
      <c r="P682" s="225"/>
      <c r="Q682" s="225"/>
    </row>
    <row r="683" spans="16:17" ht="14.25" customHeight="1" x14ac:dyDescent="0.3">
      <c r="P683" s="225"/>
      <c r="Q683" s="225"/>
    </row>
    <row r="684" spans="16:17" ht="14.25" customHeight="1" x14ac:dyDescent="0.3">
      <c r="P684" s="225"/>
      <c r="Q684" s="225"/>
    </row>
    <row r="685" spans="16:17" ht="14.25" customHeight="1" x14ac:dyDescent="0.3">
      <c r="P685" s="225"/>
      <c r="Q685" s="225"/>
    </row>
    <row r="686" spans="16:17" ht="14.25" customHeight="1" x14ac:dyDescent="0.3">
      <c r="P686" s="225"/>
      <c r="Q686" s="225"/>
    </row>
    <row r="687" spans="16:17" ht="14.25" customHeight="1" x14ac:dyDescent="0.3">
      <c r="P687" s="225"/>
      <c r="Q687" s="225"/>
    </row>
    <row r="688" spans="16:17" ht="14.25" customHeight="1" x14ac:dyDescent="0.3">
      <c r="P688" s="225"/>
      <c r="Q688" s="225"/>
    </row>
    <row r="689" spans="16:17" ht="14.25" customHeight="1" x14ac:dyDescent="0.3">
      <c r="P689" s="225"/>
      <c r="Q689" s="225"/>
    </row>
    <row r="690" spans="16:17" ht="14.25" customHeight="1" x14ac:dyDescent="0.3">
      <c r="P690" s="225"/>
      <c r="Q690" s="225"/>
    </row>
    <row r="691" spans="16:17" ht="14.25" customHeight="1" x14ac:dyDescent="0.3">
      <c r="P691" s="225"/>
      <c r="Q691" s="225"/>
    </row>
    <row r="692" spans="16:17" ht="14.25" customHeight="1" x14ac:dyDescent="0.3">
      <c r="P692" s="225"/>
      <c r="Q692" s="225"/>
    </row>
    <row r="693" spans="16:17" ht="14.25" customHeight="1" x14ac:dyDescent="0.3">
      <c r="P693" s="225"/>
      <c r="Q693" s="225"/>
    </row>
    <row r="694" spans="16:17" ht="14.25" customHeight="1" x14ac:dyDescent="0.3">
      <c r="P694" s="225"/>
      <c r="Q694" s="225"/>
    </row>
    <row r="695" spans="16:17" ht="14.25" customHeight="1" x14ac:dyDescent="0.3">
      <c r="P695" s="225"/>
      <c r="Q695" s="225"/>
    </row>
    <row r="696" spans="16:17" ht="14.25" customHeight="1" x14ac:dyDescent="0.3">
      <c r="P696" s="225"/>
      <c r="Q696" s="225"/>
    </row>
    <row r="697" spans="16:17" ht="14.25" customHeight="1" x14ac:dyDescent="0.3">
      <c r="P697" s="225"/>
      <c r="Q697" s="225"/>
    </row>
    <row r="698" spans="16:17" ht="14.25" customHeight="1" x14ac:dyDescent="0.3">
      <c r="P698" s="225"/>
      <c r="Q698" s="225"/>
    </row>
    <row r="699" spans="16:17" ht="14.25" customHeight="1" x14ac:dyDescent="0.3">
      <c r="P699" s="225"/>
      <c r="Q699" s="225"/>
    </row>
    <row r="700" spans="16:17" ht="14.25" customHeight="1" x14ac:dyDescent="0.3">
      <c r="P700" s="225"/>
      <c r="Q700" s="225"/>
    </row>
    <row r="701" spans="16:17" ht="14.25" customHeight="1" x14ac:dyDescent="0.3">
      <c r="P701" s="225"/>
      <c r="Q701" s="225"/>
    </row>
    <row r="702" spans="16:17" ht="14.25" customHeight="1" x14ac:dyDescent="0.3">
      <c r="P702" s="225"/>
      <c r="Q702" s="225"/>
    </row>
    <row r="703" spans="16:17" ht="14.25" customHeight="1" x14ac:dyDescent="0.3">
      <c r="P703" s="225"/>
      <c r="Q703" s="225"/>
    </row>
    <row r="704" spans="16:17" ht="14.25" customHeight="1" x14ac:dyDescent="0.3">
      <c r="P704" s="225"/>
      <c r="Q704" s="225"/>
    </row>
    <row r="705" spans="16:17" ht="14.25" customHeight="1" x14ac:dyDescent="0.3">
      <c r="P705" s="225"/>
      <c r="Q705" s="225"/>
    </row>
    <row r="706" spans="16:17" ht="14.25" customHeight="1" x14ac:dyDescent="0.3">
      <c r="P706" s="225"/>
      <c r="Q706" s="225"/>
    </row>
    <row r="707" spans="16:17" ht="14.25" customHeight="1" x14ac:dyDescent="0.3">
      <c r="P707" s="225"/>
      <c r="Q707" s="225"/>
    </row>
    <row r="708" spans="16:17" ht="14.25" customHeight="1" x14ac:dyDescent="0.3">
      <c r="P708" s="225"/>
      <c r="Q708" s="225"/>
    </row>
    <row r="709" spans="16:17" ht="14.25" customHeight="1" x14ac:dyDescent="0.3">
      <c r="P709" s="225"/>
      <c r="Q709" s="225"/>
    </row>
    <row r="710" spans="16:17" ht="14.25" customHeight="1" x14ac:dyDescent="0.3">
      <c r="P710" s="225"/>
      <c r="Q710" s="225"/>
    </row>
    <row r="711" spans="16:17" ht="14.25" customHeight="1" x14ac:dyDescent="0.3">
      <c r="P711" s="225"/>
      <c r="Q711" s="225"/>
    </row>
    <row r="712" spans="16:17" ht="14.25" customHeight="1" x14ac:dyDescent="0.3">
      <c r="P712" s="225"/>
      <c r="Q712" s="225"/>
    </row>
    <row r="713" spans="16:17" ht="14.25" customHeight="1" x14ac:dyDescent="0.3">
      <c r="P713" s="225"/>
      <c r="Q713" s="225"/>
    </row>
    <row r="714" spans="16:17" ht="14.25" customHeight="1" x14ac:dyDescent="0.3">
      <c r="P714" s="225"/>
      <c r="Q714" s="225"/>
    </row>
    <row r="715" spans="16:17" ht="14.25" customHeight="1" x14ac:dyDescent="0.3">
      <c r="P715" s="225"/>
      <c r="Q715" s="225"/>
    </row>
    <row r="716" spans="16:17" ht="14.25" customHeight="1" x14ac:dyDescent="0.3">
      <c r="P716" s="225"/>
      <c r="Q716" s="225"/>
    </row>
    <row r="717" spans="16:17" ht="14.25" customHeight="1" x14ac:dyDescent="0.3">
      <c r="P717" s="225"/>
      <c r="Q717" s="225"/>
    </row>
    <row r="718" spans="16:17" ht="14.25" customHeight="1" x14ac:dyDescent="0.3">
      <c r="P718" s="225"/>
      <c r="Q718" s="225"/>
    </row>
    <row r="719" spans="16:17" ht="14.25" customHeight="1" x14ac:dyDescent="0.3">
      <c r="P719" s="225"/>
      <c r="Q719" s="225"/>
    </row>
    <row r="720" spans="16:17" ht="14.25" customHeight="1" x14ac:dyDescent="0.3">
      <c r="P720" s="225"/>
      <c r="Q720" s="225"/>
    </row>
    <row r="721" spans="16:17" ht="14.25" customHeight="1" x14ac:dyDescent="0.3">
      <c r="P721" s="225"/>
      <c r="Q721" s="225"/>
    </row>
    <row r="722" spans="16:17" ht="14.25" customHeight="1" x14ac:dyDescent="0.3">
      <c r="P722" s="225"/>
      <c r="Q722" s="225"/>
    </row>
    <row r="723" spans="16:17" ht="14.25" customHeight="1" x14ac:dyDescent="0.3">
      <c r="P723" s="225"/>
      <c r="Q723" s="225"/>
    </row>
    <row r="724" spans="16:17" ht="14.25" customHeight="1" x14ac:dyDescent="0.3">
      <c r="P724" s="225"/>
      <c r="Q724" s="225"/>
    </row>
    <row r="725" spans="16:17" ht="14.25" customHeight="1" x14ac:dyDescent="0.3">
      <c r="P725" s="225"/>
      <c r="Q725" s="225"/>
    </row>
    <row r="726" spans="16:17" ht="14.25" customHeight="1" x14ac:dyDescent="0.3">
      <c r="P726" s="225"/>
      <c r="Q726" s="225"/>
    </row>
    <row r="727" spans="16:17" ht="14.25" customHeight="1" x14ac:dyDescent="0.3">
      <c r="P727" s="225"/>
      <c r="Q727" s="225"/>
    </row>
    <row r="728" spans="16:17" ht="14.25" customHeight="1" x14ac:dyDescent="0.3">
      <c r="P728" s="225"/>
      <c r="Q728" s="225"/>
    </row>
    <row r="729" spans="16:17" ht="14.25" customHeight="1" x14ac:dyDescent="0.3">
      <c r="P729" s="225"/>
      <c r="Q729" s="225"/>
    </row>
    <row r="730" spans="16:17" ht="14.25" customHeight="1" x14ac:dyDescent="0.3">
      <c r="P730" s="225"/>
      <c r="Q730" s="225"/>
    </row>
    <row r="731" spans="16:17" ht="14.25" customHeight="1" x14ac:dyDescent="0.3">
      <c r="P731" s="225"/>
      <c r="Q731" s="225"/>
    </row>
    <row r="732" spans="16:17" ht="14.25" customHeight="1" x14ac:dyDescent="0.3">
      <c r="P732" s="225"/>
      <c r="Q732" s="225"/>
    </row>
    <row r="733" spans="16:17" ht="14.25" customHeight="1" x14ac:dyDescent="0.3">
      <c r="P733" s="225"/>
      <c r="Q733" s="225"/>
    </row>
    <row r="734" spans="16:17" ht="14.25" customHeight="1" x14ac:dyDescent="0.3">
      <c r="P734" s="225"/>
      <c r="Q734" s="225"/>
    </row>
    <row r="735" spans="16:17" ht="14.25" customHeight="1" x14ac:dyDescent="0.3">
      <c r="P735" s="225"/>
      <c r="Q735" s="225"/>
    </row>
    <row r="736" spans="16:17" ht="14.25" customHeight="1" x14ac:dyDescent="0.3">
      <c r="P736" s="225"/>
      <c r="Q736" s="225"/>
    </row>
    <row r="737" spans="16:17" ht="14.25" customHeight="1" x14ac:dyDescent="0.3">
      <c r="P737" s="225"/>
      <c r="Q737" s="225"/>
    </row>
    <row r="738" spans="16:17" ht="14.25" customHeight="1" x14ac:dyDescent="0.3">
      <c r="P738" s="225"/>
      <c r="Q738" s="225"/>
    </row>
    <row r="739" spans="16:17" ht="14.25" customHeight="1" x14ac:dyDescent="0.3">
      <c r="P739" s="225"/>
      <c r="Q739" s="225"/>
    </row>
    <row r="740" spans="16:17" ht="14.25" customHeight="1" x14ac:dyDescent="0.3">
      <c r="P740" s="225"/>
      <c r="Q740" s="225"/>
    </row>
    <row r="741" spans="16:17" ht="14.25" customHeight="1" x14ac:dyDescent="0.3">
      <c r="P741" s="225"/>
      <c r="Q741" s="225"/>
    </row>
    <row r="742" spans="16:17" ht="14.25" customHeight="1" x14ac:dyDescent="0.3">
      <c r="P742" s="225"/>
      <c r="Q742" s="225"/>
    </row>
    <row r="743" spans="16:17" ht="14.25" customHeight="1" x14ac:dyDescent="0.3">
      <c r="P743" s="225"/>
      <c r="Q743" s="225"/>
    </row>
    <row r="744" spans="16:17" ht="14.25" customHeight="1" x14ac:dyDescent="0.3">
      <c r="P744" s="225"/>
      <c r="Q744" s="225"/>
    </row>
    <row r="745" spans="16:17" ht="14.25" customHeight="1" x14ac:dyDescent="0.3">
      <c r="P745" s="225"/>
      <c r="Q745" s="225"/>
    </row>
    <row r="746" spans="16:17" ht="14.25" customHeight="1" x14ac:dyDescent="0.3">
      <c r="P746" s="225"/>
      <c r="Q746" s="225"/>
    </row>
    <row r="747" spans="16:17" ht="14.25" customHeight="1" x14ac:dyDescent="0.3">
      <c r="P747" s="225"/>
      <c r="Q747" s="225"/>
    </row>
    <row r="748" spans="16:17" ht="14.25" customHeight="1" x14ac:dyDescent="0.3">
      <c r="P748" s="225"/>
      <c r="Q748" s="225"/>
    </row>
    <row r="749" spans="16:17" ht="14.25" customHeight="1" x14ac:dyDescent="0.3">
      <c r="P749" s="225"/>
      <c r="Q749" s="225"/>
    </row>
    <row r="750" spans="16:17" ht="14.25" customHeight="1" x14ac:dyDescent="0.3">
      <c r="P750" s="225"/>
      <c r="Q750" s="225"/>
    </row>
    <row r="751" spans="16:17" ht="14.25" customHeight="1" x14ac:dyDescent="0.3">
      <c r="P751" s="225"/>
      <c r="Q751" s="225"/>
    </row>
    <row r="752" spans="16:17" ht="14.25" customHeight="1" x14ac:dyDescent="0.3">
      <c r="P752" s="225"/>
      <c r="Q752" s="225"/>
    </row>
    <row r="753" spans="16:17" ht="14.25" customHeight="1" x14ac:dyDescent="0.3">
      <c r="P753" s="225"/>
      <c r="Q753" s="225"/>
    </row>
    <row r="754" spans="16:17" ht="14.25" customHeight="1" x14ac:dyDescent="0.3">
      <c r="P754" s="225"/>
      <c r="Q754" s="225"/>
    </row>
    <row r="755" spans="16:17" ht="14.25" customHeight="1" x14ac:dyDescent="0.3">
      <c r="P755" s="225"/>
      <c r="Q755" s="225"/>
    </row>
    <row r="756" spans="16:17" ht="14.25" customHeight="1" x14ac:dyDescent="0.3">
      <c r="P756" s="225"/>
      <c r="Q756" s="225"/>
    </row>
    <row r="757" spans="16:17" ht="14.25" customHeight="1" x14ac:dyDescent="0.3">
      <c r="P757" s="225"/>
      <c r="Q757" s="225"/>
    </row>
    <row r="758" spans="16:17" ht="14.25" customHeight="1" x14ac:dyDescent="0.3">
      <c r="P758" s="225"/>
      <c r="Q758" s="225"/>
    </row>
    <row r="759" spans="16:17" ht="14.25" customHeight="1" x14ac:dyDescent="0.3">
      <c r="P759" s="225"/>
      <c r="Q759" s="225"/>
    </row>
    <row r="760" spans="16:17" ht="14.25" customHeight="1" x14ac:dyDescent="0.3">
      <c r="P760" s="225"/>
      <c r="Q760" s="225"/>
    </row>
    <row r="761" spans="16:17" ht="14.25" customHeight="1" x14ac:dyDescent="0.3">
      <c r="P761" s="225"/>
      <c r="Q761" s="225"/>
    </row>
    <row r="762" spans="16:17" ht="14.25" customHeight="1" x14ac:dyDescent="0.3">
      <c r="P762" s="225"/>
      <c r="Q762" s="225"/>
    </row>
    <row r="763" spans="16:17" ht="14.25" customHeight="1" x14ac:dyDescent="0.3">
      <c r="P763" s="225"/>
      <c r="Q763" s="225"/>
    </row>
    <row r="764" spans="16:17" ht="14.25" customHeight="1" x14ac:dyDescent="0.3">
      <c r="P764" s="225"/>
      <c r="Q764" s="225"/>
    </row>
    <row r="765" spans="16:17" ht="14.25" customHeight="1" x14ac:dyDescent="0.3">
      <c r="P765" s="225"/>
      <c r="Q765" s="225"/>
    </row>
    <row r="766" spans="16:17" ht="14.25" customHeight="1" x14ac:dyDescent="0.3">
      <c r="P766" s="225"/>
      <c r="Q766" s="225"/>
    </row>
    <row r="767" spans="16:17" ht="14.25" customHeight="1" x14ac:dyDescent="0.3">
      <c r="P767" s="225"/>
      <c r="Q767" s="225"/>
    </row>
    <row r="768" spans="16:17" ht="14.25" customHeight="1" x14ac:dyDescent="0.3">
      <c r="P768" s="225"/>
      <c r="Q768" s="225"/>
    </row>
    <row r="769" spans="16:17" ht="14.25" customHeight="1" x14ac:dyDescent="0.3">
      <c r="P769" s="225"/>
      <c r="Q769" s="225"/>
    </row>
    <row r="770" spans="16:17" ht="14.25" customHeight="1" x14ac:dyDescent="0.3">
      <c r="P770" s="225"/>
      <c r="Q770" s="225"/>
    </row>
    <row r="771" spans="16:17" ht="14.25" customHeight="1" x14ac:dyDescent="0.3">
      <c r="P771" s="225"/>
      <c r="Q771" s="225"/>
    </row>
    <row r="772" spans="16:17" ht="14.25" customHeight="1" x14ac:dyDescent="0.3">
      <c r="P772" s="225"/>
      <c r="Q772" s="225"/>
    </row>
    <row r="773" spans="16:17" ht="14.25" customHeight="1" x14ac:dyDescent="0.3">
      <c r="P773" s="225"/>
      <c r="Q773" s="225"/>
    </row>
    <row r="774" spans="16:17" ht="14.25" customHeight="1" x14ac:dyDescent="0.3">
      <c r="P774" s="225"/>
      <c r="Q774" s="225"/>
    </row>
    <row r="775" spans="16:17" ht="14.25" customHeight="1" x14ac:dyDescent="0.3">
      <c r="P775" s="225"/>
      <c r="Q775" s="225"/>
    </row>
    <row r="776" spans="16:17" ht="14.25" customHeight="1" x14ac:dyDescent="0.3">
      <c r="P776" s="225"/>
      <c r="Q776" s="225"/>
    </row>
    <row r="777" spans="16:17" ht="14.25" customHeight="1" x14ac:dyDescent="0.3">
      <c r="P777" s="225"/>
      <c r="Q777" s="225"/>
    </row>
    <row r="778" spans="16:17" ht="14.25" customHeight="1" x14ac:dyDescent="0.3">
      <c r="P778" s="225"/>
      <c r="Q778" s="225"/>
    </row>
    <row r="779" spans="16:17" ht="14.25" customHeight="1" x14ac:dyDescent="0.3">
      <c r="P779" s="225"/>
      <c r="Q779" s="225"/>
    </row>
    <row r="780" spans="16:17" ht="14.25" customHeight="1" x14ac:dyDescent="0.3">
      <c r="P780" s="225"/>
      <c r="Q780" s="225"/>
    </row>
    <row r="781" spans="16:17" ht="14.25" customHeight="1" x14ac:dyDescent="0.3">
      <c r="P781" s="225"/>
      <c r="Q781" s="225"/>
    </row>
    <row r="782" spans="16:17" ht="14.25" customHeight="1" x14ac:dyDescent="0.3">
      <c r="P782" s="225"/>
      <c r="Q782" s="225"/>
    </row>
    <row r="783" spans="16:17" ht="14.25" customHeight="1" x14ac:dyDescent="0.3">
      <c r="P783" s="225"/>
      <c r="Q783" s="225"/>
    </row>
    <row r="784" spans="16:17" ht="14.25" customHeight="1" x14ac:dyDescent="0.3">
      <c r="P784" s="225"/>
      <c r="Q784" s="225"/>
    </row>
    <row r="785" spans="16:17" ht="14.25" customHeight="1" x14ac:dyDescent="0.3">
      <c r="P785" s="225"/>
      <c r="Q785" s="225"/>
    </row>
    <row r="786" spans="16:17" ht="14.25" customHeight="1" x14ac:dyDescent="0.3">
      <c r="P786" s="225"/>
      <c r="Q786" s="225"/>
    </row>
    <row r="787" spans="16:17" ht="14.25" customHeight="1" x14ac:dyDescent="0.3">
      <c r="P787" s="225"/>
      <c r="Q787" s="225"/>
    </row>
    <row r="788" spans="16:17" ht="14.25" customHeight="1" x14ac:dyDescent="0.3">
      <c r="P788" s="225"/>
      <c r="Q788" s="225"/>
    </row>
    <row r="789" spans="16:17" ht="14.25" customHeight="1" x14ac:dyDescent="0.3">
      <c r="P789" s="225"/>
      <c r="Q789" s="225"/>
    </row>
    <row r="790" spans="16:17" ht="14.25" customHeight="1" x14ac:dyDescent="0.3">
      <c r="P790" s="225"/>
      <c r="Q790" s="225"/>
    </row>
    <row r="791" spans="16:17" ht="14.25" customHeight="1" x14ac:dyDescent="0.3">
      <c r="P791" s="225"/>
      <c r="Q791" s="225"/>
    </row>
    <row r="792" spans="16:17" ht="14.25" customHeight="1" x14ac:dyDescent="0.3">
      <c r="P792" s="225"/>
      <c r="Q792" s="225"/>
    </row>
    <row r="793" spans="16:17" ht="14.25" customHeight="1" x14ac:dyDescent="0.3">
      <c r="P793" s="225"/>
      <c r="Q793" s="225"/>
    </row>
    <row r="794" spans="16:17" ht="14.25" customHeight="1" x14ac:dyDescent="0.3">
      <c r="P794" s="225"/>
      <c r="Q794" s="225"/>
    </row>
    <row r="795" spans="16:17" ht="14.25" customHeight="1" x14ac:dyDescent="0.3">
      <c r="P795" s="225"/>
      <c r="Q795" s="225"/>
    </row>
    <row r="796" spans="16:17" ht="14.25" customHeight="1" x14ac:dyDescent="0.3">
      <c r="P796" s="225"/>
      <c r="Q796" s="225"/>
    </row>
    <row r="797" spans="16:17" ht="14.25" customHeight="1" x14ac:dyDescent="0.3">
      <c r="P797" s="225"/>
      <c r="Q797" s="225"/>
    </row>
    <row r="798" spans="16:17" ht="14.25" customHeight="1" x14ac:dyDescent="0.3">
      <c r="P798" s="225"/>
      <c r="Q798" s="225"/>
    </row>
    <row r="799" spans="16:17" ht="14.25" customHeight="1" x14ac:dyDescent="0.3">
      <c r="P799" s="225"/>
      <c r="Q799" s="225"/>
    </row>
    <row r="800" spans="16:17" ht="14.25" customHeight="1" x14ac:dyDescent="0.3">
      <c r="P800" s="225"/>
      <c r="Q800" s="225"/>
    </row>
    <row r="801" spans="16:17" ht="14.25" customHeight="1" x14ac:dyDescent="0.3">
      <c r="P801" s="225"/>
      <c r="Q801" s="225"/>
    </row>
    <row r="802" spans="16:17" ht="14.25" customHeight="1" x14ac:dyDescent="0.3">
      <c r="P802" s="225"/>
      <c r="Q802" s="225"/>
    </row>
    <row r="803" spans="16:17" ht="14.25" customHeight="1" x14ac:dyDescent="0.3">
      <c r="P803" s="225"/>
      <c r="Q803" s="225"/>
    </row>
    <row r="804" spans="16:17" ht="14.25" customHeight="1" x14ac:dyDescent="0.3">
      <c r="P804" s="225"/>
      <c r="Q804" s="225"/>
    </row>
    <row r="805" spans="16:17" ht="14.25" customHeight="1" x14ac:dyDescent="0.3">
      <c r="P805" s="225"/>
      <c r="Q805" s="225"/>
    </row>
    <row r="806" spans="16:17" ht="14.25" customHeight="1" x14ac:dyDescent="0.3">
      <c r="P806" s="225"/>
      <c r="Q806" s="225"/>
    </row>
    <row r="807" spans="16:17" ht="14.25" customHeight="1" x14ac:dyDescent="0.3">
      <c r="P807" s="225"/>
      <c r="Q807" s="225"/>
    </row>
    <row r="808" spans="16:17" ht="14.25" customHeight="1" x14ac:dyDescent="0.3">
      <c r="P808" s="225"/>
      <c r="Q808" s="225"/>
    </row>
    <row r="809" spans="16:17" ht="14.25" customHeight="1" x14ac:dyDescent="0.3">
      <c r="P809" s="225"/>
      <c r="Q809" s="225"/>
    </row>
    <row r="810" spans="16:17" ht="14.25" customHeight="1" x14ac:dyDescent="0.3">
      <c r="P810" s="225"/>
      <c r="Q810" s="225"/>
    </row>
    <row r="811" spans="16:17" ht="14.25" customHeight="1" x14ac:dyDescent="0.3">
      <c r="P811" s="225"/>
      <c r="Q811" s="225"/>
    </row>
    <row r="812" spans="16:17" ht="14.25" customHeight="1" x14ac:dyDescent="0.3">
      <c r="P812" s="225"/>
      <c r="Q812" s="225"/>
    </row>
    <row r="813" spans="16:17" ht="14.25" customHeight="1" x14ac:dyDescent="0.3">
      <c r="P813" s="225"/>
      <c r="Q813" s="225"/>
    </row>
    <row r="814" spans="16:17" ht="14.25" customHeight="1" x14ac:dyDescent="0.3">
      <c r="P814" s="225"/>
      <c r="Q814" s="225"/>
    </row>
    <row r="815" spans="16:17" ht="14.25" customHeight="1" x14ac:dyDescent="0.3">
      <c r="P815" s="225"/>
      <c r="Q815" s="225"/>
    </row>
    <row r="816" spans="16:17" ht="14.25" customHeight="1" x14ac:dyDescent="0.3">
      <c r="P816" s="225"/>
      <c r="Q816" s="225"/>
    </row>
    <row r="817" spans="16:17" ht="14.25" customHeight="1" x14ac:dyDescent="0.3">
      <c r="P817" s="225"/>
      <c r="Q817" s="225"/>
    </row>
    <row r="818" spans="16:17" ht="14.25" customHeight="1" x14ac:dyDescent="0.3">
      <c r="P818" s="225"/>
      <c r="Q818" s="225"/>
    </row>
    <row r="819" spans="16:17" ht="14.25" customHeight="1" x14ac:dyDescent="0.3">
      <c r="P819" s="225"/>
      <c r="Q819" s="225"/>
    </row>
    <row r="820" spans="16:17" ht="14.25" customHeight="1" x14ac:dyDescent="0.3">
      <c r="P820" s="225"/>
      <c r="Q820" s="225"/>
    </row>
    <row r="821" spans="16:17" ht="14.25" customHeight="1" x14ac:dyDescent="0.3">
      <c r="P821" s="225"/>
      <c r="Q821" s="225"/>
    </row>
    <row r="822" spans="16:17" ht="14.25" customHeight="1" x14ac:dyDescent="0.3">
      <c r="P822" s="225"/>
      <c r="Q822" s="225"/>
    </row>
    <row r="823" spans="16:17" ht="14.25" customHeight="1" x14ac:dyDescent="0.3">
      <c r="P823" s="225"/>
      <c r="Q823" s="225"/>
    </row>
    <row r="824" spans="16:17" ht="14.25" customHeight="1" x14ac:dyDescent="0.3">
      <c r="P824" s="225"/>
      <c r="Q824" s="225"/>
    </row>
    <row r="825" spans="16:17" ht="14.25" customHeight="1" x14ac:dyDescent="0.3">
      <c r="P825" s="225"/>
      <c r="Q825" s="225"/>
    </row>
    <row r="826" spans="16:17" ht="14.25" customHeight="1" x14ac:dyDescent="0.3">
      <c r="P826" s="225"/>
      <c r="Q826" s="225"/>
    </row>
    <row r="827" spans="16:17" ht="14.25" customHeight="1" x14ac:dyDescent="0.3">
      <c r="P827" s="225"/>
      <c r="Q827" s="225"/>
    </row>
    <row r="828" spans="16:17" ht="14.25" customHeight="1" x14ac:dyDescent="0.3">
      <c r="P828" s="225"/>
      <c r="Q828" s="225"/>
    </row>
    <row r="829" spans="16:17" ht="14.25" customHeight="1" x14ac:dyDescent="0.3">
      <c r="P829" s="225"/>
      <c r="Q829" s="225"/>
    </row>
    <row r="830" spans="16:17" ht="14.25" customHeight="1" x14ac:dyDescent="0.3">
      <c r="P830" s="225"/>
      <c r="Q830" s="225"/>
    </row>
    <row r="831" spans="16:17" ht="14.25" customHeight="1" x14ac:dyDescent="0.3">
      <c r="P831" s="225"/>
      <c r="Q831" s="225"/>
    </row>
    <row r="832" spans="16:17" ht="14.25" customHeight="1" x14ac:dyDescent="0.3">
      <c r="P832" s="225"/>
      <c r="Q832" s="225"/>
    </row>
    <row r="833" spans="16:17" ht="14.25" customHeight="1" x14ac:dyDescent="0.3">
      <c r="P833" s="225"/>
      <c r="Q833" s="225"/>
    </row>
    <row r="834" spans="16:17" ht="14.25" customHeight="1" x14ac:dyDescent="0.3">
      <c r="P834" s="225"/>
      <c r="Q834" s="225"/>
    </row>
    <row r="835" spans="16:17" ht="14.25" customHeight="1" x14ac:dyDescent="0.3">
      <c r="P835" s="225"/>
      <c r="Q835" s="225"/>
    </row>
    <row r="836" spans="16:17" ht="14.25" customHeight="1" x14ac:dyDescent="0.3">
      <c r="P836" s="225"/>
      <c r="Q836" s="225"/>
    </row>
    <row r="837" spans="16:17" ht="14.25" customHeight="1" x14ac:dyDescent="0.3">
      <c r="P837" s="225"/>
      <c r="Q837" s="225"/>
    </row>
    <row r="838" spans="16:17" ht="14.25" customHeight="1" x14ac:dyDescent="0.3">
      <c r="P838" s="225"/>
      <c r="Q838" s="225"/>
    </row>
    <row r="839" spans="16:17" ht="14.25" customHeight="1" x14ac:dyDescent="0.3">
      <c r="P839" s="225"/>
      <c r="Q839" s="225"/>
    </row>
    <row r="840" spans="16:17" ht="14.25" customHeight="1" x14ac:dyDescent="0.3">
      <c r="P840" s="225"/>
      <c r="Q840" s="225"/>
    </row>
    <row r="841" spans="16:17" ht="14.25" customHeight="1" x14ac:dyDescent="0.3">
      <c r="P841" s="225"/>
      <c r="Q841" s="225"/>
    </row>
    <row r="842" spans="16:17" ht="14.25" customHeight="1" x14ac:dyDescent="0.3">
      <c r="P842" s="225"/>
      <c r="Q842" s="225"/>
    </row>
    <row r="843" spans="16:17" ht="14.25" customHeight="1" x14ac:dyDescent="0.3">
      <c r="P843" s="225"/>
      <c r="Q843" s="225"/>
    </row>
    <row r="844" spans="16:17" ht="14.25" customHeight="1" x14ac:dyDescent="0.3">
      <c r="P844" s="225"/>
      <c r="Q844" s="225"/>
    </row>
    <row r="845" spans="16:17" ht="14.25" customHeight="1" x14ac:dyDescent="0.3">
      <c r="P845" s="225"/>
      <c r="Q845" s="225"/>
    </row>
    <row r="846" spans="16:17" ht="14.25" customHeight="1" x14ac:dyDescent="0.3">
      <c r="P846" s="225"/>
      <c r="Q846" s="225"/>
    </row>
    <row r="847" spans="16:17" ht="14.25" customHeight="1" x14ac:dyDescent="0.3">
      <c r="P847" s="225"/>
      <c r="Q847" s="225"/>
    </row>
    <row r="848" spans="16:17" ht="14.25" customHeight="1" x14ac:dyDescent="0.3">
      <c r="P848" s="225"/>
      <c r="Q848" s="225"/>
    </row>
    <row r="849" spans="16:17" ht="14.25" customHeight="1" x14ac:dyDescent="0.3">
      <c r="P849" s="225"/>
      <c r="Q849" s="225"/>
    </row>
    <row r="850" spans="16:17" ht="14.25" customHeight="1" x14ac:dyDescent="0.3">
      <c r="P850" s="225"/>
      <c r="Q850" s="225"/>
    </row>
    <row r="851" spans="16:17" ht="14.25" customHeight="1" x14ac:dyDescent="0.3">
      <c r="P851" s="225"/>
      <c r="Q851" s="225"/>
    </row>
    <row r="852" spans="16:17" ht="14.25" customHeight="1" x14ac:dyDescent="0.3">
      <c r="P852" s="225"/>
      <c r="Q852" s="225"/>
    </row>
    <row r="853" spans="16:17" ht="14.25" customHeight="1" x14ac:dyDescent="0.3">
      <c r="P853" s="225"/>
      <c r="Q853" s="225"/>
    </row>
    <row r="854" spans="16:17" ht="14.25" customHeight="1" x14ac:dyDescent="0.3">
      <c r="P854" s="225"/>
      <c r="Q854" s="225"/>
    </row>
    <row r="855" spans="16:17" ht="14.25" customHeight="1" x14ac:dyDescent="0.3">
      <c r="P855" s="225"/>
      <c r="Q855" s="225"/>
    </row>
    <row r="856" spans="16:17" ht="14.25" customHeight="1" x14ac:dyDescent="0.3">
      <c r="P856" s="225"/>
      <c r="Q856" s="225"/>
    </row>
    <row r="857" spans="16:17" ht="14.25" customHeight="1" x14ac:dyDescent="0.3">
      <c r="P857" s="225"/>
      <c r="Q857" s="225"/>
    </row>
    <row r="858" spans="16:17" ht="14.25" customHeight="1" x14ac:dyDescent="0.3">
      <c r="P858" s="225"/>
      <c r="Q858" s="225"/>
    </row>
    <row r="859" spans="16:17" ht="14.25" customHeight="1" x14ac:dyDescent="0.3">
      <c r="P859" s="225"/>
      <c r="Q859" s="225"/>
    </row>
    <row r="860" spans="16:17" ht="14.25" customHeight="1" x14ac:dyDescent="0.3">
      <c r="P860" s="225"/>
      <c r="Q860" s="225"/>
    </row>
    <row r="861" spans="16:17" ht="14.25" customHeight="1" x14ac:dyDescent="0.3">
      <c r="P861" s="225"/>
      <c r="Q861" s="225"/>
    </row>
    <row r="862" spans="16:17" ht="14.25" customHeight="1" x14ac:dyDescent="0.3">
      <c r="P862" s="225"/>
      <c r="Q862" s="225"/>
    </row>
    <row r="863" spans="16:17" ht="14.25" customHeight="1" x14ac:dyDescent="0.3">
      <c r="P863" s="225"/>
      <c r="Q863" s="225"/>
    </row>
    <row r="864" spans="16:17" ht="14.25" customHeight="1" x14ac:dyDescent="0.3">
      <c r="P864" s="225"/>
      <c r="Q864" s="225"/>
    </row>
    <row r="865" spans="16:17" ht="14.25" customHeight="1" x14ac:dyDescent="0.3">
      <c r="P865" s="225"/>
      <c r="Q865" s="225"/>
    </row>
    <row r="866" spans="16:17" ht="14.25" customHeight="1" x14ac:dyDescent="0.3">
      <c r="P866" s="225"/>
      <c r="Q866" s="225"/>
    </row>
    <row r="867" spans="16:17" ht="14.25" customHeight="1" x14ac:dyDescent="0.3">
      <c r="P867" s="225"/>
      <c r="Q867" s="225"/>
    </row>
    <row r="868" spans="16:17" ht="14.25" customHeight="1" x14ac:dyDescent="0.3">
      <c r="P868" s="225"/>
      <c r="Q868" s="225"/>
    </row>
    <row r="869" spans="16:17" ht="14.25" customHeight="1" x14ac:dyDescent="0.3">
      <c r="P869" s="225"/>
      <c r="Q869" s="225"/>
    </row>
    <row r="870" spans="16:17" ht="14.25" customHeight="1" x14ac:dyDescent="0.3">
      <c r="P870" s="225"/>
      <c r="Q870" s="225"/>
    </row>
    <row r="871" spans="16:17" ht="14.25" customHeight="1" x14ac:dyDescent="0.3">
      <c r="P871" s="225"/>
      <c r="Q871" s="225"/>
    </row>
    <row r="872" spans="16:17" ht="14.25" customHeight="1" x14ac:dyDescent="0.3">
      <c r="P872" s="225"/>
      <c r="Q872" s="225"/>
    </row>
    <row r="873" spans="16:17" ht="14.25" customHeight="1" x14ac:dyDescent="0.3">
      <c r="P873" s="225"/>
      <c r="Q873" s="225"/>
    </row>
    <row r="874" spans="16:17" ht="14.25" customHeight="1" x14ac:dyDescent="0.3">
      <c r="P874" s="225"/>
      <c r="Q874" s="225"/>
    </row>
    <row r="875" spans="16:17" ht="14.25" customHeight="1" x14ac:dyDescent="0.3">
      <c r="P875" s="225"/>
      <c r="Q875" s="225"/>
    </row>
    <row r="876" spans="16:17" ht="14.25" customHeight="1" x14ac:dyDescent="0.3">
      <c r="P876" s="225"/>
      <c r="Q876" s="225"/>
    </row>
    <row r="877" spans="16:17" ht="14.25" customHeight="1" x14ac:dyDescent="0.3">
      <c r="P877" s="225"/>
      <c r="Q877" s="225"/>
    </row>
    <row r="878" spans="16:17" ht="14.25" customHeight="1" x14ac:dyDescent="0.3">
      <c r="P878" s="225"/>
      <c r="Q878" s="225"/>
    </row>
    <row r="879" spans="16:17" ht="14.25" customHeight="1" x14ac:dyDescent="0.3">
      <c r="P879" s="225"/>
      <c r="Q879" s="225"/>
    </row>
    <row r="880" spans="16:17" ht="14.25" customHeight="1" x14ac:dyDescent="0.3">
      <c r="P880" s="225"/>
      <c r="Q880" s="225"/>
    </row>
    <row r="881" spans="16:17" ht="14.25" customHeight="1" x14ac:dyDescent="0.3">
      <c r="P881" s="225"/>
      <c r="Q881" s="225"/>
    </row>
    <row r="882" spans="16:17" ht="14.25" customHeight="1" x14ac:dyDescent="0.3">
      <c r="P882" s="225"/>
      <c r="Q882" s="225"/>
    </row>
    <row r="883" spans="16:17" ht="14.25" customHeight="1" x14ac:dyDescent="0.3">
      <c r="P883" s="225"/>
      <c r="Q883" s="225"/>
    </row>
    <row r="884" spans="16:17" ht="14.25" customHeight="1" x14ac:dyDescent="0.3">
      <c r="P884" s="225"/>
      <c r="Q884" s="225"/>
    </row>
    <row r="885" spans="16:17" ht="14.25" customHeight="1" x14ac:dyDescent="0.3">
      <c r="P885" s="225"/>
      <c r="Q885" s="225"/>
    </row>
    <row r="886" spans="16:17" ht="14.25" customHeight="1" x14ac:dyDescent="0.3">
      <c r="P886" s="225"/>
      <c r="Q886" s="225"/>
    </row>
    <row r="887" spans="16:17" ht="14.25" customHeight="1" x14ac:dyDescent="0.3">
      <c r="P887" s="225"/>
      <c r="Q887" s="225"/>
    </row>
    <row r="888" spans="16:17" ht="14.25" customHeight="1" x14ac:dyDescent="0.3">
      <c r="P888" s="225"/>
      <c r="Q888" s="225"/>
    </row>
    <row r="889" spans="16:17" ht="14.25" customHeight="1" x14ac:dyDescent="0.3">
      <c r="P889" s="225"/>
      <c r="Q889" s="225"/>
    </row>
    <row r="890" spans="16:17" ht="14.25" customHeight="1" x14ac:dyDescent="0.3">
      <c r="P890" s="225"/>
      <c r="Q890" s="225"/>
    </row>
    <row r="891" spans="16:17" ht="14.25" customHeight="1" x14ac:dyDescent="0.3">
      <c r="P891" s="225"/>
      <c r="Q891" s="225"/>
    </row>
    <row r="892" spans="16:17" ht="14.25" customHeight="1" x14ac:dyDescent="0.3">
      <c r="P892" s="225"/>
      <c r="Q892" s="225"/>
    </row>
    <row r="893" spans="16:17" ht="14.25" customHeight="1" x14ac:dyDescent="0.3">
      <c r="P893" s="225"/>
      <c r="Q893" s="225"/>
    </row>
    <row r="894" spans="16:17" ht="14.25" customHeight="1" x14ac:dyDescent="0.3">
      <c r="P894" s="225"/>
      <c r="Q894" s="225"/>
    </row>
    <row r="895" spans="16:17" ht="14.25" customHeight="1" x14ac:dyDescent="0.3">
      <c r="P895" s="225"/>
      <c r="Q895" s="225"/>
    </row>
    <row r="896" spans="16:17" ht="14.25" customHeight="1" x14ac:dyDescent="0.3">
      <c r="P896" s="225"/>
      <c r="Q896" s="225"/>
    </row>
    <row r="897" spans="16:17" ht="14.25" customHeight="1" x14ac:dyDescent="0.3">
      <c r="P897" s="225"/>
      <c r="Q897" s="225"/>
    </row>
    <row r="898" spans="16:17" ht="14.25" customHeight="1" x14ac:dyDescent="0.3">
      <c r="P898" s="225"/>
      <c r="Q898" s="225"/>
    </row>
    <row r="899" spans="16:17" ht="14.25" customHeight="1" x14ac:dyDescent="0.3">
      <c r="P899" s="225"/>
      <c r="Q899" s="225"/>
    </row>
    <row r="900" spans="16:17" ht="14.25" customHeight="1" x14ac:dyDescent="0.3">
      <c r="P900" s="225"/>
      <c r="Q900" s="225"/>
    </row>
    <row r="901" spans="16:17" ht="14.25" customHeight="1" x14ac:dyDescent="0.3">
      <c r="P901" s="225"/>
      <c r="Q901" s="225"/>
    </row>
    <row r="902" spans="16:17" ht="14.25" customHeight="1" x14ac:dyDescent="0.3">
      <c r="P902" s="225"/>
      <c r="Q902" s="225"/>
    </row>
    <row r="903" spans="16:17" ht="14.25" customHeight="1" x14ac:dyDescent="0.3">
      <c r="P903" s="225"/>
      <c r="Q903" s="225"/>
    </row>
    <row r="904" spans="16:17" ht="14.25" customHeight="1" x14ac:dyDescent="0.3">
      <c r="P904" s="225"/>
      <c r="Q904" s="225"/>
    </row>
    <row r="905" spans="16:17" ht="14.25" customHeight="1" x14ac:dyDescent="0.3">
      <c r="P905" s="225"/>
      <c r="Q905" s="225"/>
    </row>
    <row r="906" spans="16:17" ht="14.25" customHeight="1" x14ac:dyDescent="0.3">
      <c r="P906" s="225"/>
      <c r="Q906" s="225"/>
    </row>
    <row r="907" spans="16:17" ht="14.25" customHeight="1" x14ac:dyDescent="0.3">
      <c r="P907" s="225"/>
      <c r="Q907" s="225"/>
    </row>
    <row r="908" spans="16:17" ht="14.25" customHeight="1" x14ac:dyDescent="0.3">
      <c r="P908" s="225"/>
      <c r="Q908" s="225"/>
    </row>
    <row r="909" spans="16:17" ht="14.25" customHeight="1" x14ac:dyDescent="0.3">
      <c r="P909" s="225"/>
      <c r="Q909" s="225"/>
    </row>
    <row r="910" spans="16:17" ht="14.25" customHeight="1" x14ac:dyDescent="0.3">
      <c r="P910" s="225"/>
      <c r="Q910" s="225"/>
    </row>
    <row r="911" spans="16:17" ht="14.25" customHeight="1" x14ac:dyDescent="0.3">
      <c r="P911" s="225"/>
      <c r="Q911" s="225"/>
    </row>
    <row r="912" spans="16:17" ht="14.25" customHeight="1" x14ac:dyDescent="0.3">
      <c r="P912" s="225"/>
      <c r="Q912" s="225"/>
    </row>
    <row r="913" spans="16:17" ht="14.25" customHeight="1" x14ac:dyDescent="0.3">
      <c r="P913" s="225"/>
      <c r="Q913" s="225"/>
    </row>
    <row r="914" spans="16:17" ht="14.25" customHeight="1" x14ac:dyDescent="0.3">
      <c r="P914" s="225"/>
      <c r="Q914" s="225"/>
    </row>
    <row r="915" spans="16:17" ht="14.25" customHeight="1" x14ac:dyDescent="0.3">
      <c r="P915" s="225"/>
      <c r="Q915" s="225"/>
    </row>
    <row r="916" spans="16:17" ht="14.25" customHeight="1" x14ac:dyDescent="0.3">
      <c r="P916" s="225"/>
      <c r="Q916" s="225"/>
    </row>
    <row r="917" spans="16:17" ht="14.25" customHeight="1" x14ac:dyDescent="0.3">
      <c r="P917" s="225"/>
      <c r="Q917" s="225"/>
    </row>
    <row r="918" spans="16:17" ht="14.25" customHeight="1" x14ac:dyDescent="0.3">
      <c r="P918" s="225"/>
      <c r="Q918" s="225"/>
    </row>
    <row r="919" spans="16:17" ht="14.25" customHeight="1" x14ac:dyDescent="0.3">
      <c r="P919" s="225"/>
      <c r="Q919" s="225"/>
    </row>
    <row r="920" spans="16:17" ht="14.25" customHeight="1" x14ac:dyDescent="0.3">
      <c r="P920" s="225"/>
      <c r="Q920" s="225"/>
    </row>
    <row r="921" spans="16:17" ht="14.25" customHeight="1" x14ac:dyDescent="0.3">
      <c r="P921" s="225"/>
      <c r="Q921" s="225"/>
    </row>
    <row r="922" spans="16:17" ht="14.25" customHeight="1" x14ac:dyDescent="0.3">
      <c r="P922" s="225"/>
      <c r="Q922" s="225"/>
    </row>
    <row r="923" spans="16:17" ht="14.25" customHeight="1" x14ac:dyDescent="0.3">
      <c r="P923" s="225"/>
      <c r="Q923" s="225"/>
    </row>
    <row r="924" spans="16:17" ht="14.25" customHeight="1" x14ac:dyDescent="0.3">
      <c r="P924" s="225"/>
      <c r="Q924" s="225"/>
    </row>
    <row r="925" spans="16:17" ht="14.25" customHeight="1" x14ac:dyDescent="0.3">
      <c r="P925" s="225"/>
      <c r="Q925" s="225"/>
    </row>
    <row r="926" spans="16:17" ht="14.25" customHeight="1" x14ac:dyDescent="0.3">
      <c r="P926" s="225"/>
      <c r="Q926" s="225"/>
    </row>
    <row r="927" spans="16:17" ht="14.25" customHeight="1" x14ac:dyDescent="0.3">
      <c r="P927" s="225"/>
      <c r="Q927" s="225"/>
    </row>
    <row r="928" spans="16:17" ht="14.25" customHeight="1" x14ac:dyDescent="0.3">
      <c r="P928" s="225"/>
      <c r="Q928" s="225"/>
    </row>
    <row r="929" spans="16:17" ht="14.25" customHeight="1" x14ac:dyDescent="0.3">
      <c r="P929" s="225"/>
      <c r="Q929" s="225"/>
    </row>
    <row r="930" spans="16:17" ht="14.25" customHeight="1" x14ac:dyDescent="0.3">
      <c r="P930" s="225"/>
      <c r="Q930" s="225"/>
    </row>
    <row r="931" spans="16:17" ht="14.25" customHeight="1" x14ac:dyDescent="0.3">
      <c r="P931" s="225"/>
      <c r="Q931" s="225"/>
    </row>
    <row r="932" spans="16:17" ht="14.25" customHeight="1" x14ac:dyDescent="0.3">
      <c r="P932" s="225"/>
      <c r="Q932" s="225"/>
    </row>
    <row r="933" spans="16:17" ht="14.25" customHeight="1" x14ac:dyDescent="0.3">
      <c r="P933" s="225"/>
      <c r="Q933" s="225"/>
    </row>
    <row r="934" spans="16:17" ht="14.25" customHeight="1" x14ac:dyDescent="0.3">
      <c r="P934" s="225"/>
      <c r="Q934" s="225"/>
    </row>
    <row r="935" spans="16:17" ht="14.25" customHeight="1" x14ac:dyDescent="0.3">
      <c r="P935" s="225"/>
      <c r="Q935" s="225"/>
    </row>
    <row r="936" spans="16:17" ht="14.25" customHeight="1" x14ac:dyDescent="0.3">
      <c r="P936" s="225"/>
      <c r="Q936" s="225"/>
    </row>
    <row r="937" spans="16:17" ht="14.25" customHeight="1" x14ac:dyDescent="0.3">
      <c r="P937" s="225"/>
      <c r="Q937" s="225"/>
    </row>
    <row r="938" spans="16:17" ht="14.25" customHeight="1" x14ac:dyDescent="0.3">
      <c r="P938" s="225"/>
      <c r="Q938" s="225"/>
    </row>
    <row r="939" spans="16:17" ht="14.25" customHeight="1" x14ac:dyDescent="0.3">
      <c r="P939" s="225"/>
      <c r="Q939" s="225"/>
    </row>
    <row r="940" spans="16:17" ht="14.25" customHeight="1" x14ac:dyDescent="0.3">
      <c r="P940" s="225"/>
      <c r="Q940" s="225"/>
    </row>
    <row r="941" spans="16:17" ht="14.25" customHeight="1" x14ac:dyDescent="0.3">
      <c r="P941" s="225"/>
      <c r="Q941" s="225"/>
    </row>
    <row r="942" spans="16:17" ht="14.25" customHeight="1" x14ac:dyDescent="0.3">
      <c r="P942" s="225"/>
      <c r="Q942" s="225"/>
    </row>
    <row r="943" spans="16:17" ht="14.25" customHeight="1" x14ac:dyDescent="0.3">
      <c r="P943" s="225"/>
      <c r="Q943" s="225"/>
    </row>
    <row r="944" spans="16:17" ht="14.25" customHeight="1" x14ac:dyDescent="0.3">
      <c r="P944" s="225"/>
      <c r="Q944" s="225"/>
    </row>
    <row r="945" spans="16:17" ht="14.25" customHeight="1" x14ac:dyDescent="0.3">
      <c r="P945" s="225"/>
      <c r="Q945" s="225"/>
    </row>
    <row r="946" spans="16:17" ht="14.25" customHeight="1" x14ac:dyDescent="0.3">
      <c r="P946" s="225"/>
      <c r="Q946" s="225"/>
    </row>
    <row r="947" spans="16:17" ht="14.25" customHeight="1" x14ac:dyDescent="0.3">
      <c r="P947" s="225"/>
      <c r="Q947" s="225"/>
    </row>
    <row r="948" spans="16:17" ht="14.25" customHeight="1" x14ac:dyDescent="0.3">
      <c r="P948" s="225"/>
      <c r="Q948" s="225"/>
    </row>
    <row r="949" spans="16:17" ht="14.25" customHeight="1" x14ac:dyDescent="0.3">
      <c r="P949" s="225"/>
      <c r="Q949" s="225"/>
    </row>
    <row r="950" spans="16:17" ht="14.25" customHeight="1" x14ac:dyDescent="0.3">
      <c r="P950" s="225"/>
      <c r="Q950" s="225"/>
    </row>
    <row r="951" spans="16:17" ht="14.25" customHeight="1" x14ac:dyDescent="0.3">
      <c r="P951" s="225"/>
      <c r="Q951" s="225"/>
    </row>
    <row r="952" spans="16:17" ht="14.25" customHeight="1" x14ac:dyDescent="0.3">
      <c r="P952" s="225"/>
      <c r="Q952" s="225"/>
    </row>
    <row r="953" spans="16:17" ht="14.25" customHeight="1" x14ac:dyDescent="0.3">
      <c r="P953" s="225"/>
      <c r="Q953" s="225"/>
    </row>
    <row r="954" spans="16:17" ht="14.25" customHeight="1" x14ac:dyDescent="0.3">
      <c r="P954" s="225"/>
      <c r="Q954" s="225"/>
    </row>
    <row r="955" spans="16:17" ht="14.25" customHeight="1" x14ac:dyDescent="0.3">
      <c r="P955" s="225"/>
      <c r="Q955" s="225"/>
    </row>
    <row r="956" spans="16:17" ht="14.25" customHeight="1" x14ac:dyDescent="0.3">
      <c r="P956" s="225"/>
      <c r="Q956" s="225"/>
    </row>
    <row r="957" spans="16:17" ht="14.25" customHeight="1" x14ac:dyDescent="0.3">
      <c r="P957" s="225"/>
      <c r="Q957" s="225"/>
    </row>
    <row r="958" spans="16:17" ht="14.25" customHeight="1" x14ac:dyDescent="0.3">
      <c r="P958" s="225"/>
      <c r="Q958" s="225"/>
    </row>
    <row r="959" spans="16:17" ht="14.25" customHeight="1" x14ac:dyDescent="0.3">
      <c r="P959" s="225"/>
      <c r="Q959" s="225"/>
    </row>
    <row r="960" spans="16:17" ht="14.25" customHeight="1" x14ac:dyDescent="0.3">
      <c r="P960" s="225"/>
      <c r="Q960" s="225"/>
    </row>
    <row r="961" spans="16:17" ht="14.25" customHeight="1" x14ac:dyDescent="0.3">
      <c r="P961" s="225"/>
      <c r="Q961" s="225"/>
    </row>
    <row r="962" spans="16:17" ht="14.25" customHeight="1" x14ac:dyDescent="0.3">
      <c r="P962" s="225"/>
      <c r="Q962" s="225"/>
    </row>
    <row r="963" spans="16:17" ht="14.25" customHeight="1" x14ac:dyDescent="0.3">
      <c r="P963" s="225"/>
      <c r="Q963" s="225"/>
    </row>
    <row r="964" spans="16:17" ht="14.25" customHeight="1" x14ac:dyDescent="0.3">
      <c r="P964" s="225"/>
      <c r="Q964" s="225"/>
    </row>
    <row r="965" spans="16:17" ht="14.25" customHeight="1" x14ac:dyDescent="0.3">
      <c r="P965" s="225"/>
      <c r="Q965" s="225"/>
    </row>
    <row r="966" spans="16:17" ht="14.25" customHeight="1" x14ac:dyDescent="0.3">
      <c r="P966" s="225"/>
      <c r="Q966" s="225"/>
    </row>
    <row r="967" spans="16:17" ht="14.25" customHeight="1" x14ac:dyDescent="0.3">
      <c r="P967" s="225"/>
      <c r="Q967" s="225"/>
    </row>
    <row r="968" spans="16:17" ht="14.25" customHeight="1" x14ac:dyDescent="0.3">
      <c r="P968" s="225"/>
      <c r="Q968" s="225"/>
    </row>
    <row r="969" spans="16:17" ht="14.25" customHeight="1" x14ac:dyDescent="0.3">
      <c r="P969" s="225"/>
      <c r="Q969" s="225"/>
    </row>
    <row r="970" spans="16:17" ht="14.25" customHeight="1" x14ac:dyDescent="0.3">
      <c r="P970" s="225"/>
      <c r="Q970" s="225"/>
    </row>
    <row r="971" spans="16:17" ht="14.25" customHeight="1" x14ac:dyDescent="0.3">
      <c r="P971" s="225"/>
      <c r="Q971" s="225"/>
    </row>
    <row r="972" spans="16:17" ht="14.25" customHeight="1" x14ac:dyDescent="0.3">
      <c r="P972" s="225"/>
      <c r="Q972" s="225"/>
    </row>
    <row r="973" spans="16:17" ht="14.25" customHeight="1" x14ac:dyDescent="0.3">
      <c r="P973" s="225"/>
      <c r="Q973" s="225"/>
    </row>
    <row r="974" spans="16:17" ht="14.25" customHeight="1" x14ac:dyDescent="0.3">
      <c r="P974" s="225"/>
      <c r="Q974" s="225"/>
    </row>
    <row r="975" spans="16:17" ht="14.25" customHeight="1" x14ac:dyDescent="0.3">
      <c r="P975" s="225"/>
      <c r="Q975" s="225"/>
    </row>
    <row r="976" spans="16:17" ht="14.25" customHeight="1" x14ac:dyDescent="0.3">
      <c r="P976" s="225"/>
      <c r="Q976" s="225"/>
    </row>
    <row r="977" spans="16:17" ht="14.25" customHeight="1" x14ac:dyDescent="0.3">
      <c r="P977" s="225"/>
      <c r="Q977" s="225"/>
    </row>
    <row r="978" spans="16:17" ht="14.25" customHeight="1" x14ac:dyDescent="0.3">
      <c r="P978" s="225"/>
      <c r="Q978" s="225"/>
    </row>
    <row r="979" spans="16:17" ht="14.25" customHeight="1" x14ac:dyDescent="0.3">
      <c r="P979" s="225"/>
      <c r="Q979" s="225"/>
    </row>
    <row r="980" spans="16:17" ht="14.25" customHeight="1" x14ac:dyDescent="0.3">
      <c r="P980" s="225"/>
      <c r="Q980" s="225"/>
    </row>
    <row r="981" spans="16:17" ht="14.25" customHeight="1" x14ac:dyDescent="0.3">
      <c r="P981" s="225"/>
      <c r="Q981" s="225"/>
    </row>
    <row r="982" spans="16:17" ht="14.25" customHeight="1" x14ac:dyDescent="0.3">
      <c r="P982" s="225"/>
      <c r="Q982" s="225"/>
    </row>
    <row r="983" spans="16:17" ht="14.25" customHeight="1" x14ac:dyDescent="0.3">
      <c r="P983" s="225"/>
      <c r="Q983" s="225"/>
    </row>
    <row r="984" spans="16:17" ht="14.25" customHeight="1" x14ac:dyDescent="0.3">
      <c r="P984" s="225"/>
      <c r="Q984" s="225"/>
    </row>
    <row r="985" spans="16:17" ht="14.25" customHeight="1" x14ac:dyDescent="0.3">
      <c r="P985" s="225"/>
      <c r="Q985" s="225"/>
    </row>
    <row r="986" spans="16:17" ht="14.25" customHeight="1" x14ac:dyDescent="0.3">
      <c r="P986" s="225"/>
      <c r="Q986" s="225"/>
    </row>
    <row r="987" spans="16:17" ht="14.25" customHeight="1" x14ac:dyDescent="0.3">
      <c r="P987" s="225"/>
      <c r="Q987" s="225"/>
    </row>
    <row r="988" spans="16:17" ht="14.25" customHeight="1" x14ac:dyDescent="0.3">
      <c r="P988" s="225"/>
      <c r="Q988" s="225"/>
    </row>
    <row r="989" spans="16:17" ht="14.25" customHeight="1" x14ac:dyDescent="0.3">
      <c r="P989" s="225"/>
      <c r="Q989" s="225"/>
    </row>
    <row r="990" spans="16:17" ht="14.25" customHeight="1" x14ac:dyDescent="0.3">
      <c r="P990" s="225"/>
      <c r="Q990" s="225"/>
    </row>
    <row r="991" spans="16:17" ht="14.25" customHeight="1" x14ac:dyDescent="0.3">
      <c r="P991" s="225"/>
      <c r="Q991" s="225"/>
    </row>
    <row r="992" spans="16:17" ht="14.25" customHeight="1" x14ac:dyDescent="0.3">
      <c r="P992" s="225"/>
      <c r="Q992" s="225"/>
    </row>
    <row r="993" spans="16:17" ht="14.25" customHeight="1" x14ac:dyDescent="0.3">
      <c r="P993" s="225"/>
      <c r="Q993" s="225"/>
    </row>
    <row r="994" spans="16:17" ht="14.25" customHeight="1" x14ac:dyDescent="0.3">
      <c r="P994" s="225"/>
      <c r="Q994" s="225"/>
    </row>
    <row r="995" spans="16:17" ht="14.25" customHeight="1" x14ac:dyDescent="0.3">
      <c r="P995" s="225"/>
      <c r="Q995" s="225"/>
    </row>
    <row r="996" spans="16:17" ht="14.25" customHeight="1" x14ac:dyDescent="0.3">
      <c r="P996" s="225"/>
      <c r="Q996" s="225"/>
    </row>
    <row r="997" spans="16:17" ht="14.25" customHeight="1" x14ac:dyDescent="0.3">
      <c r="P997" s="225"/>
      <c r="Q997" s="225"/>
    </row>
    <row r="998" spans="16:17" ht="14.25" customHeight="1" x14ac:dyDescent="0.3">
      <c r="P998" s="225"/>
      <c r="Q998" s="225"/>
    </row>
    <row r="999" spans="16:17" ht="14.25" customHeight="1" x14ac:dyDescent="0.3">
      <c r="P999" s="225"/>
      <c r="Q999" s="225"/>
    </row>
    <row r="1000" spans="16:17" ht="14.25" customHeight="1" x14ac:dyDescent="0.3">
      <c r="P1000" s="225"/>
      <c r="Q1000" s="225"/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1" width="10.09765625" customWidth="1"/>
    <col min="2" max="2" width="9.8984375" customWidth="1"/>
    <col min="3" max="3" width="15.09765625" customWidth="1"/>
    <col min="4" max="4" width="9.3984375" customWidth="1"/>
    <col min="5" max="5" width="49.19921875" customWidth="1"/>
    <col min="6" max="6" width="23.09765625" customWidth="1"/>
    <col min="7" max="7" width="10.3984375" customWidth="1"/>
    <col min="8" max="8" width="28.19921875" customWidth="1"/>
    <col min="9" max="9" width="11.59765625" customWidth="1"/>
    <col min="10" max="10" width="77.69921875" customWidth="1"/>
    <col min="11" max="11" width="11.59765625" customWidth="1"/>
    <col min="12" max="12" width="6.8984375" customWidth="1"/>
    <col min="13" max="13" width="18.5" customWidth="1"/>
    <col min="14" max="14" width="17.19921875" customWidth="1"/>
    <col min="15" max="15" width="7.5" customWidth="1"/>
    <col min="16" max="16" width="15.5" customWidth="1"/>
    <col min="17" max="17" width="31.3984375" customWidth="1"/>
    <col min="18" max="18" width="34.09765625" customWidth="1"/>
    <col min="19" max="19" width="18.8984375" customWidth="1"/>
    <col min="20" max="20" width="17.69921875" customWidth="1"/>
    <col min="21" max="21" width="19.5" customWidth="1"/>
    <col min="22" max="22" width="25.59765625" customWidth="1"/>
    <col min="23" max="23" width="21.69921875" customWidth="1"/>
    <col min="24" max="24" width="23.3984375" customWidth="1"/>
    <col min="25" max="25" width="19.5" customWidth="1"/>
    <col min="26" max="26" width="7.59765625" customWidth="1"/>
  </cols>
  <sheetData>
    <row r="1" spans="1:25" ht="14.25" customHeight="1" x14ac:dyDescent="0.3">
      <c r="A1" s="197" t="s">
        <v>0</v>
      </c>
      <c r="B1" s="198" t="s">
        <v>1</v>
      </c>
      <c r="C1" s="198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8" t="s">
        <v>8</v>
      </c>
      <c r="J1" s="198" t="s">
        <v>9</v>
      </c>
      <c r="K1" s="198" t="s">
        <v>10</v>
      </c>
      <c r="L1" s="198" t="s">
        <v>11</v>
      </c>
      <c r="M1" s="198" t="s">
        <v>12</v>
      </c>
      <c r="N1" s="198" t="s">
        <v>13</v>
      </c>
      <c r="O1" s="198" t="s">
        <v>14</v>
      </c>
      <c r="P1" s="199" t="s">
        <v>910</v>
      </c>
      <c r="Q1" s="199" t="s">
        <v>911</v>
      </c>
      <c r="R1" s="198" t="s">
        <v>17</v>
      </c>
      <c r="S1" s="198" t="s">
        <v>18</v>
      </c>
      <c r="T1" s="198" t="s">
        <v>19</v>
      </c>
      <c r="U1" s="198" t="s">
        <v>20</v>
      </c>
      <c r="V1" s="198" t="s">
        <v>21</v>
      </c>
      <c r="W1" s="198" t="s">
        <v>22</v>
      </c>
      <c r="X1" s="198" t="s">
        <v>912</v>
      </c>
      <c r="Y1" s="200" t="s">
        <v>913</v>
      </c>
    </row>
    <row r="2" spans="1:25" ht="14.25" customHeight="1" x14ac:dyDescent="0.3">
      <c r="A2" s="201">
        <v>45879</v>
      </c>
      <c r="B2" s="202">
        <v>45879</v>
      </c>
      <c r="C2" s="203" t="s">
        <v>27</v>
      </c>
      <c r="D2" s="203" t="s">
        <v>28</v>
      </c>
      <c r="E2" s="203" t="s">
        <v>56</v>
      </c>
      <c r="F2" s="203" t="s">
        <v>57</v>
      </c>
      <c r="G2" s="203" t="s">
        <v>31</v>
      </c>
      <c r="H2" s="203" t="s">
        <v>914</v>
      </c>
      <c r="I2" s="203" t="s">
        <v>32</v>
      </c>
      <c r="J2" s="203" t="s">
        <v>159</v>
      </c>
      <c r="K2" s="204">
        <v>21</v>
      </c>
      <c r="L2" s="204">
        <v>1</v>
      </c>
      <c r="M2" s="205">
        <v>4.7619047619047623E-2</v>
      </c>
      <c r="N2" s="206">
        <v>3.83</v>
      </c>
      <c r="O2" s="208">
        <v>3.83</v>
      </c>
      <c r="P2" s="208">
        <v>24.94</v>
      </c>
      <c r="Q2" s="208">
        <v>15.356856455493183</v>
      </c>
      <c r="R2" s="221">
        <v>651.17493472584863</v>
      </c>
      <c r="S2" s="204">
        <v>1</v>
      </c>
      <c r="T2" s="204">
        <v>1</v>
      </c>
      <c r="U2" s="205">
        <v>1</v>
      </c>
      <c r="V2" s="204">
        <v>1</v>
      </c>
      <c r="W2" s="204">
        <v>0</v>
      </c>
      <c r="X2" s="206">
        <v>24.94</v>
      </c>
      <c r="Y2" s="222">
        <v>0</v>
      </c>
    </row>
    <row r="3" spans="1:25" ht="14.25" customHeight="1" x14ac:dyDescent="0.3">
      <c r="A3" s="201">
        <v>45879</v>
      </c>
      <c r="B3" s="202">
        <v>45879</v>
      </c>
      <c r="C3" s="203" t="s">
        <v>27</v>
      </c>
      <c r="D3" s="203" t="s">
        <v>28</v>
      </c>
      <c r="E3" s="203" t="s">
        <v>71</v>
      </c>
      <c r="F3" s="203" t="s">
        <v>72</v>
      </c>
      <c r="G3" s="203" t="s">
        <v>31</v>
      </c>
      <c r="H3" s="203" t="s">
        <v>73</v>
      </c>
      <c r="I3" s="203" t="s">
        <v>52</v>
      </c>
      <c r="J3" s="203" t="s">
        <v>735</v>
      </c>
      <c r="K3" s="204">
        <v>2</v>
      </c>
      <c r="L3" s="204">
        <v>1</v>
      </c>
      <c r="M3" s="205">
        <v>0.5</v>
      </c>
      <c r="N3" s="206">
        <v>3.02</v>
      </c>
      <c r="O3" s="208">
        <v>3.02</v>
      </c>
      <c r="P3" s="208">
        <v>24.94</v>
      </c>
      <c r="Q3" s="208">
        <v>12.109061748195669</v>
      </c>
      <c r="R3" s="221">
        <v>825.82781456953637</v>
      </c>
      <c r="S3" s="204">
        <v>1</v>
      </c>
      <c r="T3" s="204">
        <v>1</v>
      </c>
      <c r="U3" s="205">
        <v>1</v>
      </c>
      <c r="V3" s="204">
        <v>1</v>
      </c>
      <c r="W3" s="204">
        <v>0</v>
      </c>
      <c r="X3" s="206">
        <v>24.94</v>
      </c>
      <c r="Y3" s="222">
        <v>0</v>
      </c>
    </row>
    <row r="4" spans="1:25" ht="14.25" customHeight="1" x14ac:dyDescent="0.3">
      <c r="A4" s="201">
        <v>45879</v>
      </c>
      <c r="B4" s="202">
        <v>45884</v>
      </c>
      <c r="C4" s="203" t="s">
        <v>27</v>
      </c>
      <c r="D4" s="203" t="s">
        <v>28</v>
      </c>
      <c r="E4" s="203" t="s">
        <v>71</v>
      </c>
      <c r="F4" s="203" t="s">
        <v>72</v>
      </c>
      <c r="G4" s="203" t="s">
        <v>31</v>
      </c>
      <c r="H4" s="203" t="s">
        <v>73</v>
      </c>
      <c r="I4" s="203" t="s">
        <v>52</v>
      </c>
      <c r="J4" s="203" t="s">
        <v>162</v>
      </c>
      <c r="K4" s="204">
        <v>114</v>
      </c>
      <c r="L4" s="204">
        <v>4</v>
      </c>
      <c r="M4" s="205">
        <v>3.5087719298245612E-2</v>
      </c>
      <c r="N4" s="206">
        <v>3.2175000000000002</v>
      </c>
      <c r="O4" s="208">
        <v>12.87</v>
      </c>
      <c r="P4" s="208">
        <v>24.94</v>
      </c>
      <c r="Q4" s="208">
        <v>51.60384923817162</v>
      </c>
      <c r="R4" s="221">
        <v>193.78399378399379</v>
      </c>
      <c r="S4" s="204">
        <v>1</v>
      </c>
      <c r="T4" s="204">
        <v>1</v>
      </c>
      <c r="U4" s="205">
        <v>0.25</v>
      </c>
      <c r="V4" s="204">
        <v>1</v>
      </c>
      <c r="W4" s="204">
        <v>0</v>
      </c>
      <c r="X4" s="206">
        <v>24.94</v>
      </c>
      <c r="Y4" s="222">
        <v>0</v>
      </c>
    </row>
    <row r="5" spans="1:25" ht="14.25" customHeight="1" x14ac:dyDescent="0.3">
      <c r="A5" s="201">
        <v>45879</v>
      </c>
      <c r="B5" s="202">
        <v>45884</v>
      </c>
      <c r="C5" s="203" t="s">
        <v>27</v>
      </c>
      <c r="D5" s="203" t="s">
        <v>28</v>
      </c>
      <c r="E5" s="203" t="s">
        <v>29</v>
      </c>
      <c r="F5" s="203" t="s">
        <v>30</v>
      </c>
      <c r="G5" s="203" t="s">
        <v>31</v>
      </c>
      <c r="H5" s="203" t="s">
        <v>145</v>
      </c>
      <c r="I5" s="203" t="s">
        <v>32</v>
      </c>
      <c r="J5" s="203" t="s">
        <v>183</v>
      </c>
      <c r="K5" s="204">
        <v>45</v>
      </c>
      <c r="L5" s="204">
        <v>5</v>
      </c>
      <c r="M5" s="205">
        <v>0.1111111111111111</v>
      </c>
      <c r="N5" s="206">
        <v>2.8420000000000001</v>
      </c>
      <c r="O5" s="208">
        <v>14.21</v>
      </c>
      <c r="P5" s="208">
        <v>24.94</v>
      </c>
      <c r="Q5" s="208">
        <v>56.97674418604651</v>
      </c>
      <c r="R5" s="221">
        <v>175.51020408163265</v>
      </c>
      <c r="S5" s="204">
        <v>1</v>
      </c>
      <c r="T5" s="204">
        <v>1</v>
      </c>
      <c r="U5" s="205">
        <v>0.2</v>
      </c>
      <c r="V5" s="204">
        <v>1</v>
      </c>
      <c r="W5" s="204">
        <v>0</v>
      </c>
      <c r="X5" s="206">
        <v>24.94</v>
      </c>
      <c r="Y5" s="222">
        <v>0</v>
      </c>
    </row>
    <row r="6" spans="1:25" ht="14.25" customHeight="1" x14ac:dyDescent="0.3">
      <c r="A6" s="201">
        <v>45879</v>
      </c>
      <c r="B6" s="202">
        <v>45885</v>
      </c>
      <c r="C6" s="203" t="s">
        <v>105</v>
      </c>
      <c r="D6" s="203" t="s">
        <v>28</v>
      </c>
      <c r="E6" s="203" t="s">
        <v>117</v>
      </c>
      <c r="F6" s="203" t="s">
        <v>915</v>
      </c>
      <c r="G6" s="203" t="s">
        <v>31</v>
      </c>
      <c r="H6" s="203" t="s">
        <v>119</v>
      </c>
      <c r="I6" s="203" t="s">
        <v>65</v>
      </c>
      <c r="J6" s="203" t="s">
        <v>119</v>
      </c>
      <c r="K6" s="204">
        <v>884</v>
      </c>
      <c r="L6" s="204">
        <v>44</v>
      </c>
      <c r="M6" s="205">
        <v>4.9773755656108601E-2</v>
      </c>
      <c r="N6" s="206">
        <v>2.645909090909091</v>
      </c>
      <c r="O6" s="208">
        <v>116.42</v>
      </c>
      <c r="P6" s="208">
        <v>199.52</v>
      </c>
      <c r="Q6" s="208">
        <v>58.350040096230948</v>
      </c>
      <c r="R6" s="221">
        <v>171.37948806047072</v>
      </c>
      <c r="S6" s="204">
        <v>8</v>
      </c>
      <c r="T6" s="204">
        <v>8</v>
      </c>
      <c r="U6" s="205">
        <v>0.18181818181818182</v>
      </c>
      <c r="V6" s="204">
        <v>8</v>
      </c>
      <c r="W6" s="204">
        <v>0</v>
      </c>
      <c r="X6" s="206">
        <v>199.52</v>
      </c>
      <c r="Y6" s="222">
        <v>0</v>
      </c>
    </row>
    <row r="7" spans="1:25" ht="14.25" customHeight="1" x14ac:dyDescent="0.3">
      <c r="A7" s="201">
        <v>45879</v>
      </c>
      <c r="B7" s="202">
        <v>45885</v>
      </c>
      <c r="C7" s="203" t="s">
        <v>27</v>
      </c>
      <c r="D7" s="203" t="s">
        <v>28</v>
      </c>
      <c r="E7" s="203" t="s">
        <v>56</v>
      </c>
      <c r="F7" s="203" t="s">
        <v>57</v>
      </c>
      <c r="G7" s="203" t="s">
        <v>31</v>
      </c>
      <c r="H7" s="203" t="s">
        <v>914</v>
      </c>
      <c r="I7" s="203" t="s">
        <v>32</v>
      </c>
      <c r="J7" s="203" t="s">
        <v>119</v>
      </c>
      <c r="K7" s="204">
        <v>5077</v>
      </c>
      <c r="L7" s="204">
        <v>61</v>
      </c>
      <c r="M7" s="205">
        <v>1.2014969470159544E-2</v>
      </c>
      <c r="N7" s="206">
        <v>2.44</v>
      </c>
      <c r="O7" s="208">
        <v>148.84</v>
      </c>
      <c r="P7" s="208">
        <v>149.64000000000001</v>
      </c>
      <c r="Q7" s="208">
        <v>99.465383587276122</v>
      </c>
      <c r="R7" s="221">
        <v>100.53748992206397</v>
      </c>
      <c r="S7" s="204">
        <v>6</v>
      </c>
      <c r="T7" s="204">
        <v>6</v>
      </c>
      <c r="U7" s="205">
        <v>9.8360655737704916E-2</v>
      </c>
      <c r="V7" s="204">
        <v>6</v>
      </c>
      <c r="W7" s="204">
        <v>0</v>
      </c>
      <c r="X7" s="206">
        <v>149.64000000000001</v>
      </c>
      <c r="Y7" s="222">
        <v>0</v>
      </c>
    </row>
    <row r="8" spans="1:25" ht="14.25" customHeight="1" x14ac:dyDescent="0.3">
      <c r="A8" s="201">
        <v>45879</v>
      </c>
      <c r="B8" s="202">
        <v>45879</v>
      </c>
      <c r="C8" s="203" t="s">
        <v>143</v>
      </c>
      <c r="D8" s="203" t="s">
        <v>28</v>
      </c>
      <c r="E8" s="203" t="s">
        <v>144</v>
      </c>
      <c r="F8" s="203" t="s">
        <v>32</v>
      </c>
      <c r="G8" s="203" t="s">
        <v>31</v>
      </c>
      <c r="H8" s="203" t="s">
        <v>30</v>
      </c>
      <c r="I8" s="203" t="s">
        <v>44</v>
      </c>
      <c r="J8" s="203" t="s">
        <v>421</v>
      </c>
      <c r="K8" s="204">
        <v>2</v>
      </c>
      <c r="L8" s="204">
        <v>1</v>
      </c>
      <c r="M8" s="205">
        <v>0.5</v>
      </c>
      <c r="N8" s="206">
        <v>1.82</v>
      </c>
      <c r="O8" s="208">
        <v>1.82</v>
      </c>
      <c r="P8" s="208">
        <v>24.94</v>
      </c>
      <c r="Q8" s="208">
        <v>7.2975140336808337</v>
      </c>
      <c r="R8" s="221">
        <v>1370.3296703296705</v>
      </c>
      <c r="S8" s="204">
        <v>1</v>
      </c>
      <c r="T8" s="204">
        <v>1</v>
      </c>
      <c r="U8" s="205">
        <v>1</v>
      </c>
      <c r="V8" s="204">
        <v>1</v>
      </c>
      <c r="W8" s="204">
        <v>0</v>
      </c>
      <c r="X8" s="206">
        <v>24.94</v>
      </c>
      <c r="Y8" s="222">
        <v>0</v>
      </c>
    </row>
    <row r="9" spans="1:25" ht="14.25" customHeight="1" x14ac:dyDescent="0.3">
      <c r="A9" s="201">
        <v>45879</v>
      </c>
      <c r="B9" s="202">
        <v>45885</v>
      </c>
      <c r="C9" s="203" t="s">
        <v>27</v>
      </c>
      <c r="D9" s="203" t="s">
        <v>28</v>
      </c>
      <c r="E9" s="203" t="s">
        <v>71</v>
      </c>
      <c r="F9" s="203" t="s">
        <v>72</v>
      </c>
      <c r="G9" s="203" t="s">
        <v>31</v>
      </c>
      <c r="H9" s="203" t="s">
        <v>73</v>
      </c>
      <c r="I9" s="203" t="s">
        <v>52</v>
      </c>
      <c r="J9" s="203" t="s">
        <v>43</v>
      </c>
      <c r="K9" s="204">
        <v>304</v>
      </c>
      <c r="L9" s="204">
        <v>7</v>
      </c>
      <c r="M9" s="205">
        <v>2.3026315789473679E-2</v>
      </c>
      <c r="N9" s="206">
        <v>3.18</v>
      </c>
      <c r="O9" s="208">
        <v>22.26</v>
      </c>
      <c r="P9" s="208">
        <v>49.88</v>
      </c>
      <c r="Q9" s="208">
        <v>44.627105052125096</v>
      </c>
      <c r="R9" s="221">
        <v>224.07906558849953</v>
      </c>
      <c r="S9" s="204">
        <v>2</v>
      </c>
      <c r="T9" s="204">
        <v>2</v>
      </c>
      <c r="U9" s="205">
        <v>0.2857142857142857</v>
      </c>
      <c r="V9" s="204">
        <v>2</v>
      </c>
      <c r="W9" s="204">
        <v>0</v>
      </c>
      <c r="X9" s="206">
        <v>49.88</v>
      </c>
      <c r="Y9" s="222">
        <v>0</v>
      </c>
    </row>
    <row r="10" spans="1:25" ht="14.25" customHeight="1" x14ac:dyDescent="0.3">
      <c r="A10" s="201">
        <v>45879</v>
      </c>
      <c r="B10" s="202">
        <v>45884</v>
      </c>
      <c r="C10" s="203" t="s">
        <v>40</v>
      </c>
      <c r="D10" s="203" t="s">
        <v>28</v>
      </c>
      <c r="E10" s="203" t="s">
        <v>41</v>
      </c>
      <c r="F10" s="203" t="s">
        <v>42</v>
      </c>
      <c r="G10" s="203" t="s">
        <v>31</v>
      </c>
      <c r="H10" s="203" t="s">
        <v>43</v>
      </c>
      <c r="I10" s="203" t="s">
        <v>44</v>
      </c>
      <c r="J10" s="203" t="s">
        <v>43</v>
      </c>
      <c r="K10" s="204">
        <v>398</v>
      </c>
      <c r="L10" s="204">
        <v>15</v>
      </c>
      <c r="M10" s="205">
        <v>3.7688442211055273E-2</v>
      </c>
      <c r="N10" s="206">
        <v>3.1659999999999999</v>
      </c>
      <c r="O10" s="208">
        <v>47.49</v>
      </c>
      <c r="P10" s="208">
        <v>49.88</v>
      </c>
      <c r="Q10" s="208">
        <v>95.208500400962322</v>
      </c>
      <c r="R10" s="221">
        <v>105.03263845020004</v>
      </c>
      <c r="S10" s="204">
        <v>2</v>
      </c>
      <c r="T10" s="204">
        <v>2</v>
      </c>
      <c r="U10" s="205">
        <v>0.13333333333333333</v>
      </c>
      <c r="V10" s="204">
        <v>2</v>
      </c>
      <c r="W10" s="204">
        <v>0</v>
      </c>
      <c r="X10" s="206">
        <v>49.88</v>
      </c>
      <c r="Y10" s="222">
        <v>0</v>
      </c>
    </row>
    <row r="11" spans="1:25" ht="14.25" customHeight="1" x14ac:dyDescent="0.3">
      <c r="A11" s="201">
        <v>45879</v>
      </c>
      <c r="B11" s="202">
        <v>45879</v>
      </c>
      <c r="C11" s="203" t="s">
        <v>40</v>
      </c>
      <c r="D11" s="203" t="s">
        <v>28</v>
      </c>
      <c r="E11" s="203" t="s">
        <v>41</v>
      </c>
      <c r="F11" s="203" t="s">
        <v>42</v>
      </c>
      <c r="G11" s="203" t="s">
        <v>31</v>
      </c>
      <c r="H11" s="203" t="s">
        <v>43</v>
      </c>
      <c r="I11" s="203" t="s">
        <v>44</v>
      </c>
      <c r="J11" s="203" t="s">
        <v>744</v>
      </c>
      <c r="K11" s="204">
        <v>1</v>
      </c>
      <c r="L11" s="204">
        <v>1</v>
      </c>
      <c r="M11" s="205">
        <v>1</v>
      </c>
      <c r="N11" s="206">
        <v>2.08</v>
      </c>
      <c r="O11" s="208">
        <v>2.08</v>
      </c>
      <c r="P11" s="208">
        <v>24.94</v>
      </c>
      <c r="Q11" s="208">
        <v>8.3400160384923812</v>
      </c>
      <c r="R11" s="221">
        <v>1199.0384615384614</v>
      </c>
      <c r="S11" s="204">
        <v>1</v>
      </c>
      <c r="T11" s="204">
        <v>1</v>
      </c>
      <c r="U11" s="205">
        <v>1</v>
      </c>
      <c r="V11" s="204">
        <v>1</v>
      </c>
      <c r="W11" s="204">
        <v>0</v>
      </c>
      <c r="X11" s="206">
        <v>24.94</v>
      </c>
      <c r="Y11" s="222">
        <v>0</v>
      </c>
    </row>
    <row r="12" spans="1:25" ht="14.25" customHeight="1" x14ac:dyDescent="0.3">
      <c r="A12" s="201">
        <v>45879</v>
      </c>
      <c r="B12" s="202">
        <v>45885</v>
      </c>
      <c r="C12" s="203" t="s">
        <v>27</v>
      </c>
      <c r="D12" s="203" t="s">
        <v>28</v>
      </c>
      <c r="E12" s="203" t="s">
        <v>71</v>
      </c>
      <c r="F12" s="203" t="s">
        <v>72</v>
      </c>
      <c r="G12" s="203" t="s">
        <v>31</v>
      </c>
      <c r="H12" s="203" t="s">
        <v>73</v>
      </c>
      <c r="I12" s="203" t="s">
        <v>52</v>
      </c>
      <c r="J12" s="203" t="s">
        <v>617</v>
      </c>
      <c r="K12" s="204">
        <v>5</v>
      </c>
      <c r="L12" s="204">
        <v>4</v>
      </c>
      <c r="M12" s="205">
        <v>0.8</v>
      </c>
      <c r="N12" s="206">
        <v>3.2275</v>
      </c>
      <c r="O12" s="208">
        <v>12.91</v>
      </c>
      <c r="P12" s="208">
        <v>24.94</v>
      </c>
      <c r="Q12" s="208">
        <v>51.764234161988774</v>
      </c>
      <c r="R12" s="221">
        <v>193.18357862122386</v>
      </c>
      <c r="S12" s="204">
        <v>1</v>
      </c>
      <c r="T12" s="204">
        <v>1</v>
      </c>
      <c r="U12" s="205">
        <v>0.25</v>
      </c>
      <c r="V12" s="204">
        <v>1</v>
      </c>
      <c r="W12" s="204">
        <v>0</v>
      </c>
      <c r="X12" s="206">
        <v>24.94</v>
      </c>
      <c r="Y12" s="222">
        <v>0</v>
      </c>
    </row>
    <row r="13" spans="1:25" ht="14.25" customHeight="1" x14ac:dyDescent="0.3">
      <c r="A13" s="201">
        <v>45879</v>
      </c>
      <c r="B13" s="202">
        <v>45885</v>
      </c>
      <c r="C13" s="203" t="s">
        <v>27</v>
      </c>
      <c r="D13" s="203" t="s">
        <v>28</v>
      </c>
      <c r="E13" s="203" t="s">
        <v>71</v>
      </c>
      <c r="F13" s="203" t="s">
        <v>72</v>
      </c>
      <c r="G13" s="203" t="s">
        <v>31</v>
      </c>
      <c r="H13" s="203" t="s">
        <v>73</v>
      </c>
      <c r="I13" s="203" t="s">
        <v>52</v>
      </c>
      <c r="J13" s="203" t="s">
        <v>101</v>
      </c>
      <c r="K13" s="204">
        <v>1819</v>
      </c>
      <c r="L13" s="204">
        <v>18</v>
      </c>
      <c r="M13" s="205">
        <v>9.8955470038482683E-3</v>
      </c>
      <c r="N13" s="206">
        <v>3.4983333333333331</v>
      </c>
      <c r="O13" s="208">
        <v>62.97</v>
      </c>
      <c r="P13" s="208">
        <v>144.76</v>
      </c>
      <c r="Q13" s="208">
        <v>43.499585520862119</v>
      </c>
      <c r="R13" s="221">
        <v>229.88724789582338</v>
      </c>
      <c r="S13" s="204">
        <v>5</v>
      </c>
      <c r="T13" s="204">
        <v>6</v>
      </c>
      <c r="U13" s="205">
        <v>0.27777777777777779</v>
      </c>
      <c r="V13" s="204">
        <v>6</v>
      </c>
      <c r="W13" s="204">
        <v>0</v>
      </c>
      <c r="X13" s="206">
        <v>144.76</v>
      </c>
      <c r="Y13" s="222">
        <v>0</v>
      </c>
    </row>
    <row r="14" spans="1:25" ht="14.25" customHeight="1" x14ac:dyDescent="0.3">
      <c r="A14" s="201">
        <v>45879</v>
      </c>
      <c r="B14" s="202">
        <v>45885</v>
      </c>
      <c r="C14" s="203" t="s">
        <v>27</v>
      </c>
      <c r="D14" s="203" t="s">
        <v>28</v>
      </c>
      <c r="E14" s="203" t="s">
        <v>56</v>
      </c>
      <c r="F14" s="203" t="s">
        <v>57</v>
      </c>
      <c r="G14" s="203" t="s">
        <v>31</v>
      </c>
      <c r="H14" s="203" t="s">
        <v>914</v>
      </c>
      <c r="I14" s="203" t="s">
        <v>32</v>
      </c>
      <c r="J14" s="203" t="s">
        <v>351</v>
      </c>
      <c r="K14" s="204">
        <v>1132</v>
      </c>
      <c r="L14" s="204">
        <v>9</v>
      </c>
      <c r="M14" s="205">
        <v>7.9505300353356883E-3</v>
      </c>
      <c r="N14" s="206">
        <v>2.2999999999999998</v>
      </c>
      <c r="O14" s="208">
        <v>20.7</v>
      </c>
      <c r="P14" s="208">
        <v>49.88</v>
      </c>
      <c r="Q14" s="208">
        <v>41.499599037690452</v>
      </c>
      <c r="R14" s="221">
        <v>240.96618357487927</v>
      </c>
      <c r="S14" s="204">
        <v>2</v>
      </c>
      <c r="T14" s="204">
        <v>2</v>
      </c>
      <c r="U14" s="205">
        <v>0.22222222222222221</v>
      </c>
      <c r="V14" s="204">
        <v>2</v>
      </c>
      <c r="W14" s="204">
        <v>0</v>
      </c>
      <c r="X14" s="206">
        <v>49.88</v>
      </c>
      <c r="Y14" s="222">
        <v>0</v>
      </c>
    </row>
    <row r="15" spans="1:25" ht="14.25" customHeight="1" x14ac:dyDescent="0.3">
      <c r="A15" s="201">
        <v>45879</v>
      </c>
      <c r="B15" s="202">
        <v>45879</v>
      </c>
      <c r="C15" s="203" t="s">
        <v>48</v>
      </c>
      <c r="D15" s="203" t="s">
        <v>28</v>
      </c>
      <c r="E15" s="203" t="s">
        <v>446</v>
      </c>
      <c r="F15" s="203" t="s">
        <v>447</v>
      </c>
      <c r="G15" s="203" t="s">
        <v>31</v>
      </c>
      <c r="H15" s="203" t="s">
        <v>448</v>
      </c>
      <c r="I15" s="203" t="s">
        <v>44</v>
      </c>
      <c r="J15" s="203" t="s">
        <v>750</v>
      </c>
      <c r="K15" s="204">
        <v>7</v>
      </c>
      <c r="L15" s="204">
        <v>1</v>
      </c>
      <c r="M15" s="205">
        <v>0.14285714285714285</v>
      </c>
      <c r="N15" s="206">
        <v>3.7</v>
      </c>
      <c r="O15" s="208">
        <v>3.7</v>
      </c>
      <c r="P15" s="208">
        <v>21.95</v>
      </c>
      <c r="Q15" s="208">
        <v>16.856492027334859</v>
      </c>
      <c r="R15" s="221">
        <v>593.24324324324311</v>
      </c>
      <c r="S15" s="204">
        <v>1</v>
      </c>
      <c r="T15" s="204">
        <v>1</v>
      </c>
      <c r="U15" s="205">
        <v>1</v>
      </c>
      <c r="V15" s="204">
        <v>1</v>
      </c>
      <c r="W15" s="204">
        <v>0</v>
      </c>
      <c r="X15" s="206">
        <v>21.95</v>
      </c>
      <c r="Y15" s="222">
        <v>0</v>
      </c>
    </row>
    <row r="16" spans="1:25" ht="14.25" customHeight="1" x14ac:dyDescent="0.3">
      <c r="A16" s="201">
        <v>45880</v>
      </c>
      <c r="B16" s="202">
        <v>45885</v>
      </c>
      <c r="C16" s="203" t="s">
        <v>105</v>
      </c>
      <c r="D16" s="203" t="s">
        <v>28</v>
      </c>
      <c r="E16" s="203" t="s">
        <v>669</v>
      </c>
      <c r="F16" s="203" t="s">
        <v>30</v>
      </c>
      <c r="G16" s="203" t="s">
        <v>31</v>
      </c>
      <c r="H16" s="203" t="s">
        <v>30</v>
      </c>
      <c r="I16" s="203" t="s">
        <v>65</v>
      </c>
      <c r="J16" s="203" t="s">
        <v>30</v>
      </c>
      <c r="K16" s="204">
        <v>293</v>
      </c>
      <c r="L16" s="204">
        <v>6</v>
      </c>
      <c r="M16" s="205">
        <v>2.0477815699658699E-2</v>
      </c>
      <c r="N16" s="206">
        <v>3.0066666666666664</v>
      </c>
      <c r="O16" s="208">
        <v>18.04</v>
      </c>
      <c r="P16" s="208">
        <v>49.88</v>
      </c>
      <c r="Q16" s="208">
        <v>36.166800320769845</v>
      </c>
      <c r="R16" s="221">
        <v>276.49667405764967</v>
      </c>
      <c r="S16" s="204">
        <v>2</v>
      </c>
      <c r="T16" s="204">
        <v>2</v>
      </c>
      <c r="U16" s="205">
        <v>0.33333333333333331</v>
      </c>
      <c r="V16" s="204">
        <v>2</v>
      </c>
      <c r="W16" s="204">
        <v>0</v>
      </c>
      <c r="X16" s="206">
        <v>49.88</v>
      </c>
      <c r="Y16" s="222">
        <v>0</v>
      </c>
    </row>
    <row r="17" spans="1:25" ht="14.25" customHeight="1" x14ac:dyDescent="0.3">
      <c r="A17" s="201">
        <v>45880</v>
      </c>
      <c r="B17" s="202">
        <v>45880</v>
      </c>
      <c r="C17" s="203" t="s">
        <v>48</v>
      </c>
      <c r="D17" s="203" t="s">
        <v>28</v>
      </c>
      <c r="E17" s="203" t="s">
        <v>49</v>
      </c>
      <c r="F17" s="203" t="s">
        <v>50</v>
      </c>
      <c r="G17" s="203" t="s">
        <v>31</v>
      </c>
      <c r="H17" s="203" t="s">
        <v>51</v>
      </c>
      <c r="I17" s="203" t="s">
        <v>52</v>
      </c>
      <c r="J17" s="203" t="s">
        <v>723</v>
      </c>
      <c r="K17" s="204">
        <v>6</v>
      </c>
      <c r="L17" s="204">
        <v>1</v>
      </c>
      <c r="M17" s="205">
        <v>0.16666666666666663</v>
      </c>
      <c r="N17" s="206">
        <v>2</v>
      </c>
      <c r="O17" s="208">
        <v>2</v>
      </c>
      <c r="P17" s="208">
        <v>21.95</v>
      </c>
      <c r="Q17" s="208">
        <v>9.1116173120728927</v>
      </c>
      <c r="R17" s="221">
        <v>1097.5</v>
      </c>
      <c r="S17" s="204">
        <v>1</v>
      </c>
      <c r="T17" s="204">
        <v>1</v>
      </c>
      <c r="U17" s="205">
        <v>1</v>
      </c>
      <c r="V17" s="204">
        <v>1</v>
      </c>
      <c r="W17" s="204">
        <v>0</v>
      </c>
      <c r="X17" s="206">
        <v>21.95</v>
      </c>
      <c r="Y17" s="222">
        <v>0</v>
      </c>
    </row>
    <row r="18" spans="1:25" ht="14.25" customHeight="1" x14ac:dyDescent="0.3">
      <c r="A18" s="201">
        <v>45880</v>
      </c>
      <c r="B18" s="202">
        <v>45882</v>
      </c>
      <c r="C18" s="203" t="s">
        <v>27</v>
      </c>
      <c r="D18" s="203" t="s">
        <v>28</v>
      </c>
      <c r="E18" s="203" t="s">
        <v>71</v>
      </c>
      <c r="F18" s="203" t="s">
        <v>72</v>
      </c>
      <c r="G18" s="203" t="s">
        <v>31</v>
      </c>
      <c r="H18" s="203" t="s">
        <v>73</v>
      </c>
      <c r="I18" s="203" t="s">
        <v>52</v>
      </c>
      <c r="J18" s="203" t="s">
        <v>74</v>
      </c>
      <c r="K18" s="204">
        <v>27</v>
      </c>
      <c r="L18" s="204">
        <v>4</v>
      </c>
      <c r="M18" s="205">
        <v>0.14814814814814814</v>
      </c>
      <c r="N18" s="206">
        <v>3.0950000000000002</v>
      </c>
      <c r="O18" s="208">
        <v>12.38</v>
      </c>
      <c r="P18" s="208">
        <v>24.94</v>
      </c>
      <c r="Q18" s="208">
        <v>49.639133921411386</v>
      </c>
      <c r="R18" s="221">
        <v>201.45395799676899</v>
      </c>
      <c r="S18" s="204">
        <v>1</v>
      </c>
      <c r="T18" s="204">
        <v>1</v>
      </c>
      <c r="U18" s="205">
        <v>0.25</v>
      </c>
      <c r="V18" s="204">
        <v>1</v>
      </c>
      <c r="W18" s="204">
        <v>0</v>
      </c>
      <c r="X18" s="206">
        <v>24.94</v>
      </c>
      <c r="Y18" s="222">
        <v>0</v>
      </c>
    </row>
    <row r="19" spans="1:25" ht="14.25" customHeight="1" x14ac:dyDescent="0.3">
      <c r="A19" s="201">
        <v>45880</v>
      </c>
      <c r="B19" s="202">
        <v>45880</v>
      </c>
      <c r="C19" s="203" t="s">
        <v>143</v>
      </c>
      <c r="D19" s="203" t="s">
        <v>28</v>
      </c>
      <c r="E19" s="203" t="s">
        <v>144</v>
      </c>
      <c r="F19" s="203" t="s">
        <v>32</v>
      </c>
      <c r="G19" s="203" t="s">
        <v>31</v>
      </c>
      <c r="H19" s="203" t="s">
        <v>119</v>
      </c>
      <c r="I19" s="203" t="s">
        <v>32</v>
      </c>
      <c r="J19" s="203" t="s">
        <v>725</v>
      </c>
      <c r="K19" s="204">
        <v>1</v>
      </c>
      <c r="L19" s="204">
        <v>1</v>
      </c>
      <c r="M19" s="205">
        <v>1</v>
      </c>
      <c r="N19" s="206">
        <v>0.35</v>
      </c>
      <c r="O19" s="208">
        <v>0.35</v>
      </c>
      <c r="P19" s="208">
        <v>24.94</v>
      </c>
      <c r="Q19" s="208">
        <v>1.4033680834001603</v>
      </c>
      <c r="R19" s="221">
        <v>7125.7142857142862</v>
      </c>
      <c r="S19" s="204">
        <v>1</v>
      </c>
      <c r="T19" s="204">
        <v>1</v>
      </c>
      <c r="U19" s="205">
        <v>1</v>
      </c>
      <c r="V19" s="204">
        <v>1</v>
      </c>
      <c r="W19" s="204">
        <v>0</v>
      </c>
      <c r="X19" s="206">
        <v>24.94</v>
      </c>
      <c r="Y19" s="222">
        <v>0</v>
      </c>
    </row>
    <row r="20" spans="1:25" ht="14.25" customHeight="1" x14ac:dyDescent="0.3">
      <c r="A20" s="201">
        <v>45880</v>
      </c>
      <c r="B20" s="202">
        <v>45884</v>
      </c>
      <c r="C20" s="203" t="s">
        <v>143</v>
      </c>
      <c r="D20" s="203" t="s">
        <v>28</v>
      </c>
      <c r="E20" s="203" t="s">
        <v>144</v>
      </c>
      <c r="F20" s="203" t="s">
        <v>32</v>
      </c>
      <c r="G20" s="203" t="s">
        <v>31</v>
      </c>
      <c r="H20" s="203" t="s">
        <v>173</v>
      </c>
      <c r="I20" s="203" t="s">
        <v>65</v>
      </c>
      <c r="J20" s="203" t="s">
        <v>173</v>
      </c>
      <c r="K20" s="204">
        <v>275</v>
      </c>
      <c r="L20" s="204">
        <v>6</v>
      </c>
      <c r="M20" s="205">
        <v>2.181818181818182E-2</v>
      </c>
      <c r="N20" s="206">
        <v>0.69000000000000006</v>
      </c>
      <c r="O20" s="208">
        <v>4.1399999999999997</v>
      </c>
      <c r="P20" s="208">
        <v>49.88</v>
      </c>
      <c r="Q20" s="208">
        <v>8.2999198075380924</v>
      </c>
      <c r="R20" s="221">
        <v>1204.8309178743959</v>
      </c>
      <c r="S20" s="204">
        <v>2</v>
      </c>
      <c r="T20" s="204">
        <v>2</v>
      </c>
      <c r="U20" s="205">
        <v>0.33333333333333331</v>
      </c>
      <c r="V20" s="204">
        <v>2</v>
      </c>
      <c r="W20" s="204">
        <v>0</v>
      </c>
      <c r="X20" s="206">
        <v>49.88</v>
      </c>
      <c r="Y20" s="222">
        <v>0</v>
      </c>
    </row>
    <row r="21" spans="1:25" ht="14.25" customHeight="1" x14ac:dyDescent="0.3">
      <c r="A21" s="201">
        <v>45880</v>
      </c>
      <c r="B21" s="202">
        <v>45885</v>
      </c>
      <c r="C21" s="203" t="s">
        <v>40</v>
      </c>
      <c r="D21" s="203" t="s">
        <v>28</v>
      </c>
      <c r="E21" s="203" t="s">
        <v>41</v>
      </c>
      <c r="F21" s="203" t="s">
        <v>42</v>
      </c>
      <c r="G21" s="203" t="s">
        <v>31</v>
      </c>
      <c r="H21" s="203" t="s">
        <v>43</v>
      </c>
      <c r="I21" s="203" t="s">
        <v>44</v>
      </c>
      <c r="J21" s="203" t="s">
        <v>264</v>
      </c>
      <c r="K21" s="204">
        <v>4</v>
      </c>
      <c r="L21" s="204">
        <v>2</v>
      </c>
      <c r="M21" s="205">
        <v>0.5</v>
      </c>
      <c r="N21" s="206">
        <v>2.625</v>
      </c>
      <c r="O21" s="208">
        <v>5.25</v>
      </c>
      <c r="P21" s="208">
        <v>24.94</v>
      </c>
      <c r="Q21" s="208">
        <v>21.050521251002404</v>
      </c>
      <c r="R21" s="221">
        <v>475.04761904761904</v>
      </c>
      <c r="S21" s="204">
        <v>1</v>
      </c>
      <c r="T21" s="204">
        <v>1</v>
      </c>
      <c r="U21" s="205">
        <v>0.5</v>
      </c>
      <c r="V21" s="204">
        <v>1</v>
      </c>
      <c r="W21" s="204">
        <v>0</v>
      </c>
      <c r="X21" s="206">
        <v>24.94</v>
      </c>
      <c r="Y21" s="222">
        <v>0</v>
      </c>
    </row>
    <row r="22" spans="1:25" ht="14.25" customHeight="1" x14ac:dyDescent="0.3">
      <c r="A22" s="201">
        <v>45880</v>
      </c>
      <c r="B22" s="202">
        <v>45881</v>
      </c>
      <c r="C22" s="203" t="s">
        <v>48</v>
      </c>
      <c r="D22" s="203" t="s">
        <v>28</v>
      </c>
      <c r="E22" s="203" t="s">
        <v>62</v>
      </c>
      <c r="F22" s="203" t="s">
        <v>63</v>
      </c>
      <c r="G22" s="203" t="s">
        <v>31</v>
      </c>
      <c r="H22" s="203" t="s">
        <v>372</v>
      </c>
      <c r="I22" s="203" t="s">
        <v>65</v>
      </c>
      <c r="J22" s="203" t="s">
        <v>372</v>
      </c>
      <c r="K22" s="204">
        <v>9</v>
      </c>
      <c r="L22" s="204">
        <v>2</v>
      </c>
      <c r="M22" s="205">
        <v>0.22222222222222221</v>
      </c>
      <c r="N22" s="206">
        <v>2.4249999999999998</v>
      </c>
      <c r="O22" s="208">
        <v>4.8499999999999996</v>
      </c>
      <c r="P22" s="208">
        <v>21.95</v>
      </c>
      <c r="Q22" s="208">
        <v>22.095671981776764</v>
      </c>
      <c r="R22" s="221">
        <v>452.57731958762884</v>
      </c>
      <c r="S22" s="204">
        <v>1</v>
      </c>
      <c r="T22" s="204">
        <v>1</v>
      </c>
      <c r="U22" s="205">
        <v>0.5</v>
      </c>
      <c r="V22" s="204">
        <v>1</v>
      </c>
      <c r="W22" s="204">
        <v>0</v>
      </c>
      <c r="X22" s="206">
        <v>21.95</v>
      </c>
      <c r="Y22" s="222">
        <v>0</v>
      </c>
    </row>
    <row r="23" spans="1:25" ht="14.25" customHeight="1" x14ac:dyDescent="0.3">
      <c r="A23" s="201">
        <v>45880</v>
      </c>
      <c r="B23" s="202">
        <v>45883</v>
      </c>
      <c r="C23" s="203" t="s">
        <v>85</v>
      </c>
      <c r="D23" s="203" t="s">
        <v>28</v>
      </c>
      <c r="E23" s="203" t="s">
        <v>86</v>
      </c>
      <c r="F23" s="203" t="s">
        <v>87</v>
      </c>
      <c r="G23" s="203" t="s">
        <v>31</v>
      </c>
      <c r="H23" s="203" t="s">
        <v>87</v>
      </c>
      <c r="I23" s="203" t="s">
        <v>44</v>
      </c>
      <c r="J23" s="203" t="s">
        <v>87</v>
      </c>
      <c r="K23" s="204">
        <v>20</v>
      </c>
      <c r="L23" s="204">
        <v>2</v>
      </c>
      <c r="M23" s="205">
        <v>0.1</v>
      </c>
      <c r="N23" s="206">
        <v>3.26</v>
      </c>
      <c r="O23" s="208">
        <v>6.52</v>
      </c>
      <c r="P23" s="208">
        <v>21.95</v>
      </c>
      <c r="Q23" s="208">
        <v>29.703872437357631</v>
      </c>
      <c r="R23" s="221">
        <v>336.65644171779144</v>
      </c>
      <c r="S23" s="204">
        <v>1</v>
      </c>
      <c r="T23" s="204">
        <v>1</v>
      </c>
      <c r="U23" s="205">
        <v>0.5</v>
      </c>
      <c r="V23" s="204">
        <v>1</v>
      </c>
      <c r="W23" s="204">
        <v>0</v>
      </c>
      <c r="X23" s="206">
        <v>21.95</v>
      </c>
      <c r="Y23" s="222">
        <v>0</v>
      </c>
    </row>
    <row r="24" spans="1:25" ht="14.25" customHeight="1" x14ac:dyDescent="0.3">
      <c r="A24" s="201">
        <v>45880</v>
      </c>
      <c r="B24" s="202">
        <v>45880</v>
      </c>
      <c r="C24" s="203" t="s">
        <v>85</v>
      </c>
      <c r="D24" s="203" t="s">
        <v>28</v>
      </c>
      <c r="E24" s="203" t="s">
        <v>86</v>
      </c>
      <c r="F24" s="203" t="s">
        <v>87</v>
      </c>
      <c r="G24" s="203" t="s">
        <v>31</v>
      </c>
      <c r="H24" s="203" t="s">
        <v>87</v>
      </c>
      <c r="I24" s="203" t="s">
        <v>44</v>
      </c>
      <c r="J24" s="203" t="s">
        <v>88</v>
      </c>
      <c r="K24" s="204">
        <v>1</v>
      </c>
      <c r="L24" s="204">
        <v>1</v>
      </c>
      <c r="M24" s="205">
        <v>1</v>
      </c>
      <c r="N24" s="206">
        <v>2.4500000000000002</v>
      </c>
      <c r="O24" s="208">
        <v>2.4500000000000002</v>
      </c>
      <c r="P24" s="208">
        <v>21.95</v>
      </c>
      <c r="Q24" s="208">
        <v>11.161731207289295</v>
      </c>
      <c r="R24" s="221">
        <v>895.91836734693868</v>
      </c>
      <c r="S24" s="204">
        <v>1</v>
      </c>
      <c r="T24" s="204">
        <v>1</v>
      </c>
      <c r="U24" s="205">
        <v>1</v>
      </c>
      <c r="V24" s="204">
        <v>1</v>
      </c>
      <c r="W24" s="204">
        <v>0</v>
      </c>
      <c r="X24" s="206">
        <v>21.95</v>
      </c>
      <c r="Y24" s="222">
        <v>0</v>
      </c>
    </row>
    <row r="25" spans="1:25" ht="14.25" customHeight="1" x14ac:dyDescent="0.3">
      <c r="A25" s="201">
        <v>45881</v>
      </c>
      <c r="B25" s="202">
        <v>45881</v>
      </c>
      <c r="C25" s="203" t="s">
        <v>48</v>
      </c>
      <c r="D25" s="203" t="s">
        <v>28</v>
      </c>
      <c r="E25" s="203" t="s">
        <v>225</v>
      </c>
      <c r="F25" s="203" t="s">
        <v>226</v>
      </c>
      <c r="G25" s="203" t="s">
        <v>31</v>
      </c>
      <c r="H25" s="203" t="s">
        <v>88</v>
      </c>
      <c r="I25" s="203" t="s">
        <v>32</v>
      </c>
      <c r="J25" s="203" t="s">
        <v>130</v>
      </c>
      <c r="K25" s="204">
        <v>4</v>
      </c>
      <c r="L25" s="204">
        <v>1</v>
      </c>
      <c r="M25" s="205">
        <v>0.25</v>
      </c>
      <c r="N25" s="206">
        <v>4.0599999999999996</v>
      </c>
      <c r="O25" s="208">
        <v>4.0599999999999996</v>
      </c>
      <c r="P25" s="208">
        <v>21.95</v>
      </c>
      <c r="Q25" s="208">
        <v>18.496583143507973</v>
      </c>
      <c r="R25" s="221">
        <v>540.64039408867006</v>
      </c>
      <c r="S25" s="204">
        <v>1</v>
      </c>
      <c r="T25" s="204">
        <v>1</v>
      </c>
      <c r="U25" s="205">
        <v>1</v>
      </c>
      <c r="V25" s="204">
        <v>1</v>
      </c>
      <c r="W25" s="204">
        <v>0</v>
      </c>
      <c r="X25" s="206">
        <v>21.95</v>
      </c>
      <c r="Y25" s="222">
        <v>0</v>
      </c>
    </row>
    <row r="26" spans="1:25" ht="14.25" customHeight="1" x14ac:dyDescent="0.3">
      <c r="A26" s="201">
        <v>45881</v>
      </c>
      <c r="B26" s="202">
        <v>45885</v>
      </c>
      <c r="C26" s="203" t="s">
        <v>48</v>
      </c>
      <c r="D26" s="203" t="s">
        <v>28</v>
      </c>
      <c r="E26" s="203" t="s">
        <v>49</v>
      </c>
      <c r="F26" s="203" t="s">
        <v>50</v>
      </c>
      <c r="G26" s="203" t="s">
        <v>31</v>
      </c>
      <c r="H26" s="203" t="s">
        <v>51</v>
      </c>
      <c r="I26" s="203" t="s">
        <v>52</v>
      </c>
      <c r="J26" s="203" t="s">
        <v>714</v>
      </c>
      <c r="K26" s="204">
        <v>110</v>
      </c>
      <c r="L26" s="204">
        <v>3</v>
      </c>
      <c r="M26" s="205">
        <v>2.7272727272727271E-2</v>
      </c>
      <c r="N26" s="206">
        <v>1.79</v>
      </c>
      <c r="O26" s="208">
        <v>5.37</v>
      </c>
      <c r="P26" s="208">
        <v>21.95</v>
      </c>
      <c r="Q26" s="208">
        <v>24.464692482915716</v>
      </c>
      <c r="R26" s="221">
        <v>408.75232774674117</v>
      </c>
      <c r="S26" s="204">
        <v>1</v>
      </c>
      <c r="T26" s="204">
        <v>1</v>
      </c>
      <c r="U26" s="205">
        <v>0.33333333333333331</v>
      </c>
      <c r="V26" s="204">
        <v>1</v>
      </c>
      <c r="W26" s="204">
        <v>0</v>
      </c>
      <c r="X26" s="206">
        <v>21.95</v>
      </c>
      <c r="Y26" s="222">
        <v>0</v>
      </c>
    </row>
    <row r="27" spans="1:25" ht="14.25" customHeight="1" x14ac:dyDescent="0.3">
      <c r="A27" s="201">
        <v>45881</v>
      </c>
      <c r="B27" s="202">
        <v>45881</v>
      </c>
      <c r="C27" s="203" t="s">
        <v>27</v>
      </c>
      <c r="D27" s="203" t="s">
        <v>28</v>
      </c>
      <c r="E27" s="203" t="s">
        <v>71</v>
      </c>
      <c r="F27" s="203" t="s">
        <v>72</v>
      </c>
      <c r="G27" s="203" t="s">
        <v>31</v>
      </c>
      <c r="H27" s="203" t="s">
        <v>51</v>
      </c>
      <c r="I27" s="203" t="s">
        <v>52</v>
      </c>
      <c r="J27" s="203" t="s">
        <v>717</v>
      </c>
      <c r="K27" s="204">
        <v>1</v>
      </c>
      <c r="L27" s="204">
        <v>1</v>
      </c>
      <c r="M27" s="205">
        <v>1</v>
      </c>
      <c r="N27" s="206">
        <v>2.5</v>
      </c>
      <c r="O27" s="208">
        <v>2.5</v>
      </c>
      <c r="P27" s="208">
        <v>24.94</v>
      </c>
      <c r="Q27" s="208">
        <v>10.024057738572575</v>
      </c>
      <c r="R27" s="221">
        <v>997.60000000000014</v>
      </c>
      <c r="S27" s="204">
        <v>1</v>
      </c>
      <c r="T27" s="204">
        <v>1</v>
      </c>
      <c r="U27" s="205">
        <v>1</v>
      </c>
      <c r="V27" s="204">
        <v>1</v>
      </c>
      <c r="W27" s="204">
        <v>0</v>
      </c>
      <c r="X27" s="206">
        <v>24.94</v>
      </c>
      <c r="Y27" s="222">
        <v>0</v>
      </c>
    </row>
    <row r="28" spans="1:25" ht="14.25" customHeight="1" x14ac:dyDescent="0.3">
      <c r="A28" s="201">
        <v>45881</v>
      </c>
      <c r="B28" s="202">
        <v>45881</v>
      </c>
      <c r="C28" s="203" t="s">
        <v>143</v>
      </c>
      <c r="D28" s="203" t="s">
        <v>28</v>
      </c>
      <c r="E28" s="203" t="s">
        <v>144</v>
      </c>
      <c r="F28" s="203" t="s">
        <v>32</v>
      </c>
      <c r="G28" s="203" t="s">
        <v>31</v>
      </c>
      <c r="H28" s="203" t="s">
        <v>119</v>
      </c>
      <c r="I28" s="203" t="s">
        <v>44</v>
      </c>
      <c r="J28" s="203" t="s">
        <v>119</v>
      </c>
      <c r="K28" s="204">
        <v>73</v>
      </c>
      <c r="L28" s="204">
        <v>2</v>
      </c>
      <c r="M28" s="205">
        <v>2.7397260273972601E-2</v>
      </c>
      <c r="N28" s="206">
        <v>0.21</v>
      </c>
      <c r="O28" s="208">
        <v>0.42</v>
      </c>
      <c r="P28" s="208">
        <v>24.94</v>
      </c>
      <c r="Q28" s="208">
        <v>1.6840417000801924</v>
      </c>
      <c r="R28" s="221">
        <v>5938.0952380952385</v>
      </c>
      <c r="S28" s="204">
        <v>1</v>
      </c>
      <c r="T28" s="204">
        <v>1</v>
      </c>
      <c r="U28" s="205">
        <v>0.5</v>
      </c>
      <c r="V28" s="204">
        <v>1</v>
      </c>
      <c r="W28" s="204">
        <v>0</v>
      </c>
      <c r="X28" s="206">
        <v>24.94</v>
      </c>
      <c r="Y28" s="222">
        <v>0</v>
      </c>
    </row>
    <row r="29" spans="1:25" ht="14.25" customHeight="1" x14ac:dyDescent="0.3">
      <c r="A29" s="201">
        <v>45881</v>
      </c>
      <c r="B29" s="202">
        <v>45882</v>
      </c>
      <c r="C29" s="203" t="s">
        <v>48</v>
      </c>
      <c r="D29" s="203" t="s">
        <v>28</v>
      </c>
      <c r="E29" s="203" t="s">
        <v>225</v>
      </c>
      <c r="F29" s="203" t="s">
        <v>226</v>
      </c>
      <c r="G29" s="203" t="s">
        <v>31</v>
      </c>
      <c r="H29" s="203" t="s">
        <v>372</v>
      </c>
      <c r="I29" s="203" t="s">
        <v>32</v>
      </c>
      <c r="J29" s="203" t="s">
        <v>443</v>
      </c>
      <c r="K29" s="204">
        <v>3</v>
      </c>
      <c r="L29" s="204">
        <v>2</v>
      </c>
      <c r="M29" s="205">
        <v>0.66666666666666663</v>
      </c>
      <c r="N29" s="206">
        <v>3.0949999999999998</v>
      </c>
      <c r="O29" s="208">
        <v>6.19</v>
      </c>
      <c r="P29" s="208">
        <v>21.95</v>
      </c>
      <c r="Q29" s="208">
        <v>28.200455580865601</v>
      </c>
      <c r="R29" s="221">
        <v>354.60420032310179</v>
      </c>
      <c r="S29" s="204">
        <v>1</v>
      </c>
      <c r="T29" s="204">
        <v>1</v>
      </c>
      <c r="U29" s="205">
        <v>0.5</v>
      </c>
      <c r="V29" s="204">
        <v>1</v>
      </c>
      <c r="W29" s="204">
        <v>0</v>
      </c>
      <c r="X29" s="206">
        <v>21.95</v>
      </c>
      <c r="Y29" s="222">
        <v>0</v>
      </c>
    </row>
    <row r="30" spans="1:25" ht="14.25" customHeight="1" x14ac:dyDescent="0.3">
      <c r="A30" s="201">
        <v>45881</v>
      </c>
      <c r="B30" s="202">
        <v>45882</v>
      </c>
      <c r="C30" s="203" t="s">
        <v>48</v>
      </c>
      <c r="D30" s="203" t="s">
        <v>28</v>
      </c>
      <c r="E30" s="203" t="s">
        <v>233</v>
      </c>
      <c r="F30" s="203" t="s">
        <v>234</v>
      </c>
      <c r="G30" s="203" t="s">
        <v>31</v>
      </c>
      <c r="H30" s="203" t="s">
        <v>223</v>
      </c>
      <c r="I30" s="203" t="s">
        <v>32</v>
      </c>
      <c r="J30" s="203" t="s">
        <v>720</v>
      </c>
      <c r="K30" s="204">
        <v>405</v>
      </c>
      <c r="L30" s="204">
        <v>3</v>
      </c>
      <c r="M30" s="205">
        <v>7.4074074074074077E-3</v>
      </c>
      <c r="N30" s="206">
        <v>3.18</v>
      </c>
      <c r="O30" s="208">
        <v>9.5399999999999991</v>
      </c>
      <c r="P30" s="208">
        <v>21.95</v>
      </c>
      <c r="Q30" s="208">
        <v>43.462414578587705</v>
      </c>
      <c r="R30" s="221">
        <v>230.08385744234795</v>
      </c>
      <c r="S30" s="204">
        <v>1</v>
      </c>
      <c r="T30" s="204">
        <v>1</v>
      </c>
      <c r="U30" s="205">
        <v>0.33333333333333331</v>
      </c>
      <c r="V30" s="204">
        <v>1</v>
      </c>
      <c r="W30" s="204">
        <v>0</v>
      </c>
      <c r="X30" s="206">
        <v>21.95</v>
      </c>
      <c r="Y30" s="222">
        <v>0</v>
      </c>
    </row>
    <row r="31" spans="1:25" ht="14.25" customHeight="1" x14ac:dyDescent="0.3">
      <c r="A31" s="201">
        <v>45882</v>
      </c>
      <c r="B31" s="202">
        <v>45882</v>
      </c>
      <c r="C31" s="203" t="s">
        <v>143</v>
      </c>
      <c r="D31" s="203" t="s">
        <v>28</v>
      </c>
      <c r="E31" s="203" t="s">
        <v>144</v>
      </c>
      <c r="F31" s="203" t="s">
        <v>32</v>
      </c>
      <c r="G31" s="203" t="s">
        <v>31</v>
      </c>
      <c r="H31" s="203" t="s">
        <v>30</v>
      </c>
      <c r="I31" s="203" t="s">
        <v>44</v>
      </c>
      <c r="J31" s="203" t="s">
        <v>708</v>
      </c>
      <c r="K31" s="204">
        <v>14</v>
      </c>
      <c r="L31" s="204">
        <v>1</v>
      </c>
      <c r="M31" s="205">
        <v>7.1428571428571425E-2</v>
      </c>
      <c r="N31" s="206">
        <v>0.65</v>
      </c>
      <c r="O31" s="208">
        <v>0.65</v>
      </c>
      <c r="P31" s="208">
        <v>24.94</v>
      </c>
      <c r="Q31" s="208">
        <v>2.6062550120288694</v>
      </c>
      <c r="R31" s="221">
        <v>3836.9230769230767</v>
      </c>
      <c r="S31" s="204">
        <v>1</v>
      </c>
      <c r="T31" s="204">
        <v>1</v>
      </c>
      <c r="U31" s="205">
        <v>1</v>
      </c>
      <c r="V31" s="204">
        <v>1</v>
      </c>
      <c r="W31" s="204">
        <v>0</v>
      </c>
      <c r="X31" s="206">
        <v>24.94</v>
      </c>
      <c r="Y31" s="222">
        <v>0</v>
      </c>
    </row>
    <row r="32" spans="1:25" ht="14.25" customHeight="1" x14ac:dyDescent="0.3">
      <c r="A32" s="201">
        <v>45882</v>
      </c>
      <c r="B32" s="202">
        <v>45883</v>
      </c>
      <c r="C32" s="203" t="s">
        <v>85</v>
      </c>
      <c r="D32" s="203" t="s">
        <v>28</v>
      </c>
      <c r="E32" s="203" t="s">
        <v>108</v>
      </c>
      <c r="F32" s="203" t="s">
        <v>109</v>
      </c>
      <c r="G32" s="203" t="s">
        <v>31</v>
      </c>
      <c r="H32" s="203" t="s">
        <v>110</v>
      </c>
      <c r="I32" s="203" t="s">
        <v>44</v>
      </c>
      <c r="J32" s="203" t="s">
        <v>709</v>
      </c>
      <c r="K32" s="204">
        <v>6</v>
      </c>
      <c r="L32" s="204">
        <v>2</v>
      </c>
      <c r="M32" s="205">
        <v>0.33333333333333331</v>
      </c>
      <c r="N32" s="206">
        <v>2.48</v>
      </c>
      <c r="O32" s="208">
        <v>4.96</v>
      </c>
      <c r="P32" s="208">
        <v>24.94</v>
      </c>
      <c r="Q32" s="208">
        <v>19.887730553327987</v>
      </c>
      <c r="R32" s="221">
        <v>502.82258064516128</v>
      </c>
      <c r="S32" s="204">
        <v>1</v>
      </c>
      <c r="T32" s="204">
        <v>1</v>
      </c>
      <c r="U32" s="205">
        <v>0.5</v>
      </c>
      <c r="V32" s="204">
        <v>1</v>
      </c>
      <c r="W32" s="204">
        <v>0</v>
      </c>
      <c r="X32" s="206">
        <v>24.94</v>
      </c>
      <c r="Y32" s="222">
        <v>0</v>
      </c>
    </row>
    <row r="33" spans="1:25" ht="14.25" customHeight="1" x14ac:dyDescent="0.3">
      <c r="A33" s="201">
        <v>45882</v>
      </c>
      <c r="B33" s="202">
        <v>45882</v>
      </c>
      <c r="C33" s="203" t="s">
        <v>27</v>
      </c>
      <c r="D33" s="203" t="s">
        <v>28</v>
      </c>
      <c r="E33" s="203" t="s">
        <v>71</v>
      </c>
      <c r="F33" s="203" t="s">
        <v>72</v>
      </c>
      <c r="G33" s="203" t="s">
        <v>31</v>
      </c>
      <c r="H33" s="203" t="s">
        <v>51</v>
      </c>
      <c r="I33" s="203" t="s">
        <v>52</v>
      </c>
      <c r="J33" s="203" t="s">
        <v>712</v>
      </c>
      <c r="K33" s="204">
        <v>2</v>
      </c>
      <c r="L33" s="204">
        <v>1</v>
      </c>
      <c r="M33" s="205">
        <v>0.5</v>
      </c>
      <c r="N33" s="206">
        <v>1.62</v>
      </c>
      <c r="O33" s="208">
        <v>1.62</v>
      </c>
      <c r="P33" s="208">
        <v>24.94</v>
      </c>
      <c r="Q33" s="208">
        <v>6.4955894145950284</v>
      </c>
      <c r="R33" s="221">
        <v>1539.5061728395062</v>
      </c>
      <c r="S33" s="204">
        <v>1</v>
      </c>
      <c r="T33" s="204">
        <v>1</v>
      </c>
      <c r="U33" s="205">
        <v>1</v>
      </c>
      <c r="V33" s="204">
        <v>1</v>
      </c>
      <c r="W33" s="204">
        <v>0</v>
      </c>
      <c r="X33" s="206">
        <v>24.94</v>
      </c>
      <c r="Y33" s="222">
        <v>0</v>
      </c>
    </row>
    <row r="34" spans="1:25" ht="14.25" customHeight="1" x14ac:dyDescent="0.3">
      <c r="A34" s="201">
        <v>45882</v>
      </c>
      <c r="B34" s="202">
        <v>45882</v>
      </c>
      <c r="C34" s="203" t="s">
        <v>27</v>
      </c>
      <c r="D34" s="203" t="s">
        <v>28</v>
      </c>
      <c r="E34" s="203" t="s">
        <v>71</v>
      </c>
      <c r="F34" s="203" t="s">
        <v>72</v>
      </c>
      <c r="G34" s="203" t="s">
        <v>31</v>
      </c>
      <c r="H34" s="203" t="s">
        <v>73</v>
      </c>
      <c r="I34" s="203" t="s">
        <v>52</v>
      </c>
      <c r="J34" s="203" t="s">
        <v>140</v>
      </c>
      <c r="K34" s="204">
        <v>13</v>
      </c>
      <c r="L34" s="204">
        <v>2</v>
      </c>
      <c r="M34" s="205">
        <v>0.15384615384615385</v>
      </c>
      <c r="N34" s="206">
        <v>3.1749999999999998</v>
      </c>
      <c r="O34" s="208">
        <v>6.35</v>
      </c>
      <c r="P34" s="208">
        <v>24.94</v>
      </c>
      <c r="Q34" s="208">
        <v>25.461106655974337</v>
      </c>
      <c r="R34" s="221">
        <v>392.75590551181108</v>
      </c>
      <c r="S34" s="204">
        <v>1</v>
      </c>
      <c r="T34" s="204">
        <v>1</v>
      </c>
      <c r="U34" s="205">
        <v>0.5</v>
      </c>
      <c r="V34" s="204">
        <v>1</v>
      </c>
      <c r="W34" s="204">
        <v>0</v>
      </c>
      <c r="X34" s="206">
        <v>24.94</v>
      </c>
      <c r="Y34" s="222">
        <v>0</v>
      </c>
    </row>
    <row r="35" spans="1:25" ht="14.25" customHeight="1" x14ac:dyDescent="0.3">
      <c r="A35" s="201">
        <v>45883</v>
      </c>
      <c r="B35" s="202">
        <v>45883</v>
      </c>
      <c r="C35" s="203" t="s">
        <v>27</v>
      </c>
      <c r="D35" s="203" t="s">
        <v>28</v>
      </c>
      <c r="E35" s="203" t="s">
        <v>29</v>
      </c>
      <c r="F35" s="203" t="s">
        <v>30</v>
      </c>
      <c r="G35" s="203" t="s">
        <v>31</v>
      </c>
      <c r="H35" s="203" t="s">
        <v>480</v>
      </c>
      <c r="I35" s="203" t="s">
        <v>32</v>
      </c>
      <c r="J35" s="203" t="s">
        <v>162</v>
      </c>
      <c r="K35" s="204">
        <v>9</v>
      </c>
      <c r="L35" s="204">
        <v>1</v>
      </c>
      <c r="M35" s="205">
        <v>0.1111111111111111</v>
      </c>
      <c r="N35" s="206">
        <v>2.95</v>
      </c>
      <c r="O35" s="208">
        <v>2.95</v>
      </c>
      <c r="P35" s="208">
        <v>24.94</v>
      </c>
      <c r="Q35" s="208">
        <v>11.828388131515638</v>
      </c>
      <c r="R35" s="221">
        <v>845.42372881355925</v>
      </c>
      <c r="S35" s="204">
        <v>1</v>
      </c>
      <c r="T35" s="204">
        <v>1</v>
      </c>
      <c r="U35" s="205">
        <v>1</v>
      </c>
      <c r="V35" s="204">
        <v>1</v>
      </c>
      <c r="W35" s="204">
        <v>0</v>
      </c>
      <c r="X35" s="206">
        <v>24.94</v>
      </c>
      <c r="Y35" s="222">
        <v>0</v>
      </c>
    </row>
    <row r="36" spans="1:25" ht="14.25" customHeight="1" x14ac:dyDescent="0.3">
      <c r="A36" s="201">
        <v>45883</v>
      </c>
      <c r="B36" s="202">
        <v>45883</v>
      </c>
      <c r="C36" s="203" t="s">
        <v>40</v>
      </c>
      <c r="D36" s="203" t="s">
        <v>28</v>
      </c>
      <c r="E36" s="203" t="s">
        <v>41</v>
      </c>
      <c r="F36" s="203" t="s">
        <v>42</v>
      </c>
      <c r="G36" s="203" t="s">
        <v>31</v>
      </c>
      <c r="H36" s="203" t="s">
        <v>695</v>
      </c>
      <c r="I36" s="203" t="s">
        <v>44</v>
      </c>
      <c r="J36" s="203" t="s">
        <v>695</v>
      </c>
      <c r="K36" s="204">
        <v>1</v>
      </c>
      <c r="L36" s="204">
        <v>1</v>
      </c>
      <c r="M36" s="205">
        <v>1</v>
      </c>
      <c r="N36" s="206">
        <v>3.3</v>
      </c>
      <c r="O36" s="208">
        <v>3.3</v>
      </c>
      <c r="P36" s="208">
        <v>24.94</v>
      </c>
      <c r="Q36" s="208">
        <v>13.231756214915796</v>
      </c>
      <c r="R36" s="221">
        <v>755.75757575757586</v>
      </c>
      <c r="S36" s="204">
        <v>1</v>
      </c>
      <c r="T36" s="204">
        <v>1</v>
      </c>
      <c r="U36" s="205">
        <v>1</v>
      </c>
      <c r="V36" s="204">
        <v>1</v>
      </c>
      <c r="W36" s="204">
        <v>0</v>
      </c>
      <c r="X36" s="206">
        <v>24.94</v>
      </c>
      <c r="Y36" s="222">
        <v>0</v>
      </c>
    </row>
    <row r="37" spans="1:25" ht="14.25" customHeight="1" x14ac:dyDescent="0.3">
      <c r="A37" s="201">
        <v>45883</v>
      </c>
      <c r="B37" s="202">
        <v>45883</v>
      </c>
      <c r="C37" s="203" t="s">
        <v>494</v>
      </c>
      <c r="D37" s="203" t="s">
        <v>28</v>
      </c>
      <c r="E37" s="203" t="s">
        <v>495</v>
      </c>
      <c r="F37" s="203" t="s">
        <v>496</v>
      </c>
      <c r="G37" s="203" t="s">
        <v>31</v>
      </c>
      <c r="H37" s="203" t="s">
        <v>51</v>
      </c>
      <c r="I37" s="203" t="s">
        <v>52</v>
      </c>
      <c r="J37" s="203" t="s">
        <v>696</v>
      </c>
      <c r="K37" s="204">
        <v>1</v>
      </c>
      <c r="L37" s="204">
        <v>1</v>
      </c>
      <c r="M37" s="205">
        <v>1</v>
      </c>
      <c r="N37" s="206">
        <v>1.8</v>
      </c>
      <c r="O37" s="208">
        <v>1.8</v>
      </c>
      <c r="P37" s="208">
        <v>59.98</v>
      </c>
      <c r="Q37" s="208">
        <v>3.0010003334444817</v>
      </c>
      <c r="R37" s="221">
        <v>3332.2222222222222</v>
      </c>
      <c r="S37" s="204">
        <v>2</v>
      </c>
      <c r="T37" s="204">
        <v>2</v>
      </c>
      <c r="U37" s="205">
        <v>2</v>
      </c>
      <c r="V37" s="204">
        <v>2</v>
      </c>
      <c r="W37" s="204">
        <v>0</v>
      </c>
      <c r="X37" s="206">
        <v>59.98</v>
      </c>
      <c r="Y37" s="222">
        <v>0</v>
      </c>
    </row>
    <row r="38" spans="1:25" ht="14.25" customHeight="1" x14ac:dyDescent="0.3">
      <c r="A38" s="201">
        <v>45883</v>
      </c>
      <c r="B38" s="202">
        <v>45883</v>
      </c>
      <c r="C38" s="203" t="s">
        <v>85</v>
      </c>
      <c r="D38" s="203" t="s">
        <v>28</v>
      </c>
      <c r="E38" s="203" t="s">
        <v>108</v>
      </c>
      <c r="F38" s="203" t="s">
        <v>109</v>
      </c>
      <c r="G38" s="203" t="s">
        <v>31</v>
      </c>
      <c r="H38" s="203" t="s">
        <v>110</v>
      </c>
      <c r="I38" s="203" t="s">
        <v>44</v>
      </c>
      <c r="J38" s="203" t="s">
        <v>698</v>
      </c>
      <c r="K38" s="204">
        <v>2</v>
      </c>
      <c r="L38" s="204">
        <v>1</v>
      </c>
      <c r="M38" s="205">
        <v>0.5</v>
      </c>
      <c r="N38" s="206">
        <v>0.92</v>
      </c>
      <c r="O38" s="208">
        <v>0.92</v>
      </c>
      <c r="P38" s="208">
        <v>29.99</v>
      </c>
      <c r="Q38" s="208">
        <v>3.0676892297432481</v>
      </c>
      <c r="R38" s="221">
        <v>3259.7826086956516</v>
      </c>
      <c r="S38" s="204">
        <v>1</v>
      </c>
      <c r="T38" s="204">
        <v>1</v>
      </c>
      <c r="U38" s="205">
        <v>1</v>
      </c>
      <c r="V38" s="204">
        <v>1</v>
      </c>
      <c r="W38" s="204">
        <v>0</v>
      </c>
      <c r="X38" s="206">
        <v>29.99</v>
      </c>
      <c r="Y38" s="222">
        <v>0</v>
      </c>
    </row>
    <row r="39" spans="1:25" ht="14.25" customHeight="1" x14ac:dyDescent="0.3">
      <c r="A39" s="201">
        <v>45883</v>
      </c>
      <c r="B39" s="202">
        <v>45883</v>
      </c>
      <c r="C39" s="203" t="s">
        <v>27</v>
      </c>
      <c r="D39" s="203" t="s">
        <v>28</v>
      </c>
      <c r="E39" s="203" t="s">
        <v>71</v>
      </c>
      <c r="F39" s="203" t="s">
        <v>72</v>
      </c>
      <c r="G39" s="203" t="s">
        <v>31</v>
      </c>
      <c r="H39" s="203" t="s">
        <v>73</v>
      </c>
      <c r="I39" s="203" t="s">
        <v>52</v>
      </c>
      <c r="J39" s="203" t="s">
        <v>700</v>
      </c>
      <c r="K39" s="204">
        <v>2</v>
      </c>
      <c r="L39" s="204">
        <v>1</v>
      </c>
      <c r="M39" s="205">
        <v>0.5</v>
      </c>
      <c r="N39" s="206">
        <v>2.5499999999999998</v>
      </c>
      <c r="O39" s="208">
        <v>2.5499999999999998</v>
      </c>
      <c r="P39" s="208">
        <v>24.94</v>
      </c>
      <c r="Q39" s="208">
        <v>10.224538893344025</v>
      </c>
      <c r="R39" s="221">
        <v>978.03921568627459</v>
      </c>
      <c r="S39" s="204">
        <v>1</v>
      </c>
      <c r="T39" s="204">
        <v>1</v>
      </c>
      <c r="U39" s="205">
        <v>1</v>
      </c>
      <c r="V39" s="204">
        <v>1</v>
      </c>
      <c r="W39" s="204">
        <v>0</v>
      </c>
      <c r="X39" s="206">
        <v>24.94</v>
      </c>
      <c r="Y39" s="222">
        <v>0</v>
      </c>
    </row>
    <row r="40" spans="1:25" ht="14.25" customHeight="1" x14ac:dyDescent="0.3">
      <c r="A40" s="201">
        <v>45883</v>
      </c>
      <c r="B40" s="202">
        <v>45883</v>
      </c>
      <c r="C40" s="203" t="s">
        <v>27</v>
      </c>
      <c r="D40" s="203" t="s">
        <v>28</v>
      </c>
      <c r="E40" s="203" t="s">
        <v>71</v>
      </c>
      <c r="F40" s="203" t="s">
        <v>72</v>
      </c>
      <c r="G40" s="203" t="s">
        <v>31</v>
      </c>
      <c r="H40" s="203" t="s">
        <v>73</v>
      </c>
      <c r="I40" s="203" t="s">
        <v>52</v>
      </c>
      <c r="J40" s="203" t="s">
        <v>701</v>
      </c>
      <c r="K40" s="204">
        <v>3</v>
      </c>
      <c r="L40" s="204">
        <v>1</v>
      </c>
      <c r="M40" s="205">
        <v>0.33333333333333331</v>
      </c>
      <c r="N40" s="206">
        <v>3.2</v>
      </c>
      <c r="O40" s="208">
        <v>3.2</v>
      </c>
      <c r="P40" s="208">
        <v>24.94</v>
      </c>
      <c r="Q40" s="208">
        <v>12.830793905372895</v>
      </c>
      <c r="R40" s="221">
        <v>779.375</v>
      </c>
      <c r="S40" s="204">
        <v>1</v>
      </c>
      <c r="T40" s="204">
        <v>1</v>
      </c>
      <c r="U40" s="205">
        <v>1</v>
      </c>
      <c r="V40" s="204">
        <v>1</v>
      </c>
      <c r="W40" s="204">
        <v>0</v>
      </c>
      <c r="X40" s="206">
        <v>24.94</v>
      </c>
      <c r="Y40" s="222">
        <v>0</v>
      </c>
    </row>
    <row r="41" spans="1:25" ht="14.25" customHeight="1" x14ac:dyDescent="0.3">
      <c r="A41" s="201">
        <v>45883</v>
      </c>
      <c r="B41" s="202">
        <v>45883</v>
      </c>
      <c r="C41" s="203" t="s">
        <v>27</v>
      </c>
      <c r="D41" s="203" t="s">
        <v>28</v>
      </c>
      <c r="E41" s="203" t="s">
        <v>71</v>
      </c>
      <c r="F41" s="203" t="s">
        <v>72</v>
      </c>
      <c r="G41" s="203" t="s">
        <v>31</v>
      </c>
      <c r="H41" s="203" t="s">
        <v>73</v>
      </c>
      <c r="I41" s="203" t="s">
        <v>52</v>
      </c>
      <c r="J41" s="203" t="s">
        <v>703</v>
      </c>
      <c r="K41" s="204">
        <v>4</v>
      </c>
      <c r="L41" s="204">
        <v>1</v>
      </c>
      <c r="M41" s="205">
        <v>0.25</v>
      </c>
      <c r="N41" s="206">
        <v>3.02</v>
      </c>
      <c r="O41" s="208">
        <v>3.02</v>
      </c>
      <c r="P41" s="208">
        <v>24.94</v>
      </c>
      <c r="Q41" s="208">
        <v>12.109061748195669</v>
      </c>
      <c r="R41" s="221">
        <v>825.82781456953637</v>
      </c>
      <c r="S41" s="204">
        <v>1</v>
      </c>
      <c r="T41" s="204">
        <v>1</v>
      </c>
      <c r="U41" s="205">
        <v>1</v>
      </c>
      <c r="V41" s="204">
        <v>1</v>
      </c>
      <c r="W41" s="204">
        <v>0</v>
      </c>
      <c r="X41" s="206">
        <v>24.94</v>
      </c>
      <c r="Y41" s="222">
        <v>0</v>
      </c>
    </row>
    <row r="42" spans="1:25" ht="14.25" customHeight="1" x14ac:dyDescent="0.3">
      <c r="A42" s="201">
        <v>45883</v>
      </c>
      <c r="B42" s="202">
        <v>45883</v>
      </c>
      <c r="C42" s="203" t="s">
        <v>27</v>
      </c>
      <c r="D42" s="203" t="s">
        <v>28</v>
      </c>
      <c r="E42" s="203" t="s">
        <v>71</v>
      </c>
      <c r="F42" s="203" t="s">
        <v>72</v>
      </c>
      <c r="G42" s="203" t="s">
        <v>31</v>
      </c>
      <c r="H42" s="203" t="s">
        <v>51</v>
      </c>
      <c r="I42" s="203" t="s">
        <v>52</v>
      </c>
      <c r="J42" s="203" t="s">
        <v>599</v>
      </c>
      <c r="K42" s="204">
        <v>9</v>
      </c>
      <c r="L42" s="204">
        <v>2</v>
      </c>
      <c r="M42" s="205">
        <v>0.22222222222222221</v>
      </c>
      <c r="N42" s="206">
        <v>2.5</v>
      </c>
      <c r="O42" s="208">
        <v>5</v>
      </c>
      <c r="P42" s="208">
        <v>24.94</v>
      </c>
      <c r="Q42" s="208">
        <v>20.048115477145149</v>
      </c>
      <c r="R42" s="221">
        <v>498.80000000000007</v>
      </c>
      <c r="S42" s="204">
        <v>1</v>
      </c>
      <c r="T42" s="204">
        <v>1</v>
      </c>
      <c r="U42" s="205">
        <v>0.5</v>
      </c>
      <c r="V42" s="204">
        <v>1</v>
      </c>
      <c r="W42" s="204">
        <v>0</v>
      </c>
      <c r="X42" s="206">
        <v>24.94</v>
      </c>
      <c r="Y42" s="222">
        <v>0</v>
      </c>
    </row>
    <row r="43" spans="1:25" ht="14.25" customHeight="1" x14ac:dyDescent="0.3">
      <c r="A43" s="201">
        <v>45883</v>
      </c>
      <c r="B43" s="202">
        <v>45883</v>
      </c>
      <c r="C43" s="203" t="s">
        <v>48</v>
      </c>
      <c r="D43" s="203" t="s">
        <v>28</v>
      </c>
      <c r="E43" s="203" t="s">
        <v>49</v>
      </c>
      <c r="F43" s="203" t="s">
        <v>50</v>
      </c>
      <c r="G43" s="203" t="s">
        <v>31</v>
      </c>
      <c r="H43" s="203" t="s">
        <v>51</v>
      </c>
      <c r="I43" s="203" t="s">
        <v>52</v>
      </c>
      <c r="J43" s="203" t="s">
        <v>705</v>
      </c>
      <c r="K43" s="204">
        <v>3</v>
      </c>
      <c r="L43" s="204">
        <v>1</v>
      </c>
      <c r="M43" s="205">
        <v>0.33333333333333331</v>
      </c>
      <c r="N43" s="206">
        <v>2</v>
      </c>
      <c r="O43" s="208">
        <v>2</v>
      </c>
      <c r="P43" s="208">
        <v>21.95</v>
      </c>
      <c r="Q43" s="208">
        <v>9.1116173120728927</v>
      </c>
      <c r="R43" s="221">
        <v>1097.5</v>
      </c>
      <c r="S43" s="204">
        <v>1</v>
      </c>
      <c r="T43" s="204">
        <v>1</v>
      </c>
      <c r="U43" s="205">
        <v>1</v>
      </c>
      <c r="V43" s="204">
        <v>1</v>
      </c>
      <c r="W43" s="204">
        <v>0</v>
      </c>
      <c r="X43" s="206">
        <v>21.95</v>
      </c>
      <c r="Y43" s="222">
        <v>0</v>
      </c>
    </row>
    <row r="44" spans="1:25" ht="14.25" customHeight="1" x14ac:dyDescent="0.3">
      <c r="A44" s="201">
        <v>45883</v>
      </c>
      <c r="B44" s="202">
        <v>45883</v>
      </c>
      <c r="C44" s="203" t="s">
        <v>48</v>
      </c>
      <c r="D44" s="203" t="s">
        <v>28</v>
      </c>
      <c r="E44" s="203" t="s">
        <v>49</v>
      </c>
      <c r="F44" s="203" t="s">
        <v>50</v>
      </c>
      <c r="G44" s="203" t="s">
        <v>31</v>
      </c>
      <c r="H44" s="203" t="s">
        <v>51</v>
      </c>
      <c r="I44" s="203" t="s">
        <v>52</v>
      </c>
      <c r="J44" s="203" t="s">
        <v>706</v>
      </c>
      <c r="K44" s="204">
        <v>6</v>
      </c>
      <c r="L44" s="204">
        <v>1</v>
      </c>
      <c r="M44" s="205">
        <v>0.16666666666666663</v>
      </c>
      <c r="N44" s="206">
        <v>1.39</v>
      </c>
      <c r="O44" s="208">
        <v>1.39</v>
      </c>
      <c r="P44" s="208">
        <v>21.95</v>
      </c>
      <c r="Q44" s="208">
        <v>6.33257403189066</v>
      </c>
      <c r="R44" s="221">
        <v>1579.1366906474821</v>
      </c>
      <c r="S44" s="204">
        <v>1</v>
      </c>
      <c r="T44" s="204">
        <v>1</v>
      </c>
      <c r="U44" s="205">
        <v>1</v>
      </c>
      <c r="V44" s="204">
        <v>1</v>
      </c>
      <c r="W44" s="204">
        <v>0</v>
      </c>
      <c r="X44" s="206">
        <v>21.95</v>
      </c>
      <c r="Y44" s="222">
        <v>0</v>
      </c>
    </row>
    <row r="45" spans="1:25" ht="14.25" customHeight="1" x14ac:dyDescent="0.3">
      <c r="A45" s="201">
        <v>45884</v>
      </c>
      <c r="B45" s="202">
        <v>45884</v>
      </c>
      <c r="C45" s="203" t="s">
        <v>27</v>
      </c>
      <c r="D45" s="203" t="s">
        <v>28</v>
      </c>
      <c r="E45" s="203" t="s">
        <v>71</v>
      </c>
      <c r="F45" s="203" t="s">
        <v>72</v>
      </c>
      <c r="G45" s="203" t="s">
        <v>31</v>
      </c>
      <c r="H45" s="203" t="s">
        <v>51</v>
      </c>
      <c r="I45" s="203" t="s">
        <v>52</v>
      </c>
      <c r="J45" s="203" t="s">
        <v>145</v>
      </c>
      <c r="K45" s="204">
        <v>35</v>
      </c>
      <c r="L45" s="204">
        <v>1</v>
      </c>
      <c r="M45" s="205">
        <v>2.8571428571428571E-2</v>
      </c>
      <c r="N45" s="206">
        <v>2.2599999999999998</v>
      </c>
      <c r="O45" s="208">
        <v>2.2599999999999998</v>
      </c>
      <c r="P45" s="208">
        <v>24.94</v>
      </c>
      <c r="Q45" s="208">
        <v>9.0617481956696047</v>
      </c>
      <c r="R45" s="221">
        <v>1103.5398230088497</v>
      </c>
      <c r="S45" s="204">
        <v>1</v>
      </c>
      <c r="T45" s="204">
        <v>1</v>
      </c>
      <c r="U45" s="205">
        <v>1</v>
      </c>
      <c r="V45" s="204">
        <v>1</v>
      </c>
      <c r="W45" s="204">
        <v>0</v>
      </c>
      <c r="X45" s="206">
        <v>24.94</v>
      </c>
      <c r="Y45" s="222">
        <v>0</v>
      </c>
    </row>
    <row r="46" spans="1:25" ht="14.25" customHeight="1" x14ac:dyDescent="0.3">
      <c r="A46" s="201">
        <v>45884</v>
      </c>
      <c r="B46" s="202">
        <v>45884</v>
      </c>
      <c r="C46" s="203" t="s">
        <v>494</v>
      </c>
      <c r="D46" s="203" t="s">
        <v>28</v>
      </c>
      <c r="E46" s="203" t="s">
        <v>495</v>
      </c>
      <c r="F46" s="203" t="s">
        <v>496</v>
      </c>
      <c r="G46" s="203" t="s">
        <v>31</v>
      </c>
      <c r="H46" s="203" t="s">
        <v>51</v>
      </c>
      <c r="I46" s="203" t="s">
        <v>52</v>
      </c>
      <c r="J46" s="203" t="s">
        <v>690</v>
      </c>
      <c r="K46" s="204">
        <v>1</v>
      </c>
      <c r="L46" s="204">
        <v>1</v>
      </c>
      <c r="M46" s="205">
        <v>1</v>
      </c>
      <c r="N46" s="206">
        <v>3.24</v>
      </c>
      <c r="O46" s="208">
        <v>3.24</v>
      </c>
      <c r="P46" s="208">
        <v>29.99</v>
      </c>
      <c r="Q46" s="208">
        <v>10.803601200400134</v>
      </c>
      <c r="R46" s="221">
        <v>925.61728395061721</v>
      </c>
      <c r="S46" s="204">
        <v>1</v>
      </c>
      <c r="T46" s="204">
        <v>1</v>
      </c>
      <c r="U46" s="205">
        <v>1</v>
      </c>
      <c r="V46" s="204">
        <v>1</v>
      </c>
      <c r="W46" s="204">
        <v>0</v>
      </c>
      <c r="X46" s="206">
        <v>29.99</v>
      </c>
      <c r="Y46" s="222">
        <v>0</v>
      </c>
    </row>
    <row r="47" spans="1:25" ht="14.25" customHeight="1" x14ac:dyDescent="0.3">
      <c r="A47" s="201">
        <v>45884</v>
      </c>
      <c r="B47" s="202">
        <v>45884</v>
      </c>
      <c r="C47" s="203" t="s">
        <v>27</v>
      </c>
      <c r="D47" s="203" t="s">
        <v>28</v>
      </c>
      <c r="E47" s="203" t="s">
        <v>56</v>
      </c>
      <c r="F47" s="203" t="s">
        <v>57</v>
      </c>
      <c r="G47" s="203" t="s">
        <v>31</v>
      </c>
      <c r="H47" s="203" t="s">
        <v>914</v>
      </c>
      <c r="I47" s="203" t="s">
        <v>32</v>
      </c>
      <c r="J47" s="203" t="s">
        <v>691</v>
      </c>
      <c r="K47" s="204">
        <v>3</v>
      </c>
      <c r="L47" s="204">
        <v>1</v>
      </c>
      <c r="M47" s="205">
        <v>0.33333333333333331</v>
      </c>
      <c r="N47" s="206">
        <v>2.1800000000000002</v>
      </c>
      <c r="O47" s="208">
        <v>2.1800000000000002</v>
      </c>
      <c r="P47" s="208">
        <v>24.94</v>
      </c>
      <c r="Q47" s="208">
        <v>8.7409783480352843</v>
      </c>
      <c r="R47" s="221">
        <v>1144.0366972477063</v>
      </c>
      <c r="S47" s="204">
        <v>1</v>
      </c>
      <c r="T47" s="204">
        <v>1</v>
      </c>
      <c r="U47" s="205">
        <v>1</v>
      </c>
      <c r="V47" s="204">
        <v>1</v>
      </c>
      <c r="W47" s="204">
        <v>0</v>
      </c>
      <c r="X47" s="206">
        <v>24.94</v>
      </c>
      <c r="Y47" s="222">
        <v>0</v>
      </c>
    </row>
    <row r="48" spans="1:25" ht="14.25" customHeight="1" x14ac:dyDescent="0.3">
      <c r="A48" s="201">
        <v>45884</v>
      </c>
      <c r="B48" s="202">
        <v>45884</v>
      </c>
      <c r="C48" s="203" t="s">
        <v>48</v>
      </c>
      <c r="D48" s="203" t="s">
        <v>28</v>
      </c>
      <c r="E48" s="203" t="s">
        <v>49</v>
      </c>
      <c r="F48" s="203" t="s">
        <v>50</v>
      </c>
      <c r="G48" s="203" t="s">
        <v>31</v>
      </c>
      <c r="H48" s="203" t="s">
        <v>51</v>
      </c>
      <c r="I48" s="203" t="s">
        <v>52</v>
      </c>
      <c r="J48" s="203" t="s">
        <v>692</v>
      </c>
      <c r="K48" s="204">
        <v>2</v>
      </c>
      <c r="L48" s="204">
        <v>1</v>
      </c>
      <c r="M48" s="205">
        <v>0.5</v>
      </c>
      <c r="N48" s="206">
        <v>2</v>
      </c>
      <c r="O48" s="208">
        <v>2</v>
      </c>
      <c r="P48" s="208">
        <v>21.95</v>
      </c>
      <c r="Q48" s="208">
        <v>9.1116173120728927</v>
      </c>
      <c r="R48" s="221">
        <v>1097.5</v>
      </c>
      <c r="S48" s="204">
        <v>1</v>
      </c>
      <c r="T48" s="204">
        <v>1</v>
      </c>
      <c r="U48" s="205">
        <v>1</v>
      </c>
      <c r="V48" s="204">
        <v>1</v>
      </c>
      <c r="W48" s="204">
        <v>0</v>
      </c>
      <c r="X48" s="206">
        <v>21.95</v>
      </c>
      <c r="Y48" s="222">
        <v>0</v>
      </c>
    </row>
    <row r="49" spans="1:25" ht="14.25" customHeight="1" x14ac:dyDescent="0.3">
      <c r="A49" s="201">
        <v>45884</v>
      </c>
      <c r="B49" s="202">
        <v>45884</v>
      </c>
      <c r="C49" s="203" t="s">
        <v>48</v>
      </c>
      <c r="D49" s="203" t="s">
        <v>28</v>
      </c>
      <c r="E49" s="203" t="s">
        <v>49</v>
      </c>
      <c r="F49" s="203" t="s">
        <v>50</v>
      </c>
      <c r="G49" s="203" t="s">
        <v>31</v>
      </c>
      <c r="H49" s="203" t="s">
        <v>51</v>
      </c>
      <c r="I49" s="203" t="s">
        <v>52</v>
      </c>
      <c r="J49" s="203" t="s">
        <v>693</v>
      </c>
      <c r="K49" s="204">
        <v>3</v>
      </c>
      <c r="L49" s="204">
        <v>1</v>
      </c>
      <c r="M49" s="205">
        <v>0.33333333333333331</v>
      </c>
      <c r="N49" s="206">
        <v>2</v>
      </c>
      <c r="O49" s="208">
        <v>2</v>
      </c>
      <c r="P49" s="208">
        <v>21.95</v>
      </c>
      <c r="Q49" s="208">
        <v>9.1116173120728927</v>
      </c>
      <c r="R49" s="221">
        <v>1097.5</v>
      </c>
      <c r="S49" s="204">
        <v>1</v>
      </c>
      <c r="T49" s="204">
        <v>1</v>
      </c>
      <c r="U49" s="205">
        <v>1</v>
      </c>
      <c r="V49" s="204">
        <v>1</v>
      </c>
      <c r="W49" s="204">
        <v>0</v>
      </c>
      <c r="X49" s="206">
        <v>21.95</v>
      </c>
      <c r="Y49" s="222">
        <v>0</v>
      </c>
    </row>
    <row r="50" spans="1:25" ht="14.25" customHeight="1" x14ac:dyDescent="0.3">
      <c r="A50" s="201">
        <v>45884</v>
      </c>
      <c r="B50" s="202">
        <v>45884</v>
      </c>
      <c r="C50" s="203" t="s">
        <v>494</v>
      </c>
      <c r="D50" s="203" t="s">
        <v>28</v>
      </c>
      <c r="E50" s="203" t="s">
        <v>495</v>
      </c>
      <c r="F50" s="203" t="s">
        <v>496</v>
      </c>
      <c r="G50" s="203" t="s">
        <v>31</v>
      </c>
      <c r="H50" s="203" t="s">
        <v>51</v>
      </c>
      <c r="I50" s="203" t="s">
        <v>52</v>
      </c>
      <c r="J50" s="203" t="s">
        <v>694</v>
      </c>
      <c r="K50" s="204">
        <v>1</v>
      </c>
      <c r="L50" s="204">
        <v>1</v>
      </c>
      <c r="M50" s="205">
        <v>1</v>
      </c>
      <c r="N50" s="206">
        <v>3.16</v>
      </c>
      <c r="O50" s="208">
        <v>3.16</v>
      </c>
      <c r="P50" s="208">
        <v>29.99</v>
      </c>
      <c r="Q50" s="208">
        <v>10.536845615205069</v>
      </c>
      <c r="R50" s="221">
        <v>949.05063291139231</v>
      </c>
      <c r="S50" s="204">
        <v>1</v>
      </c>
      <c r="T50" s="204">
        <v>1</v>
      </c>
      <c r="U50" s="205">
        <v>1</v>
      </c>
      <c r="V50" s="204">
        <v>1</v>
      </c>
      <c r="W50" s="204">
        <v>0</v>
      </c>
      <c r="X50" s="206">
        <v>29.99</v>
      </c>
      <c r="Y50" s="222">
        <v>0</v>
      </c>
    </row>
    <row r="51" spans="1:25" ht="14.25" customHeight="1" x14ac:dyDescent="0.3">
      <c r="A51" s="201">
        <v>45885</v>
      </c>
      <c r="B51" s="202">
        <v>45885</v>
      </c>
      <c r="C51" s="203" t="s">
        <v>27</v>
      </c>
      <c r="D51" s="203" t="s">
        <v>28</v>
      </c>
      <c r="E51" s="203" t="s">
        <v>71</v>
      </c>
      <c r="F51" s="203" t="s">
        <v>72</v>
      </c>
      <c r="G51" s="203" t="s">
        <v>31</v>
      </c>
      <c r="H51" s="203" t="s">
        <v>73</v>
      </c>
      <c r="I51" s="203" t="s">
        <v>52</v>
      </c>
      <c r="J51" s="203" t="s">
        <v>684</v>
      </c>
      <c r="K51" s="204">
        <v>2</v>
      </c>
      <c r="L51" s="204">
        <v>1</v>
      </c>
      <c r="M51" s="205">
        <v>0.5</v>
      </c>
      <c r="N51" s="206">
        <v>2.16</v>
      </c>
      <c r="O51" s="208">
        <v>2.16</v>
      </c>
      <c r="P51" s="208">
        <v>24.94</v>
      </c>
      <c r="Q51" s="208">
        <v>8.6607858861267033</v>
      </c>
      <c r="R51" s="221">
        <v>1154.6296296296296</v>
      </c>
      <c r="S51" s="204">
        <v>1</v>
      </c>
      <c r="T51" s="204">
        <v>1</v>
      </c>
      <c r="U51" s="205">
        <v>1</v>
      </c>
      <c r="V51" s="204">
        <v>1</v>
      </c>
      <c r="W51" s="204">
        <v>0</v>
      </c>
      <c r="X51" s="206">
        <v>24.94</v>
      </c>
      <c r="Y51" s="222">
        <v>0</v>
      </c>
    </row>
    <row r="52" spans="1:25" ht="14.25" customHeight="1" x14ac:dyDescent="0.3">
      <c r="A52" s="201">
        <v>45885</v>
      </c>
      <c r="B52" s="202">
        <v>45885</v>
      </c>
      <c r="C52" s="203" t="s">
        <v>40</v>
      </c>
      <c r="D52" s="203" t="s">
        <v>28</v>
      </c>
      <c r="E52" s="203" t="s">
        <v>41</v>
      </c>
      <c r="F52" s="203" t="s">
        <v>42</v>
      </c>
      <c r="G52" s="203" t="s">
        <v>31</v>
      </c>
      <c r="H52" s="203" t="s">
        <v>43</v>
      </c>
      <c r="I52" s="203" t="s">
        <v>44</v>
      </c>
      <c r="J52" s="203" t="s">
        <v>686</v>
      </c>
      <c r="K52" s="204">
        <v>2</v>
      </c>
      <c r="L52" s="204">
        <v>1</v>
      </c>
      <c r="M52" s="205">
        <v>0.5</v>
      </c>
      <c r="N52" s="206">
        <v>3.27</v>
      </c>
      <c r="O52" s="208">
        <v>3.27</v>
      </c>
      <c r="P52" s="208">
        <v>24.94</v>
      </c>
      <c r="Q52" s="208">
        <v>13.111467522052928</v>
      </c>
      <c r="R52" s="221">
        <v>762.69113149847101</v>
      </c>
      <c r="S52" s="204">
        <v>1</v>
      </c>
      <c r="T52" s="204">
        <v>1</v>
      </c>
      <c r="U52" s="205">
        <v>1</v>
      </c>
      <c r="V52" s="204">
        <v>1</v>
      </c>
      <c r="W52" s="204">
        <v>0</v>
      </c>
      <c r="X52" s="206">
        <v>24.94</v>
      </c>
      <c r="Y52" s="222">
        <v>0</v>
      </c>
    </row>
    <row r="53" spans="1:25" ht="14.25" customHeight="1" x14ac:dyDescent="0.3">
      <c r="A53" s="201">
        <v>45885</v>
      </c>
      <c r="B53" s="202">
        <v>45885</v>
      </c>
      <c r="C53" s="203" t="s">
        <v>48</v>
      </c>
      <c r="D53" s="203" t="s">
        <v>28</v>
      </c>
      <c r="E53" s="203" t="s">
        <v>62</v>
      </c>
      <c r="F53" s="203" t="s">
        <v>63</v>
      </c>
      <c r="G53" s="203" t="s">
        <v>31</v>
      </c>
      <c r="H53" s="203" t="s">
        <v>372</v>
      </c>
      <c r="I53" s="203" t="s">
        <v>65</v>
      </c>
      <c r="J53" s="203" t="s">
        <v>507</v>
      </c>
      <c r="K53" s="204">
        <v>19</v>
      </c>
      <c r="L53" s="204">
        <v>2</v>
      </c>
      <c r="M53" s="205">
        <v>0.10526315789473684</v>
      </c>
      <c r="N53" s="206">
        <v>4.4550000000000001</v>
      </c>
      <c r="O53" s="208">
        <v>8.91</v>
      </c>
      <c r="P53" s="208">
        <v>21.95</v>
      </c>
      <c r="Q53" s="208">
        <v>40.592255125284737</v>
      </c>
      <c r="R53" s="221">
        <v>246.35241301907968</v>
      </c>
      <c r="S53" s="204">
        <v>1</v>
      </c>
      <c r="T53" s="204">
        <v>1</v>
      </c>
      <c r="U53" s="205">
        <v>0.5</v>
      </c>
      <c r="V53" s="204">
        <v>1</v>
      </c>
      <c r="W53" s="204">
        <v>0</v>
      </c>
      <c r="X53" s="206">
        <v>21.95</v>
      </c>
      <c r="Y53" s="222">
        <v>0</v>
      </c>
    </row>
    <row r="54" spans="1:25" ht="14.25" customHeight="1" x14ac:dyDescent="0.3">
      <c r="A54" s="201">
        <v>45885</v>
      </c>
      <c r="B54" s="202">
        <v>45885</v>
      </c>
      <c r="C54" s="203" t="s">
        <v>27</v>
      </c>
      <c r="D54" s="203" t="s">
        <v>28</v>
      </c>
      <c r="E54" s="203" t="s">
        <v>29</v>
      </c>
      <c r="F54" s="203" t="s">
        <v>30</v>
      </c>
      <c r="G54" s="203" t="s">
        <v>31</v>
      </c>
      <c r="H54" s="203" t="s">
        <v>30</v>
      </c>
      <c r="I54" s="203" t="s">
        <v>32</v>
      </c>
      <c r="J54" s="203" t="s">
        <v>688</v>
      </c>
      <c r="K54" s="204">
        <v>3</v>
      </c>
      <c r="L54" s="204">
        <v>1</v>
      </c>
      <c r="M54" s="205">
        <v>0.33333333333333331</v>
      </c>
      <c r="N54" s="206">
        <v>2.5499999999999998</v>
      </c>
      <c r="O54" s="208">
        <v>2.5499999999999998</v>
      </c>
      <c r="P54" s="208">
        <v>24.94</v>
      </c>
      <c r="Q54" s="208">
        <v>10.224538893344025</v>
      </c>
      <c r="R54" s="221">
        <v>978.03921568627459</v>
      </c>
      <c r="S54" s="204">
        <v>1</v>
      </c>
      <c r="T54" s="204">
        <v>1</v>
      </c>
      <c r="U54" s="205">
        <v>1</v>
      </c>
      <c r="V54" s="204">
        <v>1</v>
      </c>
      <c r="W54" s="204">
        <v>0</v>
      </c>
      <c r="X54" s="206">
        <v>24.94</v>
      </c>
      <c r="Y54" s="222">
        <v>0</v>
      </c>
    </row>
    <row r="55" spans="1:25" ht="14.25" customHeight="1" x14ac:dyDescent="0.3">
      <c r="A55" s="223"/>
      <c r="B55" s="223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5"/>
      <c r="Q55" s="225"/>
      <c r="R55" s="224"/>
      <c r="S55" s="224"/>
      <c r="T55" s="224"/>
      <c r="U55" s="224"/>
      <c r="V55" s="224"/>
      <c r="W55" s="224"/>
      <c r="X55" s="224"/>
      <c r="Y55" s="224"/>
    </row>
    <row r="56" spans="1:25" ht="14.25" customHeight="1" x14ac:dyDescent="0.3">
      <c r="A56" s="223"/>
      <c r="B56" s="223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5"/>
      <c r="Q56" s="225"/>
      <c r="R56" s="224"/>
      <c r="S56" s="224"/>
      <c r="T56" s="224"/>
      <c r="U56" s="224"/>
      <c r="V56" s="224"/>
      <c r="W56" s="224"/>
      <c r="X56" s="224"/>
      <c r="Y56" s="224"/>
    </row>
    <row r="57" spans="1:25" ht="14.25" customHeight="1" x14ac:dyDescent="0.3">
      <c r="A57" s="223"/>
      <c r="B57" s="223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5"/>
      <c r="Q57" s="225"/>
      <c r="R57" s="224"/>
      <c r="S57" s="224"/>
      <c r="T57" s="224"/>
      <c r="U57" s="224"/>
      <c r="V57" s="224"/>
      <c r="W57" s="224"/>
      <c r="X57" s="224"/>
      <c r="Y57" s="224"/>
    </row>
    <row r="58" spans="1:25" ht="14.25" customHeight="1" x14ac:dyDescent="0.3">
      <c r="A58" s="223"/>
      <c r="B58" s="223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5"/>
      <c r="Q58" s="225"/>
      <c r="R58" s="224"/>
      <c r="S58" s="224"/>
      <c r="T58" s="224"/>
      <c r="U58" s="224"/>
      <c r="V58" s="224"/>
      <c r="W58" s="224"/>
      <c r="X58" s="224"/>
      <c r="Y58" s="224"/>
    </row>
    <row r="59" spans="1:25" ht="14.25" customHeight="1" x14ac:dyDescent="0.3">
      <c r="A59" s="223"/>
      <c r="B59" s="223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5"/>
      <c r="Q59" s="225"/>
      <c r="R59" s="224"/>
      <c r="S59" s="224"/>
      <c r="T59" s="224"/>
      <c r="U59" s="224"/>
      <c r="V59" s="224"/>
      <c r="W59" s="224"/>
      <c r="X59" s="224"/>
      <c r="Y59" s="224"/>
    </row>
    <row r="60" spans="1:25" ht="14.25" customHeight="1" x14ac:dyDescent="0.3">
      <c r="A60" s="223"/>
      <c r="B60" s="223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5"/>
      <c r="Q60" s="225"/>
      <c r="R60" s="224"/>
      <c r="S60" s="224"/>
      <c r="T60" s="224"/>
      <c r="U60" s="224"/>
      <c r="V60" s="224"/>
      <c r="W60" s="224"/>
      <c r="X60" s="224"/>
      <c r="Y60" s="224"/>
    </row>
    <row r="61" spans="1:25" ht="14.25" customHeight="1" x14ac:dyDescent="0.3">
      <c r="A61" s="223"/>
      <c r="B61" s="223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5"/>
      <c r="Q61" s="225"/>
      <c r="R61" s="224"/>
      <c r="S61" s="224"/>
      <c r="T61" s="224"/>
      <c r="U61" s="224"/>
      <c r="V61" s="224"/>
      <c r="W61" s="224"/>
      <c r="X61" s="224"/>
      <c r="Y61" s="224"/>
    </row>
    <row r="62" spans="1:25" ht="14.25" customHeight="1" x14ac:dyDescent="0.3">
      <c r="A62" s="223"/>
      <c r="B62" s="223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5"/>
      <c r="Q62" s="225"/>
      <c r="R62" s="224"/>
      <c r="S62" s="224"/>
      <c r="T62" s="224"/>
      <c r="U62" s="224"/>
      <c r="V62" s="224"/>
      <c r="W62" s="224"/>
      <c r="X62" s="224"/>
      <c r="Y62" s="224"/>
    </row>
    <row r="63" spans="1:25" ht="14.25" customHeight="1" x14ac:dyDescent="0.3">
      <c r="A63" s="223"/>
      <c r="B63" s="223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5"/>
      <c r="Q63" s="225"/>
      <c r="R63" s="224"/>
      <c r="S63" s="224"/>
      <c r="T63" s="224"/>
      <c r="U63" s="224"/>
      <c r="V63" s="224"/>
      <c r="W63" s="224"/>
      <c r="X63" s="224"/>
      <c r="Y63" s="224"/>
    </row>
    <row r="64" spans="1:25" ht="14.25" customHeight="1" x14ac:dyDescent="0.3">
      <c r="A64" s="223"/>
      <c r="B64" s="223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5"/>
      <c r="Q64" s="225"/>
      <c r="R64" s="224"/>
      <c r="S64" s="224"/>
      <c r="T64" s="224"/>
      <c r="U64" s="224"/>
      <c r="V64" s="224"/>
      <c r="W64" s="224"/>
      <c r="X64" s="224"/>
      <c r="Y64" s="224"/>
    </row>
    <row r="65" spans="1:25" ht="14.25" customHeight="1" x14ac:dyDescent="0.3">
      <c r="A65" s="223"/>
      <c r="B65" s="223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5"/>
      <c r="Q65" s="225"/>
      <c r="R65" s="224"/>
      <c r="S65" s="224"/>
      <c r="T65" s="224"/>
      <c r="U65" s="224"/>
      <c r="V65" s="224"/>
      <c r="W65" s="224"/>
      <c r="X65" s="224"/>
      <c r="Y65" s="224"/>
    </row>
    <row r="66" spans="1:25" ht="14.25" customHeight="1" x14ac:dyDescent="0.3">
      <c r="A66" s="223"/>
      <c r="B66" s="223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25"/>
      <c r="R66" s="224"/>
      <c r="S66" s="224"/>
      <c r="T66" s="224"/>
      <c r="U66" s="224"/>
      <c r="V66" s="224"/>
      <c r="W66" s="224"/>
      <c r="X66" s="224"/>
      <c r="Y66" s="224"/>
    </row>
    <row r="67" spans="1:25" ht="14.25" customHeight="1" x14ac:dyDescent="0.3">
      <c r="A67" s="223"/>
      <c r="B67" s="223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5"/>
      <c r="Q67" s="225"/>
      <c r="R67" s="224"/>
      <c r="S67" s="224"/>
      <c r="T67" s="224"/>
      <c r="U67" s="224"/>
      <c r="V67" s="224"/>
      <c r="W67" s="224"/>
      <c r="X67" s="224"/>
      <c r="Y67" s="224"/>
    </row>
    <row r="68" spans="1:25" ht="14.25" customHeight="1" x14ac:dyDescent="0.3">
      <c r="A68" s="223"/>
      <c r="B68" s="223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5"/>
      <c r="R68" s="224"/>
      <c r="S68" s="224"/>
      <c r="T68" s="224"/>
      <c r="U68" s="224"/>
      <c r="V68" s="224"/>
      <c r="W68" s="224"/>
      <c r="X68" s="224"/>
      <c r="Y68" s="224"/>
    </row>
    <row r="69" spans="1:25" ht="14.25" customHeight="1" x14ac:dyDescent="0.3">
      <c r="A69" s="223"/>
      <c r="B69" s="223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5"/>
      <c r="Q69" s="225"/>
      <c r="R69" s="224"/>
      <c r="S69" s="224"/>
      <c r="T69" s="224"/>
      <c r="U69" s="224"/>
      <c r="V69" s="224"/>
      <c r="W69" s="224"/>
      <c r="X69" s="224"/>
      <c r="Y69" s="224"/>
    </row>
    <row r="70" spans="1:25" ht="14.25" customHeight="1" x14ac:dyDescent="0.3">
      <c r="A70" s="223"/>
      <c r="B70" s="223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5"/>
      <c r="R70" s="224"/>
      <c r="S70" s="224"/>
      <c r="T70" s="224"/>
      <c r="U70" s="224"/>
      <c r="V70" s="224"/>
      <c r="W70" s="224"/>
      <c r="X70" s="224"/>
      <c r="Y70" s="224"/>
    </row>
    <row r="71" spans="1:25" ht="14.25" customHeight="1" x14ac:dyDescent="0.3">
      <c r="A71" s="223"/>
      <c r="B71" s="223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5"/>
      <c r="Q71" s="225"/>
      <c r="R71" s="224"/>
      <c r="S71" s="224"/>
      <c r="T71" s="224"/>
      <c r="U71" s="224"/>
      <c r="V71" s="224"/>
      <c r="W71" s="224"/>
      <c r="X71" s="224"/>
      <c r="Y71" s="224"/>
    </row>
    <row r="72" spans="1:25" ht="14.25" customHeight="1" x14ac:dyDescent="0.3">
      <c r="A72" s="223"/>
      <c r="B72" s="223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5"/>
      <c r="R72" s="224"/>
      <c r="S72" s="224"/>
      <c r="T72" s="224"/>
      <c r="U72" s="224"/>
      <c r="V72" s="224"/>
      <c r="W72" s="224"/>
      <c r="X72" s="224"/>
      <c r="Y72" s="224"/>
    </row>
    <row r="73" spans="1:25" ht="14.25" customHeight="1" x14ac:dyDescent="0.3">
      <c r="A73" s="223"/>
      <c r="B73" s="223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5"/>
      <c r="Q73" s="225"/>
      <c r="R73" s="224"/>
      <c r="S73" s="224"/>
      <c r="T73" s="224"/>
      <c r="U73" s="224"/>
      <c r="V73" s="224"/>
      <c r="W73" s="224"/>
      <c r="X73" s="224"/>
      <c r="Y73" s="224"/>
    </row>
    <row r="74" spans="1:25" ht="14.25" customHeight="1" x14ac:dyDescent="0.3">
      <c r="A74" s="223"/>
      <c r="B74" s="223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5"/>
      <c r="R74" s="224"/>
      <c r="S74" s="224"/>
      <c r="T74" s="224"/>
      <c r="U74" s="224"/>
      <c r="V74" s="224"/>
      <c r="W74" s="224"/>
      <c r="X74" s="224"/>
      <c r="Y74" s="224"/>
    </row>
    <row r="75" spans="1:25" ht="14.25" customHeight="1" x14ac:dyDescent="0.3">
      <c r="A75" s="223"/>
      <c r="B75" s="223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5"/>
      <c r="Q75" s="225"/>
      <c r="R75" s="224"/>
      <c r="S75" s="224"/>
      <c r="T75" s="224"/>
      <c r="U75" s="224"/>
      <c r="V75" s="224"/>
      <c r="W75" s="224"/>
      <c r="X75" s="224"/>
      <c r="Y75" s="224"/>
    </row>
    <row r="76" spans="1:25" ht="14.25" customHeight="1" x14ac:dyDescent="0.3">
      <c r="A76" s="223"/>
      <c r="B76" s="223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5"/>
      <c r="R76" s="224"/>
      <c r="S76" s="224"/>
      <c r="T76" s="224"/>
      <c r="U76" s="224"/>
      <c r="V76" s="224"/>
      <c r="W76" s="224"/>
      <c r="X76" s="224"/>
      <c r="Y76" s="224"/>
    </row>
    <row r="77" spans="1:25" ht="14.25" customHeight="1" x14ac:dyDescent="0.3">
      <c r="A77" s="223"/>
      <c r="B77" s="223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5"/>
      <c r="Q77" s="225"/>
      <c r="R77" s="224"/>
      <c r="S77" s="224"/>
      <c r="T77" s="224"/>
      <c r="U77" s="224"/>
      <c r="V77" s="224"/>
      <c r="W77" s="224"/>
      <c r="X77" s="224"/>
      <c r="Y77" s="224"/>
    </row>
    <row r="78" spans="1:25" ht="14.25" customHeight="1" x14ac:dyDescent="0.3">
      <c r="A78" s="223"/>
      <c r="B78" s="223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5"/>
      <c r="Q78" s="225"/>
      <c r="R78" s="224"/>
      <c r="S78" s="224"/>
      <c r="T78" s="224"/>
      <c r="U78" s="224"/>
      <c r="V78" s="224"/>
      <c r="W78" s="224"/>
      <c r="X78" s="224"/>
      <c r="Y78" s="224"/>
    </row>
    <row r="79" spans="1:25" ht="14.25" customHeight="1" x14ac:dyDescent="0.3">
      <c r="A79" s="223"/>
      <c r="B79" s="223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5"/>
      <c r="Q79" s="225"/>
      <c r="R79" s="224"/>
      <c r="S79" s="224"/>
      <c r="T79" s="224"/>
      <c r="U79" s="224"/>
      <c r="V79" s="224"/>
      <c r="W79" s="224"/>
      <c r="X79" s="224"/>
      <c r="Y79" s="224"/>
    </row>
    <row r="80" spans="1:25" ht="14.25" customHeight="1" x14ac:dyDescent="0.3">
      <c r="A80" s="223"/>
      <c r="B80" s="223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5"/>
      <c r="Q80" s="225"/>
      <c r="R80" s="224"/>
      <c r="S80" s="224"/>
      <c r="T80" s="224"/>
      <c r="U80" s="224"/>
      <c r="V80" s="224"/>
      <c r="W80" s="224"/>
      <c r="X80" s="224"/>
      <c r="Y80" s="224"/>
    </row>
    <row r="81" spans="1:25" ht="14.25" customHeight="1" x14ac:dyDescent="0.3">
      <c r="A81" s="223"/>
      <c r="B81" s="223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5"/>
      <c r="Q81" s="225"/>
      <c r="R81" s="224"/>
      <c r="S81" s="224"/>
      <c r="T81" s="224"/>
      <c r="U81" s="224"/>
      <c r="V81" s="224"/>
      <c r="W81" s="224"/>
      <c r="X81" s="224"/>
      <c r="Y81" s="224"/>
    </row>
    <row r="82" spans="1:25" ht="14.25" customHeight="1" x14ac:dyDescent="0.3">
      <c r="A82" s="223"/>
      <c r="B82" s="223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5"/>
      <c r="Q82" s="225"/>
      <c r="R82" s="224"/>
      <c r="S82" s="224"/>
      <c r="T82" s="224"/>
      <c r="U82" s="224"/>
      <c r="V82" s="224"/>
      <c r="W82" s="224"/>
      <c r="X82" s="224"/>
      <c r="Y82" s="224"/>
    </row>
    <row r="83" spans="1:25" ht="14.25" customHeight="1" x14ac:dyDescent="0.3">
      <c r="A83" s="223"/>
      <c r="B83" s="223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5"/>
      <c r="Q83" s="225"/>
      <c r="R83" s="224"/>
      <c r="S83" s="224"/>
      <c r="T83" s="224"/>
      <c r="U83" s="224"/>
      <c r="V83" s="224"/>
      <c r="W83" s="224"/>
      <c r="X83" s="224"/>
      <c r="Y83" s="224"/>
    </row>
    <row r="84" spans="1:25" ht="14.25" customHeight="1" x14ac:dyDescent="0.3">
      <c r="A84" s="223"/>
      <c r="B84" s="223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5"/>
      <c r="Q84" s="225"/>
      <c r="R84" s="224"/>
      <c r="S84" s="224"/>
      <c r="T84" s="224"/>
      <c r="U84" s="224"/>
      <c r="V84" s="224"/>
      <c r="W84" s="224"/>
      <c r="X84" s="224"/>
      <c r="Y84" s="224"/>
    </row>
    <row r="85" spans="1:25" ht="14.25" customHeight="1" x14ac:dyDescent="0.3">
      <c r="A85" s="223"/>
      <c r="B85" s="223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5"/>
      <c r="Q85" s="225"/>
      <c r="R85" s="224"/>
      <c r="S85" s="224"/>
      <c r="T85" s="224"/>
      <c r="U85" s="224"/>
      <c r="V85" s="224"/>
      <c r="W85" s="224"/>
      <c r="X85" s="224"/>
      <c r="Y85" s="224"/>
    </row>
    <row r="86" spans="1:25" ht="14.25" customHeight="1" x14ac:dyDescent="0.3">
      <c r="A86" s="223"/>
      <c r="B86" s="223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5"/>
      <c r="Q86" s="225"/>
      <c r="R86" s="224"/>
      <c r="S86" s="224"/>
      <c r="T86" s="224"/>
      <c r="U86" s="224"/>
      <c r="V86" s="224"/>
      <c r="W86" s="224"/>
      <c r="X86" s="224"/>
      <c r="Y86" s="224"/>
    </row>
    <row r="87" spans="1:25" ht="14.25" customHeight="1" x14ac:dyDescent="0.3">
      <c r="A87" s="223"/>
      <c r="B87" s="223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5"/>
      <c r="Q87" s="225"/>
      <c r="R87" s="224"/>
      <c r="S87" s="224"/>
      <c r="T87" s="224"/>
      <c r="U87" s="224"/>
      <c r="V87" s="224"/>
      <c r="W87" s="224"/>
      <c r="X87" s="224"/>
      <c r="Y87" s="224"/>
    </row>
    <row r="88" spans="1:25" ht="14.25" customHeight="1" x14ac:dyDescent="0.3">
      <c r="A88" s="223"/>
      <c r="B88" s="223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5"/>
      <c r="Q88" s="225"/>
      <c r="R88" s="224"/>
      <c r="S88" s="224"/>
      <c r="T88" s="224"/>
      <c r="U88" s="224"/>
      <c r="V88" s="224"/>
      <c r="W88" s="224"/>
      <c r="X88" s="224"/>
      <c r="Y88" s="224"/>
    </row>
    <row r="89" spans="1:25" ht="14.25" customHeight="1" x14ac:dyDescent="0.3">
      <c r="A89" s="223"/>
      <c r="B89" s="223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5"/>
      <c r="Q89" s="225"/>
      <c r="R89" s="224"/>
      <c r="S89" s="224"/>
      <c r="T89" s="224"/>
      <c r="U89" s="224"/>
      <c r="V89" s="224"/>
      <c r="W89" s="224"/>
      <c r="X89" s="224"/>
      <c r="Y89" s="224"/>
    </row>
    <row r="90" spans="1:25" ht="14.25" customHeight="1" x14ac:dyDescent="0.3">
      <c r="A90" s="223"/>
      <c r="B90" s="223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5"/>
      <c r="Q90" s="225"/>
      <c r="R90" s="224"/>
      <c r="S90" s="224"/>
      <c r="T90" s="224"/>
      <c r="U90" s="224"/>
      <c r="V90" s="224"/>
      <c r="W90" s="224"/>
      <c r="X90" s="224"/>
      <c r="Y90" s="224"/>
    </row>
    <row r="91" spans="1:25" ht="14.25" customHeight="1" x14ac:dyDescent="0.3">
      <c r="A91" s="223"/>
      <c r="B91" s="223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5"/>
      <c r="Q91" s="225"/>
      <c r="R91" s="224"/>
      <c r="S91" s="224"/>
      <c r="T91" s="224"/>
      <c r="U91" s="224"/>
      <c r="V91" s="224"/>
      <c r="W91" s="224"/>
      <c r="X91" s="224"/>
      <c r="Y91" s="224"/>
    </row>
    <row r="92" spans="1:25" ht="14.25" customHeight="1" x14ac:dyDescent="0.3">
      <c r="A92" s="223"/>
      <c r="B92" s="223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5"/>
      <c r="Q92" s="225"/>
      <c r="R92" s="224"/>
      <c r="S92" s="224"/>
      <c r="T92" s="224"/>
      <c r="U92" s="224"/>
      <c r="V92" s="224"/>
      <c r="W92" s="224"/>
      <c r="X92" s="224"/>
      <c r="Y92" s="224"/>
    </row>
    <row r="93" spans="1:25" ht="14.25" customHeight="1" x14ac:dyDescent="0.3">
      <c r="A93" s="223"/>
      <c r="B93" s="223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5"/>
      <c r="Q93" s="225"/>
      <c r="R93" s="224"/>
      <c r="S93" s="224"/>
      <c r="T93" s="224"/>
      <c r="U93" s="224"/>
      <c r="V93" s="224"/>
      <c r="W93" s="224"/>
      <c r="X93" s="224"/>
      <c r="Y93" s="224"/>
    </row>
    <row r="94" spans="1:25" ht="14.25" customHeight="1" x14ac:dyDescent="0.3">
      <c r="A94" s="223"/>
      <c r="B94" s="223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5"/>
      <c r="Q94" s="225"/>
      <c r="R94" s="224"/>
      <c r="S94" s="224"/>
      <c r="T94" s="224"/>
      <c r="U94" s="224"/>
      <c r="V94" s="224"/>
      <c r="W94" s="224"/>
      <c r="X94" s="224"/>
      <c r="Y94" s="224"/>
    </row>
    <row r="95" spans="1:25" ht="14.25" customHeight="1" x14ac:dyDescent="0.3">
      <c r="A95" s="223"/>
      <c r="B95" s="223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5"/>
      <c r="Q95" s="225"/>
      <c r="R95" s="224"/>
      <c r="S95" s="224"/>
      <c r="T95" s="224"/>
      <c r="U95" s="224"/>
      <c r="V95" s="224"/>
      <c r="W95" s="224"/>
      <c r="X95" s="224"/>
      <c r="Y95" s="224"/>
    </row>
    <row r="96" spans="1:25" ht="14.25" customHeight="1" x14ac:dyDescent="0.3">
      <c r="A96" s="223"/>
      <c r="B96" s="223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5"/>
      <c r="Q96" s="225"/>
      <c r="R96" s="224"/>
      <c r="S96" s="224"/>
      <c r="T96" s="224"/>
      <c r="U96" s="224"/>
      <c r="V96" s="224"/>
      <c r="W96" s="224"/>
      <c r="X96" s="224"/>
      <c r="Y96" s="224"/>
    </row>
    <row r="97" spans="1:25" ht="14.25" customHeight="1" x14ac:dyDescent="0.3">
      <c r="A97" s="223"/>
      <c r="B97" s="223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5"/>
      <c r="Q97" s="225"/>
      <c r="R97" s="224"/>
      <c r="S97" s="224"/>
      <c r="T97" s="224"/>
      <c r="U97" s="224"/>
      <c r="V97" s="224"/>
      <c r="W97" s="224"/>
      <c r="X97" s="224"/>
      <c r="Y97" s="224"/>
    </row>
    <row r="98" spans="1:25" ht="14.25" customHeight="1" x14ac:dyDescent="0.3">
      <c r="A98" s="223"/>
      <c r="B98" s="223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5"/>
      <c r="Q98" s="225"/>
      <c r="R98" s="224"/>
      <c r="S98" s="224"/>
      <c r="T98" s="224"/>
      <c r="U98" s="224"/>
      <c r="V98" s="224"/>
      <c r="W98" s="224"/>
      <c r="X98" s="224"/>
      <c r="Y98" s="224"/>
    </row>
    <row r="99" spans="1:25" ht="14.25" customHeight="1" x14ac:dyDescent="0.3">
      <c r="A99" s="223"/>
      <c r="B99" s="223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5"/>
      <c r="Q99" s="225"/>
      <c r="R99" s="224"/>
      <c r="S99" s="224"/>
      <c r="T99" s="224"/>
      <c r="U99" s="224"/>
      <c r="V99" s="224"/>
      <c r="W99" s="224"/>
      <c r="X99" s="224"/>
      <c r="Y99" s="224"/>
    </row>
    <row r="100" spans="1:25" ht="14.25" customHeight="1" x14ac:dyDescent="0.3">
      <c r="A100" s="223"/>
      <c r="B100" s="223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5"/>
      <c r="Q100" s="225"/>
      <c r="R100" s="224"/>
      <c r="S100" s="224"/>
      <c r="T100" s="224"/>
      <c r="U100" s="224"/>
      <c r="V100" s="224"/>
      <c r="W100" s="224"/>
      <c r="X100" s="224"/>
      <c r="Y100" s="224"/>
    </row>
    <row r="101" spans="1:25" ht="14.25" customHeight="1" x14ac:dyDescent="0.3">
      <c r="A101" s="223"/>
      <c r="B101" s="223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5"/>
      <c r="Q101" s="225"/>
      <c r="R101" s="224"/>
      <c r="S101" s="224"/>
      <c r="T101" s="224"/>
      <c r="U101" s="224"/>
      <c r="V101" s="224"/>
      <c r="W101" s="224"/>
      <c r="X101" s="224"/>
      <c r="Y101" s="224"/>
    </row>
    <row r="102" spans="1:25" ht="14.25" customHeight="1" x14ac:dyDescent="0.3">
      <c r="A102" s="223"/>
      <c r="B102" s="223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5"/>
      <c r="Q102" s="225"/>
      <c r="R102" s="224"/>
      <c r="S102" s="224"/>
      <c r="T102" s="224"/>
      <c r="U102" s="224"/>
      <c r="V102" s="224"/>
      <c r="W102" s="224"/>
      <c r="X102" s="224"/>
      <c r="Y102" s="224"/>
    </row>
    <row r="103" spans="1:25" ht="14.25" customHeight="1" x14ac:dyDescent="0.3">
      <c r="A103" s="223"/>
      <c r="B103" s="223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5"/>
      <c r="Q103" s="225"/>
      <c r="R103" s="224"/>
      <c r="S103" s="224"/>
      <c r="T103" s="224"/>
      <c r="U103" s="224"/>
      <c r="V103" s="224"/>
      <c r="W103" s="224"/>
      <c r="X103" s="224"/>
      <c r="Y103" s="224"/>
    </row>
    <row r="104" spans="1:25" ht="14.25" customHeight="1" x14ac:dyDescent="0.3">
      <c r="A104" s="223"/>
      <c r="B104" s="223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5"/>
      <c r="Q104" s="225"/>
      <c r="R104" s="224"/>
      <c r="S104" s="224"/>
      <c r="T104" s="224"/>
      <c r="U104" s="224"/>
      <c r="V104" s="224"/>
      <c r="W104" s="224"/>
      <c r="X104" s="224"/>
      <c r="Y104" s="224"/>
    </row>
    <row r="105" spans="1:25" ht="14.25" customHeight="1" x14ac:dyDescent="0.3">
      <c r="A105" s="223"/>
      <c r="B105" s="223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5"/>
      <c r="Q105" s="225"/>
      <c r="R105" s="224"/>
      <c r="S105" s="224"/>
      <c r="T105" s="224"/>
      <c r="U105" s="224"/>
      <c r="V105" s="224"/>
      <c r="W105" s="224"/>
      <c r="X105" s="224"/>
      <c r="Y105" s="224"/>
    </row>
    <row r="106" spans="1:25" ht="14.25" customHeight="1" x14ac:dyDescent="0.3">
      <c r="A106" s="223"/>
      <c r="B106" s="223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5"/>
      <c r="Q106" s="225"/>
      <c r="R106" s="224"/>
      <c r="S106" s="224"/>
      <c r="T106" s="224"/>
      <c r="U106" s="224"/>
      <c r="V106" s="224"/>
      <c r="W106" s="224"/>
      <c r="X106" s="224"/>
      <c r="Y106" s="224"/>
    </row>
    <row r="107" spans="1:25" ht="14.25" customHeight="1" x14ac:dyDescent="0.3">
      <c r="A107" s="223"/>
      <c r="B107" s="223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5"/>
      <c r="Q107" s="225"/>
      <c r="R107" s="224"/>
      <c r="S107" s="224"/>
      <c r="T107" s="224"/>
      <c r="U107" s="224"/>
      <c r="V107" s="224"/>
      <c r="W107" s="224"/>
      <c r="X107" s="224"/>
      <c r="Y107" s="224"/>
    </row>
    <row r="108" spans="1:25" ht="14.25" customHeight="1" x14ac:dyDescent="0.3">
      <c r="A108" s="223"/>
      <c r="B108" s="223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5"/>
      <c r="Q108" s="225"/>
      <c r="R108" s="224"/>
      <c r="S108" s="224"/>
      <c r="T108" s="224"/>
      <c r="U108" s="224"/>
      <c r="V108" s="224"/>
      <c r="W108" s="224"/>
      <c r="X108" s="224"/>
      <c r="Y108" s="224"/>
    </row>
    <row r="109" spans="1:25" ht="14.25" customHeight="1" x14ac:dyDescent="0.3">
      <c r="A109" s="223"/>
      <c r="B109" s="223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5"/>
      <c r="Q109" s="225"/>
      <c r="R109" s="224"/>
      <c r="S109" s="224"/>
      <c r="T109" s="224"/>
      <c r="U109" s="224"/>
      <c r="V109" s="224"/>
      <c r="W109" s="224"/>
      <c r="X109" s="224"/>
      <c r="Y109" s="224"/>
    </row>
    <row r="110" spans="1:25" ht="14.25" customHeight="1" x14ac:dyDescent="0.3">
      <c r="A110" s="223"/>
      <c r="B110" s="223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5"/>
      <c r="Q110" s="225"/>
      <c r="R110" s="224"/>
      <c r="S110" s="224"/>
      <c r="T110" s="224"/>
      <c r="U110" s="224"/>
      <c r="V110" s="224"/>
      <c r="W110" s="224"/>
      <c r="X110" s="224"/>
      <c r="Y110" s="224"/>
    </row>
    <row r="111" spans="1:25" ht="14.25" customHeight="1" x14ac:dyDescent="0.3">
      <c r="A111" s="223"/>
      <c r="B111" s="223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5"/>
      <c r="Q111" s="225"/>
      <c r="R111" s="224"/>
      <c r="S111" s="224"/>
      <c r="T111" s="224"/>
      <c r="U111" s="224"/>
      <c r="V111" s="224"/>
      <c r="W111" s="224"/>
      <c r="X111" s="224"/>
      <c r="Y111" s="224"/>
    </row>
    <row r="112" spans="1:25" ht="14.25" customHeight="1" x14ac:dyDescent="0.3">
      <c r="A112" s="223"/>
      <c r="B112" s="223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5"/>
      <c r="Q112" s="225"/>
      <c r="R112" s="224"/>
      <c r="S112" s="224"/>
      <c r="T112" s="224"/>
      <c r="U112" s="224"/>
      <c r="V112" s="224"/>
      <c r="W112" s="224"/>
      <c r="X112" s="224"/>
      <c r="Y112" s="224"/>
    </row>
    <row r="113" spans="1:25" ht="14.25" customHeight="1" x14ac:dyDescent="0.3">
      <c r="A113" s="223"/>
      <c r="B113" s="223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5"/>
      <c r="Q113" s="225"/>
      <c r="R113" s="224"/>
      <c r="S113" s="224"/>
      <c r="T113" s="224"/>
      <c r="U113" s="224"/>
      <c r="V113" s="224"/>
      <c r="W113" s="224"/>
      <c r="X113" s="224"/>
      <c r="Y113" s="224"/>
    </row>
    <row r="114" spans="1:25" ht="14.25" customHeight="1" x14ac:dyDescent="0.3">
      <c r="A114" s="223"/>
      <c r="B114" s="223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5"/>
      <c r="Q114" s="225"/>
      <c r="R114" s="224"/>
      <c r="S114" s="224"/>
      <c r="T114" s="224"/>
      <c r="U114" s="224"/>
      <c r="V114" s="224"/>
      <c r="W114" s="224"/>
      <c r="X114" s="224"/>
      <c r="Y114" s="224"/>
    </row>
    <row r="115" spans="1:25" ht="14.25" customHeight="1" x14ac:dyDescent="0.3">
      <c r="A115" s="223"/>
      <c r="B115" s="223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5"/>
      <c r="Q115" s="225"/>
      <c r="R115" s="224"/>
      <c r="S115" s="224"/>
      <c r="T115" s="224"/>
      <c r="U115" s="224"/>
      <c r="V115" s="224"/>
      <c r="W115" s="224"/>
      <c r="X115" s="224"/>
      <c r="Y115" s="224"/>
    </row>
    <row r="116" spans="1:25" ht="14.25" customHeight="1" x14ac:dyDescent="0.3">
      <c r="A116" s="223"/>
      <c r="B116" s="223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5"/>
      <c r="Q116" s="225"/>
      <c r="R116" s="224"/>
      <c r="S116" s="224"/>
      <c r="T116" s="224"/>
      <c r="U116" s="224"/>
      <c r="V116" s="224"/>
      <c r="W116" s="224"/>
      <c r="X116" s="224"/>
      <c r="Y116" s="224"/>
    </row>
    <row r="117" spans="1:25" ht="14.25" customHeight="1" x14ac:dyDescent="0.3">
      <c r="A117" s="223"/>
      <c r="B117" s="223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5"/>
      <c r="Q117" s="225"/>
      <c r="R117" s="224"/>
      <c r="S117" s="224"/>
      <c r="T117" s="224"/>
      <c r="U117" s="224"/>
      <c r="V117" s="224"/>
      <c r="W117" s="224"/>
      <c r="X117" s="224"/>
      <c r="Y117" s="224"/>
    </row>
    <row r="118" spans="1:25" ht="14.25" customHeight="1" x14ac:dyDescent="0.3">
      <c r="A118" s="223"/>
      <c r="B118" s="223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5"/>
      <c r="Q118" s="225"/>
      <c r="R118" s="224"/>
      <c r="S118" s="224"/>
      <c r="T118" s="224"/>
      <c r="U118" s="224"/>
      <c r="V118" s="224"/>
      <c r="W118" s="224"/>
      <c r="X118" s="224"/>
      <c r="Y118" s="224"/>
    </row>
    <row r="119" spans="1:25" ht="14.25" customHeight="1" x14ac:dyDescent="0.3">
      <c r="A119" s="223"/>
      <c r="B119" s="223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5"/>
      <c r="Q119" s="225"/>
      <c r="R119" s="224"/>
      <c r="S119" s="224"/>
      <c r="T119" s="224"/>
      <c r="U119" s="224"/>
      <c r="V119" s="224"/>
      <c r="W119" s="224"/>
      <c r="X119" s="224"/>
      <c r="Y119" s="224"/>
    </row>
    <row r="120" spans="1:25" ht="14.25" customHeight="1" x14ac:dyDescent="0.3">
      <c r="A120" s="223"/>
      <c r="B120" s="223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5"/>
      <c r="Q120" s="225"/>
      <c r="R120" s="224"/>
      <c r="S120" s="224"/>
      <c r="T120" s="224"/>
      <c r="U120" s="224"/>
      <c r="V120" s="224"/>
      <c r="W120" s="224"/>
      <c r="X120" s="224"/>
      <c r="Y120" s="224"/>
    </row>
    <row r="121" spans="1:25" ht="14.25" customHeight="1" x14ac:dyDescent="0.3">
      <c r="A121" s="223"/>
      <c r="B121" s="223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5"/>
      <c r="Q121" s="225"/>
      <c r="R121" s="224"/>
      <c r="S121" s="224"/>
      <c r="T121" s="224"/>
      <c r="U121" s="224"/>
      <c r="V121" s="224"/>
      <c r="W121" s="224"/>
      <c r="X121" s="224"/>
      <c r="Y121" s="224"/>
    </row>
    <row r="122" spans="1:25" ht="14.25" customHeight="1" x14ac:dyDescent="0.3">
      <c r="A122" s="223"/>
      <c r="B122" s="223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5"/>
      <c r="Q122" s="225"/>
      <c r="R122" s="224"/>
      <c r="S122" s="224"/>
      <c r="T122" s="224"/>
      <c r="U122" s="224"/>
      <c r="V122" s="224"/>
      <c r="W122" s="224"/>
      <c r="X122" s="224"/>
      <c r="Y122" s="224"/>
    </row>
    <row r="123" spans="1:25" ht="14.25" customHeight="1" x14ac:dyDescent="0.3">
      <c r="A123" s="223"/>
      <c r="B123" s="223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5"/>
      <c r="Q123" s="225"/>
      <c r="R123" s="224"/>
      <c r="S123" s="224"/>
      <c r="T123" s="224"/>
      <c r="U123" s="224"/>
      <c r="V123" s="224"/>
      <c r="W123" s="224"/>
      <c r="X123" s="224"/>
      <c r="Y123" s="224"/>
    </row>
    <row r="124" spans="1:25" ht="14.25" customHeight="1" x14ac:dyDescent="0.3">
      <c r="A124" s="223"/>
      <c r="B124" s="223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5"/>
      <c r="Q124" s="225"/>
      <c r="R124" s="224"/>
      <c r="S124" s="224"/>
      <c r="T124" s="224"/>
      <c r="U124" s="224"/>
      <c r="V124" s="224"/>
      <c r="W124" s="224"/>
      <c r="X124" s="224"/>
      <c r="Y124" s="224"/>
    </row>
    <row r="125" spans="1:25" ht="14.25" customHeight="1" x14ac:dyDescent="0.3">
      <c r="A125" s="223"/>
      <c r="B125" s="223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5"/>
      <c r="Q125" s="225"/>
      <c r="R125" s="224"/>
      <c r="S125" s="224"/>
      <c r="T125" s="224"/>
      <c r="U125" s="224"/>
      <c r="V125" s="224"/>
      <c r="W125" s="224"/>
      <c r="X125" s="224"/>
      <c r="Y125" s="224"/>
    </row>
    <row r="126" spans="1:25" ht="14.25" customHeight="1" x14ac:dyDescent="0.3">
      <c r="A126" s="223"/>
      <c r="B126" s="223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5"/>
      <c r="Q126" s="225"/>
      <c r="R126" s="224"/>
      <c r="S126" s="224"/>
      <c r="T126" s="224"/>
      <c r="U126" s="224"/>
      <c r="V126" s="224"/>
      <c r="W126" s="224"/>
      <c r="X126" s="224"/>
      <c r="Y126" s="224"/>
    </row>
    <row r="127" spans="1:25" ht="14.25" customHeight="1" x14ac:dyDescent="0.3">
      <c r="A127" s="223"/>
      <c r="B127" s="223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5"/>
      <c r="Q127" s="225"/>
      <c r="R127" s="224"/>
      <c r="S127" s="224"/>
      <c r="T127" s="224"/>
      <c r="U127" s="224"/>
      <c r="V127" s="224"/>
      <c r="W127" s="224"/>
      <c r="X127" s="224"/>
      <c r="Y127" s="224"/>
    </row>
    <row r="128" spans="1:25" ht="14.25" customHeight="1" x14ac:dyDescent="0.3">
      <c r="A128" s="223"/>
      <c r="B128" s="223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5"/>
      <c r="Q128" s="225"/>
      <c r="R128" s="224"/>
      <c r="S128" s="224"/>
      <c r="T128" s="224"/>
      <c r="U128" s="224"/>
      <c r="V128" s="224"/>
      <c r="W128" s="224"/>
      <c r="X128" s="224"/>
      <c r="Y128" s="224"/>
    </row>
    <row r="129" spans="1:25" ht="14.25" customHeight="1" x14ac:dyDescent="0.3">
      <c r="A129" s="223"/>
      <c r="B129" s="223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5"/>
      <c r="Q129" s="225"/>
      <c r="R129" s="224"/>
      <c r="S129" s="224"/>
      <c r="T129" s="224"/>
      <c r="U129" s="224"/>
      <c r="V129" s="224"/>
      <c r="W129" s="224"/>
      <c r="X129" s="224"/>
      <c r="Y129" s="224"/>
    </row>
    <row r="130" spans="1:25" ht="14.25" customHeight="1" x14ac:dyDescent="0.3">
      <c r="A130" s="223"/>
      <c r="B130" s="223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5"/>
      <c r="Q130" s="225"/>
      <c r="R130" s="224"/>
      <c r="S130" s="224"/>
      <c r="T130" s="224"/>
      <c r="U130" s="224"/>
      <c r="V130" s="224"/>
      <c r="W130" s="224"/>
      <c r="X130" s="224"/>
      <c r="Y130" s="224"/>
    </row>
    <row r="131" spans="1:25" ht="14.25" customHeight="1" x14ac:dyDescent="0.3">
      <c r="A131" s="223"/>
      <c r="B131" s="223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5"/>
      <c r="Q131" s="225"/>
      <c r="R131" s="224"/>
      <c r="S131" s="224"/>
      <c r="T131" s="224"/>
      <c r="U131" s="224"/>
      <c r="V131" s="224"/>
      <c r="W131" s="224"/>
      <c r="X131" s="224"/>
      <c r="Y131" s="224"/>
    </row>
    <row r="132" spans="1:25" ht="14.25" customHeight="1" x14ac:dyDescent="0.3">
      <c r="A132" s="223"/>
      <c r="B132" s="223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5"/>
      <c r="Q132" s="225"/>
      <c r="R132" s="224"/>
      <c r="S132" s="224"/>
      <c r="T132" s="224"/>
      <c r="U132" s="224"/>
      <c r="V132" s="224"/>
      <c r="W132" s="224"/>
      <c r="X132" s="224"/>
      <c r="Y132" s="224"/>
    </row>
    <row r="133" spans="1:25" ht="14.25" customHeight="1" x14ac:dyDescent="0.3">
      <c r="A133" s="223"/>
      <c r="B133" s="223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5"/>
      <c r="Q133" s="225"/>
      <c r="R133" s="224"/>
      <c r="S133" s="224"/>
      <c r="T133" s="224"/>
      <c r="U133" s="224"/>
      <c r="V133" s="224"/>
      <c r="W133" s="224"/>
      <c r="X133" s="224"/>
      <c r="Y133" s="224"/>
    </row>
    <row r="134" spans="1:25" ht="14.25" customHeight="1" x14ac:dyDescent="0.3">
      <c r="A134" s="223"/>
      <c r="B134" s="223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5"/>
      <c r="Q134" s="225"/>
      <c r="R134" s="224"/>
      <c r="S134" s="224"/>
      <c r="T134" s="224"/>
      <c r="U134" s="224"/>
      <c r="V134" s="224"/>
      <c r="W134" s="224"/>
      <c r="X134" s="224"/>
      <c r="Y134" s="224"/>
    </row>
    <row r="135" spans="1:25" ht="14.25" customHeight="1" x14ac:dyDescent="0.3">
      <c r="A135" s="223"/>
      <c r="B135" s="223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5"/>
      <c r="Q135" s="225"/>
      <c r="R135" s="224"/>
      <c r="S135" s="224"/>
      <c r="T135" s="224"/>
      <c r="U135" s="224"/>
      <c r="V135" s="224"/>
      <c r="W135" s="224"/>
      <c r="X135" s="224"/>
      <c r="Y135" s="224"/>
    </row>
    <row r="136" spans="1:25" ht="14.25" customHeight="1" x14ac:dyDescent="0.3">
      <c r="A136" s="223"/>
      <c r="B136" s="223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5"/>
      <c r="Q136" s="225"/>
      <c r="R136" s="224"/>
      <c r="S136" s="224"/>
      <c r="T136" s="224"/>
      <c r="U136" s="224"/>
      <c r="V136" s="224"/>
      <c r="W136" s="224"/>
      <c r="X136" s="224"/>
      <c r="Y136" s="224"/>
    </row>
    <row r="137" spans="1:25" ht="14.25" customHeight="1" x14ac:dyDescent="0.3">
      <c r="A137" s="223"/>
      <c r="B137" s="223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5"/>
      <c r="Q137" s="225"/>
      <c r="R137" s="224"/>
      <c r="S137" s="224"/>
      <c r="T137" s="224"/>
      <c r="U137" s="224"/>
      <c r="V137" s="224"/>
      <c r="W137" s="224"/>
      <c r="X137" s="224"/>
      <c r="Y137" s="224"/>
    </row>
    <row r="138" spans="1:25" ht="14.25" customHeight="1" x14ac:dyDescent="0.3">
      <c r="A138" s="223"/>
      <c r="B138" s="223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5"/>
      <c r="Q138" s="225"/>
      <c r="R138" s="224"/>
      <c r="S138" s="224"/>
      <c r="T138" s="224"/>
      <c r="U138" s="224"/>
      <c r="V138" s="224"/>
      <c r="W138" s="224"/>
      <c r="X138" s="224"/>
      <c r="Y138" s="224"/>
    </row>
    <row r="139" spans="1:25" ht="14.25" customHeight="1" x14ac:dyDescent="0.3">
      <c r="A139" s="223"/>
      <c r="B139" s="223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5"/>
      <c r="Q139" s="225"/>
      <c r="R139" s="224"/>
      <c r="S139" s="224"/>
      <c r="T139" s="224"/>
      <c r="U139" s="224"/>
      <c r="V139" s="224"/>
      <c r="W139" s="224"/>
      <c r="X139" s="224"/>
      <c r="Y139" s="224"/>
    </row>
    <row r="140" spans="1:25" ht="14.25" customHeight="1" x14ac:dyDescent="0.3">
      <c r="A140" s="223"/>
      <c r="B140" s="223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5"/>
      <c r="Q140" s="225"/>
      <c r="R140" s="224"/>
      <c r="S140" s="224"/>
      <c r="T140" s="224"/>
      <c r="U140" s="224"/>
      <c r="V140" s="224"/>
      <c r="W140" s="224"/>
      <c r="X140" s="224"/>
      <c r="Y140" s="224"/>
    </row>
    <row r="141" spans="1:25" ht="14.25" customHeight="1" x14ac:dyDescent="0.3">
      <c r="A141" s="223"/>
      <c r="B141" s="223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5"/>
      <c r="Q141" s="225"/>
      <c r="R141" s="224"/>
      <c r="S141" s="224"/>
      <c r="T141" s="224"/>
      <c r="U141" s="224"/>
      <c r="V141" s="224"/>
      <c r="W141" s="224"/>
      <c r="X141" s="224"/>
      <c r="Y141" s="224"/>
    </row>
    <row r="142" spans="1:25" ht="14.25" customHeight="1" x14ac:dyDescent="0.3">
      <c r="A142" s="223"/>
      <c r="B142" s="223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5"/>
      <c r="Q142" s="225"/>
      <c r="R142" s="224"/>
      <c r="S142" s="224"/>
      <c r="T142" s="224"/>
      <c r="U142" s="224"/>
      <c r="V142" s="224"/>
      <c r="W142" s="224"/>
      <c r="X142" s="224"/>
      <c r="Y142" s="224"/>
    </row>
    <row r="143" spans="1:25" ht="14.25" customHeight="1" x14ac:dyDescent="0.3">
      <c r="A143" s="223"/>
      <c r="B143" s="223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5"/>
      <c r="Q143" s="225"/>
      <c r="R143" s="224"/>
      <c r="S143" s="224"/>
      <c r="T143" s="224"/>
      <c r="U143" s="224"/>
      <c r="V143" s="224"/>
      <c r="W143" s="224"/>
      <c r="X143" s="224"/>
      <c r="Y143" s="224"/>
    </row>
    <row r="144" spans="1:25" ht="14.25" customHeight="1" x14ac:dyDescent="0.3">
      <c r="A144" s="223"/>
      <c r="B144" s="223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5"/>
      <c r="Q144" s="225"/>
      <c r="R144" s="224"/>
      <c r="S144" s="224"/>
      <c r="T144" s="224"/>
      <c r="U144" s="224"/>
      <c r="V144" s="224"/>
      <c r="W144" s="224"/>
      <c r="X144" s="224"/>
      <c r="Y144" s="224"/>
    </row>
    <row r="145" spans="1:25" ht="14.25" customHeight="1" x14ac:dyDescent="0.3">
      <c r="A145" s="223"/>
      <c r="B145" s="223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5"/>
      <c r="Q145" s="225"/>
      <c r="R145" s="224"/>
      <c r="S145" s="224"/>
      <c r="T145" s="224"/>
      <c r="U145" s="224"/>
      <c r="V145" s="224"/>
      <c r="W145" s="224"/>
      <c r="X145" s="224"/>
      <c r="Y145" s="224"/>
    </row>
    <row r="146" spans="1:25" ht="14.25" customHeight="1" x14ac:dyDescent="0.3">
      <c r="A146" s="223"/>
      <c r="B146" s="223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5"/>
      <c r="Q146" s="225"/>
      <c r="R146" s="224"/>
      <c r="S146" s="224"/>
      <c r="T146" s="224"/>
      <c r="U146" s="224"/>
      <c r="V146" s="224"/>
      <c r="W146" s="224"/>
      <c r="X146" s="224"/>
      <c r="Y146" s="224"/>
    </row>
    <row r="147" spans="1:25" ht="14.25" customHeight="1" x14ac:dyDescent="0.3">
      <c r="A147" s="223"/>
      <c r="B147" s="223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5"/>
      <c r="Q147" s="225"/>
      <c r="R147" s="224"/>
      <c r="S147" s="224"/>
      <c r="T147" s="224"/>
      <c r="U147" s="224"/>
      <c r="V147" s="224"/>
      <c r="W147" s="224"/>
      <c r="X147" s="224"/>
      <c r="Y147" s="224"/>
    </row>
    <row r="148" spans="1:25" ht="14.25" customHeight="1" x14ac:dyDescent="0.3">
      <c r="A148" s="223"/>
      <c r="B148" s="223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5"/>
      <c r="Q148" s="225"/>
      <c r="R148" s="224"/>
      <c r="S148" s="224"/>
      <c r="T148" s="224"/>
      <c r="U148" s="224"/>
      <c r="V148" s="224"/>
      <c r="W148" s="224"/>
      <c r="X148" s="224"/>
      <c r="Y148" s="224"/>
    </row>
    <row r="149" spans="1:25" ht="14.25" customHeight="1" x14ac:dyDescent="0.3">
      <c r="A149" s="223"/>
      <c r="B149" s="223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5"/>
      <c r="Q149" s="225"/>
      <c r="R149" s="224"/>
      <c r="S149" s="224"/>
      <c r="T149" s="224"/>
      <c r="U149" s="224"/>
      <c r="V149" s="224"/>
      <c r="W149" s="224"/>
      <c r="X149" s="224"/>
      <c r="Y149" s="224"/>
    </row>
    <row r="150" spans="1:25" ht="14.25" customHeight="1" x14ac:dyDescent="0.3">
      <c r="A150" s="223"/>
      <c r="B150" s="223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5"/>
      <c r="Q150" s="225"/>
      <c r="R150" s="224"/>
      <c r="S150" s="224"/>
      <c r="T150" s="224"/>
      <c r="U150" s="224"/>
      <c r="V150" s="224"/>
      <c r="W150" s="224"/>
      <c r="X150" s="224"/>
      <c r="Y150" s="224"/>
    </row>
    <row r="151" spans="1:25" ht="14.25" customHeight="1" x14ac:dyDescent="0.3">
      <c r="A151" s="223"/>
      <c r="B151" s="223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5"/>
      <c r="Q151" s="225"/>
      <c r="R151" s="224"/>
      <c r="S151" s="224"/>
      <c r="T151" s="224"/>
      <c r="U151" s="224"/>
      <c r="V151" s="224"/>
      <c r="W151" s="224"/>
      <c r="X151" s="224"/>
      <c r="Y151" s="224"/>
    </row>
    <row r="152" spans="1:25" ht="14.25" customHeight="1" x14ac:dyDescent="0.3">
      <c r="A152" s="223"/>
      <c r="B152" s="223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5"/>
      <c r="Q152" s="225"/>
      <c r="R152" s="224"/>
      <c r="S152" s="224"/>
      <c r="T152" s="224"/>
      <c r="U152" s="224"/>
      <c r="V152" s="224"/>
      <c r="W152" s="224"/>
      <c r="X152" s="224"/>
      <c r="Y152" s="224"/>
    </row>
    <row r="153" spans="1:25" ht="14.25" customHeight="1" x14ac:dyDescent="0.3">
      <c r="A153" s="223"/>
      <c r="B153" s="223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5"/>
      <c r="Q153" s="225"/>
      <c r="R153" s="224"/>
      <c r="S153" s="224"/>
      <c r="T153" s="224"/>
      <c r="U153" s="224"/>
      <c r="V153" s="224"/>
      <c r="W153" s="224"/>
      <c r="X153" s="224"/>
      <c r="Y153" s="224"/>
    </row>
    <row r="154" spans="1:25" ht="14.25" customHeight="1" x14ac:dyDescent="0.3">
      <c r="A154" s="223"/>
      <c r="B154" s="223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5"/>
      <c r="Q154" s="225"/>
      <c r="R154" s="224"/>
      <c r="S154" s="224"/>
      <c r="T154" s="224"/>
      <c r="U154" s="224"/>
      <c r="V154" s="224"/>
      <c r="W154" s="224"/>
      <c r="X154" s="224"/>
      <c r="Y154" s="224"/>
    </row>
    <row r="155" spans="1:25" ht="14.25" customHeight="1" x14ac:dyDescent="0.3">
      <c r="A155" s="223"/>
      <c r="B155" s="223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5"/>
      <c r="Q155" s="225"/>
      <c r="R155" s="224"/>
      <c r="S155" s="224"/>
      <c r="T155" s="224"/>
      <c r="U155" s="224"/>
      <c r="V155" s="224"/>
      <c r="W155" s="224"/>
      <c r="X155" s="224"/>
      <c r="Y155" s="224"/>
    </row>
    <row r="156" spans="1:25" ht="14.25" customHeight="1" x14ac:dyDescent="0.3">
      <c r="A156" s="223"/>
      <c r="B156" s="223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5"/>
      <c r="Q156" s="225"/>
      <c r="R156" s="224"/>
      <c r="S156" s="224"/>
      <c r="T156" s="224"/>
      <c r="U156" s="224"/>
      <c r="V156" s="224"/>
      <c r="W156" s="224"/>
      <c r="X156" s="224"/>
      <c r="Y156" s="224"/>
    </row>
    <row r="157" spans="1:25" ht="14.25" customHeight="1" x14ac:dyDescent="0.3">
      <c r="A157" s="223"/>
      <c r="B157" s="223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5"/>
      <c r="Q157" s="225"/>
      <c r="R157" s="224"/>
      <c r="S157" s="224"/>
      <c r="T157" s="224"/>
      <c r="U157" s="224"/>
      <c r="V157" s="224"/>
      <c r="W157" s="224"/>
      <c r="X157" s="224"/>
      <c r="Y157" s="224"/>
    </row>
    <row r="158" spans="1:25" ht="14.25" customHeight="1" x14ac:dyDescent="0.3">
      <c r="A158" s="223"/>
      <c r="B158" s="223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5"/>
      <c r="Q158" s="225"/>
      <c r="R158" s="224"/>
      <c r="S158" s="224"/>
      <c r="T158" s="224"/>
      <c r="U158" s="224"/>
      <c r="V158" s="224"/>
      <c r="W158" s="224"/>
      <c r="X158" s="224"/>
      <c r="Y158" s="224"/>
    </row>
    <row r="159" spans="1:25" ht="14.25" customHeight="1" x14ac:dyDescent="0.3">
      <c r="A159" s="223"/>
      <c r="B159" s="223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5"/>
      <c r="Q159" s="225"/>
      <c r="R159" s="224"/>
      <c r="S159" s="224"/>
      <c r="T159" s="224"/>
      <c r="U159" s="224"/>
      <c r="V159" s="224"/>
      <c r="W159" s="224"/>
      <c r="X159" s="224"/>
      <c r="Y159" s="224"/>
    </row>
    <row r="160" spans="1:25" ht="14.25" customHeight="1" x14ac:dyDescent="0.3">
      <c r="A160" s="223"/>
      <c r="B160" s="223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5"/>
      <c r="Q160" s="225"/>
      <c r="R160" s="224"/>
      <c r="S160" s="224"/>
      <c r="T160" s="224"/>
      <c r="U160" s="224"/>
      <c r="V160" s="224"/>
      <c r="W160" s="224"/>
      <c r="X160" s="224"/>
      <c r="Y160" s="224"/>
    </row>
    <row r="161" spans="1:25" ht="14.25" customHeight="1" x14ac:dyDescent="0.3">
      <c r="A161" s="223"/>
      <c r="B161" s="223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5"/>
      <c r="Q161" s="225"/>
      <c r="R161" s="224"/>
      <c r="S161" s="224"/>
      <c r="T161" s="224"/>
      <c r="U161" s="224"/>
      <c r="V161" s="224"/>
      <c r="W161" s="224"/>
      <c r="X161" s="224"/>
      <c r="Y161" s="224"/>
    </row>
    <row r="162" spans="1:25" ht="14.25" customHeight="1" x14ac:dyDescent="0.3">
      <c r="A162" s="223"/>
      <c r="B162" s="223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5"/>
      <c r="Q162" s="225"/>
      <c r="R162" s="224"/>
      <c r="S162" s="224"/>
      <c r="T162" s="224"/>
      <c r="U162" s="224"/>
      <c r="V162" s="224"/>
      <c r="W162" s="224"/>
      <c r="X162" s="224"/>
      <c r="Y162" s="224"/>
    </row>
    <row r="163" spans="1:25" ht="14.25" customHeight="1" x14ac:dyDescent="0.3">
      <c r="A163" s="223"/>
      <c r="B163" s="223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5"/>
      <c r="Q163" s="225"/>
      <c r="R163" s="224"/>
      <c r="S163" s="224"/>
      <c r="T163" s="224"/>
      <c r="U163" s="224"/>
      <c r="V163" s="224"/>
      <c r="W163" s="224"/>
      <c r="X163" s="224"/>
      <c r="Y163" s="224"/>
    </row>
    <row r="164" spans="1:25" ht="14.25" customHeight="1" x14ac:dyDescent="0.3">
      <c r="A164" s="223"/>
      <c r="B164" s="223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5"/>
      <c r="Q164" s="225"/>
      <c r="R164" s="224"/>
      <c r="S164" s="224"/>
      <c r="T164" s="224"/>
      <c r="U164" s="224"/>
      <c r="V164" s="224"/>
      <c r="W164" s="224"/>
      <c r="X164" s="224"/>
      <c r="Y164" s="224"/>
    </row>
    <row r="165" spans="1:25" ht="14.25" customHeight="1" x14ac:dyDescent="0.3">
      <c r="A165" s="223"/>
      <c r="B165" s="223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5"/>
      <c r="Q165" s="225"/>
      <c r="R165" s="224"/>
      <c r="S165" s="224"/>
      <c r="T165" s="224"/>
      <c r="U165" s="224"/>
      <c r="V165" s="224"/>
      <c r="W165" s="224"/>
      <c r="X165" s="224"/>
      <c r="Y165" s="224"/>
    </row>
    <row r="166" spans="1:25" ht="14.25" customHeight="1" x14ac:dyDescent="0.3">
      <c r="A166" s="223"/>
      <c r="B166" s="223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5"/>
      <c r="Q166" s="225"/>
      <c r="R166" s="224"/>
      <c r="S166" s="224"/>
      <c r="T166" s="224"/>
      <c r="U166" s="224"/>
      <c r="V166" s="224"/>
      <c r="W166" s="224"/>
      <c r="X166" s="224"/>
      <c r="Y166" s="224"/>
    </row>
    <row r="167" spans="1:25" ht="14.25" customHeight="1" x14ac:dyDescent="0.3">
      <c r="A167" s="223"/>
      <c r="B167" s="223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5"/>
      <c r="Q167" s="225"/>
      <c r="R167" s="224"/>
      <c r="S167" s="224"/>
      <c r="T167" s="224"/>
      <c r="U167" s="224"/>
      <c r="V167" s="224"/>
      <c r="W167" s="224"/>
      <c r="X167" s="224"/>
      <c r="Y167" s="224"/>
    </row>
    <row r="168" spans="1:25" ht="14.25" customHeight="1" x14ac:dyDescent="0.3">
      <c r="A168" s="223"/>
      <c r="B168" s="223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5"/>
      <c r="Q168" s="225"/>
      <c r="R168" s="224"/>
      <c r="S168" s="224"/>
      <c r="T168" s="224"/>
      <c r="U168" s="224"/>
      <c r="V168" s="224"/>
      <c r="W168" s="224"/>
      <c r="X168" s="224"/>
      <c r="Y168" s="224"/>
    </row>
    <row r="169" spans="1:25" ht="14.25" customHeight="1" x14ac:dyDescent="0.3">
      <c r="A169" s="223"/>
      <c r="B169" s="223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5"/>
      <c r="Q169" s="225"/>
      <c r="R169" s="224"/>
      <c r="S169" s="224"/>
      <c r="T169" s="224"/>
      <c r="U169" s="224"/>
      <c r="V169" s="224"/>
      <c r="W169" s="224"/>
      <c r="X169" s="224"/>
      <c r="Y169" s="224"/>
    </row>
    <row r="170" spans="1:25" ht="14.25" customHeight="1" x14ac:dyDescent="0.3">
      <c r="A170" s="223"/>
      <c r="B170" s="223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5"/>
      <c r="Q170" s="225"/>
      <c r="R170" s="224"/>
      <c r="S170" s="224"/>
      <c r="T170" s="224"/>
      <c r="U170" s="224"/>
      <c r="V170" s="224"/>
      <c r="W170" s="224"/>
      <c r="X170" s="224"/>
      <c r="Y170" s="224"/>
    </row>
    <row r="171" spans="1:25" ht="14.25" customHeight="1" x14ac:dyDescent="0.3">
      <c r="A171" s="223"/>
      <c r="B171" s="223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5"/>
      <c r="Q171" s="225"/>
      <c r="R171" s="224"/>
      <c r="S171" s="224"/>
      <c r="T171" s="224"/>
      <c r="U171" s="224"/>
      <c r="V171" s="224"/>
      <c r="W171" s="224"/>
      <c r="X171" s="224"/>
      <c r="Y171" s="224"/>
    </row>
    <row r="172" spans="1:25" ht="14.25" customHeight="1" x14ac:dyDescent="0.3">
      <c r="A172" s="223"/>
      <c r="B172" s="223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5"/>
      <c r="Q172" s="225"/>
      <c r="R172" s="224"/>
      <c r="S172" s="224"/>
      <c r="T172" s="224"/>
      <c r="U172" s="224"/>
      <c r="V172" s="224"/>
      <c r="W172" s="224"/>
      <c r="X172" s="224"/>
      <c r="Y172" s="224"/>
    </row>
    <row r="173" spans="1:25" ht="14.25" customHeight="1" x14ac:dyDescent="0.3">
      <c r="A173" s="223"/>
      <c r="B173" s="223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5"/>
      <c r="Q173" s="225"/>
      <c r="R173" s="224"/>
      <c r="S173" s="224"/>
      <c r="T173" s="224"/>
      <c r="U173" s="224"/>
      <c r="V173" s="224"/>
      <c r="W173" s="224"/>
      <c r="X173" s="224"/>
      <c r="Y173" s="224"/>
    </row>
    <row r="174" spans="1:25" ht="14.25" customHeight="1" x14ac:dyDescent="0.3">
      <c r="A174" s="223"/>
      <c r="B174" s="223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5"/>
      <c r="Q174" s="225"/>
      <c r="R174" s="224"/>
      <c r="S174" s="224"/>
      <c r="T174" s="224"/>
      <c r="U174" s="224"/>
      <c r="V174" s="224"/>
      <c r="W174" s="224"/>
      <c r="X174" s="224"/>
      <c r="Y174" s="224"/>
    </row>
    <row r="175" spans="1:25" ht="14.25" customHeight="1" x14ac:dyDescent="0.3">
      <c r="A175" s="223"/>
      <c r="B175" s="223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5"/>
      <c r="Q175" s="225"/>
      <c r="R175" s="224"/>
      <c r="S175" s="224"/>
      <c r="T175" s="224"/>
      <c r="U175" s="224"/>
      <c r="V175" s="224"/>
      <c r="W175" s="224"/>
      <c r="X175" s="224"/>
      <c r="Y175" s="224"/>
    </row>
    <row r="176" spans="1:25" ht="14.25" customHeight="1" x14ac:dyDescent="0.3">
      <c r="A176" s="223"/>
      <c r="B176" s="223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5"/>
      <c r="Q176" s="225"/>
      <c r="R176" s="224"/>
      <c r="S176" s="224"/>
      <c r="T176" s="224"/>
      <c r="U176" s="224"/>
      <c r="V176" s="224"/>
      <c r="W176" s="224"/>
      <c r="X176" s="224"/>
      <c r="Y176" s="224"/>
    </row>
    <row r="177" spans="1:25" ht="14.25" customHeight="1" x14ac:dyDescent="0.3">
      <c r="A177" s="223"/>
      <c r="B177" s="223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5"/>
      <c r="Q177" s="225"/>
      <c r="R177" s="224"/>
      <c r="S177" s="224"/>
      <c r="T177" s="224"/>
      <c r="U177" s="224"/>
      <c r="V177" s="224"/>
      <c r="W177" s="224"/>
      <c r="X177" s="224"/>
      <c r="Y177" s="224"/>
    </row>
    <row r="178" spans="1:25" ht="14.25" customHeight="1" x14ac:dyDescent="0.3">
      <c r="A178" s="223"/>
      <c r="B178" s="223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5"/>
      <c r="Q178" s="225"/>
      <c r="R178" s="224"/>
      <c r="S178" s="224"/>
      <c r="T178" s="224"/>
      <c r="U178" s="224"/>
      <c r="V178" s="224"/>
      <c r="W178" s="224"/>
      <c r="X178" s="224"/>
      <c r="Y178" s="224"/>
    </row>
    <row r="179" spans="1:25" ht="14.25" customHeight="1" x14ac:dyDescent="0.3">
      <c r="A179" s="223"/>
      <c r="B179" s="223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5"/>
      <c r="Q179" s="225"/>
      <c r="R179" s="224"/>
      <c r="S179" s="224"/>
      <c r="T179" s="224"/>
      <c r="U179" s="224"/>
      <c r="V179" s="224"/>
      <c r="W179" s="224"/>
      <c r="X179" s="224"/>
      <c r="Y179" s="224"/>
    </row>
    <row r="180" spans="1:25" ht="14.25" customHeight="1" x14ac:dyDescent="0.3">
      <c r="A180" s="223"/>
      <c r="B180" s="223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5"/>
      <c r="Q180" s="225"/>
      <c r="R180" s="224"/>
      <c r="S180" s="224"/>
      <c r="T180" s="224"/>
      <c r="U180" s="224"/>
      <c r="V180" s="224"/>
      <c r="W180" s="224"/>
      <c r="X180" s="224"/>
      <c r="Y180" s="224"/>
    </row>
    <row r="181" spans="1:25" ht="14.25" customHeight="1" x14ac:dyDescent="0.3">
      <c r="A181" s="223"/>
      <c r="B181" s="223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5"/>
      <c r="Q181" s="225"/>
      <c r="R181" s="224"/>
      <c r="S181" s="224"/>
      <c r="T181" s="224"/>
      <c r="U181" s="224"/>
      <c r="V181" s="224"/>
      <c r="W181" s="224"/>
      <c r="X181" s="224"/>
      <c r="Y181" s="224"/>
    </row>
    <row r="182" spans="1:25" ht="14.25" customHeight="1" x14ac:dyDescent="0.3">
      <c r="A182" s="223"/>
      <c r="B182" s="223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5"/>
      <c r="Q182" s="225"/>
      <c r="R182" s="224"/>
      <c r="S182" s="224"/>
      <c r="T182" s="224"/>
      <c r="U182" s="224"/>
      <c r="V182" s="224"/>
      <c r="W182" s="224"/>
      <c r="X182" s="224"/>
      <c r="Y182" s="224"/>
    </row>
    <row r="183" spans="1:25" ht="14.25" customHeight="1" x14ac:dyDescent="0.3">
      <c r="A183" s="223"/>
      <c r="B183" s="223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5"/>
      <c r="Q183" s="225"/>
      <c r="R183" s="224"/>
      <c r="S183" s="224"/>
      <c r="T183" s="224"/>
      <c r="U183" s="224"/>
      <c r="V183" s="224"/>
      <c r="W183" s="224"/>
      <c r="X183" s="224"/>
      <c r="Y183" s="224"/>
    </row>
    <row r="184" spans="1:25" ht="14.25" customHeight="1" x14ac:dyDescent="0.3">
      <c r="A184" s="223"/>
      <c r="B184" s="223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5"/>
      <c r="Q184" s="225"/>
      <c r="R184" s="224"/>
      <c r="S184" s="224"/>
      <c r="T184" s="224"/>
      <c r="U184" s="224"/>
      <c r="V184" s="224"/>
      <c r="W184" s="224"/>
      <c r="X184" s="224"/>
      <c r="Y184" s="224"/>
    </row>
    <row r="185" spans="1:25" ht="14.25" customHeight="1" x14ac:dyDescent="0.3">
      <c r="A185" s="223"/>
      <c r="B185" s="223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5"/>
      <c r="Q185" s="225"/>
      <c r="R185" s="224"/>
      <c r="S185" s="224"/>
      <c r="T185" s="224"/>
      <c r="U185" s="224"/>
      <c r="V185" s="224"/>
      <c r="W185" s="224"/>
      <c r="X185" s="224"/>
      <c r="Y185" s="224"/>
    </row>
    <row r="186" spans="1:25" ht="14.25" customHeight="1" x14ac:dyDescent="0.3">
      <c r="A186" s="223"/>
      <c r="B186" s="223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5"/>
      <c r="Q186" s="225"/>
      <c r="R186" s="224"/>
      <c r="S186" s="224"/>
      <c r="T186" s="224"/>
      <c r="U186" s="224"/>
      <c r="V186" s="224"/>
      <c r="W186" s="224"/>
      <c r="X186" s="224"/>
      <c r="Y186" s="224"/>
    </row>
    <row r="187" spans="1:25" ht="14.25" customHeight="1" x14ac:dyDescent="0.3">
      <c r="A187" s="223"/>
      <c r="B187" s="223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5"/>
      <c r="Q187" s="225"/>
      <c r="R187" s="224"/>
      <c r="S187" s="224"/>
      <c r="T187" s="224"/>
      <c r="U187" s="224"/>
      <c r="V187" s="224"/>
      <c r="W187" s="224"/>
      <c r="X187" s="224"/>
      <c r="Y187" s="224"/>
    </row>
    <row r="188" spans="1:25" ht="14.25" customHeight="1" x14ac:dyDescent="0.3">
      <c r="A188" s="223"/>
      <c r="B188" s="223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5"/>
      <c r="Q188" s="225"/>
      <c r="R188" s="224"/>
      <c r="S188" s="224"/>
      <c r="T188" s="224"/>
      <c r="U188" s="224"/>
      <c r="V188" s="224"/>
      <c r="W188" s="224"/>
      <c r="X188" s="224"/>
      <c r="Y188" s="224"/>
    </row>
    <row r="189" spans="1:25" ht="14.25" customHeight="1" x14ac:dyDescent="0.3">
      <c r="A189" s="223"/>
      <c r="B189" s="223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5"/>
      <c r="Q189" s="225"/>
      <c r="R189" s="224"/>
      <c r="S189" s="224"/>
      <c r="T189" s="224"/>
      <c r="U189" s="224"/>
      <c r="V189" s="224"/>
      <c r="W189" s="224"/>
      <c r="X189" s="224"/>
      <c r="Y189" s="224"/>
    </row>
    <row r="190" spans="1:25" ht="14.25" customHeight="1" x14ac:dyDescent="0.3">
      <c r="A190" s="223"/>
      <c r="B190" s="223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5"/>
      <c r="Q190" s="225"/>
      <c r="R190" s="224"/>
      <c r="S190" s="224"/>
      <c r="T190" s="224"/>
      <c r="U190" s="224"/>
      <c r="V190" s="224"/>
      <c r="W190" s="224"/>
      <c r="X190" s="224"/>
      <c r="Y190" s="224"/>
    </row>
    <row r="191" spans="1:25" ht="14.25" customHeight="1" x14ac:dyDescent="0.3">
      <c r="A191" s="223"/>
      <c r="B191" s="223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5"/>
      <c r="Q191" s="225"/>
      <c r="R191" s="224"/>
      <c r="S191" s="224"/>
      <c r="T191" s="224"/>
      <c r="U191" s="224"/>
      <c r="V191" s="224"/>
      <c r="W191" s="224"/>
      <c r="X191" s="224"/>
      <c r="Y191" s="224"/>
    </row>
    <row r="192" spans="1:25" ht="14.25" customHeight="1" x14ac:dyDescent="0.3">
      <c r="A192" s="223"/>
      <c r="B192" s="223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5"/>
      <c r="Q192" s="225"/>
      <c r="R192" s="224"/>
      <c r="S192" s="224"/>
      <c r="T192" s="224"/>
      <c r="U192" s="224"/>
      <c r="V192" s="224"/>
      <c r="W192" s="224"/>
      <c r="X192" s="224"/>
      <c r="Y192" s="224"/>
    </row>
    <row r="193" spans="1:25" ht="14.25" customHeight="1" x14ac:dyDescent="0.3">
      <c r="A193" s="223"/>
      <c r="B193" s="223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5"/>
      <c r="Q193" s="225"/>
      <c r="R193" s="224"/>
      <c r="S193" s="224"/>
      <c r="T193" s="224"/>
      <c r="U193" s="224"/>
      <c r="V193" s="224"/>
      <c r="W193" s="224"/>
      <c r="X193" s="224"/>
      <c r="Y193" s="224"/>
    </row>
    <row r="194" spans="1:25" ht="14.25" customHeight="1" x14ac:dyDescent="0.3">
      <c r="A194" s="223"/>
      <c r="B194" s="223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5"/>
      <c r="Q194" s="225"/>
      <c r="R194" s="224"/>
      <c r="S194" s="224"/>
      <c r="T194" s="224"/>
      <c r="U194" s="224"/>
      <c r="V194" s="224"/>
      <c r="W194" s="224"/>
      <c r="X194" s="224"/>
      <c r="Y194" s="224"/>
    </row>
    <row r="195" spans="1:25" ht="14.25" customHeight="1" x14ac:dyDescent="0.3">
      <c r="A195" s="223"/>
      <c r="B195" s="223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5"/>
      <c r="Q195" s="225"/>
      <c r="R195" s="224"/>
      <c r="S195" s="224"/>
      <c r="T195" s="224"/>
      <c r="U195" s="224"/>
      <c r="V195" s="224"/>
      <c r="W195" s="224"/>
      <c r="X195" s="224"/>
      <c r="Y195" s="224"/>
    </row>
    <row r="196" spans="1:25" ht="14.25" customHeight="1" x14ac:dyDescent="0.3">
      <c r="A196" s="223"/>
      <c r="B196" s="223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5"/>
      <c r="Q196" s="225"/>
      <c r="R196" s="224"/>
      <c r="S196" s="224"/>
      <c r="T196" s="224"/>
      <c r="U196" s="224"/>
      <c r="V196" s="224"/>
      <c r="W196" s="224"/>
      <c r="X196" s="224"/>
      <c r="Y196" s="224"/>
    </row>
    <row r="197" spans="1:25" ht="14.25" customHeight="1" x14ac:dyDescent="0.3">
      <c r="A197" s="223"/>
      <c r="B197" s="223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5"/>
      <c r="Q197" s="225"/>
      <c r="R197" s="224"/>
      <c r="S197" s="224"/>
      <c r="T197" s="224"/>
      <c r="U197" s="224"/>
      <c r="V197" s="224"/>
      <c r="W197" s="224"/>
      <c r="X197" s="224"/>
      <c r="Y197" s="224"/>
    </row>
    <row r="198" spans="1:25" ht="14.25" customHeight="1" x14ac:dyDescent="0.3">
      <c r="A198" s="223"/>
      <c r="B198" s="223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5"/>
      <c r="Q198" s="225"/>
      <c r="R198" s="224"/>
      <c r="S198" s="224"/>
      <c r="T198" s="224"/>
      <c r="U198" s="224"/>
      <c r="V198" s="224"/>
      <c r="W198" s="224"/>
      <c r="X198" s="224"/>
      <c r="Y198" s="224"/>
    </row>
    <row r="199" spans="1:25" ht="14.25" customHeight="1" x14ac:dyDescent="0.3">
      <c r="A199" s="223"/>
      <c r="B199" s="223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5"/>
      <c r="Q199" s="225"/>
      <c r="R199" s="224"/>
      <c r="S199" s="224"/>
      <c r="T199" s="224"/>
      <c r="U199" s="224"/>
      <c r="V199" s="224"/>
      <c r="W199" s="224"/>
      <c r="X199" s="224"/>
      <c r="Y199" s="224"/>
    </row>
    <row r="200" spans="1:25" ht="14.25" customHeight="1" x14ac:dyDescent="0.3">
      <c r="A200" s="223"/>
      <c r="B200" s="223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5"/>
      <c r="Q200" s="225"/>
      <c r="R200" s="224"/>
      <c r="S200" s="224"/>
      <c r="T200" s="224"/>
      <c r="U200" s="224"/>
      <c r="V200" s="224"/>
      <c r="W200" s="224"/>
      <c r="X200" s="224"/>
      <c r="Y200" s="224"/>
    </row>
    <row r="201" spans="1:25" ht="14.25" customHeight="1" x14ac:dyDescent="0.3">
      <c r="A201" s="223"/>
      <c r="B201" s="223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5"/>
      <c r="Q201" s="225"/>
      <c r="R201" s="224"/>
      <c r="S201" s="224"/>
      <c r="T201" s="224"/>
      <c r="U201" s="224"/>
      <c r="V201" s="224"/>
      <c r="W201" s="224"/>
      <c r="X201" s="224"/>
      <c r="Y201" s="224"/>
    </row>
    <row r="202" spans="1:25" ht="14.25" customHeight="1" x14ac:dyDescent="0.3">
      <c r="A202" s="223"/>
      <c r="B202" s="223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5"/>
      <c r="Q202" s="225"/>
      <c r="R202" s="224"/>
      <c r="S202" s="224"/>
      <c r="T202" s="224"/>
      <c r="U202" s="224"/>
      <c r="V202" s="224"/>
      <c r="W202" s="224"/>
      <c r="X202" s="224"/>
      <c r="Y202" s="224"/>
    </row>
    <row r="203" spans="1:25" ht="14.25" customHeight="1" x14ac:dyDescent="0.3">
      <c r="A203" s="223"/>
      <c r="B203" s="223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5"/>
      <c r="Q203" s="225"/>
      <c r="R203" s="224"/>
      <c r="S203" s="224"/>
      <c r="T203" s="224"/>
      <c r="U203" s="224"/>
      <c r="V203" s="224"/>
      <c r="W203" s="224"/>
      <c r="X203" s="224"/>
      <c r="Y203" s="224"/>
    </row>
    <row r="204" spans="1:25" ht="14.25" customHeight="1" x14ac:dyDescent="0.3">
      <c r="A204" s="223"/>
      <c r="B204" s="223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5"/>
      <c r="Q204" s="225"/>
      <c r="R204" s="224"/>
      <c r="S204" s="224"/>
      <c r="T204" s="224"/>
      <c r="U204" s="224"/>
      <c r="V204" s="224"/>
      <c r="W204" s="224"/>
      <c r="X204" s="224"/>
      <c r="Y204" s="224"/>
    </row>
    <row r="205" spans="1:25" ht="14.25" customHeight="1" x14ac:dyDescent="0.3">
      <c r="A205" s="223"/>
      <c r="B205" s="223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5"/>
      <c r="Q205" s="225"/>
      <c r="R205" s="224"/>
      <c r="S205" s="224"/>
      <c r="T205" s="224"/>
      <c r="U205" s="224"/>
      <c r="V205" s="224"/>
      <c r="W205" s="224"/>
      <c r="X205" s="224"/>
      <c r="Y205" s="224"/>
    </row>
    <row r="206" spans="1:25" ht="14.25" customHeight="1" x14ac:dyDescent="0.3">
      <c r="A206" s="223"/>
      <c r="B206" s="223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5"/>
      <c r="Q206" s="225"/>
      <c r="R206" s="224"/>
      <c r="S206" s="224"/>
      <c r="T206" s="224"/>
      <c r="U206" s="224"/>
      <c r="V206" s="224"/>
      <c r="W206" s="224"/>
      <c r="X206" s="224"/>
      <c r="Y206" s="224"/>
    </row>
    <row r="207" spans="1:25" ht="14.25" customHeight="1" x14ac:dyDescent="0.3">
      <c r="A207" s="223"/>
      <c r="B207" s="223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5"/>
      <c r="Q207" s="225"/>
      <c r="R207" s="224"/>
      <c r="S207" s="224"/>
      <c r="T207" s="224"/>
      <c r="U207" s="224"/>
      <c r="V207" s="224"/>
      <c r="W207" s="224"/>
      <c r="X207" s="224"/>
      <c r="Y207" s="224"/>
    </row>
    <row r="208" spans="1:25" ht="14.25" customHeight="1" x14ac:dyDescent="0.3">
      <c r="A208" s="223"/>
      <c r="B208" s="223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5"/>
      <c r="Q208" s="225"/>
      <c r="R208" s="224"/>
      <c r="S208" s="224"/>
      <c r="T208" s="224"/>
      <c r="U208" s="224"/>
      <c r="V208" s="224"/>
      <c r="W208" s="224"/>
      <c r="X208" s="224"/>
      <c r="Y208" s="224"/>
    </row>
    <row r="209" spans="1:25" ht="14.25" customHeight="1" x14ac:dyDescent="0.3">
      <c r="A209" s="223"/>
      <c r="B209" s="223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5"/>
      <c r="Q209" s="225"/>
      <c r="R209" s="224"/>
      <c r="S209" s="224"/>
      <c r="T209" s="224"/>
      <c r="U209" s="224"/>
      <c r="V209" s="224"/>
      <c r="W209" s="224"/>
      <c r="X209" s="224"/>
      <c r="Y209" s="224"/>
    </row>
    <row r="210" spans="1:25" ht="14.25" customHeight="1" x14ac:dyDescent="0.3">
      <c r="A210" s="223"/>
      <c r="B210" s="223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5"/>
      <c r="Q210" s="225"/>
      <c r="R210" s="224"/>
      <c r="S210" s="224"/>
      <c r="T210" s="224"/>
      <c r="U210" s="224"/>
      <c r="V210" s="224"/>
      <c r="W210" s="224"/>
      <c r="X210" s="224"/>
      <c r="Y210" s="224"/>
    </row>
    <row r="211" spans="1:25" ht="14.25" customHeight="1" x14ac:dyDescent="0.3">
      <c r="A211" s="223"/>
      <c r="B211" s="223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5"/>
      <c r="Q211" s="225"/>
      <c r="R211" s="224"/>
      <c r="S211" s="224"/>
      <c r="T211" s="224"/>
      <c r="U211" s="224"/>
      <c r="V211" s="224"/>
      <c r="W211" s="224"/>
      <c r="X211" s="224"/>
      <c r="Y211" s="224"/>
    </row>
    <row r="212" spans="1:25" ht="14.25" customHeight="1" x14ac:dyDescent="0.3">
      <c r="A212" s="223"/>
      <c r="B212" s="223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5"/>
      <c r="Q212" s="225"/>
      <c r="R212" s="224"/>
      <c r="S212" s="224"/>
      <c r="T212" s="224"/>
      <c r="U212" s="224"/>
      <c r="V212" s="224"/>
      <c r="W212" s="224"/>
      <c r="X212" s="224"/>
      <c r="Y212" s="224"/>
    </row>
    <row r="213" spans="1:25" ht="14.25" customHeight="1" x14ac:dyDescent="0.3">
      <c r="A213" s="223"/>
      <c r="B213" s="223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5"/>
      <c r="Q213" s="225"/>
      <c r="R213" s="224"/>
      <c r="S213" s="224"/>
      <c r="T213" s="224"/>
      <c r="U213" s="224"/>
      <c r="V213" s="224"/>
      <c r="W213" s="224"/>
      <c r="X213" s="224"/>
      <c r="Y213" s="224"/>
    </row>
    <row r="214" spans="1:25" ht="14.25" customHeight="1" x14ac:dyDescent="0.3">
      <c r="A214" s="223"/>
      <c r="B214" s="223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5"/>
      <c r="Q214" s="225"/>
      <c r="R214" s="224"/>
      <c r="S214" s="224"/>
      <c r="T214" s="224"/>
      <c r="U214" s="224"/>
      <c r="V214" s="224"/>
      <c r="W214" s="224"/>
      <c r="X214" s="224"/>
      <c r="Y214" s="224"/>
    </row>
    <row r="215" spans="1:25" ht="14.25" customHeight="1" x14ac:dyDescent="0.3">
      <c r="A215" s="223"/>
      <c r="B215" s="223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5"/>
      <c r="Q215" s="225"/>
      <c r="R215" s="224"/>
      <c r="S215" s="224"/>
      <c r="T215" s="224"/>
      <c r="U215" s="224"/>
      <c r="V215" s="224"/>
      <c r="W215" s="224"/>
      <c r="X215" s="224"/>
      <c r="Y215" s="224"/>
    </row>
    <row r="216" spans="1:25" ht="14.25" customHeight="1" x14ac:dyDescent="0.3">
      <c r="A216" s="223"/>
      <c r="B216" s="223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5"/>
      <c r="Q216" s="225"/>
      <c r="R216" s="224"/>
      <c r="S216" s="224"/>
      <c r="T216" s="224"/>
      <c r="U216" s="224"/>
      <c r="V216" s="224"/>
      <c r="W216" s="224"/>
      <c r="X216" s="224"/>
      <c r="Y216" s="224"/>
    </row>
    <row r="217" spans="1:25" ht="14.25" customHeight="1" x14ac:dyDescent="0.3">
      <c r="A217" s="223"/>
      <c r="B217" s="223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5"/>
      <c r="Q217" s="225"/>
      <c r="R217" s="224"/>
      <c r="S217" s="224"/>
      <c r="T217" s="224"/>
      <c r="U217" s="224"/>
      <c r="V217" s="224"/>
      <c r="W217" s="224"/>
      <c r="X217" s="224"/>
      <c r="Y217" s="224"/>
    </row>
    <row r="218" spans="1:25" ht="14.25" customHeight="1" x14ac:dyDescent="0.3">
      <c r="A218" s="223"/>
      <c r="B218" s="223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5"/>
      <c r="Q218" s="225"/>
      <c r="R218" s="224"/>
      <c r="S218" s="224"/>
      <c r="T218" s="224"/>
      <c r="U218" s="224"/>
      <c r="V218" s="224"/>
      <c r="W218" s="224"/>
      <c r="X218" s="224"/>
      <c r="Y218" s="224"/>
    </row>
    <row r="219" spans="1:25" ht="14.25" customHeight="1" x14ac:dyDescent="0.3">
      <c r="A219" s="223"/>
      <c r="B219" s="223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5"/>
      <c r="Q219" s="225"/>
      <c r="R219" s="224"/>
      <c r="S219" s="224"/>
      <c r="T219" s="224"/>
      <c r="U219" s="224"/>
      <c r="V219" s="224"/>
      <c r="W219" s="224"/>
      <c r="X219" s="224"/>
      <c r="Y219" s="224"/>
    </row>
    <row r="220" spans="1:25" ht="14.25" customHeight="1" x14ac:dyDescent="0.3">
      <c r="A220" s="223"/>
      <c r="B220" s="223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5"/>
      <c r="Q220" s="225"/>
      <c r="R220" s="224"/>
      <c r="S220" s="224"/>
      <c r="T220" s="224"/>
      <c r="U220" s="224"/>
      <c r="V220" s="224"/>
      <c r="W220" s="224"/>
      <c r="X220" s="224"/>
      <c r="Y220" s="224"/>
    </row>
    <row r="221" spans="1:25" ht="14.25" customHeight="1" x14ac:dyDescent="0.3">
      <c r="A221" s="223"/>
      <c r="B221" s="223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5"/>
      <c r="Q221" s="225"/>
      <c r="R221" s="224"/>
      <c r="S221" s="224"/>
      <c r="T221" s="224"/>
      <c r="U221" s="224"/>
      <c r="V221" s="224"/>
      <c r="W221" s="224"/>
      <c r="X221" s="224"/>
      <c r="Y221" s="224"/>
    </row>
    <row r="222" spans="1:25" ht="14.25" customHeight="1" x14ac:dyDescent="0.3">
      <c r="A222" s="223"/>
      <c r="B222" s="223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5"/>
      <c r="Q222" s="225"/>
      <c r="R222" s="224"/>
      <c r="S222" s="224"/>
      <c r="T222" s="224"/>
      <c r="U222" s="224"/>
      <c r="V222" s="224"/>
      <c r="W222" s="224"/>
      <c r="X222" s="224"/>
      <c r="Y222" s="224"/>
    </row>
    <row r="223" spans="1:25" ht="14.25" customHeight="1" x14ac:dyDescent="0.3">
      <c r="A223" s="223"/>
      <c r="B223" s="223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5"/>
      <c r="Q223" s="225"/>
      <c r="R223" s="224"/>
      <c r="S223" s="224"/>
      <c r="T223" s="224"/>
      <c r="U223" s="224"/>
      <c r="V223" s="224"/>
      <c r="W223" s="224"/>
      <c r="X223" s="224"/>
      <c r="Y223" s="224"/>
    </row>
    <row r="224" spans="1:25" ht="14.25" customHeight="1" x14ac:dyDescent="0.3">
      <c r="A224" s="223"/>
      <c r="B224" s="223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5"/>
      <c r="Q224" s="225"/>
      <c r="R224" s="224"/>
      <c r="S224" s="224"/>
      <c r="T224" s="224"/>
      <c r="U224" s="224"/>
      <c r="V224" s="224"/>
      <c r="W224" s="224"/>
      <c r="X224" s="224"/>
      <c r="Y224" s="224"/>
    </row>
    <row r="225" spans="1:25" ht="14.25" customHeight="1" x14ac:dyDescent="0.3">
      <c r="A225" s="223"/>
      <c r="B225" s="223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5"/>
      <c r="Q225" s="225"/>
      <c r="R225" s="224"/>
      <c r="S225" s="224"/>
      <c r="T225" s="224"/>
      <c r="U225" s="224"/>
      <c r="V225" s="224"/>
      <c r="W225" s="224"/>
      <c r="X225" s="224"/>
      <c r="Y225" s="224"/>
    </row>
    <row r="226" spans="1:25" ht="14.25" customHeight="1" x14ac:dyDescent="0.3">
      <c r="A226" s="223"/>
      <c r="B226" s="223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5"/>
      <c r="Q226" s="225"/>
      <c r="R226" s="224"/>
      <c r="S226" s="224"/>
      <c r="T226" s="224"/>
      <c r="U226" s="224"/>
      <c r="V226" s="224"/>
      <c r="W226" s="224"/>
      <c r="X226" s="224"/>
      <c r="Y226" s="224"/>
    </row>
    <row r="227" spans="1:25" ht="14.25" customHeight="1" x14ac:dyDescent="0.3">
      <c r="A227" s="223"/>
      <c r="B227" s="223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5"/>
      <c r="Q227" s="225"/>
      <c r="R227" s="224"/>
      <c r="S227" s="224"/>
      <c r="T227" s="224"/>
      <c r="U227" s="224"/>
      <c r="V227" s="224"/>
      <c r="W227" s="224"/>
      <c r="X227" s="224"/>
      <c r="Y227" s="224"/>
    </row>
    <row r="228" spans="1:25" ht="14.25" customHeight="1" x14ac:dyDescent="0.3">
      <c r="A228" s="223"/>
      <c r="B228" s="223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5"/>
      <c r="Q228" s="225"/>
      <c r="R228" s="224"/>
      <c r="S228" s="224"/>
      <c r="T228" s="224"/>
      <c r="U228" s="224"/>
      <c r="V228" s="224"/>
      <c r="W228" s="224"/>
      <c r="X228" s="224"/>
      <c r="Y228" s="224"/>
    </row>
    <row r="229" spans="1:25" ht="14.25" customHeight="1" x14ac:dyDescent="0.3">
      <c r="A229" s="223"/>
      <c r="B229" s="223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5"/>
      <c r="Q229" s="225"/>
      <c r="R229" s="224"/>
      <c r="S229" s="224"/>
      <c r="T229" s="224"/>
      <c r="U229" s="224"/>
      <c r="V229" s="224"/>
      <c r="W229" s="224"/>
      <c r="X229" s="224"/>
      <c r="Y229" s="224"/>
    </row>
    <row r="230" spans="1:25" ht="14.25" customHeight="1" x14ac:dyDescent="0.3">
      <c r="A230" s="223"/>
      <c r="B230" s="223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5"/>
      <c r="Q230" s="225"/>
      <c r="R230" s="224"/>
      <c r="S230" s="224"/>
      <c r="T230" s="224"/>
      <c r="U230" s="224"/>
      <c r="V230" s="224"/>
      <c r="W230" s="224"/>
      <c r="X230" s="224"/>
      <c r="Y230" s="224"/>
    </row>
    <row r="231" spans="1:25" ht="14.25" customHeight="1" x14ac:dyDescent="0.3">
      <c r="A231" s="223"/>
      <c r="B231" s="223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5"/>
      <c r="Q231" s="225"/>
      <c r="R231" s="224"/>
      <c r="S231" s="224"/>
      <c r="T231" s="224"/>
      <c r="U231" s="224"/>
      <c r="V231" s="224"/>
      <c r="W231" s="224"/>
      <c r="X231" s="224"/>
      <c r="Y231" s="224"/>
    </row>
    <row r="232" spans="1:25" ht="14.25" customHeight="1" x14ac:dyDescent="0.3">
      <c r="A232" s="223"/>
      <c r="B232" s="223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5"/>
      <c r="Q232" s="225"/>
      <c r="R232" s="224"/>
      <c r="S232" s="224"/>
      <c r="T232" s="224"/>
      <c r="U232" s="224"/>
      <c r="V232" s="224"/>
      <c r="W232" s="224"/>
      <c r="X232" s="224"/>
      <c r="Y232" s="224"/>
    </row>
    <row r="233" spans="1:25" ht="14.25" customHeight="1" x14ac:dyDescent="0.3">
      <c r="A233" s="223"/>
      <c r="B233" s="223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5"/>
      <c r="Q233" s="225"/>
      <c r="R233" s="224"/>
      <c r="S233" s="224"/>
      <c r="T233" s="224"/>
      <c r="U233" s="224"/>
      <c r="V233" s="224"/>
      <c r="W233" s="224"/>
      <c r="X233" s="224"/>
      <c r="Y233" s="224"/>
    </row>
    <row r="234" spans="1:25" ht="14.25" customHeight="1" x14ac:dyDescent="0.3">
      <c r="A234" s="223"/>
      <c r="B234" s="223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5"/>
      <c r="Q234" s="225"/>
      <c r="R234" s="224"/>
      <c r="S234" s="224"/>
      <c r="T234" s="224"/>
      <c r="U234" s="224"/>
      <c r="V234" s="224"/>
      <c r="W234" s="224"/>
      <c r="X234" s="224"/>
      <c r="Y234" s="224"/>
    </row>
    <row r="235" spans="1:25" ht="14.25" customHeight="1" x14ac:dyDescent="0.3">
      <c r="A235" s="223"/>
      <c r="B235" s="223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5"/>
      <c r="Q235" s="225"/>
      <c r="R235" s="224"/>
      <c r="S235" s="224"/>
      <c r="T235" s="224"/>
      <c r="U235" s="224"/>
      <c r="V235" s="224"/>
      <c r="W235" s="224"/>
      <c r="X235" s="224"/>
      <c r="Y235" s="224"/>
    </row>
    <row r="236" spans="1:25" ht="14.25" customHeight="1" x14ac:dyDescent="0.3">
      <c r="A236" s="223"/>
      <c r="B236" s="223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5"/>
      <c r="Q236" s="225"/>
      <c r="R236" s="224"/>
      <c r="S236" s="224"/>
      <c r="T236" s="224"/>
      <c r="U236" s="224"/>
      <c r="V236" s="224"/>
      <c r="W236" s="224"/>
      <c r="X236" s="224"/>
      <c r="Y236" s="224"/>
    </row>
    <row r="237" spans="1:25" ht="14.25" customHeight="1" x14ac:dyDescent="0.3">
      <c r="A237" s="223"/>
      <c r="B237" s="223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5"/>
      <c r="Q237" s="225"/>
      <c r="R237" s="224"/>
      <c r="S237" s="224"/>
      <c r="T237" s="224"/>
      <c r="U237" s="224"/>
      <c r="V237" s="224"/>
      <c r="W237" s="224"/>
      <c r="X237" s="224"/>
      <c r="Y237" s="224"/>
    </row>
    <row r="238" spans="1:25" ht="14.25" customHeight="1" x14ac:dyDescent="0.3">
      <c r="A238" s="223"/>
      <c r="B238" s="223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5"/>
      <c r="Q238" s="225"/>
      <c r="R238" s="224"/>
      <c r="S238" s="224"/>
      <c r="T238" s="224"/>
      <c r="U238" s="224"/>
      <c r="V238" s="224"/>
      <c r="W238" s="224"/>
      <c r="X238" s="224"/>
      <c r="Y238" s="224"/>
    </row>
    <row r="239" spans="1:25" ht="14.25" customHeight="1" x14ac:dyDescent="0.3">
      <c r="A239" s="223"/>
      <c r="B239" s="223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5"/>
      <c r="Q239" s="225"/>
      <c r="R239" s="224"/>
      <c r="S239" s="224"/>
      <c r="T239" s="224"/>
      <c r="U239" s="224"/>
      <c r="V239" s="224"/>
      <c r="W239" s="224"/>
      <c r="X239" s="224"/>
      <c r="Y239" s="224"/>
    </row>
    <row r="240" spans="1:25" ht="14.25" customHeight="1" x14ac:dyDescent="0.3">
      <c r="A240" s="223"/>
      <c r="B240" s="223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5"/>
      <c r="Q240" s="225"/>
      <c r="R240" s="224"/>
      <c r="S240" s="224"/>
      <c r="T240" s="224"/>
      <c r="U240" s="224"/>
      <c r="V240" s="224"/>
      <c r="W240" s="224"/>
      <c r="X240" s="224"/>
      <c r="Y240" s="224"/>
    </row>
    <row r="241" spans="1:25" ht="14.25" customHeight="1" x14ac:dyDescent="0.3">
      <c r="A241" s="223"/>
      <c r="B241" s="223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5"/>
      <c r="Q241" s="225"/>
      <c r="R241" s="224"/>
      <c r="S241" s="224"/>
      <c r="T241" s="224"/>
      <c r="U241" s="224"/>
      <c r="V241" s="224"/>
      <c r="W241" s="224"/>
      <c r="X241" s="224"/>
      <c r="Y241" s="224"/>
    </row>
    <row r="242" spans="1:25" ht="14.25" customHeight="1" x14ac:dyDescent="0.3">
      <c r="A242" s="223"/>
      <c r="B242" s="223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5"/>
      <c r="Q242" s="225"/>
      <c r="R242" s="224"/>
      <c r="S242" s="224"/>
      <c r="T242" s="224"/>
      <c r="U242" s="224"/>
      <c r="V242" s="224"/>
      <c r="W242" s="224"/>
      <c r="X242" s="224"/>
      <c r="Y242" s="224"/>
    </row>
    <row r="243" spans="1:25" ht="14.25" customHeight="1" x14ac:dyDescent="0.3">
      <c r="A243" s="223"/>
      <c r="B243" s="223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5"/>
      <c r="Q243" s="225"/>
      <c r="R243" s="224"/>
      <c r="S243" s="224"/>
      <c r="T243" s="224"/>
      <c r="U243" s="224"/>
      <c r="V243" s="224"/>
      <c r="W243" s="224"/>
      <c r="X243" s="224"/>
      <c r="Y243" s="224"/>
    </row>
    <row r="244" spans="1:25" ht="14.25" customHeight="1" x14ac:dyDescent="0.3">
      <c r="A244" s="223"/>
      <c r="B244" s="223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5"/>
      <c r="Q244" s="225"/>
      <c r="R244" s="224"/>
      <c r="S244" s="224"/>
      <c r="T244" s="224"/>
      <c r="U244" s="224"/>
      <c r="V244" s="224"/>
      <c r="W244" s="224"/>
      <c r="X244" s="224"/>
      <c r="Y244" s="224"/>
    </row>
    <row r="245" spans="1:25" ht="14.25" customHeight="1" x14ac:dyDescent="0.3">
      <c r="A245" s="223"/>
      <c r="B245" s="223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5"/>
      <c r="Q245" s="225"/>
      <c r="R245" s="224"/>
      <c r="S245" s="224"/>
      <c r="T245" s="224"/>
      <c r="U245" s="224"/>
      <c r="V245" s="224"/>
      <c r="W245" s="224"/>
      <c r="X245" s="224"/>
      <c r="Y245" s="224"/>
    </row>
    <row r="246" spans="1:25" ht="14.25" customHeight="1" x14ac:dyDescent="0.3">
      <c r="A246" s="223"/>
      <c r="B246" s="223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5"/>
      <c r="Q246" s="225"/>
      <c r="R246" s="224"/>
      <c r="S246" s="224"/>
      <c r="T246" s="224"/>
      <c r="U246" s="224"/>
      <c r="V246" s="224"/>
      <c r="W246" s="224"/>
      <c r="X246" s="224"/>
      <c r="Y246" s="224"/>
    </row>
    <row r="247" spans="1:25" ht="14.25" customHeight="1" x14ac:dyDescent="0.3">
      <c r="A247" s="223"/>
      <c r="B247" s="223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5"/>
      <c r="Q247" s="225"/>
      <c r="R247" s="224"/>
      <c r="S247" s="224"/>
      <c r="T247" s="224"/>
      <c r="U247" s="224"/>
      <c r="V247" s="224"/>
      <c r="W247" s="224"/>
      <c r="X247" s="224"/>
      <c r="Y247" s="224"/>
    </row>
    <row r="248" spans="1:25" ht="14.25" customHeight="1" x14ac:dyDescent="0.3">
      <c r="A248" s="223"/>
      <c r="B248" s="223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5"/>
      <c r="Q248" s="225"/>
      <c r="R248" s="224"/>
      <c r="S248" s="224"/>
      <c r="T248" s="224"/>
      <c r="U248" s="224"/>
      <c r="V248" s="224"/>
      <c r="W248" s="224"/>
      <c r="X248" s="224"/>
      <c r="Y248" s="224"/>
    </row>
    <row r="249" spans="1:25" ht="14.25" customHeight="1" x14ac:dyDescent="0.3">
      <c r="A249" s="223"/>
      <c r="B249" s="223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5"/>
      <c r="Q249" s="225"/>
      <c r="R249" s="224"/>
      <c r="S249" s="224"/>
      <c r="T249" s="224"/>
      <c r="U249" s="224"/>
      <c r="V249" s="224"/>
      <c r="W249" s="224"/>
      <c r="X249" s="224"/>
      <c r="Y249" s="224"/>
    </row>
    <row r="250" spans="1:25" ht="14.25" customHeight="1" x14ac:dyDescent="0.3">
      <c r="A250" s="223"/>
      <c r="B250" s="223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5"/>
      <c r="Q250" s="225"/>
      <c r="R250" s="224"/>
      <c r="S250" s="224"/>
      <c r="T250" s="224"/>
      <c r="U250" s="224"/>
      <c r="V250" s="224"/>
      <c r="W250" s="224"/>
      <c r="X250" s="224"/>
      <c r="Y250" s="224"/>
    </row>
    <row r="251" spans="1:25" ht="14.25" customHeight="1" x14ac:dyDescent="0.3">
      <c r="A251" s="223"/>
      <c r="B251" s="223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5"/>
      <c r="Q251" s="225"/>
      <c r="R251" s="224"/>
      <c r="S251" s="224"/>
      <c r="T251" s="224"/>
      <c r="U251" s="224"/>
      <c r="V251" s="224"/>
      <c r="W251" s="224"/>
      <c r="X251" s="224"/>
      <c r="Y251" s="224"/>
    </row>
    <row r="252" spans="1:25" ht="14.25" customHeight="1" x14ac:dyDescent="0.3">
      <c r="A252" s="223"/>
      <c r="B252" s="223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5"/>
      <c r="Q252" s="225"/>
      <c r="R252" s="224"/>
      <c r="S252" s="224"/>
      <c r="T252" s="224"/>
      <c r="U252" s="224"/>
      <c r="V252" s="224"/>
      <c r="W252" s="224"/>
      <c r="X252" s="224"/>
      <c r="Y252" s="224"/>
    </row>
    <row r="253" spans="1:25" ht="14.25" customHeight="1" x14ac:dyDescent="0.3">
      <c r="A253" s="223"/>
      <c r="B253" s="223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5"/>
      <c r="Q253" s="225"/>
      <c r="R253" s="224"/>
      <c r="S253" s="224"/>
      <c r="T253" s="224"/>
      <c r="U253" s="224"/>
      <c r="V253" s="224"/>
      <c r="W253" s="224"/>
      <c r="X253" s="224"/>
      <c r="Y253" s="224"/>
    </row>
    <row r="254" spans="1:25" ht="14.25" customHeight="1" x14ac:dyDescent="0.3">
      <c r="A254" s="223"/>
      <c r="B254" s="223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5"/>
      <c r="Q254" s="225"/>
      <c r="R254" s="224"/>
      <c r="S254" s="224"/>
      <c r="T254" s="224"/>
      <c r="U254" s="224"/>
      <c r="V254" s="224"/>
      <c r="W254" s="224"/>
      <c r="X254" s="224"/>
      <c r="Y254" s="224"/>
    </row>
    <row r="255" spans="1:25" ht="14.25" customHeight="1" x14ac:dyDescent="0.3">
      <c r="P255" s="225"/>
      <c r="Q255" s="225"/>
    </row>
    <row r="256" spans="1:25" ht="14.25" customHeight="1" x14ac:dyDescent="0.3">
      <c r="P256" s="225"/>
      <c r="Q256" s="225"/>
    </row>
    <row r="257" spans="16:17" ht="14.25" customHeight="1" x14ac:dyDescent="0.3">
      <c r="P257" s="225"/>
      <c r="Q257" s="225"/>
    </row>
    <row r="258" spans="16:17" ht="14.25" customHeight="1" x14ac:dyDescent="0.3">
      <c r="P258" s="225"/>
      <c r="Q258" s="225"/>
    </row>
    <row r="259" spans="16:17" ht="14.25" customHeight="1" x14ac:dyDescent="0.3">
      <c r="P259" s="225"/>
      <c r="Q259" s="225"/>
    </row>
    <row r="260" spans="16:17" ht="14.25" customHeight="1" x14ac:dyDescent="0.3">
      <c r="P260" s="225"/>
      <c r="Q260" s="225"/>
    </row>
    <row r="261" spans="16:17" ht="14.25" customHeight="1" x14ac:dyDescent="0.3">
      <c r="P261" s="225"/>
      <c r="Q261" s="225"/>
    </row>
    <row r="262" spans="16:17" ht="14.25" customHeight="1" x14ac:dyDescent="0.3">
      <c r="P262" s="225"/>
      <c r="Q262" s="225"/>
    </row>
    <row r="263" spans="16:17" ht="14.25" customHeight="1" x14ac:dyDescent="0.3">
      <c r="P263" s="225"/>
      <c r="Q263" s="225"/>
    </row>
    <row r="264" spans="16:17" ht="14.25" customHeight="1" x14ac:dyDescent="0.3">
      <c r="P264" s="225"/>
      <c r="Q264" s="225"/>
    </row>
    <row r="265" spans="16:17" ht="14.25" customHeight="1" x14ac:dyDescent="0.3">
      <c r="P265" s="225"/>
      <c r="Q265" s="225"/>
    </row>
    <row r="266" spans="16:17" ht="14.25" customHeight="1" x14ac:dyDescent="0.3">
      <c r="P266" s="225"/>
      <c r="Q266" s="225"/>
    </row>
    <row r="267" spans="16:17" ht="14.25" customHeight="1" x14ac:dyDescent="0.3">
      <c r="P267" s="225"/>
      <c r="Q267" s="225"/>
    </row>
    <row r="268" spans="16:17" ht="14.25" customHeight="1" x14ac:dyDescent="0.3">
      <c r="P268" s="225"/>
      <c r="Q268" s="225"/>
    </row>
    <row r="269" spans="16:17" ht="14.25" customHeight="1" x14ac:dyDescent="0.3">
      <c r="P269" s="225"/>
      <c r="Q269" s="225"/>
    </row>
    <row r="270" spans="16:17" ht="14.25" customHeight="1" x14ac:dyDescent="0.3">
      <c r="P270" s="225"/>
      <c r="Q270" s="225"/>
    </row>
    <row r="271" spans="16:17" ht="14.25" customHeight="1" x14ac:dyDescent="0.3">
      <c r="P271" s="225"/>
      <c r="Q271" s="225"/>
    </row>
    <row r="272" spans="16:17" ht="14.25" customHeight="1" x14ac:dyDescent="0.3">
      <c r="P272" s="225"/>
      <c r="Q272" s="225"/>
    </row>
    <row r="273" spans="16:17" ht="14.25" customHeight="1" x14ac:dyDescent="0.3">
      <c r="P273" s="225"/>
      <c r="Q273" s="225"/>
    </row>
    <row r="274" spans="16:17" ht="14.25" customHeight="1" x14ac:dyDescent="0.3">
      <c r="P274" s="225"/>
      <c r="Q274" s="225"/>
    </row>
    <row r="275" spans="16:17" ht="14.25" customHeight="1" x14ac:dyDescent="0.3">
      <c r="P275" s="225"/>
      <c r="Q275" s="225"/>
    </row>
    <row r="276" spans="16:17" ht="14.25" customHeight="1" x14ac:dyDescent="0.3">
      <c r="P276" s="225"/>
      <c r="Q276" s="225"/>
    </row>
    <row r="277" spans="16:17" ht="14.25" customHeight="1" x14ac:dyDescent="0.3">
      <c r="P277" s="225"/>
      <c r="Q277" s="225"/>
    </row>
    <row r="278" spans="16:17" ht="14.25" customHeight="1" x14ac:dyDescent="0.3">
      <c r="P278" s="225"/>
      <c r="Q278" s="225"/>
    </row>
    <row r="279" spans="16:17" ht="14.25" customHeight="1" x14ac:dyDescent="0.3">
      <c r="P279" s="225"/>
      <c r="Q279" s="225"/>
    </row>
    <row r="280" spans="16:17" ht="14.25" customHeight="1" x14ac:dyDescent="0.3">
      <c r="P280" s="225"/>
      <c r="Q280" s="225"/>
    </row>
    <row r="281" spans="16:17" ht="14.25" customHeight="1" x14ac:dyDescent="0.3">
      <c r="P281" s="225"/>
      <c r="Q281" s="225"/>
    </row>
    <row r="282" spans="16:17" ht="14.25" customHeight="1" x14ac:dyDescent="0.3">
      <c r="P282" s="225"/>
      <c r="Q282" s="225"/>
    </row>
    <row r="283" spans="16:17" ht="14.25" customHeight="1" x14ac:dyDescent="0.3">
      <c r="P283" s="225"/>
      <c r="Q283" s="225"/>
    </row>
    <row r="284" spans="16:17" ht="14.25" customHeight="1" x14ac:dyDescent="0.3">
      <c r="P284" s="225"/>
      <c r="Q284" s="225"/>
    </row>
    <row r="285" spans="16:17" ht="14.25" customHeight="1" x14ac:dyDescent="0.3">
      <c r="P285" s="225"/>
      <c r="Q285" s="225"/>
    </row>
    <row r="286" spans="16:17" ht="14.25" customHeight="1" x14ac:dyDescent="0.3">
      <c r="P286" s="225"/>
      <c r="Q286" s="225"/>
    </row>
    <row r="287" spans="16:17" ht="14.25" customHeight="1" x14ac:dyDescent="0.3">
      <c r="P287" s="225"/>
      <c r="Q287" s="225"/>
    </row>
    <row r="288" spans="16:17" ht="14.25" customHeight="1" x14ac:dyDescent="0.3">
      <c r="P288" s="225"/>
      <c r="Q288" s="225"/>
    </row>
    <row r="289" spans="16:17" ht="14.25" customHeight="1" x14ac:dyDescent="0.3">
      <c r="P289" s="225"/>
      <c r="Q289" s="225"/>
    </row>
    <row r="290" spans="16:17" ht="14.25" customHeight="1" x14ac:dyDescent="0.3">
      <c r="P290" s="225"/>
      <c r="Q290" s="225"/>
    </row>
    <row r="291" spans="16:17" ht="14.25" customHeight="1" x14ac:dyDescent="0.3">
      <c r="P291" s="225"/>
      <c r="Q291" s="225"/>
    </row>
    <row r="292" spans="16:17" ht="14.25" customHeight="1" x14ac:dyDescent="0.3">
      <c r="P292" s="225"/>
      <c r="Q292" s="225"/>
    </row>
    <row r="293" spans="16:17" ht="14.25" customHeight="1" x14ac:dyDescent="0.3">
      <c r="P293" s="225"/>
      <c r="Q293" s="225"/>
    </row>
    <row r="294" spans="16:17" ht="14.25" customHeight="1" x14ac:dyDescent="0.3">
      <c r="P294" s="225"/>
      <c r="Q294" s="225"/>
    </row>
    <row r="295" spans="16:17" ht="14.25" customHeight="1" x14ac:dyDescent="0.3">
      <c r="P295" s="225"/>
      <c r="Q295" s="225"/>
    </row>
    <row r="296" spans="16:17" ht="14.25" customHeight="1" x14ac:dyDescent="0.3">
      <c r="P296" s="225"/>
      <c r="Q296" s="225"/>
    </row>
    <row r="297" spans="16:17" ht="14.25" customHeight="1" x14ac:dyDescent="0.3">
      <c r="P297" s="225"/>
      <c r="Q297" s="225"/>
    </row>
    <row r="298" spans="16:17" ht="14.25" customHeight="1" x14ac:dyDescent="0.3">
      <c r="P298" s="225"/>
      <c r="Q298" s="225"/>
    </row>
    <row r="299" spans="16:17" ht="14.25" customHeight="1" x14ac:dyDescent="0.3">
      <c r="P299" s="225"/>
      <c r="Q299" s="225"/>
    </row>
    <row r="300" spans="16:17" ht="14.25" customHeight="1" x14ac:dyDescent="0.3">
      <c r="P300" s="225"/>
      <c r="Q300" s="225"/>
    </row>
    <row r="301" spans="16:17" ht="14.25" customHeight="1" x14ac:dyDescent="0.3">
      <c r="P301" s="225"/>
      <c r="Q301" s="225"/>
    </row>
    <row r="302" spans="16:17" ht="14.25" customHeight="1" x14ac:dyDescent="0.3">
      <c r="P302" s="225"/>
      <c r="Q302" s="225"/>
    </row>
    <row r="303" spans="16:17" ht="14.25" customHeight="1" x14ac:dyDescent="0.3">
      <c r="P303" s="225"/>
      <c r="Q303" s="225"/>
    </row>
    <row r="304" spans="16:17" ht="14.25" customHeight="1" x14ac:dyDescent="0.3">
      <c r="P304" s="225"/>
      <c r="Q304" s="225"/>
    </row>
    <row r="305" spans="16:17" ht="14.25" customHeight="1" x14ac:dyDescent="0.3">
      <c r="P305" s="225"/>
      <c r="Q305" s="225"/>
    </row>
    <row r="306" spans="16:17" ht="14.25" customHeight="1" x14ac:dyDescent="0.3">
      <c r="P306" s="225"/>
      <c r="Q306" s="225"/>
    </row>
    <row r="307" spans="16:17" ht="14.25" customHeight="1" x14ac:dyDescent="0.3">
      <c r="P307" s="225"/>
      <c r="Q307" s="225"/>
    </row>
    <row r="308" spans="16:17" ht="14.25" customHeight="1" x14ac:dyDescent="0.3">
      <c r="P308" s="225"/>
      <c r="Q308" s="225"/>
    </row>
    <row r="309" spans="16:17" ht="14.25" customHeight="1" x14ac:dyDescent="0.3">
      <c r="P309" s="225"/>
      <c r="Q309" s="225"/>
    </row>
    <row r="310" spans="16:17" ht="14.25" customHeight="1" x14ac:dyDescent="0.3">
      <c r="P310" s="225"/>
      <c r="Q310" s="225"/>
    </row>
    <row r="311" spans="16:17" ht="14.25" customHeight="1" x14ac:dyDescent="0.3">
      <c r="P311" s="225"/>
      <c r="Q311" s="225"/>
    </row>
    <row r="312" spans="16:17" ht="14.25" customHeight="1" x14ac:dyDescent="0.3">
      <c r="P312" s="225"/>
      <c r="Q312" s="225"/>
    </row>
    <row r="313" spans="16:17" ht="14.25" customHeight="1" x14ac:dyDescent="0.3">
      <c r="P313" s="225"/>
      <c r="Q313" s="225"/>
    </row>
    <row r="314" spans="16:17" ht="14.25" customHeight="1" x14ac:dyDescent="0.3">
      <c r="P314" s="225"/>
      <c r="Q314" s="225"/>
    </row>
    <row r="315" spans="16:17" ht="14.25" customHeight="1" x14ac:dyDescent="0.3">
      <c r="P315" s="225"/>
      <c r="Q315" s="225"/>
    </row>
    <row r="316" spans="16:17" ht="14.25" customHeight="1" x14ac:dyDescent="0.3">
      <c r="P316" s="225"/>
      <c r="Q316" s="225"/>
    </row>
    <row r="317" spans="16:17" ht="14.25" customHeight="1" x14ac:dyDescent="0.3">
      <c r="P317" s="225"/>
      <c r="Q317" s="225"/>
    </row>
    <row r="318" spans="16:17" ht="14.25" customHeight="1" x14ac:dyDescent="0.3">
      <c r="P318" s="225"/>
      <c r="Q318" s="225"/>
    </row>
    <row r="319" spans="16:17" ht="14.25" customHeight="1" x14ac:dyDescent="0.3">
      <c r="P319" s="225"/>
      <c r="Q319" s="225"/>
    </row>
    <row r="320" spans="16:17" ht="14.25" customHeight="1" x14ac:dyDescent="0.3">
      <c r="P320" s="225"/>
      <c r="Q320" s="225"/>
    </row>
    <row r="321" spans="16:17" ht="14.25" customHeight="1" x14ac:dyDescent="0.3">
      <c r="P321" s="225"/>
      <c r="Q321" s="225"/>
    </row>
    <row r="322" spans="16:17" ht="14.25" customHeight="1" x14ac:dyDescent="0.3">
      <c r="P322" s="225"/>
      <c r="Q322" s="225"/>
    </row>
    <row r="323" spans="16:17" ht="14.25" customHeight="1" x14ac:dyDescent="0.3">
      <c r="P323" s="225"/>
      <c r="Q323" s="225"/>
    </row>
    <row r="324" spans="16:17" ht="14.25" customHeight="1" x14ac:dyDescent="0.3">
      <c r="P324" s="225"/>
      <c r="Q324" s="225"/>
    </row>
    <row r="325" spans="16:17" ht="14.25" customHeight="1" x14ac:dyDescent="0.3">
      <c r="P325" s="225"/>
      <c r="Q325" s="225"/>
    </row>
    <row r="326" spans="16:17" ht="14.25" customHeight="1" x14ac:dyDescent="0.3">
      <c r="P326" s="225"/>
      <c r="Q326" s="225"/>
    </row>
    <row r="327" spans="16:17" ht="14.25" customHeight="1" x14ac:dyDescent="0.3">
      <c r="P327" s="225"/>
      <c r="Q327" s="225"/>
    </row>
    <row r="328" spans="16:17" ht="14.25" customHeight="1" x14ac:dyDescent="0.3">
      <c r="P328" s="225"/>
      <c r="Q328" s="225"/>
    </row>
    <row r="329" spans="16:17" ht="14.25" customHeight="1" x14ac:dyDescent="0.3">
      <c r="P329" s="225"/>
      <c r="Q329" s="225"/>
    </row>
    <row r="330" spans="16:17" ht="14.25" customHeight="1" x14ac:dyDescent="0.3">
      <c r="P330" s="225"/>
      <c r="Q330" s="225"/>
    </row>
    <row r="331" spans="16:17" ht="14.25" customHeight="1" x14ac:dyDescent="0.3">
      <c r="P331" s="225"/>
      <c r="Q331" s="225"/>
    </row>
    <row r="332" spans="16:17" ht="14.25" customHeight="1" x14ac:dyDescent="0.3">
      <c r="P332" s="225"/>
      <c r="Q332" s="225"/>
    </row>
    <row r="333" spans="16:17" ht="14.25" customHeight="1" x14ac:dyDescent="0.3">
      <c r="P333" s="225"/>
      <c r="Q333" s="225"/>
    </row>
    <row r="334" spans="16:17" ht="14.25" customHeight="1" x14ac:dyDescent="0.3">
      <c r="P334" s="225"/>
      <c r="Q334" s="225"/>
    </row>
    <row r="335" spans="16:17" ht="14.25" customHeight="1" x14ac:dyDescent="0.3">
      <c r="P335" s="225"/>
      <c r="Q335" s="225"/>
    </row>
    <row r="336" spans="16:17" ht="14.25" customHeight="1" x14ac:dyDescent="0.3">
      <c r="P336" s="225"/>
      <c r="Q336" s="225"/>
    </row>
    <row r="337" spans="16:17" ht="14.25" customHeight="1" x14ac:dyDescent="0.3">
      <c r="P337" s="225"/>
      <c r="Q337" s="225"/>
    </row>
    <row r="338" spans="16:17" ht="14.25" customHeight="1" x14ac:dyDescent="0.3">
      <c r="P338" s="225"/>
      <c r="Q338" s="225"/>
    </row>
    <row r="339" spans="16:17" ht="14.25" customHeight="1" x14ac:dyDescent="0.3">
      <c r="P339" s="225"/>
      <c r="Q339" s="225"/>
    </row>
    <row r="340" spans="16:17" ht="14.25" customHeight="1" x14ac:dyDescent="0.3">
      <c r="P340" s="225"/>
      <c r="Q340" s="225"/>
    </row>
    <row r="341" spans="16:17" ht="14.25" customHeight="1" x14ac:dyDescent="0.3">
      <c r="P341" s="225"/>
      <c r="Q341" s="225"/>
    </row>
    <row r="342" spans="16:17" ht="14.25" customHeight="1" x14ac:dyDescent="0.3">
      <c r="P342" s="225"/>
      <c r="Q342" s="225"/>
    </row>
    <row r="343" spans="16:17" ht="14.25" customHeight="1" x14ac:dyDescent="0.3">
      <c r="P343" s="225"/>
      <c r="Q343" s="225"/>
    </row>
    <row r="344" spans="16:17" ht="14.25" customHeight="1" x14ac:dyDescent="0.3">
      <c r="P344" s="225"/>
      <c r="Q344" s="225"/>
    </row>
    <row r="345" spans="16:17" ht="14.25" customHeight="1" x14ac:dyDescent="0.3">
      <c r="P345" s="225"/>
      <c r="Q345" s="225"/>
    </row>
    <row r="346" spans="16:17" ht="14.25" customHeight="1" x14ac:dyDescent="0.3">
      <c r="P346" s="225"/>
      <c r="Q346" s="225"/>
    </row>
    <row r="347" spans="16:17" ht="14.25" customHeight="1" x14ac:dyDescent="0.3">
      <c r="P347" s="225"/>
      <c r="Q347" s="225"/>
    </row>
    <row r="348" spans="16:17" ht="14.25" customHeight="1" x14ac:dyDescent="0.3">
      <c r="P348" s="225"/>
      <c r="Q348" s="225"/>
    </row>
    <row r="349" spans="16:17" ht="14.25" customHeight="1" x14ac:dyDescent="0.3">
      <c r="P349" s="225"/>
      <c r="Q349" s="225"/>
    </row>
    <row r="350" spans="16:17" ht="14.25" customHeight="1" x14ac:dyDescent="0.3">
      <c r="P350" s="225"/>
      <c r="Q350" s="225"/>
    </row>
    <row r="351" spans="16:17" ht="14.25" customHeight="1" x14ac:dyDescent="0.3">
      <c r="P351" s="225"/>
      <c r="Q351" s="225"/>
    </row>
    <row r="352" spans="16:17" ht="14.25" customHeight="1" x14ac:dyDescent="0.3">
      <c r="P352" s="225"/>
      <c r="Q352" s="225"/>
    </row>
    <row r="353" spans="16:17" ht="14.25" customHeight="1" x14ac:dyDescent="0.3">
      <c r="P353" s="225"/>
      <c r="Q353" s="225"/>
    </row>
    <row r="354" spans="16:17" ht="14.25" customHeight="1" x14ac:dyDescent="0.3">
      <c r="P354" s="225"/>
      <c r="Q354" s="225"/>
    </row>
    <row r="355" spans="16:17" ht="14.25" customHeight="1" x14ac:dyDescent="0.3">
      <c r="P355" s="225"/>
      <c r="Q355" s="225"/>
    </row>
    <row r="356" spans="16:17" ht="14.25" customHeight="1" x14ac:dyDescent="0.3">
      <c r="P356" s="225"/>
      <c r="Q356" s="225"/>
    </row>
    <row r="357" spans="16:17" ht="14.25" customHeight="1" x14ac:dyDescent="0.3">
      <c r="P357" s="225"/>
      <c r="Q357" s="225"/>
    </row>
    <row r="358" spans="16:17" ht="14.25" customHeight="1" x14ac:dyDescent="0.3">
      <c r="P358" s="225"/>
      <c r="Q358" s="225"/>
    </row>
    <row r="359" spans="16:17" ht="14.25" customHeight="1" x14ac:dyDescent="0.3">
      <c r="P359" s="225"/>
      <c r="Q359" s="225"/>
    </row>
    <row r="360" spans="16:17" ht="14.25" customHeight="1" x14ac:dyDescent="0.3">
      <c r="P360" s="225"/>
      <c r="Q360" s="225"/>
    </row>
    <row r="361" spans="16:17" ht="14.25" customHeight="1" x14ac:dyDescent="0.3">
      <c r="P361" s="225"/>
      <c r="Q361" s="225"/>
    </row>
    <row r="362" spans="16:17" ht="14.25" customHeight="1" x14ac:dyDescent="0.3">
      <c r="P362" s="225"/>
      <c r="Q362" s="225"/>
    </row>
    <row r="363" spans="16:17" ht="14.25" customHeight="1" x14ac:dyDescent="0.3">
      <c r="P363" s="225"/>
      <c r="Q363" s="225"/>
    </row>
    <row r="364" spans="16:17" ht="14.25" customHeight="1" x14ac:dyDescent="0.3">
      <c r="P364" s="225"/>
      <c r="Q364" s="225"/>
    </row>
    <row r="365" spans="16:17" ht="14.25" customHeight="1" x14ac:dyDescent="0.3">
      <c r="P365" s="225"/>
      <c r="Q365" s="225"/>
    </row>
    <row r="366" spans="16:17" ht="14.25" customHeight="1" x14ac:dyDescent="0.3">
      <c r="P366" s="225"/>
      <c r="Q366" s="225"/>
    </row>
    <row r="367" spans="16:17" ht="14.25" customHeight="1" x14ac:dyDescent="0.3">
      <c r="P367" s="225"/>
      <c r="Q367" s="225"/>
    </row>
    <row r="368" spans="16:17" ht="14.25" customHeight="1" x14ac:dyDescent="0.3">
      <c r="P368" s="225"/>
      <c r="Q368" s="225"/>
    </row>
    <row r="369" spans="16:17" ht="14.25" customHeight="1" x14ac:dyDescent="0.3">
      <c r="P369" s="225"/>
      <c r="Q369" s="225"/>
    </row>
    <row r="370" spans="16:17" ht="14.25" customHeight="1" x14ac:dyDescent="0.3">
      <c r="P370" s="225"/>
      <c r="Q370" s="225"/>
    </row>
    <row r="371" spans="16:17" ht="14.25" customHeight="1" x14ac:dyDescent="0.3">
      <c r="P371" s="225"/>
      <c r="Q371" s="225"/>
    </row>
    <row r="372" spans="16:17" ht="14.25" customHeight="1" x14ac:dyDescent="0.3">
      <c r="P372" s="225"/>
      <c r="Q372" s="225"/>
    </row>
    <row r="373" spans="16:17" ht="14.25" customHeight="1" x14ac:dyDescent="0.3">
      <c r="P373" s="225"/>
      <c r="Q373" s="225"/>
    </row>
    <row r="374" spans="16:17" ht="14.25" customHeight="1" x14ac:dyDescent="0.3">
      <c r="P374" s="225"/>
      <c r="Q374" s="225"/>
    </row>
    <row r="375" spans="16:17" ht="14.25" customHeight="1" x14ac:dyDescent="0.3">
      <c r="P375" s="225"/>
      <c r="Q375" s="225"/>
    </row>
    <row r="376" spans="16:17" ht="14.25" customHeight="1" x14ac:dyDescent="0.3">
      <c r="P376" s="225"/>
      <c r="Q376" s="225"/>
    </row>
    <row r="377" spans="16:17" ht="14.25" customHeight="1" x14ac:dyDescent="0.3">
      <c r="P377" s="225"/>
      <c r="Q377" s="225"/>
    </row>
    <row r="378" spans="16:17" ht="14.25" customHeight="1" x14ac:dyDescent="0.3">
      <c r="P378" s="225"/>
      <c r="Q378" s="225"/>
    </row>
    <row r="379" spans="16:17" ht="14.25" customHeight="1" x14ac:dyDescent="0.3">
      <c r="P379" s="225"/>
      <c r="Q379" s="225"/>
    </row>
    <row r="380" spans="16:17" ht="14.25" customHeight="1" x14ac:dyDescent="0.3">
      <c r="P380" s="225"/>
      <c r="Q380" s="225"/>
    </row>
    <row r="381" spans="16:17" ht="14.25" customHeight="1" x14ac:dyDescent="0.3">
      <c r="P381" s="225"/>
      <c r="Q381" s="225"/>
    </row>
    <row r="382" spans="16:17" ht="14.25" customHeight="1" x14ac:dyDescent="0.3">
      <c r="P382" s="225"/>
      <c r="Q382" s="225"/>
    </row>
    <row r="383" spans="16:17" ht="14.25" customHeight="1" x14ac:dyDescent="0.3">
      <c r="P383" s="225"/>
      <c r="Q383" s="225"/>
    </row>
    <row r="384" spans="16:17" ht="14.25" customHeight="1" x14ac:dyDescent="0.3">
      <c r="P384" s="225"/>
      <c r="Q384" s="225"/>
    </row>
    <row r="385" spans="16:17" ht="14.25" customHeight="1" x14ac:dyDescent="0.3">
      <c r="P385" s="225"/>
      <c r="Q385" s="225"/>
    </row>
    <row r="386" spans="16:17" ht="14.25" customHeight="1" x14ac:dyDescent="0.3">
      <c r="P386" s="225"/>
      <c r="Q386" s="225"/>
    </row>
    <row r="387" spans="16:17" ht="14.25" customHeight="1" x14ac:dyDescent="0.3">
      <c r="P387" s="225"/>
      <c r="Q387" s="225"/>
    </row>
    <row r="388" spans="16:17" ht="14.25" customHeight="1" x14ac:dyDescent="0.3">
      <c r="P388" s="225"/>
      <c r="Q388" s="225"/>
    </row>
    <row r="389" spans="16:17" ht="14.25" customHeight="1" x14ac:dyDescent="0.3">
      <c r="P389" s="225"/>
      <c r="Q389" s="225"/>
    </row>
    <row r="390" spans="16:17" ht="14.25" customHeight="1" x14ac:dyDescent="0.3">
      <c r="P390" s="225"/>
      <c r="Q390" s="225"/>
    </row>
    <row r="391" spans="16:17" ht="14.25" customHeight="1" x14ac:dyDescent="0.3">
      <c r="P391" s="225"/>
      <c r="Q391" s="225"/>
    </row>
    <row r="392" spans="16:17" ht="14.25" customHeight="1" x14ac:dyDescent="0.3">
      <c r="P392" s="225"/>
      <c r="Q392" s="225"/>
    </row>
    <row r="393" spans="16:17" ht="14.25" customHeight="1" x14ac:dyDescent="0.3">
      <c r="P393" s="225"/>
      <c r="Q393" s="225"/>
    </row>
    <row r="394" spans="16:17" ht="14.25" customHeight="1" x14ac:dyDescent="0.3">
      <c r="P394" s="225"/>
      <c r="Q394" s="225"/>
    </row>
    <row r="395" spans="16:17" ht="14.25" customHeight="1" x14ac:dyDescent="0.3">
      <c r="P395" s="225"/>
      <c r="Q395" s="225"/>
    </row>
    <row r="396" spans="16:17" ht="14.25" customHeight="1" x14ac:dyDescent="0.3">
      <c r="P396" s="225"/>
      <c r="Q396" s="225"/>
    </row>
    <row r="397" spans="16:17" ht="14.25" customHeight="1" x14ac:dyDescent="0.3">
      <c r="P397" s="225"/>
      <c r="Q397" s="225"/>
    </row>
    <row r="398" spans="16:17" ht="14.25" customHeight="1" x14ac:dyDescent="0.3">
      <c r="P398" s="225"/>
      <c r="Q398" s="225"/>
    </row>
    <row r="399" spans="16:17" ht="14.25" customHeight="1" x14ac:dyDescent="0.3">
      <c r="P399" s="225"/>
      <c r="Q399" s="225"/>
    </row>
    <row r="400" spans="16:17" ht="14.25" customHeight="1" x14ac:dyDescent="0.3">
      <c r="P400" s="225"/>
      <c r="Q400" s="225"/>
    </row>
    <row r="401" spans="16:17" ht="14.25" customHeight="1" x14ac:dyDescent="0.3">
      <c r="P401" s="225"/>
      <c r="Q401" s="225"/>
    </row>
    <row r="402" spans="16:17" ht="14.25" customHeight="1" x14ac:dyDescent="0.3">
      <c r="P402" s="225"/>
      <c r="Q402" s="225"/>
    </row>
    <row r="403" spans="16:17" ht="14.25" customHeight="1" x14ac:dyDescent="0.3">
      <c r="P403" s="225"/>
      <c r="Q403" s="225"/>
    </row>
    <row r="404" spans="16:17" ht="14.25" customHeight="1" x14ac:dyDescent="0.3">
      <c r="P404" s="225"/>
      <c r="Q404" s="225"/>
    </row>
    <row r="405" spans="16:17" ht="14.25" customHeight="1" x14ac:dyDescent="0.3">
      <c r="P405" s="225"/>
      <c r="Q405" s="225"/>
    </row>
    <row r="406" spans="16:17" ht="14.25" customHeight="1" x14ac:dyDescent="0.3">
      <c r="P406" s="225"/>
      <c r="Q406" s="225"/>
    </row>
    <row r="407" spans="16:17" ht="14.25" customHeight="1" x14ac:dyDescent="0.3">
      <c r="P407" s="225"/>
      <c r="Q407" s="225"/>
    </row>
    <row r="408" spans="16:17" ht="14.25" customHeight="1" x14ac:dyDescent="0.3">
      <c r="P408" s="225"/>
      <c r="Q408" s="225"/>
    </row>
    <row r="409" spans="16:17" ht="14.25" customHeight="1" x14ac:dyDescent="0.3">
      <c r="P409" s="225"/>
      <c r="Q409" s="225"/>
    </row>
    <row r="410" spans="16:17" ht="14.25" customHeight="1" x14ac:dyDescent="0.3">
      <c r="P410" s="225"/>
      <c r="Q410" s="225"/>
    </row>
    <row r="411" spans="16:17" ht="14.25" customHeight="1" x14ac:dyDescent="0.3">
      <c r="P411" s="225"/>
      <c r="Q411" s="225"/>
    </row>
    <row r="412" spans="16:17" ht="14.25" customHeight="1" x14ac:dyDescent="0.3">
      <c r="P412" s="225"/>
      <c r="Q412" s="225"/>
    </row>
    <row r="413" spans="16:17" ht="14.25" customHeight="1" x14ac:dyDescent="0.3">
      <c r="P413" s="225"/>
      <c r="Q413" s="225"/>
    </row>
    <row r="414" spans="16:17" ht="14.25" customHeight="1" x14ac:dyDescent="0.3">
      <c r="P414" s="225"/>
      <c r="Q414" s="225"/>
    </row>
    <row r="415" spans="16:17" ht="14.25" customHeight="1" x14ac:dyDescent="0.3">
      <c r="P415" s="225"/>
      <c r="Q415" s="225"/>
    </row>
    <row r="416" spans="16:17" ht="14.25" customHeight="1" x14ac:dyDescent="0.3">
      <c r="P416" s="225"/>
      <c r="Q416" s="225"/>
    </row>
    <row r="417" spans="16:17" ht="14.25" customHeight="1" x14ac:dyDescent="0.3">
      <c r="P417" s="225"/>
      <c r="Q417" s="225"/>
    </row>
    <row r="418" spans="16:17" ht="14.25" customHeight="1" x14ac:dyDescent="0.3">
      <c r="P418" s="225"/>
      <c r="Q418" s="225"/>
    </row>
    <row r="419" spans="16:17" ht="14.25" customHeight="1" x14ac:dyDescent="0.3">
      <c r="P419" s="225"/>
      <c r="Q419" s="225"/>
    </row>
    <row r="420" spans="16:17" ht="14.25" customHeight="1" x14ac:dyDescent="0.3">
      <c r="P420" s="225"/>
      <c r="Q420" s="225"/>
    </row>
    <row r="421" spans="16:17" ht="14.25" customHeight="1" x14ac:dyDescent="0.3">
      <c r="P421" s="225"/>
      <c r="Q421" s="225"/>
    </row>
    <row r="422" spans="16:17" ht="14.25" customHeight="1" x14ac:dyDescent="0.3">
      <c r="P422" s="225"/>
      <c r="Q422" s="225"/>
    </row>
    <row r="423" spans="16:17" ht="14.25" customHeight="1" x14ac:dyDescent="0.3">
      <c r="P423" s="225"/>
      <c r="Q423" s="225"/>
    </row>
    <row r="424" spans="16:17" ht="14.25" customHeight="1" x14ac:dyDescent="0.3">
      <c r="P424" s="225"/>
      <c r="Q424" s="225"/>
    </row>
    <row r="425" spans="16:17" ht="14.25" customHeight="1" x14ac:dyDescent="0.3">
      <c r="P425" s="225"/>
      <c r="Q425" s="225"/>
    </row>
    <row r="426" spans="16:17" ht="14.25" customHeight="1" x14ac:dyDescent="0.3">
      <c r="P426" s="225"/>
      <c r="Q426" s="225"/>
    </row>
    <row r="427" spans="16:17" ht="14.25" customHeight="1" x14ac:dyDescent="0.3">
      <c r="P427" s="225"/>
      <c r="Q427" s="225"/>
    </row>
    <row r="428" spans="16:17" ht="14.25" customHeight="1" x14ac:dyDescent="0.3">
      <c r="P428" s="225"/>
      <c r="Q428" s="225"/>
    </row>
    <row r="429" spans="16:17" ht="14.25" customHeight="1" x14ac:dyDescent="0.3">
      <c r="P429" s="225"/>
      <c r="Q429" s="225"/>
    </row>
    <row r="430" spans="16:17" ht="14.25" customHeight="1" x14ac:dyDescent="0.3">
      <c r="P430" s="225"/>
      <c r="Q430" s="225"/>
    </row>
    <row r="431" spans="16:17" ht="14.25" customHeight="1" x14ac:dyDescent="0.3">
      <c r="P431" s="225"/>
      <c r="Q431" s="225"/>
    </row>
    <row r="432" spans="16:17" ht="14.25" customHeight="1" x14ac:dyDescent="0.3">
      <c r="P432" s="225"/>
      <c r="Q432" s="225"/>
    </row>
    <row r="433" spans="16:17" ht="14.25" customHeight="1" x14ac:dyDescent="0.3">
      <c r="P433" s="225"/>
      <c r="Q433" s="225"/>
    </row>
    <row r="434" spans="16:17" ht="14.25" customHeight="1" x14ac:dyDescent="0.3">
      <c r="P434" s="225"/>
      <c r="Q434" s="225"/>
    </row>
    <row r="435" spans="16:17" ht="14.25" customHeight="1" x14ac:dyDescent="0.3">
      <c r="P435" s="225"/>
      <c r="Q435" s="225"/>
    </row>
    <row r="436" spans="16:17" ht="14.25" customHeight="1" x14ac:dyDescent="0.3">
      <c r="P436" s="225"/>
      <c r="Q436" s="225"/>
    </row>
    <row r="437" spans="16:17" ht="14.25" customHeight="1" x14ac:dyDescent="0.3">
      <c r="P437" s="225"/>
      <c r="Q437" s="225"/>
    </row>
    <row r="438" spans="16:17" ht="14.25" customHeight="1" x14ac:dyDescent="0.3">
      <c r="P438" s="225"/>
      <c r="Q438" s="225"/>
    </row>
    <row r="439" spans="16:17" ht="14.25" customHeight="1" x14ac:dyDescent="0.3">
      <c r="P439" s="225"/>
      <c r="Q439" s="225"/>
    </row>
    <row r="440" spans="16:17" ht="14.25" customHeight="1" x14ac:dyDescent="0.3">
      <c r="P440" s="225"/>
      <c r="Q440" s="225"/>
    </row>
    <row r="441" spans="16:17" ht="14.25" customHeight="1" x14ac:dyDescent="0.3">
      <c r="P441" s="225"/>
      <c r="Q441" s="225"/>
    </row>
    <row r="442" spans="16:17" ht="14.25" customHeight="1" x14ac:dyDescent="0.3">
      <c r="P442" s="225"/>
      <c r="Q442" s="225"/>
    </row>
    <row r="443" spans="16:17" ht="14.25" customHeight="1" x14ac:dyDescent="0.3">
      <c r="P443" s="225"/>
      <c r="Q443" s="225"/>
    </row>
    <row r="444" spans="16:17" ht="14.25" customHeight="1" x14ac:dyDescent="0.3">
      <c r="P444" s="225"/>
      <c r="Q444" s="225"/>
    </row>
    <row r="445" spans="16:17" ht="14.25" customHeight="1" x14ac:dyDescent="0.3">
      <c r="P445" s="225"/>
      <c r="Q445" s="225"/>
    </row>
    <row r="446" spans="16:17" ht="14.25" customHeight="1" x14ac:dyDescent="0.3">
      <c r="P446" s="225"/>
      <c r="Q446" s="225"/>
    </row>
    <row r="447" spans="16:17" ht="14.25" customHeight="1" x14ac:dyDescent="0.3">
      <c r="P447" s="225"/>
      <c r="Q447" s="225"/>
    </row>
    <row r="448" spans="16:17" ht="14.25" customHeight="1" x14ac:dyDescent="0.3">
      <c r="P448" s="225"/>
      <c r="Q448" s="225"/>
    </row>
    <row r="449" spans="16:17" ht="14.25" customHeight="1" x14ac:dyDescent="0.3">
      <c r="P449" s="225"/>
      <c r="Q449" s="225"/>
    </row>
    <row r="450" spans="16:17" ht="14.25" customHeight="1" x14ac:dyDescent="0.3">
      <c r="P450" s="225"/>
      <c r="Q450" s="225"/>
    </row>
    <row r="451" spans="16:17" ht="14.25" customHeight="1" x14ac:dyDescent="0.3">
      <c r="P451" s="225"/>
      <c r="Q451" s="225"/>
    </row>
    <row r="452" spans="16:17" ht="14.25" customHeight="1" x14ac:dyDescent="0.3">
      <c r="P452" s="225"/>
      <c r="Q452" s="225"/>
    </row>
    <row r="453" spans="16:17" ht="14.25" customHeight="1" x14ac:dyDescent="0.3">
      <c r="P453" s="225"/>
      <c r="Q453" s="225"/>
    </row>
    <row r="454" spans="16:17" ht="14.25" customHeight="1" x14ac:dyDescent="0.3">
      <c r="P454" s="225"/>
      <c r="Q454" s="225"/>
    </row>
    <row r="455" spans="16:17" ht="14.25" customHeight="1" x14ac:dyDescent="0.3">
      <c r="P455" s="225"/>
      <c r="Q455" s="225"/>
    </row>
    <row r="456" spans="16:17" ht="14.25" customHeight="1" x14ac:dyDescent="0.3">
      <c r="P456" s="225"/>
      <c r="Q456" s="225"/>
    </row>
    <row r="457" spans="16:17" ht="14.25" customHeight="1" x14ac:dyDescent="0.3">
      <c r="P457" s="225"/>
      <c r="Q457" s="225"/>
    </row>
    <row r="458" spans="16:17" ht="14.25" customHeight="1" x14ac:dyDescent="0.3">
      <c r="P458" s="225"/>
      <c r="Q458" s="225"/>
    </row>
    <row r="459" spans="16:17" ht="14.25" customHeight="1" x14ac:dyDescent="0.3">
      <c r="P459" s="225"/>
      <c r="Q459" s="225"/>
    </row>
    <row r="460" spans="16:17" ht="14.25" customHeight="1" x14ac:dyDescent="0.3">
      <c r="P460" s="225"/>
      <c r="Q460" s="225"/>
    </row>
    <row r="461" spans="16:17" ht="14.25" customHeight="1" x14ac:dyDescent="0.3">
      <c r="P461" s="225"/>
      <c r="Q461" s="225"/>
    </row>
    <row r="462" spans="16:17" ht="14.25" customHeight="1" x14ac:dyDescent="0.3">
      <c r="P462" s="225"/>
      <c r="Q462" s="225"/>
    </row>
    <row r="463" spans="16:17" ht="14.25" customHeight="1" x14ac:dyDescent="0.3">
      <c r="P463" s="225"/>
      <c r="Q463" s="225"/>
    </row>
    <row r="464" spans="16:17" ht="14.25" customHeight="1" x14ac:dyDescent="0.3">
      <c r="P464" s="225"/>
      <c r="Q464" s="225"/>
    </row>
    <row r="465" spans="16:17" ht="14.25" customHeight="1" x14ac:dyDescent="0.3">
      <c r="P465" s="225"/>
      <c r="Q465" s="225"/>
    </row>
    <row r="466" spans="16:17" ht="14.25" customHeight="1" x14ac:dyDescent="0.3">
      <c r="P466" s="225"/>
      <c r="Q466" s="225"/>
    </row>
    <row r="467" spans="16:17" ht="14.25" customHeight="1" x14ac:dyDescent="0.3">
      <c r="P467" s="225"/>
      <c r="Q467" s="225"/>
    </row>
    <row r="468" spans="16:17" ht="14.25" customHeight="1" x14ac:dyDescent="0.3">
      <c r="P468" s="225"/>
      <c r="Q468" s="225"/>
    </row>
    <row r="469" spans="16:17" ht="14.25" customHeight="1" x14ac:dyDescent="0.3">
      <c r="P469" s="225"/>
      <c r="Q469" s="225"/>
    </row>
    <row r="470" spans="16:17" ht="14.25" customHeight="1" x14ac:dyDescent="0.3">
      <c r="P470" s="225"/>
      <c r="Q470" s="225"/>
    </row>
    <row r="471" spans="16:17" ht="14.25" customHeight="1" x14ac:dyDescent="0.3">
      <c r="P471" s="225"/>
      <c r="Q471" s="225"/>
    </row>
    <row r="472" spans="16:17" ht="14.25" customHeight="1" x14ac:dyDescent="0.3">
      <c r="P472" s="225"/>
      <c r="Q472" s="225"/>
    </row>
    <row r="473" spans="16:17" ht="14.25" customHeight="1" x14ac:dyDescent="0.3">
      <c r="P473" s="225"/>
      <c r="Q473" s="225"/>
    </row>
    <row r="474" spans="16:17" ht="14.25" customHeight="1" x14ac:dyDescent="0.3">
      <c r="P474" s="225"/>
      <c r="Q474" s="225"/>
    </row>
    <row r="475" spans="16:17" ht="14.25" customHeight="1" x14ac:dyDescent="0.3">
      <c r="P475" s="225"/>
      <c r="Q475" s="225"/>
    </row>
    <row r="476" spans="16:17" ht="14.25" customHeight="1" x14ac:dyDescent="0.3">
      <c r="P476" s="225"/>
      <c r="Q476" s="225"/>
    </row>
    <row r="477" spans="16:17" ht="14.25" customHeight="1" x14ac:dyDescent="0.3">
      <c r="P477" s="225"/>
      <c r="Q477" s="225"/>
    </row>
    <row r="478" spans="16:17" ht="14.25" customHeight="1" x14ac:dyDescent="0.3">
      <c r="P478" s="225"/>
      <c r="Q478" s="225"/>
    </row>
    <row r="479" spans="16:17" ht="14.25" customHeight="1" x14ac:dyDescent="0.3">
      <c r="P479" s="225"/>
      <c r="Q479" s="225"/>
    </row>
    <row r="480" spans="16:17" ht="14.25" customHeight="1" x14ac:dyDescent="0.3">
      <c r="P480" s="225"/>
      <c r="Q480" s="225"/>
    </row>
    <row r="481" spans="16:17" ht="14.25" customHeight="1" x14ac:dyDescent="0.3">
      <c r="P481" s="225"/>
      <c r="Q481" s="225"/>
    </row>
    <row r="482" spans="16:17" ht="14.25" customHeight="1" x14ac:dyDescent="0.3">
      <c r="P482" s="225"/>
      <c r="Q482" s="225"/>
    </row>
    <row r="483" spans="16:17" ht="14.25" customHeight="1" x14ac:dyDescent="0.3">
      <c r="P483" s="225"/>
      <c r="Q483" s="225"/>
    </row>
    <row r="484" spans="16:17" ht="14.25" customHeight="1" x14ac:dyDescent="0.3">
      <c r="P484" s="225"/>
      <c r="Q484" s="225"/>
    </row>
    <row r="485" spans="16:17" ht="14.25" customHeight="1" x14ac:dyDescent="0.3">
      <c r="P485" s="225"/>
      <c r="Q485" s="225"/>
    </row>
    <row r="486" spans="16:17" ht="14.25" customHeight="1" x14ac:dyDescent="0.3">
      <c r="P486" s="225"/>
      <c r="Q486" s="225"/>
    </row>
    <row r="487" spans="16:17" ht="14.25" customHeight="1" x14ac:dyDescent="0.3">
      <c r="P487" s="225"/>
      <c r="Q487" s="225"/>
    </row>
    <row r="488" spans="16:17" ht="14.25" customHeight="1" x14ac:dyDescent="0.3">
      <c r="P488" s="225"/>
      <c r="Q488" s="225"/>
    </row>
    <row r="489" spans="16:17" ht="14.25" customHeight="1" x14ac:dyDescent="0.3">
      <c r="P489" s="225"/>
      <c r="Q489" s="225"/>
    </row>
    <row r="490" spans="16:17" ht="14.25" customHeight="1" x14ac:dyDescent="0.3">
      <c r="P490" s="225"/>
      <c r="Q490" s="225"/>
    </row>
    <row r="491" spans="16:17" ht="14.25" customHeight="1" x14ac:dyDescent="0.3">
      <c r="P491" s="225"/>
      <c r="Q491" s="225"/>
    </row>
    <row r="492" spans="16:17" ht="14.25" customHeight="1" x14ac:dyDescent="0.3">
      <c r="P492" s="225"/>
      <c r="Q492" s="225"/>
    </row>
    <row r="493" spans="16:17" ht="14.25" customHeight="1" x14ac:dyDescent="0.3">
      <c r="P493" s="225"/>
      <c r="Q493" s="225"/>
    </row>
    <row r="494" spans="16:17" ht="14.25" customHeight="1" x14ac:dyDescent="0.3">
      <c r="P494" s="225"/>
      <c r="Q494" s="225"/>
    </row>
    <row r="495" spans="16:17" ht="14.25" customHeight="1" x14ac:dyDescent="0.3">
      <c r="P495" s="225"/>
      <c r="Q495" s="225"/>
    </row>
    <row r="496" spans="16:17" ht="14.25" customHeight="1" x14ac:dyDescent="0.3">
      <c r="P496" s="225"/>
      <c r="Q496" s="225"/>
    </row>
    <row r="497" spans="16:17" ht="14.25" customHeight="1" x14ac:dyDescent="0.3">
      <c r="P497" s="225"/>
      <c r="Q497" s="225"/>
    </row>
    <row r="498" spans="16:17" ht="14.25" customHeight="1" x14ac:dyDescent="0.3">
      <c r="P498" s="225"/>
      <c r="Q498" s="225"/>
    </row>
    <row r="499" spans="16:17" ht="14.25" customHeight="1" x14ac:dyDescent="0.3">
      <c r="P499" s="225"/>
      <c r="Q499" s="225"/>
    </row>
    <row r="500" spans="16:17" ht="14.25" customHeight="1" x14ac:dyDescent="0.3">
      <c r="P500" s="225"/>
      <c r="Q500" s="225"/>
    </row>
    <row r="501" spans="16:17" ht="14.25" customHeight="1" x14ac:dyDescent="0.3">
      <c r="P501" s="225"/>
      <c r="Q501" s="225"/>
    </row>
    <row r="502" spans="16:17" ht="14.25" customHeight="1" x14ac:dyDescent="0.3">
      <c r="P502" s="225"/>
      <c r="Q502" s="225"/>
    </row>
    <row r="503" spans="16:17" ht="14.25" customHeight="1" x14ac:dyDescent="0.3">
      <c r="P503" s="225"/>
      <c r="Q503" s="225"/>
    </row>
    <row r="504" spans="16:17" ht="14.25" customHeight="1" x14ac:dyDescent="0.3">
      <c r="P504" s="225"/>
      <c r="Q504" s="225"/>
    </row>
    <row r="505" spans="16:17" ht="14.25" customHeight="1" x14ac:dyDescent="0.3">
      <c r="P505" s="225"/>
      <c r="Q505" s="225"/>
    </row>
    <row r="506" spans="16:17" ht="14.25" customHeight="1" x14ac:dyDescent="0.3">
      <c r="P506" s="225"/>
      <c r="Q506" s="225"/>
    </row>
    <row r="507" spans="16:17" ht="14.25" customHeight="1" x14ac:dyDescent="0.3">
      <c r="P507" s="225"/>
      <c r="Q507" s="225"/>
    </row>
    <row r="508" spans="16:17" ht="14.25" customHeight="1" x14ac:dyDescent="0.3">
      <c r="P508" s="225"/>
      <c r="Q508" s="225"/>
    </row>
    <row r="509" spans="16:17" ht="14.25" customHeight="1" x14ac:dyDescent="0.3">
      <c r="P509" s="225"/>
      <c r="Q509" s="225"/>
    </row>
    <row r="510" spans="16:17" ht="14.25" customHeight="1" x14ac:dyDescent="0.3">
      <c r="P510" s="225"/>
      <c r="Q510" s="225"/>
    </row>
    <row r="511" spans="16:17" ht="14.25" customHeight="1" x14ac:dyDescent="0.3">
      <c r="P511" s="225"/>
      <c r="Q511" s="225"/>
    </row>
    <row r="512" spans="16:17" ht="14.25" customHeight="1" x14ac:dyDescent="0.3">
      <c r="P512" s="225"/>
      <c r="Q512" s="225"/>
    </row>
    <row r="513" spans="16:17" ht="14.25" customHeight="1" x14ac:dyDescent="0.3">
      <c r="P513" s="225"/>
      <c r="Q513" s="225"/>
    </row>
    <row r="514" spans="16:17" ht="14.25" customHeight="1" x14ac:dyDescent="0.3">
      <c r="P514" s="225"/>
      <c r="Q514" s="225"/>
    </row>
    <row r="515" spans="16:17" ht="14.25" customHeight="1" x14ac:dyDescent="0.3">
      <c r="P515" s="225"/>
      <c r="Q515" s="225"/>
    </row>
    <row r="516" spans="16:17" ht="14.25" customHeight="1" x14ac:dyDescent="0.3">
      <c r="P516" s="225"/>
      <c r="Q516" s="225"/>
    </row>
    <row r="517" spans="16:17" ht="14.25" customHeight="1" x14ac:dyDescent="0.3">
      <c r="P517" s="225"/>
      <c r="Q517" s="225"/>
    </row>
    <row r="518" spans="16:17" ht="14.25" customHeight="1" x14ac:dyDescent="0.3">
      <c r="P518" s="225"/>
      <c r="Q518" s="225"/>
    </row>
    <row r="519" spans="16:17" ht="14.25" customHeight="1" x14ac:dyDescent="0.3">
      <c r="P519" s="225"/>
      <c r="Q519" s="225"/>
    </row>
    <row r="520" spans="16:17" ht="14.25" customHeight="1" x14ac:dyDescent="0.3">
      <c r="P520" s="225"/>
      <c r="Q520" s="225"/>
    </row>
    <row r="521" spans="16:17" ht="14.25" customHeight="1" x14ac:dyDescent="0.3">
      <c r="P521" s="225"/>
      <c r="Q521" s="225"/>
    </row>
    <row r="522" spans="16:17" ht="14.25" customHeight="1" x14ac:dyDescent="0.3">
      <c r="P522" s="225"/>
      <c r="Q522" s="225"/>
    </row>
    <row r="523" spans="16:17" ht="14.25" customHeight="1" x14ac:dyDescent="0.3">
      <c r="P523" s="225"/>
      <c r="Q523" s="225"/>
    </row>
    <row r="524" spans="16:17" ht="14.25" customHeight="1" x14ac:dyDescent="0.3">
      <c r="P524" s="225"/>
      <c r="Q524" s="225"/>
    </row>
    <row r="525" spans="16:17" ht="14.25" customHeight="1" x14ac:dyDescent="0.3">
      <c r="P525" s="225"/>
      <c r="Q525" s="225"/>
    </row>
    <row r="526" spans="16:17" ht="14.25" customHeight="1" x14ac:dyDescent="0.3">
      <c r="P526" s="225"/>
      <c r="Q526" s="225"/>
    </row>
    <row r="527" spans="16:17" ht="14.25" customHeight="1" x14ac:dyDescent="0.3">
      <c r="P527" s="225"/>
      <c r="Q527" s="225"/>
    </row>
    <row r="528" spans="16:17" ht="14.25" customHeight="1" x14ac:dyDescent="0.3">
      <c r="P528" s="225"/>
      <c r="Q528" s="225"/>
    </row>
    <row r="529" spans="16:17" ht="14.25" customHeight="1" x14ac:dyDescent="0.3">
      <c r="P529" s="225"/>
      <c r="Q529" s="225"/>
    </row>
    <row r="530" spans="16:17" ht="14.25" customHeight="1" x14ac:dyDescent="0.3">
      <c r="P530" s="225"/>
      <c r="Q530" s="225"/>
    </row>
    <row r="531" spans="16:17" ht="14.25" customHeight="1" x14ac:dyDescent="0.3">
      <c r="P531" s="225"/>
      <c r="Q531" s="225"/>
    </row>
    <row r="532" spans="16:17" ht="14.25" customHeight="1" x14ac:dyDescent="0.3">
      <c r="P532" s="225"/>
      <c r="Q532" s="225"/>
    </row>
    <row r="533" spans="16:17" ht="14.25" customHeight="1" x14ac:dyDescent="0.3">
      <c r="P533" s="225"/>
      <c r="Q533" s="225"/>
    </row>
    <row r="534" spans="16:17" ht="14.25" customHeight="1" x14ac:dyDescent="0.3">
      <c r="P534" s="225"/>
      <c r="Q534" s="225"/>
    </row>
    <row r="535" spans="16:17" ht="14.25" customHeight="1" x14ac:dyDescent="0.3">
      <c r="P535" s="225"/>
      <c r="Q535" s="225"/>
    </row>
    <row r="536" spans="16:17" ht="14.25" customHeight="1" x14ac:dyDescent="0.3">
      <c r="P536" s="225"/>
      <c r="Q536" s="225"/>
    </row>
    <row r="537" spans="16:17" ht="14.25" customHeight="1" x14ac:dyDescent="0.3">
      <c r="P537" s="225"/>
      <c r="Q537" s="225"/>
    </row>
    <row r="538" spans="16:17" ht="14.25" customHeight="1" x14ac:dyDescent="0.3">
      <c r="P538" s="225"/>
      <c r="Q538" s="225"/>
    </row>
    <row r="539" spans="16:17" ht="14.25" customHeight="1" x14ac:dyDescent="0.3">
      <c r="P539" s="225"/>
      <c r="Q539" s="225"/>
    </row>
    <row r="540" spans="16:17" ht="14.25" customHeight="1" x14ac:dyDescent="0.3">
      <c r="P540" s="225"/>
      <c r="Q540" s="225"/>
    </row>
    <row r="541" spans="16:17" ht="14.25" customHeight="1" x14ac:dyDescent="0.3">
      <c r="P541" s="225"/>
      <c r="Q541" s="225"/>
    </row>
    <row r="542" spans="16:17" ht="14.25" customHeight="1" x14ac:dyDescent="0.3">
      <c r="P542" s="225"/>
      <c r="Q542" s="225"/>
    </row>
    <row r="543" spans="16:17" ht="14.25" customHeight="1" x14ac:dyDescent="0.3">
      <c r="P543" s="225"/>
      <c r="Q543" s="225"/>
    </row>
    <row r="544" spans="16:17" ht="14.25" customHeight="1" x14ac:dyDescent="0.3">
      <c r="P544" s="225"/>
      <c r="Q544" s="225"/>
    </row>
    <row r="545" spans="16:17" ht="14.25" customHeight="1" x14ac:dyDescent="0.3">
      <c r="P545" s="225"/>
      <c r="Q545" s="225"/>
    </row>
    <row r="546" spans="16:17" ht="14.25" customHeight="1" x14ac:dyDescent="0.3">
      <c r="P546" s="225"/>
      <c r="Q546" s="225"/>
    </row>
    <row r="547" spans="16:17" ht="14.25" customHeight="1" x14ac:dyDescent="0.3">
      <c r="P547" s="225"/>
      <c r="Q547" s="225"/>
    </row>
    <row r="548" spans="16:17" ht="14.25" customHeight="1" x14ac:dyDescent="0.3">
      <c r="P548" s="225"/>
      <c r="Q548" s="225"/>
    </row>
    <row r="549" spans="16:17" ht="14.25" customHeight="1" x14ac:dyDescent="0.3">
      <c r="P549" s="225"/>
      <c r="Q549" s="225"/>
    </row>
    <row r="550" spans="16:17" ht="14.25" customHeight="1" x14ac:dyDescent="0.3">
      <c r="P550" s="225"/>
      <c r="Q550" s="225"/>
    </row>
    <row r="551" spans="16:17" ht="14.25" customHeight="1" x14ac:dyDescent="0.3">
      <c r="P551" s="225"/>
      <c r="Q551" s="225"/>
    </row>
    <row r="552" spans="16:17" ht="14.25" customHeight="1" x14ac:dyDescent="0.3">
      <c r="P552" s="225"/>
      <c r="Q552" s="225"/>
    </row>
    <row r="553" spans="16:17" ht="14.25" customHeight="1" x14ac:dyDescent="0.3">
      <c r="P553" s="225"/>
      <c r="Q553" s="225"/>
    </row>
    <row r="554" spans="16:17" ht="14.25" customHeight="1" x14ac:dyDescent="0.3">
      <c r="P554" s="225"/>
      <c r="Q554" s="225"/>
    </row>
    <row r="555" spans="16:17" ht="14.25" customHeight="1" x14ac:dyDescent="0.3">
      <c r="P555" s="225"/>
      <c r="Q555" s="225"/>
    </row>
    <row r="556" spans="16:17" ht="14.25" customHeight="1" x14ac:dyDescent="0.3">
      <c r="P556" s="225"/>
      <c r="Q556" s="225"/>
    </row>
    <row r="557" spans="16:17" ht="14.25" customHeight="1" x14ac:dyDescent="0.3">
      <c r="P557" s="225"/>
      <c r="Q557" s="225"/>
    </row>
    <row r="558" spans="16:17" ht="14.25" customHeight="1" x14ac:dyDescent="0.3">
      <c r="P558" s="225"/>
      <c r="Q558" s="225"/>
    </row>
    <row r="559" spans="16:17" ht="14.25" customHeight="1" x14ac:dyDescent="0.3">
      <c r="P559" s="225"/>
      <c r="Q559" s="225"/>
    </row>
    <row r="560" spans="16:17" ht="14.25" customHeight="1" x14ac:dyDescent="0.3">
      <c r="P560" s="225"/>
      <c r="Q560" s="225"/>
    </row>
    <row r="561" spans="16:17" ht="14.25" customHeight="1" x14ac:dyDescent="0.3">
      <c r="P561" s="225"/>
      <c r="Q561" s="225"/>
    </row>
    <row r="562" spans="16:17" ht="14.25" customHeight="1" x14ac:dyDescent="0.3">
      <c r="P562" s="225"/>
      <c r="Q562" s="225"/>
    </row>
    <row r="563" spans="16:17" ht="14.25" customHeight="1" x14ac:dyDescent="0.3">
      <c r="P563" s="225"/>
      <c r="Q563" s="225"/>
    </row>
    <row r="564" spans="16:17" ht="14.25" customHeight="1" x14ac:dyDescent="0.3">
      <c r="P564" s="225"/>
      <c r="Q564" s="225"/>
    </row>
    <row r="565" spans="16:17" ht="14.25" customHeight="1" x14ac:dyDescent="0.3">
      <c r="P565" s="225"/>
      <c r="Q565" s="225"/>
    </row>
    <row r="566" spans="16:17" ht="14.25" customHeight="1" x14ac:dyDescent="0.3">
      <c r="P566" s="225"/>
      <c r="Q566" s="225"/>
    </row>
    <row r="567" spans="16:17" ht="14.25" customHeight="1" x14ac:dyDescent="0.3">
      <c r="P567" s="225"/>
      <c r="Q567" s="225"/>
    </row>
    <row r="568" spans="16:17" ht="14.25" customHeight="1" x14ac:dyDescent="0.3">
      <c r="P568" s="225"/>
      <c r="Q568" s="225"/>
    </row>
    <row r="569" spans="16:17" ht="14.25" customHeight="1" x14ac:dyDescent="0.3">
      <c r="P569" s="225"/>
      <c r="Q569" s="225"/>
    </row>
    <row r="570" spans="16:17" ht="14.25" customHeight="1" x14ac:dyDescent="0.3">
      <c r="P570" s="225"/>
      <c r="Q570" s="225"/>
    </row>
    <row r="571" spans="16:17" ht="14.25" customHeight="1" x14ac:dyDescent="0.3">
      <c r="P571" s="225"/>
      <c r="Q571" s="225"/>
    </row>
    <row r="572" spans="16:17" ht="14.25" customHeight="1" x14ac:dyDescent="0.3">
      <c r="P572" s="225"/>
      <c r="Q572" s="225"/>
    </row>
    <row r="573" spans="16:17" ht="14.25" customHeight="1" x14ac:dyDescent="0.3">
      <c r="P573" s="225"/>
      <c r="Q573" s="225"/>
    </row>
    <row r="574" spans="16:17" ht="14.25" customHeight="1" x14ac:dyDescent="0.3">
      <c r="P574" s="225"/>
      <c r="Q574" s="225"/>
    </row>
    <row r="575" spans="16:17" ht="14.25" customHeight="1" x14ac:dyDescent="0.3">
      <c r="P575" s="225"/>
      <c r="Q575" s="225"/>
    </row>
    <row r="576" spans="16:17" ht="14.25" customHeight="1" x14ac:dyDescent="0.3">
      <c r="P576" s="225"/>
      <c r="Q576" s="225"/>
    </row>
    <row r="577" spans="16:17" ht="14.25" customHeight="1" x14ac:dyDescent="0.3">
      <c r="P577" s="225"/>
      <c r="Q577" s="225"/>
    </row>
    <row r="578" spans="16:17" ht="14.25" customHeight="1" x14ac:dyDescent="0.3">
      <c r="P578" s="225"/>
      <c r="Q578" s="225"/>
    </row>
    <row r="579" spans="16:17" ht="14.25" customHeight="1" x14ac:dyDescent="0.3">
      <c r="P579" s="225"/>
      <c r="Q579" s="225"/>
    </row>
    <row r="580" spans="16:17" ht="14.25" customHeight="1" x14ac:dyDescent="0.3">
      <c r="P580" s="225"/>
      <c r="Q580" s="225"/>
    </row>
    <row r="581" spans="16:17" ht="14.25" customHeight="1" x14ac:dyDescent="0.3">
      <c r="P581" s="225"/>
      <c r="Q581" s="225"/>
    </row>
    <row r="582" spans="16:17" ht="14.25" customHeight="1" x14ac:dyDescent="0.3">
      <c r="P582" s="225"/>
      <c r="Q582" s="225"/>
    </row>
    <row r="583" spans="16:17" ht="14.25" customHeight="1" x14ac:dyDescent="0.3">
      <c r="P583" s="225"/>
      <c r="Q583" s="225"/>
    </row>
    <row r="584" spans="16:17" ht="14.25" customHeight="1" x14ac:dyDescent="0.3">
      <c r="P584" s="225"/>
      <c r="Q584" s="225"/>
    </row>
    <row r="585" spans="16:17" ht="14.25" customHeight="1" x14ac:dyDescent="0.3">
      <c r="P585" s="225"/>
      <c r="Q585" s="225"/>
    </row>
    <row r="586" spans="16:17" ht="14.25" customHeight="1" x14ac:dyDescent="0.3">
      <c r="P586" s="225"/>
      <c r="Q586" s="225"/>
    </row>
    <row r="587" spans="16:17" ht="14.25" customHeight="1" x14ac:dyDescent="0.3">
      <c r="P587" s="225"/>
      <c r="Q587" s="225"/>
    </row>
    <row r="588" spans="16:17" ht="14.25" customHeight="1" x14ac:dyDescent="0.3">
      <c r="P588" s="225"/>
      <c r="Q588" s="225"/>
    </row>
    <row r="589" spans="16:17" ht="14.25" customHeight="1" x14ac:dyDescent="0.3">
      <c r="P589" s="225"/>
      <c r="Q589" s="225"/>
    </row>
    <row r="590" spans="16:17" ht="14.25" customHeight="1" x14ac:dyDescent="0.3">
      <c r="P590" s="225"/>
      <c r="Q590" s="225"/>
    </row>
    <row r="591" spans="16:17" ht="14.25" customHeight="1" x14ac:dyDescent="0.3">
      <c r="P591" s="225"/>
      <c r="Q591" s="225"/>
    </row>
    <row r="592" spans="16:17" ht="14.25" customHeight="1" x14ac:dyDescent="0.3">
      <c r="P592" s="225"/>
      <c r="Q592" s="225"/>
    </row>
    <row r="593" spans="16:17" ht="14.25" customHeight="1" x14ac:dyDescent="0.3">
      <c r="P593" s="225"/>
      <c r="Q593" s="225"/>
    </row>
    <row r="594" spans="16:17" ht="14.25" customHeight="1" x14ac:dyDescent="0.3">
      <c r="P594" s="225"/>
      <c r="Q594" s="225"/>
    </row>
    <row r="595" spans="16:17" ht="14.25" customHeight="1" x14ac:dyDescent="0.3">
      <c r="P595" s="225"/>
      <c r="Q595" s="225"/>
    </row>
    <row r="596" spans="16:17" ht="14.25" customHeight="1" x14ac:dyDescent="0.3">
      <c r="P596" s="225"/>
      <c r="Q596" s="225"/>
    </row>
    <row r="597" spans="16:17" ht="14.25" customHeight="1" x14ac:dyDescent="0.3">
      <c r="P597" s="225"/>
      <c r="Q597" s="225"/>
    </row>
    <row r="598" spans="16:17" ht="14.25" customHeight="1" x14ac:dyDescent="0.3">
      <c r="P598" s="225"/>
      <c r="Q598" s="225"/>
    </row>
    <row r="599" spans="16:17" ht="14.25" customHeight="1" x14ac:dyDescent="0.3">
      <c r="P599" s="225"/>
      <c r="Q599" s="225"/>
    </row>
    <row r="600" spans="16:17" ht="14.25" customHeight="1" x14ac:dyDescent="0.3">
      <c r="P600" s="225"/>
      <c r="Q600" s="225"/>
    </row>
    <row r="601" spans="16:17" ht="14.25" customHeight="1" x14ac:dyDescent="0.3">
      <c r="P601" s="225"/>
      <c r="Q601" s="225"/>
    </row>
    <row r="602" spans="16:17" ht="14.25" customHeight="1" x14ac:dyDescent="0.3">
      <c r="P602" s="225"/>
      <c r="Q602" s="225"/>
    </row>
    <row r="603" spans="16:17" ht="14.25" customHeight="1" x14ac:dyDescent="0.3">
      <c r="P603" s="225"/>
      <c r="Q603" s="225"/>
    </row>
    <row r="604" spans="16:17" ht="14.25" customHeight="1" x14ac:dyDescent="0.3">
      <c r="P604" s="225"/>
      <c r="Q604" s="225"/>
    </row>
    <row r="605" spans="16:17" ht="14.25" customHeight="1" x14ac:dyDescent="0.3">
      <c r="P605" s="225"/>
      <c r="Q605" s="225"/>
    </row>
    <row r="606" spans="16:17" ht="14.25" customHeight="1" x14ac:dyDescent="0.3">
      <c r="P606" s="225"/>
      <c r="Q606" s="225"/>
    </row>
    <row r="607" spans="16:17" ht="14.25" customHeight="1" x14ac:dyDescent="0.3">
      <c r="P607" s="225"/>
      <c r="Q607" s="225"/>
    </row>
    <row r="608" spans="16:17" ht="14.25" customHeight="1" x14ac:dyDescent="0.3">
      <c r="P608" s="225"/>
      <c r="Q608" s="225"/>
    </row>
    <row r="609" spans="16:17" ht="14.25" customHeight="1" x14ac:dyDescent="0.3">
      <c r="P609" s="225"/>
      <c r="Q609" s="225"/>
    </row>
    <row r="610" spans="16:17" ht="14.25" customHeight="1" x14ac:dyDescent="0.3">
      <c r="P610" s="225"/>
      <c r="Q610" s="225"/>
    </row>
    <row r="611" spans="16:17" ht="14.25" customHeight="1" x14ac:dyDescent="0.3">
      <c r="P611" s="225"/>
      <c r="Q611" s="225"/>
    </row>
    <row r="612" spans="16:17" ht="14.25" customHeight="1" x14ac:dyDescent="0.3">
      <c r="P612" s="225"/>
      <c r="Q612" s="225"/>
    </row>
    <row r="613" spans="16:17" ht="14.25" customHeight="1" x14ac:dyDescent="0.3">
      <c r="P613" s="225"/>
      <c r="Q613" s="225"/>
    </row>
    <row r="614" spans="16:17" ht="14.25" customHeight="1" x14ac:dyDescent="0.3">
      <c r="P614" s="225"/>
      <c r="Q614" s="225"/>
    </row>
    <row r="615" spans="16:17" ht="14.25" customHeight="1" x14ac:dyDescent="0.3">
      <c r="P615" s="225"/>
      <c r="Q615" s="225"/>
    </row>
    <row r="616" spans="16:17" ht="14.25" customHeight="1" x14ac:dyDescent="0.3">
      <c r="P616" s="225"/>
      <c r="Q616" s="225"/>
    </row>
    <row r="617" spans="16:17" ht="14.25" customHeight="1" x14ac:dyDescent="0.3">
      <c r="P617" s="225"/>
      <c r="Q617" s="225"/>
    </row>
    <row r="618" spans="16:17" ht="14.25" customHeight="1" x14ac:dyDescent="0.3">
      <c r="P618" s="225"/>
      <c r="Q618" s="225"/>
    </row>
    <row r="619" spans="16:17" ht="14.25" customHeight="1" x14ac:dyDescent="0.3">
      <c r="P619" s="225"/>
      <c r="Q619" s="225"/>
    </row>
    <row r="620" spans="16:17" ht="14.25" customHeight="1" x14ac:dyDescent="0.3">
      <c r="P620" s="225"/>
      <c r="Q620" s="225"/>
    </row>
    <row r="621" spans="16:17" ht="14.25" customHeight="1" x14ac:dyDescent="0.3">
      <c r="P621" s="225"/>
      <c r="Q621" s="225"/>
    </row>
    <row r="622" spans="16:17" ht="14.25" customHeight="1" x14ac:dyDescent="0.3">
      <c r="P622" s="225"/>
      <c r="Q622" s="225"/>
    </row>
    <row r="623" spans="16:17" ht="14.25" customHeight="1" x14ac:dyDescent="0.3">
      <c r="P623" s="225"/>
      <c r="Q623" s="225"/>
    </row>
    <row r="624" spans="16:17" ht="14.25" customHeight="1" x14ac:dyDescent="0.3">
      <c r="P624" s="225"/>
      <c r="Q624" s="225"/>
    </row>
    <row r="625" spans="16:17" ht="14.25" customHeight="1" x14ac:dyDescent="0.3">
      <c r="P625" s="225"/>
      <c r="Q625" s="225"/>
    </row>
    <row r="626" spans="16:17" ht="14.25" customHeight="1" x14ac:dyDescent="0.3">
      <c r="P626" s="225"/>
      <c r="Q626" s="225"/>
    </row>
    <row r="627" spans="16:17" ht="14.25" customHeight="1" x14ac:dyDescent="0.3">
      <c r="P627" s="225"/>
      <c r="Q627" s="225"/>
    </row>
    <row r="628" spans="16:17" ht="14.25" customHeight="1" x14ac:dyDescent="0.3">
      <c r="P628" s="225"/>
      <c r="Q628" s="225"/>
    </row>
    <row r="629" spans="16:17" ht="14.25" customHeight="1" x14ac:dyDescent="0.3">
      <c r="P629" s="225"/>
      <c r="Q629" s="225"/>
    </row>
    <row r="630" spans="16:17" ht="14.25" customHeight="1" x14ac:dyDescent="0.3">
      <c r="P630" s="225"/>
      <c r="Q630" s="225"/>
    </row>
    <row r="631" spans="16:17" ht="14.25" customHeight="1" x14ac:dyDescent="0.3">
      <c r="P631" s="225"/>
      <c r="Q631" s="225"/>
    </row>
    <row r="632" spans="16:17" ht="14.25" customHeight="1" x14ac:dyDescent="0.3">
      <c r="P632" s="225"/>
      <c r="Q632" s="225"/>
    </row>
    <row r="633" spans="16:17" ht="14.25" customHeight="1" x14ac:dyDescent="0.3">
      <c r="P633" s="225"/>
      <c r="Q633" s="225"/>
    </row>
    <row r="634" spans="16:17" ht="14.25" customHeight="1" x14ac:dyDescent="0.3">
      <c r="P634" s="225"/>
      <c r="Q634" s="225"/>
    </row>
    <row r="635" spans="16:17" ht="14.25" customHeight="1" x14ac:dyDescent="0.3">
      <c r="P635" s="225"/>
      <c r="Q635" s="225"/>
    </row>
    <row r="636" spans="16:17" ht="14.25" customHeight="1" x14ac:dyDescent="0.3">
      <c r="P636" s="225"/>
      <c r="Q636" s="225"/>
    </row>
    <row r="637" spans="16:17" ht="14.25" customHeight="1" x14ac:dyDescent="0.3">
      <c r="P637" s="225"/>
      <c r="Q637" s="225"/>
    </row>
    <row r="638" spans="16:17" ht="14.25" customHeight="1" x14ac:dyDescent="0.3">
      <c r="P638" s="225"/>
      <c r="Q638" s="225"/>
    </row>
    <row r="639" spans="16:17" ht="14.25" customHeight="1" x14ac:dyDescent="0.3">
      <c r="P639" s="225"/>
      <c r="Q639" s="225"/>
    </row>
    <row r="640" spans="16:17" ht="14.25" customHeight="1" x14ac:dyDescent="0.3">
      <c r="P640" s="225"/>
      <c r="Q640" s="225"/>
    </row>
    <row r="641" spans="16:17" ht="14.25" customHeight="1" x14ac:dyDescent="0.3">
      <c r="P641" s="225"/>
      <c r="Q641" s="225"/>
    </row>
    <row r="642" spans="16:17" ht="14.25" customHeight="1" x14ac:dyDescent="0.3">
      <c r="P642" s="225"/>
      <c r="Q642" s="225"/>
    </row>
    <row r="643" spans="16:17" ht="14.25" customHeight="1" x14ac:dyDescent="0.3">
      <c r="P643" s="225"/>
      <c r="Q643" s="225"/>
    </row>
    <row r="644" spans="16:17" ht="14.25" customHeight="1" x14ac:dyDescent="0.3">
      <c r="P644" s="225"/>
      <c r="Q644" s="225"/>
    </row>
    <row r="645" spans="16:17" ht="14.25" customHeight="1" x14ac:dyDescent="0.3">
      <c r="P645" s="225"/>
      <c r="Q645" s="225"/>
    </row>
    <row r="646" spans="16:17" ht="14.25" customHeight="1" x14ac:dyDescent="0.3">
      <c r="P646" s="225"/>
      <c r="Q646" s="225"/>
    </row>
    <row r="647" spans="16:17" ht="14.25" customHeight="1" x14ac:dyDescent="0.3">
      <c r="P647" s="225"/>
      <c r="Q647" s="225"/>
    </row>
    <row r="648" spans="16:17" ht="14.25" customHeight="1" x14ac:dyDescent="0.3">
      <c r="P648" s="225"/>
      <c r="Q648" s="225"/>
    </row>
    <row r="649" spans="16:17" ht="14.25" customHeight="1" x14ac:dyDescent="0.3">
      <c r="P649" s="225"/>
      <c r="Q649" s="225"/>
    </row>
    <row r="650" spans="16:17" ht="14.25" customHeight="1" x14ac:dyDescent="0.3">
      <c r="P650" s="225"/>
      <c r="Q650" s="225"/>
    </row>
    <row r="651" spans="16:17" ht="14.25" customHeight="1" x14ac:dyDescent="0.3">
      <c r="P651" s="225"/>
      <c r="Q651" s="225"/>
    </row>
    <row r="652" spans="16:17" ht="14.25" customHeight="1" x14ac:dyDescent="0.3">
      <c r="P652" s="225"/>
      <c r="Q652" s="225"/>
    </row>
    <row r="653" spans="16:17" ht="14.25" customHeight="1" x14ac:dyDescent="0.3">
      <c r="P653" s="225"/>
      <c r="Q653" s="225"/>
    </row>
    <row r="654" spans="16:17" ht="14.25" customHeight="1" x14ac:dyDescent="0.3">
      <c r="P654" s="225"/>
      <c r="Q654" s="225"/>
    </row>
    <row r="655" spans="16:17" ht="14.25" customHeight="1" x14ac:dyDescent="0.3">
      <c r="P655" s="225"/>
      <c r="Q655" s="225"/>
    </row>
    <row r="656" spans="16:17" ht="14.25" customHeight="1" x14ac:dyDescent="0.3">
      <c r="P656" s="225"/>
      <c r="Q656" s="225"/>
    </row>
    <row r="657" spans="16:17" ht="14.25" customHeight="1" x14ac:dyDescent="0.3">
      <c r="P657" s="225"/>
      <c r="Q657" s="225"/>
    </row>
    <row r="658" spans="16:17" ht="14.25" customHeight="1" x14ac:dyDescent="0.3">
      <c r="P658" s="225"/>
      <c r="Q658" s="225"/>
    </row>
    <row r="659" spans="16:17" ht="14.25" customHeight="1" x14ac:dyDescent="0.3">
      <c r="P659" s="225"/>
      <c r="Q659" s="225"/>
    </row>
    <row r="660" spans="16:17" ht="14.25" customHeight="1" x14ac:dyDescent="0.3">
      <c r="P660" s="225"/>
      <c r="Q660" s="225"/>
    </row>
    <row r="661" spans="16:17" ht="14.25" customHeight="1" x14ac:dyDescent="0.3">
      <c r="P661" s="225"/>
      <c r="Q661" s="225"/>
    </row>
    <row r="662" spans="16:17" ht="14.25" customHeight="1" x14ac:dyDescent="0.3">
      <c r="P662" s="225"/>
      <c r="Q662" s="225"/>
    </row>
    <row r="663" spans="16:17" ht="14.25" customHeight="1" x14ac:dyDescent="0.3">
      <c r="P663" s="225"/>
      <c r="Q663" s="225"/>
    </row>
    <row r="664" spans="16:17" ht="14.25" customHeight="1" x14ac:dyDescent="0.3">
      <c r="P664" s="225"/>
      <c r="Q664" s="225"/>
    </row>
    <row r="665" spans="16:17" ht="14.25" customHeight="1" x14ac:dyDescent="0.3">
      <c r="P665" s="225"/>
      <c r="Q665" s="225"/>
    </row>
    <row r="666" spans="16:17" ht="14.25" customHeight="1" x14ac:dyDescent="0.3">
      <c r="P666" s="225"/>
      <c r="Q666" s="225"/>
    </row>
    <row r="667" spans="16:17" ht="14.25" customHeight="1" x14ac:dyDescent="0.3">
      <c r="P667" s="225"/>
      <c r="Q667" s="225"/>
    </row>
    <row r="668" spans="16:17" ht="14.25" customHeight="1" x14ac:dyDescent="0.3">
      <c r="P668" s="225"/>
      <c r="Q668" s="225"/>
    </row>
    <row r="669" spans="16:17" ht="14.25" customHeight="1" x14ac:dyDescent="0.3">
      <c r="P669" s="225"/>
      <c r="Q669" s="225"/>
    </row>
    <row r="670" spans="16:17" ht="14.25" customHeight="1" x14ac:dyDescent="0.3">
      <c r="P670" s="225"/>
      <c r="Q670" s="225"/>
    </row>
    <row r="671" spans="16:17" ht="14.25" customHeight="1" x14ac:dyDescent="0.3">
      <c r="P671" s="225"/>
      <c r="Q671" s="225"/>
    </row>
    <row r="672" spans="16:17" ht="14.25" customHeight="1" x14ac:dyDescent="0.3">
      <c r="P672" s="225"/>
      <c r="Q672" s="225"/>
    </row>
    <row r="673" spans="16:17" ht="14.25" customHeight="1" x14ac:dyDescent="0.3">
      <c r="P673" s="225"/>
      <c r="Q673" s="225"/>
    </row>
    <row r="674" spans="16:17" ht="14.25" customHeight="1" x14ac:dyDescent="0.3">
      <c r="P674" s="225"/>
      <c r="Q674" s="225"/>
    </row>
    <row r="675" spans="16:17" ht="14.25" customHeight="1" x14ac:dyDescent="0.3">
      <c r="P675" s="225"/>
      <c r="Q675" s="225"/>
    </row>
    <row r="676" spans="16:17" ht="14.25" customHeight="1" x14ac:dyDescent="0.3">
      <c r="P676" s="225"/>
      <c r="Q676" s="225"/>
    </row>
    <row r="677" spans="16:17" ht="14.25" customHeight="1" x14ac:dyDescent="0.3">
      <c r="P677" s="225"/>
      <c r="Q677" s="225"/>
    </row>
    <row r="678" spans="16:17" ht="14.25" customHeight="1" x14ac:dyDescent="0.3">
      <c r="P678" s="225"/>
      <c r="Q678" s="225"/>
    </row>
    <row r="679" spans="16:17" ht="14.25" customHeight="1" x14ac:dyDescent="0.3">
      <c r="P679" s="225"/>
      <c r="Q679" s="225"/>
    </row>
    <row r="680" spans="16:17" ht="14.25" customHeight="1" x14ac:dyDescent="0.3">
      <c r="P680" s="225"/>
      <c r="Q680" s="225"/>
    </row>
    <row r="681" spans="16:17" ht="14.25" customHeight="1" x14ac:dyDescent="0.3">
      <c r="P681" s="225"/>
      <c r="Q681" s="225"/>
    </row>
    <row r="682" spans="16:17" ht="14.25" customHeight="1" x14ac:dyDescent="0.3">
      <c r="P682" s="225"/>
      <c r="Q682" s="225"/>
    </row>
    <row r="683" spans="16:17" ht="14.25" customHeight="1" x14ac:dyDescent="0.3">
      <c r="P683" s="225"/>
      <c r="Q683" s="225"/>
    </row>
    <row r="684" spans="16:17" ht="14.25" customHeight="1" x14ac:dyDescent="0.3">
      <c r="P684" s="225"/>
      <c r="Q684" s="225"/>
    </row>
    <row r="685" spans="16:17" ht="14.25" customHeight="1" x14ac:dyDescent="0.3">
      <c r="P685" s="225"/>
      <c r="Q685" s="225"/>
    </row>
    <row r="686" spans="16:17" ht="14.25" customHeight="1" x14ac:dyDescent="0.3">
      <c r="P686" s="225"/>
      <c r="Q686" s="225"/>
    </row>
    <row r="687" spans="16:17" ht="14.25" customHeight="1" x14ac:dyDescent="0.3">
      <c r="P687" s="225"/>
      <c r="Q687" s="225"/>
    </row>
    <row r="688" spans="16:17" ht="14.25" customHeight="1" x14ac:dyDescent="0.3">
      <c r="P688" s="225"/>
      <c r="Q688" s="225"/>
    </row>
    <row r="689" spans="16:17" ht="14.25" customHeight="1" x14ac:dyDescent="0.3">
      <c r="P689" s="225"/>
      <c r="Q689" s="225"/>
    </row>
    <row r="690" spans="16:17" ht="14.25" customHeight="1" x14ac:dyDescent="0.3">
      <c r="P690" s="225"/>
      <c r="Q690" s="225"/>
    </row>
    <row r="691" spans="16:17" ht="14.25" customHeight="1" x14ac:dyDescent="0.3">
      <c r="P691" s="225"/>
      <c r="Q691" s="225"/>
    </row>
    <row r="692" spans="16:17" ht="14.25" customHeight="1" x14ac:dyDescent="0.3">
      <c r="P692" s="225"/>
      <c r="Q692" s="225"/>
    </row>
    <row r="693" spans="16:17" ht="14.25" customHeight="1" x14ac:dyDescent="0.3">
      <c r="P693" s="225"/>
      <c r="Q693" s="225"/>
    </row>
    <row r="694" spans="16:17" ht="14.25" customHeight="1" x14ac:dyDescent="0.3">
      <c r="P694" s="225"/>
      <c r="Q694" s="225"/>
    </row>
    <row r="695" spans="16:17" ht="14.25" customHeight="1" x14ac:dyDescent="0.3">
      <c r="P695" s="225"/>
      <c r="Q695" s="225"/>
    </row>
    <row r="696" spans="16:17" ht="14.25" customHeight="1" x14ac:dyDescent="0.3">
      <c r="P696" s="225"/>
      <c r="Q696" s="225"/>
    </row>
    <row r="697" spans="16:17" ht="14.25" customHeight="1" x14ac:dyDescent="0.3">
      <c r="P697" s="225"/>
      <c r="Q697" s="225"/>
    </row>
    <row r="698" spans="16:17" ht="14.25" customHeight="1" x14ac:dyDescent="0.3">
      <c r="P698" s="225"/>
      <c r="Q698" s="225"/>
    </row>
    <row r="699" spans="16:17" ht="14.25" customHeight="1" x14ac:dyDescent="0.3">
      <c r="P699" s="225"/>
      <c r="Q699" s="225"/>
    </row>
    <row r="700" spans="16:17" ht="14.25" customHeight="1" x14ac:dyDescent="0.3">
      <c r="P700" s="225"/>
      <c r="Q700" s="225"/>
    </row>
    <row r="701" spans="16:17" ht="14.25" customHeight="1" x14ac:dyDescent="0.3">
      <c r="P701" s="225"/>
      <c r="Q701" s="225"/>
    </row>
    <row r="702" spans="16:17" ht="14.25" customHeight="1" x14ac:dyDescent="0.3">
      <c r="P702" s="225"/>
      <c r="Q702" s="225"/>
    </row>
    <row r="703" spans="16:17" ht="14.25" customHeight="1" x14ac:dyDescent="0.3">
      <c r="P703" s="225"/>
      <c r="Q703" s="225"/>
    </row>
    <row r="704" spans="16:17" ht="14.25" customHeight="1" x14ac:dyDescent="0.3">
      <c r="P704" s="225"/>
      <c r="Q704" s="225"/>
    </row>
    <row r="705" spans="16:17" ht="14.25" customHeight="1" x14ac:dyDescent="0.3">
      <c r="P705" s="225"/>
      <c r="Q705" s="225"/>
    </row>
    <row r="706" spans="16:17" ht="14.25" customHeight="1" x14ac:dyDescent="0.3">
      <c r="P706" s="225"/>
      <c r="Q706" s="225"/>
    </row>
    <row r="707" spans="16:17" ht="14.25" customHeight="1" x14ac:dyDescent="0.3">
      <c r="P707" s="225"/>
      <c r="Q707" s="225"/>
    </row>
    <row r="708" spans="16:17" ht="14.25" customHeight="1" x14ac:dyDescent="0.3">
      <c r="P708" s="225"/>
      <c r="Q708" s="225"/>
    </row>
    <row r="709" spans="16:17" ht="14.25" customHeight="1" x14ac:dyDescent="0.3">
      <c r="P709" s="225"/>
      <c r="Q709" s="225"/>
    </row>
    <row r="710" spans="16:17" ht="14.25" customHeight="1" x14ac:dyDescent="0.3">
      <c r="P710" s="225"/>
      <c r="Q710" s="225"/>
    </row>
    <row r="711" spans="16:17" ht="14.25" customHeight="1" x14ac:dyDescent="0.3">
      <c r="P711" s="225"/>
      <c r="Q711" s="225"/>
    </row>
    <row r="712" spans="16:17" ht="14.25" customHeight="1" x14ac:dyDescent="0.3">
      <c r="P712" s="225"/>
      <c r="Q712" s="225"/>
    </row>
    <row r="713" spans="16:17" ht="14.25" customHeight="1" x14ac:dyDescent="0.3">
      <c r="P713" s="225"/>
      <c r="Q713" s="225"/>
    </row>
    <row r="714" spans="16:17" ht="14.25" customHeight="1" x14ac:dyDescent="0.3">
      <c r="P714" s="225"/>
      <c r="Q714" s="225"/>
    </row>
    <row r="715" spans="16:17" ht="14.25" customHeight="1" x14ac:dyDescent="0.3">
      <c r="P715" s="225"/>
      <c r="Q715" s="225"/>
    </row>
    <row r="716" spans="16:17" ht="14.25" customHeight="1" x14ac:dyDescent="0.3">
      <c r="P716" s="225"/>
      <c r="Q716" s="225"/>
    </row>
    <row r="717" spans="16:17" ht="14.25" customHeight="1" x14ac:dyDescent="0.3">
      <c r="P717" s="225"/>
      <c r="Q717" s="225"/>
    </row>
    <row r="718" spans="16:17" ht="14.25" customHeight="1" x14ac:dyDescent="0.3">
      <c r="P718" s="225"/>
      <c r="Q718" s="225"/>
    </row>
    <row r="719" spans="16:17" ht="14.25" customHeight="1" x14ac:dyDescent="0.3">
      <c r="P719" s="225"/>
      <c r="Q719" s="225"/>
    </row>
    <row r="720" spans="16:17" ht="14.25" customHeight="1" x14ac:dyDescent="0.3">
      <c r="P720" s="225"/>
      <c r="Q720" s="225"/>
    </row>
    <row r="721" spans="16:17" ht="14.25" customHeight="1" x14ac:dyDescent="0.3">
      <c r="P721" s="225"/>
      <c r="Q721" s="225"/>
    </row>
    <row r="722" spans="16:17" ht="14.25" customHeight="1" x14ac:dyDescent="0.3">
      <c r="P722" s="225"/>
      <c r="Q722" s="225"/>
    </row>
    <row r="723" spans="16:17" ht="14.25" customHeight="1" x14ac:dyDescent="0.3">
      <c r="P723" s="225"/>
      <c r="Q723" s="225"/>
    </row>
    <row r="724" spans="16:17" ht="14.25" customHeight="1" x14ac:dyDescent="0.3">
      <c r="P724" s="225"/>
      <c r="Q724" s="225"/>
    </row>
    <row r="725" spans="16:17" ht="14.25" customHeight="1" x14ac:dyDescent="0.3">
      <c r="P725" s="225"/>
      <c r="Q725" s="225"/>
    </row>
    <row r="726" spans="16:17" ht="14.25" customHeight="1" x14ac:dyDescent="0.3">
      <c r="P726" s="225"/>
      <c r="Q726" s="225"/>
    </row>
    <row r="727" spans="16:17" ht="14.25" customHeight="1" x14ac:dyDescent="0.3">
      <c r="P727" s="225"/>
      <c r="Q727" s="225"/>
    </row>
    <row r="728" spans="16:17" ht="14.25" customHeight="1" x14ac:dyDescent="0.3">
      <c r="P728" s="225"/>
      <c r="Q728" s="225"/>
    </row>
    <row r="729" spans="16:17" ht="14.25" customHeight="1" x14ac:dyDescent="0.3">
      <c r="P729" s="225"/>
      <c r="Q729" s="225"/>
    </row>
    <row r="730" spans="16:17" ht="14.25" customHeight="1" x14ac:dyDescent="0.3">
      <c r="P730" s="225"/>
      <c r="Q730" s="225"/>
    </row>
    <row r="731" spans="16:17" ht="14.25" customHeight="1" x14ac:dyDescent="0.3">
      <c r="P731" s="225"/>
      <c r="Q731" s="225"/>
    </row>
    <row r="732" spans="16:17" ht="14.25" customHeight="1" x14ac:dyDescent="0.3">
      <c r="P732" s="225"/>
      <c r="Q732" s="225"/>
    </row>
    <row r="733" spans="16:17" ht="14.25" customHeight="1" x14ac:dyDescent="0.3">
      <c r="P733" s="225"/>
      <c r="Q733" s="225"/>
    </row>
    <row r="734" spans="16:17" ht="14.25" customHeight="1" x14ac:dyDescent="0.3">
      <c r="P734" s="225"/>
      <c r="Q734" s="225"/>
    </row>
    <row r="735" spans="16:17" ht="14.25" customHeight="1" x14ac:dyDescent="0.3">
      <c r="P735" s="225"/>
      <c r="Q735" s="225"/>
    </row>
    <row r="736" spans="16:17" ht="14.25" customHeight="1" x14ac:dyDescent="0.3">
      <c r="P736" s="225"/>
      <c r="Q736" s="225"/>
    </row>
    <row r="737" spans="16:17" ht="14.25" customHeight="1" x14ac:dyDescent="0.3">
      <c r="P737" s="225"/>
      <c r="Q737" s="225"/>
    </row>
    <row r="738" spans="16:17" ht="14.25" customHeight="1" x14ac:dyDescent="0.3">
      <c r="P738" s="225"/>
      <c r="Q738" s="225"/>
    </row>
    <row r="739" spans="16:17" ht="14.25" customHeight="1" x14ac:dyDescent="0.3">
      <c r="P739" s="225"/>
      <c r="Q739" s="225"/>
    </row>
    <row r="740" spans="16:17" ht="14.25" customHeight="1" x14ac:dyDescent="0.3">
      <c r="P740" s="225"/>
      <c r="Q740" s="225"/>
    </row>
    <row r="741" spans="16:17" ht="14.25" customHeight="1" x14ac:dyDescent="0.3">
      <c r="P741" s="225"/>
      <c r="Q741" s="225"/>
    </row>
    <row r="742" spans="16:17" ht="14.25" customHeight="1" x14ac:dyDescent="0.3">
      <c r="P742" s="225"/>
      <c r="Q742" s="225"/>
    </row>
    <row r="743" spans="16:17" ht="14.25" customHeight="1" x14ac:dyDescent="0.3">
      <c r="P743" s="225"/>
      <c r="Q743" s="225"/>
    </row>
    <row r="744" spans="16:17" ht="14.25" customHeight="1" x14ac:dyDescent="0.3">
      <c r="P744" s="225"/>
      <c r="Q744" s="225"/>
    </row>
    <row r="745" spans="16:17" ht="14.25" customHeight="1" x14ac:dyDescent="0.3">
      <c r="P745" s="225"/>
      <c r="Q745" s="225"/>
    </row>
    <row r="746" spans="16:17" ht="14.25" customHeight="1" x14ac:dyDescent="0.3">
      <c r="P746" s="225"/>
      <c r="Q746" s="225"/>
    </row>
    <row r="747" spans="16:17" ht="14.25" customHeight="1" x14ac:dyDescent="0.3">
      <c r="P747" s="225"/>
      <c r="Q747" s="225"/>
    </row>
    <row r="748" spans="16:17" ht="14.25" customHeight="1" x14ac:dyDescent="0.3">
      <c r="P748" s="225"/>
      <c r="Q748" s="225"/>
    </row>
    <row r="749" spans="16:17" ht="14.25" customHeight="1" x14ac:dyDescent="0.3">
      <c r="P749" s="225"/>
      <c r="Q749" s="225"/>
    </row>
    <row r="750" spans="16:17" ht="14.25" customHeight="1" x14ac:dyDescent="0.3">
      <c r="P750" s="225"/>
      <c r="Q750" s="225"/>
    </row>
    <row r="751" spans="16:17" ht="14.25" customHeight="1" x14ac:dyDescent="0.3">
      <c r="P751" s="225"/>
      <c r="Q751" s="225"/>
    </row>
    <row r="752" spans="16:17" ht="14.25" customHeight="1" x14ac:dyDescent="0.3">
      <c r="P752" s="225"/>
      <c r="Q752" s="225"/>
    </row>
    <row r="753" spans="16:17" ht="14.25" customHeight="1" x14ac:dyDescent="0.3">
      <c r="P753" s="225"/>
      <c r="Q753" s="225"/>
    </row>
    <row r="754" spans="16:17" ht="14.25" customHeight="1" x14ac:dyDescent="0.3">
      <c r="P754" s="225"/>
      <c r="Q754" s="225"/>
    </row>
    <row r="755" spans="16:17" ht="14.25" customHeight="1" x14ac:dyDescent="0.3">
      <c r="P755" s="225"/>
      <c r="Q755" s="225"/>
    </row>
    <row r="756" spans="16:17" ht="14.25" customHeight="1" x14ac:dyDescent="0.3">
      <c r="P756" s="225"/>
      <c r="Q756" s="225"/>
    </row>
    <row r="757" spans="16:17" ht="14.25" customHeight="1" x14ac:dyDescent="0.3">
      <c r="P757" s="225"/>
      <c r="Q757" s="225"/>
    </row>
    <row r="758" spans="16:17" ht="14.25" customHeight="1" x14ac:dyDescent="0.3">
      <c r="P758" s="225"/>
      <c r="Q758" s="225"/>
    </row>
    <row r="759" spans="16:17" ht="14.25" customHeight="1" x14ac:dyDescent="0.3">
      <c r="P759" s="225"/>
      <c r="Q759" s="225"/>
    </row>
    <row r="760" spans="16:17" ht="14.25" customHeight="1" x14ac:dyDescent="0.3">
      <c r="P760" s="225"/>
      <c r="Q760" s="225"/>
    </row>
    <row r="761" spans="16:17" ht="14.25" customHeight="1" x14ac:dyDescent="0.3">
      <c r="P761" s="225"/>
      <c r="Q761" s="225"/>
    </row>
    <row r="762" spans="16:17" ht="14.25" customHeight="1" x14ac:dyDescent="0.3">
      <c r="P762" s="225"/>
      <c r="Q762" s="225"/>
    </row>
    <row r="763" spans="16:17" ht="14.25" customHeight="1" x14ac:dyDescent="0.3">
      <c r="P763" s="225"/>
      <c r="Q763" s="225"/>
    </row>
    <row r="764" spans="16:17" ht="14.25" customHeight="1" x14ac:dyDescent="0.3">
      <c r="P764" s="225"/>
      <c r="Q764" s="225"/>
    </row>
    <row r="765" spans="16:17" ht="14.25" customHeight="1" x14ac:dyDescent="0.3">
      <c r="P765" s="225"/>
      <c r="Q765" s="225"/>
    </row>
    <row r="766" spans="16:17" ht="14.25" customHeight="1" x14ac:dyDescent="0.3">
      <c r="P766" s="225"/>
      <c r="Q766" s="225"/>
    </row>
    <row r="767" spans="16:17" ht="14.25" customHeight="1" x14ac:dyDescent="0.3">
      <c r="P767" s="225"/>
      <c r="Q767" s="225"/>
    </row>
    <row r="768" spans="16:17" ht="14.25" customHeight="1" x14ac:dyDescent="0.3">
      <c r="P768" s="225"/>
      <c r="Q768" s="225"/>
    </row>
    <row r="769" spans="16:17" ht="14.25" customHeight="1" x14ac:dyDescent="0.3">
      <c r="P769" s="225"/>
      <c r="Q769" s="225"/>
    </row>
    <row r="770" spans="16:17" ht="14.25" customHeight="1" x14ac:dyDescent="0.3">
      <c r="P770" s="225"/>
      <c r="Q770" s="225"/>
    </row>
    <row r="771" spans="16:17" ht="14.25" customHeight="1" x14ac:dyDescent="0.3">
      <c r="P771" s="225"/>
      <c r="Q771" s="225"/>
    </row>
    <row r="772" spans="16:17" ht="14.25" customHeight="1" x14ac:dyDescent="0.3">
      <c r="P772" s="225"/>
      <c r="Q772" s="225"/>
    </row>
    <row r="773" spans="16:17" ht="14.25" customHeight="1" x14ac:dyDescent="0.3">
      <c r="P773" s="225"/>
      <c r="Q773" s="225"/>
    </row>
    <row r="774" spans="16:17" ht="14.25" customHeight="1" x14ac:dyDescent="0.3">
      <c r="P774" s="225"/>
      <c r="Q774" s="225"/>
    </row>
    <row r="775" spans="16:17" ht="14.25" customHeight="1" x14ac:dyDescent="0.3">
      <c r="P775" s="225"/>
      <c r="Q775" s="225"/>
    </row>
    <row r="776" spans="16:17" ht="14.25" customHeight="1" x14ac:dyDescent="0.3">
      <c r="P776" s="225"/>
      <c r="Q776" s="225"/>
    </row>
    <row r="777" spans="16:17" ht="14.25" customHeight="1" x14ac:dyDescent="0.3">
      <c r="P777" s="225"/>
      <c r="Q777" s="225"/>
    </row>
    <row r="778" spans="16:17" ht="14.25" customHeight="1" x14ac:dyDescent="0.3">
      <c r="P778" s="225"/>
      <c r="Q778" s="225"/>
    </row>
    <row r="779" spans="16:17" ht="14.25" customHeight="1" x14ac:dyDescent="0.3">
      <c r="P779" s="225"/>
      <c r="Q779" s="225"/>
    </row>
    <row r="780" spans="16:17" ht="14.25" customHeight="1" x14ac:dyDescent="0.3">
      <c r="P780" s="225"/>
      <c r="Q780" s="225"/>
    </row>
    <row r="781" spans="16:17" ht="14.25" customHeight="1" x14ac:dyDescent="0.3">
      <c r="P781" s="225"/>
      <c r="Q781" s="225"/>
    </row>
    <row r="782" spans="16:17" ht="14.25" customHeight="1" x14ac:dyDescent="0.3">
      <c r="P782" s="225"/>
      <c r="Q782" s="225"/>
    </row>
    <row r="783" spans="16:17" ht="14.25" customHeight="1" x14ac:dyDescent="0.3">
      <c r="P783" s="225"/>
      <c r="Q783" s="225"/>
    </row>
    <row r="784" spans="16:17" ht="14.25" customHeight="1" x14ac:dyDescent="0.3">
      <c r="P784" s="225"/>
      <c r="Q784" s="225"/>
    </row>
    <row r="785" spans="16:17" ht="14.25" customHeight="1" x14ac:dyDescent="0.3">
      <c r="P785" s="225"/>
      <c r="Q785" s="225"/>
    </row>
    <row r="786" spans="16:17" ht="14.25" customHeight="1" x14ac:dyDescent="0.3">
      <c r="P786" s="225"/>
      <c r="Q786" s="225"/>
    </row>
    <row r="787" spans="16:17" ht="14.25" customHeight="1" x14ac:dyDescent="0.3">
      <c r="P787" s="225"/>
      <c r="Q787" s="225"/>
    </row>
    <row r="788" spans="16:17" ht="14.25" customHeight="1" x14ac:dyDescent="0.3">
      <c r="P788" s="225"/>
      <c r="Q788" s="225"/>
    </row>
    <row r="789" spans="16:17" ht="14.25" customHeight="1" x14ac:dyDescent="0.3">
      <c r="P789" s="225"/>
      <c r="Q789" s="225"/>
    </row>
    <row r="790" spans="16:17" ht="14.25" customHeight="1" x14ac:dyDescent="0.3">
      <c r="P790" s="225"/>
      <c r="Q790" s="225"/>
    </row>
    <row r="791" spans="16:17" ht="14.25" customHeight="1" x14ac:dyDescent="0.3">
      <c r="P791" s="225"/>
      <c r="Q791" s="225"/>
    </row>
    <row r="792" spans="16:17" ht="14.25" customHeight="1" x14ac:dyDescent="0.3">
      <c r="P792" s="225"/>
      <c r="Q792" s="225"/>
    </row>
    <row r="793" spans="16:17" ht="14.25" customHeight="1" x14ac:dyDescent="0.3">
      <c r="P793" s="225"/>
      <c r="Q793" s="225"/>
    </row>
    <row r="794" spans="16:17" ht="14.25" customHeight="1" x14ac:dyDescent="0.3">
      <c r="P794" s="225"/>
      <c r="Q794" s="225"/>
    </row>
    <row r="795" spans="16:17" ht="14.25" customHeight="1" x14ac:dyDescent="0.3">
      <c r="P795" s="225"/>
      <c r="Q795" s="225"/>
    </row>
    <row r="796" spans="16:17" ht="14.25" customHeight="1" x14ac:dyDescent="0.3">
      <c r="P796" s="225"/>
      <c r="Q796" s="225"/>
    </row>
    <row r="797" spans="16:17" ht="14.25" customHeight="1" x14ac:dyDescent="0.3">
      <c r="P797" s="225"/>
      <c r="Q797" s="225"/>
    </row>
    <row r="798" spans="16:17" ht="14.25" customHeight="1" x14ac:dyDescent="0.3">
      <c r="P798" s="225"/>
      <c r="Q798" s="225"/>
    </row>
    <row r="799" spans="16:17" ht="14.25" customHeight="1" x14ac:dyDescent="0.3">
      <c r="P799" s="225"/>
      <c r="Q799" s="225"/>
    </row>
    <row r="800" spans="16:17" ht="14.25" customHeight="1" x14ac:dyDescent="0.3">
      <c r="P800" s="225"/>
      <c r="Q800" s="225"/>
    </row>
    <row r="801" spans="16:17" ht="14.25" customHeight="1" x14ac:dyDescent="0.3">
      <c r="P801" s="225"/>
      <c r="Q801" s="225"/>
    </row>
    <row r="802" spans="16:17" ht="14.25" customHeight="1" x14ac:dyDescent="0.3">
      <c r="P802" s="225"/>
      <c r="Q802" s="225"/>
    </row>
    <row r="803" spans="16:17" ht="14.25" customHeight="1" x14ac:dyDescent="0.3">
      <c r="P803" s="225"/>
      <c r="Q803" s="225"/>
    </row>
    <row r="804" spans="16:17" ht="14.25" customHeight="1" x14ac:dyDescent="0.3">
      <c r="P804" s="225"/>
      <c r="Q804" s="225"/>
    </row>
    <row r="805" spans="16:17" ht="14.25" customHeight="1" x14ac:dyDescent="0.3">
      <c r="P805" s="225"/>
      <c r="Q805" s="225"/>
    </row>
    <row r="806" spans="16:17" ht="14.25" customHeight="1" x14ac:dyDescent="0.3">
      <c r="P806" s="225"/>
      <c r="Q806" s="225"/>
    </row>
    <row r="807" spans="16:17" ht="14.25" customHeight="1" x14ac:dyDescent="0.3">
      <c r="P807" s="225"/>
      <c r="Q807" s="225"/>
    </row>
    <row r="808" spans="16:17" ht="14.25" customHeight="1" x14ac:dyDescent="0.3">
      <c r="P808" s="225"/>
      <c r="Q808" s="225"/>
    </row>
    <row r="809" spans="16:17" ht="14.25" customHeight="1" x14ac:dyDescent="0.3">
      <c r="P809" s="225"/>
      <c r="Q809" s="225"/>
    </row>
    <row r="810" spans="16:17" ht="14.25" customHeight="1" x14ac:dyDescent="0.3">
      <c r="P810" s="225"/>
      <c r="Q810" s="225"/>
    </row>
    <row r="811" spans="16:17" ht="14.25" customHeight="1" x14ac:dyDescent="0.3">
      <c r="P811" s="225"/>
      <c r="Q811" s="225"/>
    </row>
    <row r="812" spans="16:17" ht="14.25" customHeight="1" x14ac:dyDescent="0.3">
      <c r="P812" s="225"/>
      <c r="Q812" s="225"/>
    </row>
    <row r="813" spans="16:17" ht="14.25" customHeight="1" x14ac:dyDescent="0.3">
      <c r="P813" s="225"/>
      <c r="Q813" s="225"/>
    </row>
    <row r="814" spans="16:17" ht="14.25" customHeight="1" x14ac:dyDescent="0.3">
      <c r="P814" s="225"/>
      <c r="Q814" s="225"/>
    </row>
    <row r="815" spans="16:17" ht="14.25" customHeight="1" x14ac:dyDescent="0.3">
      <c r="P815" s="225"/>
      <c r="Q815" s="225"/>
    </row>
    <row r="816" spans="16:17" ht="14.25" customHeight="1" x14ac:dyDescent="0.3">
      <c r="P816" s="225"/>
      <c r="Q816" s="225"/>
    </row>
    <row r="817" spans="16:17" ht="14.25" customHeight="1" x14ac:dyDescent="0.3">
      <c r="P817" s="225"/>
      <c r="Q817" s="225"/>
    </row>
    <row r="818" spans="16:17" ht="14.25" customHeight="1" x14ac:dyDescent="0.3">
      <c r="P818" s="225"/>
      <c r="Q818" s="225"/>
    </row>
    <row r="819" spans="16:17" ht="14.25" customHeight="1" x14ac:dyDescent="0.3">
      <c r="P819" s="225"/>
      <c r="Q819" s="225"/>
    </row>
    <row r="820" spans="16:17" ht="14.25" customHeight="1" x14ac:dyDescent="0.3">
      <c r="P820" s="225"/>
      <c r="Q820" s="225"/>
    </row>
    <row r="821" spans="16:17" ht="14.25" customHeight="1" x14ac:dyDescent="0.3">
      <c r="P821" s="225"/>
      <c r="Q821" s="225"/>
    </row>
    <row r="822" spans="16:17" ht="14.25" customHeight="1" x14ac:dyDescent="0.3">
      <c r="P822" s="225"/>
      <c r="Q822" s="225"/>
    </row>
    <row r="823" spans="16:17" ht="14.25" customHeight="1" x14ac:dyDescent="0.3">
      <c r="P823" s="225"/>
      <c r="Q823" s="225"/>
    </row>
    <row r="824" spans="16:17" ht="14.25" customHeight="1" x14ac:dyDescent="0.3">
      <c r="P824" s="225"/>
      <c r="Q824" s="225"/>
    </row>
    <row r="825" spans="16:17" ht="14.25" customHeight="1" x14ac:dyDescent="0.3">
      <c r="P825" s="225"/>
      <c r="Q825" s="225"/>
    </row>
    <row r="826" spans="16:17" ht="14.25" customHeight="1" x14ac:dyDescent="0.3">
      <c r="P826" s="225"/>
      <c r="Q826" s="225"/>
    </row>
    <row r="827" spans="16:17" ht="14.25" customHeight="1" x14ac:dyDescent="0.3">
      <c r="P827" s="225"/>
      <c r="Q827" s="225"/>
    </row>
    <row r="828" spans="16:17" ht="14.25" customHeight="1" x14ac:dyDescent="0.3">
      <c r="P828" s="225"/>
      <c r="Q828" s="225"/>
    </row>
    <row r="829" spans="16:17" ht="14.25" customHeight="1" x14ac:dyDescent="0.3">
      <c r="P829" s="225"/>
      <c r="Q829" s="225"/>
    </row>
    <row r="830" spans="16:17" ht="14.25" customHeight="1" x14ac:dyDescent="0.3">
      <c r="P830" s="225"/>
      <c r="Q830" s="225"/>
    </row>
    <row r="831" spans="16:17" ht="14.25" customHeight="1" x14ac:dyDescent="0.3">
      <c r="P831" s="225"/>
      <c r="Q831" s="225"/>
    </row>
    <row r="832" spans="16:17" ht="14.25" customHeight="1" x14ac:dyDescent="0.3">
      <c r="P832" s="225"/>
      <c r="Q832" s="225"/>
    </row>
    <row r="833" spans="16:17" ht="14.25" customHeight="1" x14ac:dyDescent="0.3">
      <c r="P833" s="225"/>
      <c r="Q833" s="225"/>
    </row>
    <row r="834" spans="16:17" ht="14.25" customHeight="1" x14ac:dyDescent="0.3">
      <c r="P834" s="225"/>
      <c r="Q834" s="225"/>
    </row>
    <row r="835" spans="16:17" ht="14.25" customHeight="1" x14ac:dyDescent="0.3">
      <c r="P835" s="225"/>
      <c r="Q835" s="225"/>
    </row>
    <row r="836" spans="16:17" ht="14.25" customHeight="1" x14ac:dyDescent="0.3">
      <c r="P836" s="225"/>
      <c r="Q836" s="225"/>
    </row>
    <row r="837" spans="16:17" ht="14.25" customHeight="1" x14ac:dyDescent="0.3">
      <c r="P837" s="225"/>
      <c r="Q837" s="225"/>
    </row>
    <row r="838" spans="16:17" ht="14.25" customHeight="1" x14ac:dyDescent="0.3">
      <c r="P838" s="225"/>
      <c r="Q838" s="225"/>
    </row>
    <row r="839" spans="16:17" ht="14.25" customHeight="1" x14ac:dyDescent="0.3">
      <c r="P839" s="225"/>
      <c r="Q839" s="225"/>
    </row>
    <row r="840" spans="16:17" ht="14.25" customHeight="1" x14ac:dyDescent="0.3">
      <c r="P840" s="225"/>
      <c r="Q840" s="225"/>
    </row>
    <row r="841" spans="16:17" ht="14.25" customHeight="1" x14ac:dyDescent="0.3">
      <c r="P841" s="225"/>
      <c r="Q841" s="225"/>
    </row>
    <row r="842" spans="16:17" ht="14.25" customHeight="1" x14ac:dyDescent="0.3">
      <c r="P842" s="225"/>
      <c r="Q842" s="225"/>
    </row>
    <row r="843" spans="16:17" ht="14.25" customHeight="1" x14ac:dyDescent="0.3">
      <c r="P843" s="225"/>
      <c r="Q843" s="225"/>
    </row>
    <row r="844" spans="16:17" ht="14.25" customHeight="1" x14ac:dyDescent="0.3">
      <c r="P844" s="225"/>
      <c r="Q844" s="225"/>
    </row>
    <row r="845" spans="16:17" ht="14.25" customHeight="1" x14ac:dyDescent="0.3">
      <c r="P845" s="225"/>
      <c r="Q845" s="225"/>
    </row>
    <row r="846" spans="16:17" ht="14.25" customHeight="1" x14ac:dyDescent="0.3">
      <c r="P846" s="225"/>
      <c r="Q846" s="225"/>
    </row>
    <row r="847" spans="16:17" ht="14.25" customHeight="1" x14ac:dyDescent="0.3">
      <c r="P847" s="225"/>
      <c r="Q847" s="225"/>
    </row>
    <row r="848" spans="16:17" ht="14.25" customHeight="1" x14ac:dyDescent="0.3">
      <c r="P848" s="225"/>
      <c r="Q848" s="225"/>
    </row>
    <row r="849" spans="16:17" ht="14.25" customHeight="1" x14ac:dyDescent="0.3">
      <c r="P849" s="225"/>
      <c r="Q849" s="225"/>
    </row>
    <row r="850" spans="16:17" ht="14.25" customHeight="1" x14ac:dyDescent="0.3">
      <c r="P850" s="225"/>
      <c r="Q850" s="225"/>
    </row>
    <row r="851" spans="16:17" ht="14.25" customHeight="1" x14ac:dyDescent="0.3">
      <c r="P851" s="225"/>
      <c r="Q851" s="225"/>
    </row>
    <row r="852" spans="16:17" ht="14.25" customHeight="1" x14ac:dyDescent="0.3">
      <c r="P852" s="225"/>
      <c r="Q852" s="225"/>
    </row>
    <row r="853" spans="16:17" ht="14.25" customHeight="1" x14ac:dyDescent="0.3">
      <c r="P853" s="225"/>
      <c r="Q853" s="225"/>
    </row>
    <row r="854" spans="16:17" ht="14.25" customHeight="1" x14ac:dyDescent="0.3">
      <c r="P854" s="225"/>
      <c r="Q854" s="225"/>
    </row>
    <row r="855" spans="16:17" ht="14.25" customHeight="1" x14ac:dyDescent="0.3">
      <c r="P855" s="225"/>
      <c r="Q855" s="225"/>
    </row>
    <row r="856" spans="16:17" ht="14.25" customHeight="1" x14ac:dyDescent="0.3">
      <c r="P856" s="225"/>
      <c r="Q856" s="225"/>
    </row>
    <row r="857" spans="16:17" ht="14.25" customHeight="1" x14ac:dyDescent="0.3">
      <c r="P857" s="225"/>
      <c r="Q857" s="225"/>
    </row>
    <row r="858" spans="16:17" ht="14.25" customHeight="1" x14ac:dyDescent="0.3">
      <c r="P858" s="225"/>
      <c r="Q858" s="225"/>
    </row>
    <row r="859" spans="16:17" ht="14.25" customHeight="1" x14ac:dyDescent="0.3">
      <c r="P859" s="225"/>
      <c r="Q859" s="225"/>
    </row>
    <row r="860" spans="16:17" ht="14.25" customHeight="1" x14ac:dyDescent="0.3">
      <c r="P860" s="225"/>
      <c r="Q860" s="225"/>
    </row>
    <row r="861" spans="16:17" ht="14.25" customHeight="1" x14ac:dyDescent="0.3">
      <c r="P861" s="225"/>
      <c r="Q861" s="225"/>
    </row>
    <row r="862" spans="16:17" ht="14.25" customHeight="1" x14ac:dyDescent="0.3">
      <c r="P862" s="225"/>
      <c r="Q862" s="225"/>
    </row>
    <row r="863" spans="16:17" ht="14.25" customHeight="1" x14ac:dyDescent="0.3">
      <c r="P863" s="225"/>
      <c r="Q863" s="225"/>
    </row>
    <row r="864" spans="16:17" ht="14.25" customHeight="1" x14ac:dyDescent="0.3">
      <c r="P864" s="225"/>
      <c r="Q864" s="225"/>
    </row>
    <row r="865" spans="16:17" ht="14.25" customHeight="1" x14ac:dyDescent="0.3">
      <c r="P865" s="225"/>
      <c r="Q865" s="225"/>
    </row>
    <row r="866" spans="16:17" ht="14.25" customHeight="1" x14ac:dyDescent="0.3">
      <c r="P866" s="225"/>
      <c r="Q866" s="225"/>
    </row>
    <row r="867" spans="16:17" ht="14.25" customHeight="1" x14ac:dyDescent="0.3">
      <c r="P867" s="225"/>
      <c r="Q867" s="225"/>
    </row>
    <row r="868" spans="16:17" ht="14.25" customHeight="1" x14ac:dyDescent="0.3">
      <c r="P868" s="225"/>
      <c r="Q868" s="225"/>
    </row>
    <row r="869" spans="16:17" ht="14.25" customHeight="1" x14ac:dyDescent="0.3">
      <c r="P869" s="225"/>
      <c r="Q869" s="225"/>
    </row>
    <row r="870" spans="16:17" ht="14.25" customHeight="1" x14ac:dyDescent="0.3">
      <c r="P870" s="225"/>
      <c r="Q870" s="225"/>
    </row>
    <row r="871" spans="16:17" ht="14.25" customHeight="1" x14ac:dyDescent="0.3">
      <c r="P871" s="225"/>
      <c r="Q871" s="225"/>
    </row>
    <row r="872" spans="16:17" ht="14.25" customHeight="1" x14ac:dyDescent="0.3">
      <c r="P872" s="225"/>
      <c r="Q872" s="225"/>
    </row>
    <row r="873" spans="16:17" ht="14.25" customHeight="1" x14ac:dyDescent="0.3">
      <c r="P873" s="225"/>
      <c r="Q873" s="225"/>
    </row>
    <row r="874" spans="16:17" ht="14.25" customHeight="1" x14ac:dyDescent="0.3">
      <c r="P874" s="225"/>
      <c r="Q874" s="225"/>
    </row>
    <row r="875" spans="16:17" ht="14.25" customHeight="1" x14ac:dyDescent="0.3">
      <c r="P875" s="225"/>
      <c r="Q875" s="225"/>
    </row>
    <row r="876" spans="16:17" ht="14.25" customHeight="1" x14ac:dyDescent="0.3">
      <c r="P876" s="225"/>
      <c r="Q876" s="225"/>
    </row>
    <row r="877" spans="16:17" ht="14.25" customHeight="1" x14ac:dyDescent="0.3">
      <c r="P877" s="225"/>
      <c r="Q877" s="225"/>
    </row>
    <row r="878" spans="16:17" ht="14.25" customHeight="1" x14ac:dyDescent="0.3">
      <c r="P878" s="225"/>
      <c r="Q878" s="225"/>
    </row>
    <row r="879" spans="16:17" ht="14.25" customHeight="1" x14ac:dyDescent="0.3">
      <c r="P879" s="225"/>
      <c r="Q879" s="225"/>
    </row>
    <row r="880" spans="16:17" ht="14.25" customHeight="1" x14ac:dyDescent="0.3">
      <c r="P880" s="225"/>
      <c r="Q880" s="225"/>
    </row>
    <row r="881" spans="16:17" ht="14.25" customHeight="1" x14ac:dyDescent="0.3">
      <c r="P881" s="225"/>
      <c r="Q881" s="225"/>
    </row>
    <row r="882" spans="16:17" ht="14.25" customHeight="1" x14ac:dyDescent="0.3">
      <c r="P882" s="225"/>
      <c r="Q882" s="225"/>
    </row>
    <row r="883" spans="16:17" ht="14.25" customHeight="1" x14ac:dyDescent="0.3">
      <c r="P883" s="225"/>
      <c r="Q883" s="225"/>
    </row>
    <row r="884" spans="16:17" ht="14.25" customHeight="1" x14ac:dyDescent="0.3">
      <c r="P884" s="225"/>
      <c r="Q884" s="225"/>
    </row>
    <row r="885" spans="16:17" ht="14.25" customHeight="1" x14ac:dyDescent="0.3">
      <c r="P885" s="225"/>
      <c r="Q885" s="225"/>
    </row>
    <row r="886" spans="16:17" ht="14.25" customHeight="1" x14ac:dyDescent="0.3">
      <c r="P886" s="225"/>
      <c r="Q886" s="225"/>
    </row>
    <row r="887" spans="16:17" ht="14.25" customHeight="1" x14ac:dyDescent="0.3">
      <c r="P887" s="225"/>
      <c r="Q887" s="225"/>
    </row>
    <row r="888" spans="16:17" ht="14.25" customHeight="1" x14ac:dyDescent="0.3">
      <c r="P888" s="225"/>
      <c r="Q888" s="225"/>
    </row>
    <row r="889" spans="16:17" ht="14.25" customHeight="1" x14ac:dyDescent="0.3">
      <c r="P889" s="225"/>
      <c r="Q889" s="225"/>
    </row>
    <row r="890" spans="16:17" ht="14.25" customHeight="1" x14ac:dyDescent="0.3">
      <c r="P890" s="225"/>
      <c r="Q890" s="225"/>
    </row>
    <row r="891" spans="16:17" ht="14.25" customHeight="1" x14ac:dyDescent="0.3">
      <c r="P891" s="225"/>
      <c r="Q891" s="225"/>
    </row>
    <row r="892" spans="16:17" ht="14.25" customHeight="1" x14ac:dyDescent="0.3">
      <c r="P892" s="225"/>
      <c r="Q892" s="225"/>
    </row>
    <row r="893" spans="16:17" ht="14.25" customHeight="1" x14ac:dyDescent="0.3">
      <c r="P893" s="225"/>
      <c r="Q893" s="225"/>
    </row>
    <row r="894" spans="16:17" ht="14.25" customHeight="1" x14ac:dyDescent="0.3">
      <c r="P894" s="225"/>
      <c r="Q894" s="225"/>
    </row>
    <row r="895" spans="16:17" ht="14.25" customHeight="1" x14ac:dyDescent="0.3">
      <c r="P895" s="225"/>
      <c r="Q895" s="225"/>
    </row>
    <row r="896" spans="16:17" ht="14.25" customHeight="1" x14ac:dyDescent="0.3">
      <c r="P896" s="225"/>
      <c r="Q896" s="225"/>
    </row>
    <row r="897" spans="16:17" ht="14.25" customHeight="1" x14ac:dyDescent="0.3">
      <c r="P897" s="225"/>
      <c r="Q897" s="225"/>
    </row>
    <row r="898" spans="16:17" ht="14.25" customHeight="1" x14ac:dyDescent="0.3">
      <c r="P898" s="225"/>
      <c r="Q898" s="225"/>
    </row>
    <row r="899" spans="16:17" ht="14.25" customHeight="1" x14ac:dyDescent="0.3">
      <c r="P899" s="225"/>
      <c r="Q899" s="225"/>
    </row>
    <row r="900" spans="16:17" ht="14.25" customHeight="1" x14ac:dyDescent="0.3">
      <c r="P900" s="225"/>
      <c r="Q900" s="225"/>
    </row>
    <row r="901" spans="16:17" ht="14.25" customHeight="1" x14ac:dyDescent="0.3">
      <c r="P901" s="225"/>
      <c r="Q901" s="225"/>
    </row>
    <row r="902" spans="16:17" ht="14.25" customHeight="1" x14ac:dyDescent="0.3">
      <c r="P902" s="225"/>
      <c r="Q902" s="225"/>
    </row>
    <row r="903" spans="16:17" ht="14.25" customHeight="1" x14ac:dyDescent="0.3">
      <c r="P903" s="225"/>
      <c r="Q903" s="225"/>
    </row>
    <row r="904" spans="16:17" ht="14.25" customHeight="1" x14ac:dyDescent="0.3">
      <c r="P904" s="225"/>
      <c r="Q904" s="225"/>
    </row>
    <row r="905" spans="16:17" ht="14.25" customHeight="1" x14ac:dyDescent="0.3">
      <c r="P905" s="225"/>
      <c r="Q905" s="225"/>
    </row>
    <row r="906" spans="16:17" ht="14.25" customHeight="1" x14ac:dyDescent="0.3">
      <c r="P906" s="225"/>
      <c r="Q906" s="225"/>
    </row>
    <row r="907" spans="16:17" ht="14.25" customHeight="1" x14ac:dyDescent="0.3">
      <c r="P907" s="225"/>
      <c r="Q907" s="225"/>
    </row>
    <row r="908" spans="16:17" ht="14.25" customHeight="1" x14ac:dyDescent="0.3">
      <c r="P908" s="225"/>
      <c r="Q908" s="225"/>
    </row>
    <row r="909" spans="16:17" ht="14.25" customHeight="1" x14ac:dyDescent="0.3">
      <c r="P909" s="225"/>
      <c r="Q909" s="225"/>
    </row>
    <row r="910" spans="16:17" ht="14.25" customHeight="1" x14ac:dyDescent="0.3">
      <c r="P910" s="225"/>
      <c r="Q910" s="225"/>
    </row>
    <row r="911" spans="16:17" ht="14.25" customHeight="1" x14ac:dyDescent="0.3">
      <c r="P911" s="225"/>
      <c r="Q911" s="225"/>
    </row>
    <row r="912" spans="16:17" ht="14.25" customHeight="1" x14ac:dyDescent="0.3">
      <c r="P912" s="225"/>
      <c r="Q912" s="225"/>
    </row>
    <row r="913" spans="16:17" ht="14.25" customHeight="1" x14ac:dyDescent="0.3">
      <c r="P913" s="225"/>
      <c r="Q913" s="225"/>
    </row>
    <row r="914" spans="16:17" ht="14.25" customHeight="1" x14ac:dyDescent="0.3">
      <c r="P914" s="225"/>
      <c r="Q914" s="225"/>
    </row>
    <row r="915" spans="16:17" ht="14.25" customHeight="1" x14ac:dyDescent="0.3">
      <c r="P915" s="225"/>
      <c r="Q915" s="225"/>
    </row>
    <row r="916" spans="16:17" ht="14.25" customHeight="1" x14ac:dyDescent="0.3">
      <c r="P916" s="225"/>
      <c r="Q916" s="225"/>
    </row>
    <row r="917" spans="16:17" ht="14.25" customHeight="1" x14ac:dyDescent="0.3">
      <c r="P917" s="225"/>
      <c r="Q917" s="225"/>
    </row>
    <row r="918" spans="16:17" ht="14.25" customHeight="1" x14ac:dyDescent="0.3">
      <c r="P918" s="225"/>
      <c r="Q918" s="225"/>
    </row>
    <row r="919" spans="16:17" ht="14.25" customHeight="1" x14ac:dyDescent="0.3">
      <c r="P919" s="225"/>
      <c r="Q919" s="225"/>
    </row>
    <row r="920" spans="16:17" ht="14.25" customHeight="1" x14ac:dyDescent="0.3">
      <c r="P920" s="225"/>
      <c r="Q920" s="225"/>
    </row>
    <row r="921" spans="16:17" ht="14.25" customHeight="1" x14ac:dyDescent="0.3">
      <c r="P921" s="225"/>
      <c r="Q921" s="225"/>
    </row>
    <row r="922" spans="16:17" ht="14.25" customHeight="1" x14ac:dyDescent="0.3">
      <c r="P922" s="225"/>
      <c r="Q922" s="225"/>
    </row>
    <row r="923" spans="16:17" ht="14.25" customHeight="1" x14ac:dyDescent="0.3">
      <c r="P923" s="225"/>
      <c r="Q923" s="225"/>
    </row>
    <row r="924" spans="16:17" ht="14.25" customHeight="1" x14ac:dyDescent="0.3">
      <c r="P924" s="225"/>
      <c r="Q924" s="225"/>
    </row>
    <row r="925" spans="16:17" ht="14.25" customHeight="1" x14ac:dyDescent="0.3">
      <c r="P925" s="225"/>
      <c r="Q925" s="225"/>
    </row>
    <row r="926" spans="16:17" ht="14.25" customHeight="1" x14ac:dyDescent="0.3">
      <c r="P926" s="225"/>
      <c r="Q926" s="225"/>
    </row>
    <row r="927" spans="16:17" ht="14.25" customHeight="1" x14ac:dyDescent="0.3">
      <c r="P927" s="225"/>
      <c r="Q927" s="225"/>
    </row>
    <row r="928" spans="16:17" ht="14.25" customHeight="1" x14ac:dyDescent="0.3">
      <c r="P928" s="225"/>
      <c r="Q928" s="225"/>
    </row>
    <row r="929" spans="16:17" ht="14.25" customHeight="1" x14ac:dyDescent="0.3">
      <c r="P929" s="225"/>
      <c r="Q929" s="225"/>
    </row>
    <row r="930" spans="16:17" ht="14.25" customHeight="1" x14ac:dyDescent="0.3">
      <c r="P930" s="225"/>
      <c r="Q930" s="225"/>
    </row>
    <row r="931" spans="16:17" ht="14.25" customHeight="1" x14ac:dyDescent="0.3">
      <c r="P931" s="225"/>
      <c r="Q931" s="225"/>
    </row>
    <row r="932" spans="16:17" ht="14.25" customHeight="1" x14ac:dyDescent="0.3">
      <c r="P932" s="225"/>
      <c r="Q932" s="225"/>
    </row>
    <row r="933" spans="16:17" ht="14.25" customHeight="1" x14ac:dyDescent="0.3">
      <c r="P933" s="225"/>
      <c r="Q933" s="225"/>
    </row>
    <row r="934" spans="16:17" ht="14.25" customHeight="1" x14ac:dyDescent="0.3">
      <c r="P934" s="225"/>
      <c r="Q934" s="225"/>
    </row>
    <row r="935" spans="16:17" ht="14.25" customHeight="1" x14ac:dyDescent="0.3">
      <c r="P935" s="225"/>
      <c r="Q935" s="225"/>
    </row>
    <row r="936" spans="16:17" ht="14.25" customHeight="1" x14ac:dyDescent="0.3">
      <c r="P936" s="225"/>
      <c r="Q936" s="225"/>
    </row>
    <row r="937" spans="16:17" ht="14.25" customHeight="1" x14ac:dyDescent="0.3">
      <c r="P937" s="225"/>
      <c r="Q937" s="225"/>
    </row>
    <row r="938" spans="16:17" ht="14.25" customHeight="1" x14ac:dyDescent="0.3">
      <c r="P938" s="225"/>
      <c r="Q938" s="225"/>
    </row>
    <row r="939" spans="16:17" ht="14.25" customHeight="1" x14ac:dyDescent="0.3">
      <c r="P939" s="225"/>
      <c r="Q939" s="225"/>
    </row>
    <row r="940" spans="16:17" ht="14.25" customHeight="1" x14ac:dyDescent="0.3">
      <c r="P940" s="225"/>
      <c r="Q940" s="225"/>
    </row>
    <row r="941" spans="16:17" ht="14.25" customHeight="1" x14ac:dyDescent="0.3">
      <c r="P941" s="225"/>
      <c r="Q941" s="225"/>
    </row>
    <row r="942" spans="16:17" ht="14.25" customHeight="1" x14ac:dyDescent="0.3">
      <c r="P942" s="225"/>
      <c r="Q942" s="225"/>
    </row>
    <row r="943" spans="16:17" ht="14.25" customHeight="1" x14ac:dyDescent="0.3">
      <c r="P943" s="225"/>
      <c r="Q943" s="225"/>
    </row>
    <row r="944" spans="16:17" ht="14.25" customHeight="1" x14ac:dyDescent="0.3">
      <c r="P944" s="225"/>
      <c r="Q944" s="225"/>
    </row>
    <row r="945" spans="16:17" ht="14.25" customHeight="1" x14ac:dyDescent="0.3">
      <c r="P945" s="225"/>
      <c r="Q945" s="225"/>
    </row>
    <row r="946" spans="16:17" ht="14.25" customHeight="1" x14ac:dyDescent="0.3">
      <c r="P946" s="225"/>
      <c r="Q946" s="225"/>
    </row>
    <row r="947" spans="16:17" ht="14.25" customHeight="1" x14ac:dyDescent="0.3">
      <c r="P947" s="225"/>
      <c r="Q947" s="225"/>
    </row>
    <row r="948" spans="16:17" ht="14.25" customHeight="1" x14ac:dyDescent="0.3">
      <c r="P948" s="225"/>
      <c r="Q948" s="225"/>
    </row>
    <row r="949" spans="16:17" ht="14.25" customHeight="1" x14ac:dyDescent="0.3">
      <c r="P949" s="225"/>
      <c r="Q949" s="225"/>
    </row>
    <row r="950" spans="16:17" ht="14.25" customHeight="1" x14ac:dyDescent="0.3">
      <c r="P950" s="225"/>
      <c r="Q950" s="225"/>
    </row>
    <row r="951" spans="16:17" ht="14.25" customHeight="1" x14ac:dyDescent="0.3">
      <c r="P951" s="225"/>
      <c r="Q951" s="225"/>
    </row>
    <row r="952" spans="16:17" ht="14.25" customHeight="1" x14ac:dyDescent="0.3">
      <c r="P952" s="225"/>
      <c r="Q952" s="225"/>
    </row>
    <row r="953" spans="16:17" ht="14.25" customHeight="1" x14ac:dyDescent="0.3">
      <c r="P953" s="225"/>
      <c r="Q953" s="225"/>
    </row>
    <row r="954" spans="16:17" ht="14.25" customHeight="1" x14ac:dyDescent="0.3">
      <c r="P954" s="225"/>
      <c r="Q954" s="225"/>
    </row>
    <row r="955" spans="16:17" ht="14.25" customHeight="1" x14ac:dyDescent="0.3">
      <c r="P955" s="225"/>
      <c r="Q955" s="225"/>
    </row>
    <row r="956" spans="16:17" ht="14.25" customHeight="1" x14ac:dyDescent="0.3">
      <c r="P956" s="225"/>
      <c r="Q956" s="225"/>
    </row>
    <row r="957" spans="16:17" ht="14.25" customHeight="1" x14ac:dyDescent="0.3">
      <c r="P957" s="225"/>
      <c r="Q957" s="225"/>
    </row>
    <row r="958" spans="16:17" ht="14.25" customHeight="1" x14ac:dyDescent="0.3">
      <c r="P958" s="225"/>
      <c r="Q958" s="225"/>
    </row>
    <row r="959" spans="16:17" ht="14.25" customHeight="1" x14ac:dyDescent="0.3">
      <c r="P959" s="225"/>
      <c r="Q959" s="225"/>
    </row>
    <row r="960" spans="16:17" ht="14.25" customHeight="1" x14ac:dyDescent="0.3">
      <c r="P960" s="225"/>
      <c r="Q960" s="225"/>
    </row>
    <row r="961" spans="16:17" ht="14.25" customHeight="1" x14ac:dyDescent="0.3">
      <c r="P961" s="225"/>
      <c r="Q961" s="225"/>
    </row>
    <row r="962" spans="16:17" ht="14.25" customHeight="1" x14ac:dyDescent="0.3">
      <c r="P962" s="225"/>
      <c r="Q962" s="225"/>
    </row>
    <row r="963" spans="16:17" ht="14.25" customHeight="1" x14ac:dyDescent="0.3">
      <c r="P963" s="225"/>
      <c r="Q963" s="225"/>
    </row>
    <row r="964" spans="16:17" ht="14.25" customHeight="1" x14ac:dyDescent="0.3">
      <c r="P964" s="225"/>
      <c r="Q964" s="225"/>
    </row>
    <row r="965" spans="16:17" ht="14.25" customHeight="1" x14ac:dyDescent="0.3">
      <c r="P965" s="225"/>
      <c r="Q965" s="225"/>
    </row>
    <row r="966" spans="16:17" ht="14.25" customHeight="1" x14ac:dyDescent="0.3">
      <c r="P966" s="225"/>
      <c r="Q966" s="225"/>
    </row>
    <row r="967" spans="16:17" ht="14.25" customHeight="1" x14ac:dyDescent="0.3">
      <c r="P967" s="225"/>
      <c r="Q967" s="225"/>
    </row>
    <row r="968" spans="16:17" ht="14.25" customHeight="1" x14ac:dyDescent="0.3">
      <c r="P968" s="225"/>
      <c r="Q968" s="225"/>
    </row>
    <row r="969" spans="16:17" ht="14.25" customHeight="1" x14ac:dyDescent="0.3">
      <c r="P969" s="225"/>
      <c r="Q969" s="225"/>
    </row>
    <row r="970" spans="16:17" ht="14.25" customHeight="1" x14ac:dyDescent="0.3">
      <c r="P970" s="225"/>
      <c r="Q970" s="225"/>
    </row>
    <row r="971" spans="16:17" ht="14.25" customHeight="1" x14ac:dyDescent="0.3">
      <c r="P971" s="225"/>
      <c r="Q971" s="225"/>
    </row>
    <row r="972" spans="16:17" ht="14.25" customHeight="1" x14ac:dyDescent="0.3">
      <c r="P972" s="225"/>
      <c r="Q972" s="225"/>
    </row>
    <row r="973" spans="16:17" ht="14.25" customHeight="1" x14ac:dyDescent="0.3">
      <c r="P973" s="225"/>
      <c r="Q973" s="225"/>
    </row>
    <row r="974" spans="16:17" ht="14.25" customHeight="1" x14ac:dyDescent="0.3">
      <c r="P974" s="225"/>
      <c r="Q974" s="225"/>
    </row>
    <row r="975" spans="16:17" ht="14.25" customHeight="1" x14ac:dyDescent="0.3">
      <c r="P975" s="225"/>
      <c r="Q975" s="225"/>
    </row>
    <row r="976" spans="16:17" ht="14.25" customHeight="1" x14ac:dyDescent="0.3">
      <c r="P976" s="225"/>
      <c r="Q976" s="225"/>
    </row>
    <row r="977" spans="16:17" ht="14.25" customHeight="1" x14ac:dyDescent="0.3">
      <c r="P977" s="225"/>
      <c r="Q977" s="225"/>
    </row>
    <row r="978" spans="16:17" ht="14.25" customHeight="1" x14ac:dyDescent="0.3">
      <c r="P978" s="225"/>
      <c r="Q978" s="225"/>
    </row>
    <row r="979" spans="16:17" ht="14.25" customHeight="1" x14ac:dyDescent="0.3">
      <c r="P979" s="225"/>
      <c r="Q979" s="225"/>
    </row>
    <row r="980" spans="16:17" ht="14.25" customHeight="1" x14ac:dyDescent="0.3">
      <c r="P980" s="225"/>
      <c r="Q980" s="225"/>
    </row>
    <row r="981" spans="16:17" ht="14.25" customHeight="1" x14ac:dyDescent="0.3">
      <c r="P981" s="225"/>
      <c r="Q981" s="225"/>
    </row>
    <row r="982" spans="16:17" ht="14.25" customHeight="1" x14ac:dyDescent="0.3">
      <c r="P982" s="225"/>
      <c r="Q982" s="225"/>
    </row>
    <row r="983" spans="16:17" ht="14.25" customHeight="1" x14ac:dyDescent="0.3">
      <c r="P983" s="225"/>
      <c r="Q983" s="225"/>
    </row>
    <row r="984" spans="16:17" ht="14.25" customHeight="1" x14ac:dyDescent="0.3">
      <c r="P984" s="225"/>
      <c r="Q984" s="225"/>
    </row>
    <row r="985" spans="16:17" ht="14.25" customHeight="1" x14ac:dyDescent="0.3">
      <c r="P985" s="225"/>
      <c r="Q985" s="225"/>
    </row>
    <row r="986" spans="16:17" ht="14.25" customHeight="1" x14ac:dyDescent="0.3">
      <c r="P986" s="225"/>
      <c r="Q986" s="225"/>
    </row>
    <row r="987" spans="16:17" ht="14.25" customHeight="1" x14ac:dyDescent="0.3">
      <c r="P987" s="225"/>
      <c r="Q987" s="225"/>
    </row>
    <row r="988" spans="16:17" ht="14.25" customHeight="1" x14ac:dyDescent="0.3">
      <c r="P988" s="225"/>
      <c r="Q988" s="225"/>
    </row>
    <row r="989" spans="16:17" ht="14.25" customHeight="1" x14ac:dyDescent="0.3">
      <c r="P989" s="225"/>
      <c r="Q989" s="225"/>
    </row>
    <row r="990" spans="16:17" ht="14.25" customHeight="1" x14ac:dyDescent="0.3">
      <c r="P990" s="225"/>
      <c r="Q990" s="225"/>
    </row>
    <row r="991" spans="16:17" ht="14.25" customHeight="1" x14ac:dyDescent="0.3">
      <c r="P991" s="225"/>
      <c r="Q991" s="225"/>
    </row>
    <row r="992" spans="16:17" ht="14.25" customHeight="1" x14ac:dyDescent="0.3">
      <c r="P992" s="225"/>
      <c r="Q992" s="225"/>
    </row>
    <row r="993" spans="16:17" ht="14.25" customHeight="1" x14ac:dyDescent="0.3">
      <c r="P993" s="225"/>
      <c r="Q993" s="225"/>
    </row>
    <row r="994" spans="16:17" ht="14.25" customHeight="1" x14ac:dyDescent="0.3">
      <c r="P994" s="225"/>
      <c r="Q994" s="225"/>
    </row>
    <row r="995" spans="16:17" ht="14.25" customHeight="1" x14ac:dyDescent="0.3">
      <c r="P995" s="225"/>
      <c r="Q995" s="225"/>
    </row>
    <row r="996" spans="16:17" ht="14.25" customHeight="1" x14ac:dyDescent="0.3">
      <c r="P996" s="225"/>
      <c r="Q996" s="225"/>
    </row>
    <row r="997" spans="16:17" ht="14.25" customHeight="1" x14ac:dyDescent="0.3">
      <c r="P997" s="225"/>
      <c r="Q997" s="225"/>
    </row>
    <row r="998" spans="16:17" ht="14.25" customHeight="1" x14ac:dyDescent="0.3">
      <c r="P998" s="225"/>
      <c r="Q998" s="225"/>
    </row>
    <row r="999" spans="16:17" ht="14.25" customHeight="1" x14ac:dyDescent="0.3">
      <c r="P999" s="225"/>
      <c r="Q999" s="225"/>
    </row>
    <row r="1000" spans="16:17" ht="14.25" customHeight="1" x14ac:dyDescent="0.3">
      <c r="P1000" s="225"/>
      <c r="Q1000" s="225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1" width="10.09765625" customWidth="1"/>
    <col min="2" max="2" width="9.8984375" customWidth="1"/>
    <col min="3" max="3" width="15.09765625" customWidth="1"/>
    <col min="4" max="4" width="9.3984375" customWidth="1"/>
    <col min="5" max="5" width="49.19921875" customWidth="1"/>
    <col min="6" max="6" width="23.09765625" customWidth="1"/>
    <col min="7" max="7" width="10.3984375" customWidth="1"/>
    <col min="8" max="8" width="28.19921875" customWidth="1"/>
    <col min="9" max="9" width="11.59765625" customWidth="1"/>
    <col min="10" max="10" width="46.59765625" customWidth="1"/>
    <col min="11" max="11" width="11.59765625" customWidth="1"/>
    <col min="12" max="12" width="6.8984375" customWidth="1"/>
    <col min="13" max="13" width="18.5" customWidth="1"/>
    <col min="14" max="14" width="17.19921875" customWidth="1"/>
    <col min="15" max="15" width="7.5" customWidth="1"/>
    <col min="16" max="16" width="15.5" customWidth="1"/>
    <col min="17" max="17" width="31.3984375" customWidth="1"/>
    <col min="18" max="18" width="34.09765625" customWidth="1"/>
    <col min="19" max="19" width="18.8984375" customWidth="1"/>
    <col min="20" max="20" width="17.69921875" customWidth="1"/>
    <col min="21" max="21" width="19.5" customWidth="1"/>
    <col min="22" max="22" width="25.59765625" customWidth="1"/>
    <col min="23" max="23" width="21.69921875" customWidth="1"/>
    <col min="24" max="24" width="23.3984375" customWidth="1"/>
    <col min="25" max="25" width="19.5" customWidth="1"/>
    <col min="26" max="26" width="7.59765625" customWidth="1"/>
  </cols>
  <sheetData>
    <row r="1" spans="1:25" ht="14.25" customHeight="1" x14ac:dyDescent="0.3">
      <c r="A1" s="197" t="s">
        <v>0</v>
      </c>
      <c r="B1" s="198" t="s">
        <v>1</v>
      </c>
      <c r="C1" s="198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8" t="s">
        <v>8</v>
      </c>
      <c r="J1" s="198" t="s">
        <v>9</v>
      </c>
      <c r="K1" s="198" t="s">
        <v>10</v>
      </c>
      <c r="L1" s="198" t="s">
        <v>11</v>
      </c>
      <c r="M1" s="198" t="s">
        <v>12</v>
      </c>
      <c r="N1" s="198" t="s">
        <v>13</v>
      </c>
      <c r="O1" s="198" t="s">
        <v>14</v>
      </c>
      <c r="P1" s="199" t="s">
        <v>910</v>
      </c>
      <c r="Q1" s="199" t="s">
        <v>911</v>
      </c>
      <c r="R1" s="198" t="s">
        <v>17</v>
      </c>
      <c r="S1" s="198" t="s">
        <v>18</v>
      </c>
      <c r="T1" s="198" t="s">
        <v>19</v>
      </c>
      <c r="U1" s="198" t="s">
        <v>20</v>
      </c>
      <c r="V1" s="198" t="s">
        <v>21</v>
      </c>
      <c r="W1" s="198" t="s">
        <v>22</v>
      </c>
      <c r="X1" s="198" t="s">
        <v>912</v>
      </c>
      <c r="Y1" s="200" t="s">
        <v>913</v>
      </c>
    </row>
    <row r="2" spans="1:25" ht="14.25" customHeight="1" x14ac:dyDescent="0.3">
      <c r="A2" s="201">
        <v>45872</v>
      </c>
      <c r="B2" s="202">
        <v>45878</v>
      </c>
      <c r="C2" s="203" t="s">
        <v>27</v>
      </c>
      <c r="D2" s="203" t="s">
        <v>28</v>
      </c>
      <c r="E2" s="203" t="s">
        <v>29</v>
      </c>
      <c r="F2" s="203" t="s">
        <v>30</v>
      </c>
      <c r="G2" s="203" t="s">
        <v>31</v>
      </c>
      <c r="H2" s="203" t="s">
        <v>30</v>
      </c>
      <c r="I2" s="203" t="s">
        <v>32</v>
      </c>
      <c r="J2" s="203" t="s">
        <v>30</v>
      </c>
      <c r="K2" s="204">
        <v>781</v>
      </c>
      <c r="L2" s="204">
        <v>8</v>
      </c>
      <c r="M2" s="205">
        <v>1.0243277848911651E-2</v>
      </c>
      <c r="N2" s="206">
        <v>2.80125</v>
      </c>
      <c r="O2" s="208">
        <v>22.41</v>
      </c>
      <c r="P2" s="208">
        <v>24.94</v>
      </c>
      <c r="Q2" s="208">
        <v>89.855653568564549</v>
      </c>
      <c r="R2" s="221">
        <v>1.1128960285586793</v>
      </c>
      <c r="S2" s="204">
        <v>1</v>
      </c>
      <c r="T2" s="204">
        <v>1</v>
      </c>
      <c r="U2" s="205">
        <v>0.125</v>
      </c>
      <c r="V2" s="204">
        <v>1</v>
      </c>
      <c r="W2" s="204">
        <v>0</v>
      </c>
      <c r="X2" s="206">
        <v>24.94</v>
      </c>
      <c r="Y2" s="222">
        <v>0</v>
      </c>
    </row>
    <row r="3" spans="1:25" ht="14.25" customHeight="1" x14ac:dyDescent="0.3">
      <c r="A3" s="201">
        <v>45872</v>
      </c>
      <c r="B3" s="202">
        <v>45876</v>
      </c>
      <c r="C3" s="203" t="s">
        <v>105</v>
      </c>
      <c r="D3" s="203" t="s">
        <v>28</v>
      </c>
      <c r="E3" s="203" t="s">
        <v>669</v>
      </c>
      <c r="F3" s="203" t="s">
        <v>30</v>
      </c>
      <c r="G3" s="203" t="s">
        <v>31</v>
      </c>
      <c r="H3" s="203" t="s">
        <v>30</v>
      </c>
      <c r="I3" s="203" t="s">
        <v>65</v>
      </c>
      <c r="J3" s="203" t="s">
        <v>30</v>
      </c>
      <c r="K3" s="204">
        <v>264</v>
      </c>
      <c r="L3" s="204">
        <v>7</v>
      </c>
      <c r="M3" s="205">
        <v>2.6515151515151512E-2</v>
      </c>
      <c r="N3" s="206">
        <v>2.705714285714286</v>
      </c>
      <c r="O3" s="208">
        <v>18.940000000000001</v>
      </c>
      <c r="P3" s="208">
        <v>74.820000000000007</v>
      </c>
      <c r="Q3" s="208">
        <v>25.314087142475273</v>
      </c>
      <c r="R3" s="221">
        <v>3.9503695881731784</v>
      </c>
      <c r="S3" s="204">
        <v>3</v>
      </c>
      <c r="T3" s="204">
        <v>3</v>
      </c>
      <c r="U3" s="205">
        <v>0.42857142857142855</v>
      </c>
      <c r="V3" s="204">
        <v>3</v>
      </c>
      <c r="W3" s="204">
        <v>0</v>
      </c>
      <c r="X3" s="206">
        <v>74.820000000000007</v>
      </c>
      <c r="Y3" s="222">
        <v>0</v>
      </c>
    </row>
    <row r="4" spans="1:25" ht="14.25" customHeight="1" x14ac:dyDescent="0.3">
      <c r="A4" s="201">
        <v>45872</v>
      </c>
      <c r="B4" s="202">
        <v>45878</v>
      </c>
      <c r="C4" s="203" t="s">
        <v>27</v>
      </c>
      <c r="D4" s="203" t="s">
        <v>28</v>
      </c>
      <c r="E4" s="203" t="s">
        <v>71</v>
      </c>
      <c r="F4" s="203" t="s">
        <v>72</v>
      </c>
      <c r="G4" s="203" t="s">
        <v>31</v>
      </c>
      <c r="H4" s="203" t="s">
        <v>73</v>
      </c>
      <c r="I4" s="203" t="s">
        <v>52</v>
      </c>
      <c r="J4" s="203" t="s">
        <v>162</v>
      </c>
      <c r="K4" s="204">
        <v>251</v>
      </c>
      <c r="L4" s="204">
        <v>4</v>
      </c>
      <c r="M4" s="205">
        <v>1.5936254980079681E-2</v>
      </c>
      <c r="N4" s="206">
        <v>3.2949999999999999</v>
      </c>
      <c r="O4" s="208">
        <v>13.18</v>
      </c>
      <c r="P4" s="208">
        <v>24.94</v>
      </c>
      <c r="Q4" s="208">
        <v>52.846832397754596</v>
      </c>
      <c r="R4" s="221">
        <v>1.8922610015174508</v>
      </c>
      <c r="S4" s="204">
        <v>1</v>
      </c>
      <c r="T4" s="204">
        <v>1</v>
      </c>
      <c r="U4" s="205">
        <v>0.25</v>
      </c>
      <c r="V4" s="204">
        <v>1</v>
      </c>
      <c r="W4" s="204">
        <v>0</v>
      </c>
      <c r="X4" s="206">
        <v>24.94</v>
      </c>
      <c r="Y4" s="222">
        <v>0</v>
      </c>
    </row>
    <row r="5" spans="1:25" ht="14.25" customHeight="1" x14ac:dyDescent="0.3">
      <c r="A5" s="201">
        <v>45872</v>
      </c>
      <c r="B5" s="202">
        <v>45872</v>
      </c>
      <c r="C5" s="203" t="s">
        <v>27</v>
      </c>
      <c r="D5" s="203" t="s">
        <v>28</v>
      </c>
      <c r="E5" s="203" t="s">
        <v>71</v>
      </c>
      <c r="F5" s="203" t="s">
        <v>72</v>
      </c>
      <c r="G5" s="203" t="s">
        <v>31</v>
      </c>
      <c r="H5" s="203" t="s">
        <v>73</v>
      </c>
      <c r="I5" s="203" t="s">
        <v>52</v>
      </c>
      <c r="J5" s="203" t="s">
        <v>799</v>
      </c>
      <c r="K5" s="204">
        <v>102</v>
      </c>
      <c r="L5" s="204">
        <v>2</v>
      </c>
      <c r="M5" s="205">
        <v>1.9607843137254902E-2</v>
      </c>
      <c r="N5" s="206">
        <v>3.9750000000000001</v>
      </c>
      <c r="O5" s="208">
        <v>7.95</v>
      </c>
      <c r="P5" s="208">
        <v>49.88</v>
      </c>
      <c r="Q5" s="208">
        <v>15.938251804330392</v>
      </c>
      <c r="R5" s="221">
        <v>6.2742138364779878</v>
      </c>
      <c r="S5" s="204">
        <v>2</v>
      </c>
      <c r="T5" s="204">
        <v>2</v>
      </c>
      <c r="U5" s="205">
        <v>1</v>
      </c>
      <c r="V5" s="204">
        <v>2</v>
      </c>
      <c r="W5" s="204">
        <v>0</v>
      </c>
      <c r="X5" s="206">
        <v>49.88</v>
      </c>
      <c r="Y5" s="222">
        <v>0</v>
      </c>
    </row>
    <row r="6" spans="1:25" ht="14.25" customHeight="1" x14ac:dyDescent="0.3">
      <c r="A6" s="201">
        <v>45872</v>
      </c>
      <c r="B6" s="202">
        <v>45877</v>
      </c>
      <c r="C6" s="203" t="s">
        <v>27</v>
      </c>
      <c r="D6" s="203" t="s">
        <v>28</v>
      </c>
      <c r="E6" s="203" t="s">
        <v>71</v>
      </c>
      <c r="F6" s="203" t="s">
        <v>72</v>
      </c>
      <c r="G6" s="203" t="s">
        <v>31</v>
      </c>
      <c r="H6" s="203" t="s">
        <v>73</v>
      </c>
      <c r="I6" s="203" t="s">
        <v>52</v>
      </c>
      <c r="J6" s="203" t="s">
        <v>801</v>
      </c>
      <c r="K6" s="204">
        <v>36</v>
      </c>
      <c r="L6" s="204">
        <v>5</v>
      </c>
      <c r="M6" s="205">
        <v>0.1388888888888889</v>
      </c>
      <c r="N6" s="206">
        <v>3.0339999999999998</v>
      </c>
      <c r="O6" s="208">
        <v>15.17</v>
      </c>
      <c r="P6" s="208">
        <v>49.88</v>
      </c>
      <c r="Q6" s="208">
        <v>30.412991178829191</v>
      </c>
      <c r="R6" s="221">
        <v>3.2880685563612393</v>
      </c>
      <c r="S6" s="204">
        <v>2</v>
      </c>
      <c r="T6" s="204">
        <v>2</v>
      </c>
      <c r="U6" s="205">
        <v>0.4</v>
      </c>
      <c r="V6" s="204">
        <v>2</v>
      </c>
      <c r="W6" s="204">
        <v>0</v>
      </c>
      <c r="X6" s="206">
        <v>49.88</v>
      </c>
      <c r="Y6" s="222">
        <v>0</v>
      </c>
    </row>
    <row r="7" spans="1:25" ht="14.25" customHeight="1" x14ac:dyDescent="0.3">
      <c r="A7" s="201">
        <v>45872</v>
      </c>
      <c r="B7" s="202">
        <v>45878</v>
      </c>
      <c r="C7" s="203" t="s">
        <v>27</v>
      </c>
      <c r="D7" s="203" t="s">
        <v>28</v>
      </c>
      <c r="E7" s="203" t="s">
        <v>71</v>
      </c>
      <c r="F7" s="203" t="s">
        <v>72</v>
      </c>
      <c r="G7" s="203" t="s">
        <v>31</v>
      </c>
      <c r="H7" s="203" t="s">
        <v>73</v>
      </c>
      <c r="I7" s="203" t="s">
        <v>52</v>
      </c>
      <c r="J7" s="203" t="s">
        <v>803</v>
      </c>
      <c r="K7" s="204">
        <v>30</v>
      </c>
      <c r="L7" s="204">
        <v>5</v>
      </c>
      <c r="M7" s="205">
        <v>0.16666666666666663</v>
      </c>
      <c r="N7" s="206">
        <v>3.274</v>
      </c>
      <c r="O7" s="208">
        <v>16.37</v>
      </c>
      <c r="P7" s="208">
        <v>24.94</v>
      </c>
      <c r="Q7" s="208">
        <v>65.637530072173206</v>
      </c>
      <c r="R7" s="221">
        <v>1.5235186316432499</v>
      </c>
      <c r="S7" s="204">
        <v>1</v>
      </c>
      <c r="T7" s="204">
        <v>1</v>
      </c>
      <c r="U7" s="205">
        <v>0.2</v>
      </c>
      <c r="V7" s="204">
        <v>1</v>
      </c>
      <c r="W7" s="204">
        <v>0</v>
      </c>
      <c r="X7" s="206">
        <v>24.94</v>
      </c>
      <c r="Y7" s="222">
        <v>0</v>
      </c>
    </row>
    <row r="8" spans="1:25" ht="14.25" customHeight="1" x14ac:dyDescent="0.3">
      <c r="A8" s="201">
        <v>45872</v>
      </c>
      <c r="B8" s="202">
        <v>45878</v>
      </c>
      <c r="C8" s="203" t="s">
        <v>105</v>
      </c>
      <c r="D8" s="203" t="s">
        <v>28</v>
      </c>
      <c r="E8" s="203" t="s">
        <v>117</v>
      </c>
      <c r="F8" s="203" t="s">
        <v>915</v>
      </c>
      <c r="G8" s="203" t="s">
        <v>31</v>
      </c>
      <c r="H8" s="203" t="s">
        <v>119</v>
      </c>
      <c r="I8" s="203" t="s">
        <v>65</v>
      </c>
      <c r="J8" s="203" t="s">
        <v>119</v>
      </c>
      <c r="K8" s="204">
        <v>753</v>
      </c>
      <c r="L8" s="204">
        <v>30</v>
      </c>
      <c r="M8" s="205">
        <v>3.9840637450199202E-2</v>
      </c>
      <c r="N8" s="206">
        <v>2.745333333333333</v>
      </c>
      <c r="O8" s="208">
        <v>82.36</v>
      </c>
      <c r="P8" s="208">
        <v>224.46</v>
      </c>
      <c r="Q8" s="208">
        <v>36.692506459948312</v>
      </c>
      <c r="R8" s="221">
        <v>2.7253521126760569</v>
      </c>
      <c r="S8" s="204">
        <v>9</v>
      </c>
      <c r="T8" s="204">
        <v>9</v>
      </c>
      <c r="U8" s="205">
        <v>0.3</v>
      </c>
      <c r="V8" s="204">
        <v>9</v>
      </c>
      <c r="W8" s="204">
        <v>0</v>
      </c>
      <c r="X8" s="206">
        <v>224.46</v>
      </c>
      <c r="Y8" s="222">
        <v>0</v>
      </c>
    </row>
    <row r="9" spans="1:25" ht="14.25" customHeight="1" x14ac:dyDescent="0.3">
      <c r="A9" s="201">
        <v>45872</v>
      </c>
      <c r="B9" s="202">
        <v>45878</v>
      </c>
      <c r="C9" s="203" t="s">
        <v>27</v>
      </c>
      <c r="D9" s="203" t="s">
        <v>28</v>
      </c>
      <c r="E9" s="203" t="s">
        <v>56</v>
      </c>
      <c r="F9" s="203" t="s">
        <v>57</v>
      </c>
      <c r="G9" s="203" t="s">
        <v>31</v>
      </c>
      <c r="H9" s="203" t="s">
        <v>914</v>
      </c>
      <c r="I9" s="203" t="s">
        <v>32</v>
      </c>
      <c r="J9" s="203" t="s">
        <v>119</v>
      </c>
      <c r="K9" s="204">
        <v>7560</v>
      </c>
      <c r="L9" s="204">
        <v>64</v>
      </c>
      <c r="M9" s="205">
        <v>8.4656084656084662E-3</v>
      </c>
      <c r="N9" s="206">
        <v>2.4320312499999996</v>
      </c>
      <c r="O9" s="208">
        <v>155.65</v>
      </c>
      <c r="P9" s="208">
        <v>224.45999999999998</v>
      </c>
      <c r="Q9" s="208">
        <v>69.344203867058724</v>
      </c>
      <c r="R9" s="221">
        <v>1.4420815933183426</v>
      </c>
      <c r="S9" s="204">
        <v>9</v>
      </c>
      <c r="T9" s="204">
        <v>9</v>
      </c>
      <c r="U9" s="205">
        <v>0.140625</v>
      </c>
      <c r="V9" s="204">
        <v>9</v>
      </c>
      <c r="W9" s="204">
        <v>0</v>
      </c>
      <c r="X9" s="206">
        <v>224.45999999999998</v>
      </c>
      <c r="Y9" s="222">
        <v>0</v>
      </c>
    </row>
    <row r="10" spans="1:25" ht="14.25" customHeight="1" x14ac:dyDescent="0.3">
      <c r="A10" s="201">
        <v>45872</v>
      </c>
      <c r="B10" s="202">
        <v>45872</v>
      </c>
      <c r="C10" s="203" t="s">
        <v>27</v>
      </c>
      <c r="D10" s="203" t="s">
        <v>28</v>
      </c>
      <c r="E10" s="203" t="s">
        <v>71</v>
      </c>
      <c r="F10" s="203" t="s">
        <v>72</v>
      </c>
      <c r="G10" s="203" t="s">
        <v>31</v>
      </c>
      <c r="H10" s="203" t="s">
        <v>73</v>
      </c>
      <c r="I10" s="203" t="s">
        <v>52</v>
      </c>
      <c r="J10" s="203" t="s">
        <v>43</v>
      </c>
      <c r="K10" s="204">
        <v>32</v>
      </c>
      <c r="L10" s="204">
        <v>2</v>
      </c>
      <c r="M10" s="205">
        <v>6.25E-2</v>
      </c>
      <c r="N10" s="206">
        <v>4.57</v>
      </c>
      <c r="O10" s="208">
        <v>9.14</v>
      </c>
      <c r="P10" s="208">
        <v>24.94</v>
      </c>
      <c r="Q10" s="208">
        <v>36.647955092221331</v>
      </c>
      <c r="R10" s="221">
        <v>2.7286652078774618</v>
      </c>
      <c r="S10" s="204">
        <v>1</v>
      </c>
      <c r="T10" s="204">
        <v>1</v>
      </c>
      <c r="U10" s="205">
        <v>0.5</v>
      </c>
      <c r="V10" s="204">
        <v>1</v>
      </c>
      <c r="W10" s="204">
        <v>0</v>
      </c>
      <c r="X10" s="206">
        <v>24.94</v>
      </c>
      <c r="Y10" s="222">
        <v>0</v>
      </c>
    </row>
    <row r="11" spans="1:25" ht="14.25" customHeight="1" x14ac:dyDescent="0.3">
      <c r="A11" s="201">
        <v>45872</v>
      </c>
      <c r="B11" s="202">
        <v>45877</v>
      </c>
      <c r="C11" s="203" t="s">
        <v>27</v>
      </c>
      <c r="D11" s="203" t="s">
        <v>28</v>
      </c>
      <c r="E11" s="203" t="s">
        <v>71</v>
      </c>
      <c r="F11" s="203" t="s">
        <v>72</v>
      </c>
      <c r="G11" s="203" t="s">
        <v>31</v>
      </c>
      <c r="H11" s="203" t="s">
        <v>73</v>
      </c>
      <c r="I11" s="203" t="s">
        <v>52</v>
      </c>
      <c r="J11" s="203" t="s">
        <v>76</v>
      </c>
      <c r="K11" s="204">
        <v>89</v>
      </c>
      <c r="L11" s="204">
        <v>6</v>
      </c>
      <c r="M11" s="205">
        <v>6.741573033707865E-2</v>
      </c>
      <c r="N11" s="206">
        <v>2.7616666666666667</v>
      </c>
      <c r="O11" s="208">
        <v>16.57</v>
      </c>
      <c r="P11" s="208">
        <v>24.94</v>
      </c>
      <c r="Q11" s="208">
        <v>66.439454691259016</v>
      </c>
      <c r="R11" s="221">
        <v>1.5051297525648764</v>
      </c>
      <c r="S11" s="204">
        <v>1</v>
      </c>
      <c r="T11" s="204">
        <v>1</v>
      </c>
      <c r="U11" s="205">
        <v>0.16666666666666663</v>
      </c>
      <c r="V11" s="204">
        <v>1</v>
      </c>
      <c r="W11" s="204">
        <v>0</v>
      </c>
      <c r="X11" s="206">
        <v>24.94</v>
      </c>
      <c r="Y11" s="222">
        <v>0</v>
      </c>
    </row>
    <row r="12" spans="1:25" ht="14.25" customHeight="1" x14ac:dyDescent="0.3">
      <c r="A12" s="201">
        <v>45872</v>
      </c>
      <c r="B12" s="202">
        <v>45877</v>
      </c>
      <c r="C12" s="203" t="s">
        <v>27</v>
      </c>
      <c r="D12" s="203" t="s">
        <v>28</v>
      </c>
      <c r="E12" s="203" t="s">
        <v>71</v>
      </c>
      <c r="F12" s="203" t="s">
        <v>72</v>
      </c>
      <c r="G12" s="203" t="s">
        <v>31</v>
      </c>
      <c r="H12" s="203" t="s">
        <v>73</v>
      </c>
      <c r="I12" s="203" t="s">
        <v>52</v>
      </c>
      <c r="J12" s="203" t="s">
        <v>101</v>
      </c>
      <c r="K12" s="204">
        <v>1336</v>
      </c>
      <c r="L12" s="204">
        <v>8</v>
      </c>
      <c r="M12" s="205">
        <v>5.9880239520958087E-3</v>
      </c>
      <c r="N12" s="206">
        <v>3.3587499999999997</v>
      </c>
      <c r="O12" s="208">
        <v>26.87</v>
      </c>
      <c r="P12" s="208">
        <v>24.94</v>
      </c>
      <c r="Q12" s="208">
        <v>107.73857257417801</v>
      </c>
      <c r="R12" s="221">
        <v>0.92817268328991454</v>
      </c>
      <c r="S12" s="204">
        <v>1</v>
      </c>
      <c r="T12" s="204">
        <v>1</v>
      </c>
      <c r="U12" s="205">
        <v>0.125</v>
      </c>
      <c r="V12" s="204">
        <v>1</v>
      </c>
      <c r="W12" s="204">
        <v>0</v>
      </c>
      <c r="X12" s="206">
        <v>24.94</v>
      </c>
      <c r="Y12" s="222">
        <v>0</v>
      </c>
    </row>
    <row r="13" spans="1:25" ht="14.25" customHeight="1" x14ac:dyDescent="0.3">
      <c r="A13" s="201">
        <v>45872</v>
      </c>
      <c r="B13" s="202">
        <v>45872</v>
      </c>
      <c r="C13" s="203" t="s">
        <v>27</v>
      </c>
      <c r="D13" s="203" t="s">
        <v>28</v>
      </c>
      <c r="E13" s="203" t="s">
        <v>71</v>
      </c>
      <c r="F13" s="203" t="s">
        <v>72</v>
      </c>
      <c r="G13" s="203" t="s">
        <v>31</v>
      </c>
      <c r="H13" s="203" t="s">
        <v>51</v>
      </c>
      <c r="I13" s="203" t="s">
        <v>52</v>
      </c>
      <c r="J13" s="203" t="s">
        <v>812</v>
      </c>
      <c r="K13" s="204">
        <v>2</v>
      </c>
      <c r="L13" s="204">
        <v>1</v>
      </c>
      <c r="M13" s="205">
        <v>0.5</v>
      </c>
      <c r="N13" s="206">
        <v>2.9</v>
      </c>
      <c r="O13" s="208">
        <v>2.9</v>
      </c>
      <c r="P13" s="208">
        <v>24.94</v>
      </c>
      <c r="Q13" s="208">
        <v>11.627906976744185</v>
      </c>
      <c r="R13" s="221">
        <v>8.6000000000000014</v>
      </c>
      <c r="S13" s="204">
        <v>1</v>
      </c>
      <c r="T13" s="204">
        <v>1</v>
      </c>
      <c r="U13" s="205">
        <v>1</v>
      </c>
      <c r="V13" s="204">
        <v>1</v>
      </c>
      <c r="W13" s="204">
        <v>0</v>
      </c>
      <c r="X13" s="206">
        <v>24.94</v>
      </c>
      <c r="Y13" s="222">
        <v>0</v>
      </c>
    </row>
    <row r="14" spans="1:25" ht="14.25" customHeight="1" x14ac:dyDescent="0.3">
      <c r="A14" s="201">
        <v>45872</v>
      </c>
      <c r="B14" s="202">
        <v>45872</v>
      </c>
      <c r="C14" s="203" t="s">
        <v>27</v>
      </c>
      <c r="D14" s="203" t="s">
        <v>28</v>
      </c>
      <c r="E14" s="203" t="s">
        <v>56</v>
      </c>
      <c r="F14" s="203" t="s">
        <v>57</v>
      </c>
      <c r="G14" s="203" t="s">
        <v>31</v>
      </c>
      <c r="H14" s="203" t="s">
        <v>914</v>
      </c>
      <c r="I14" s="203" t="s">
        <v>32</v>
      </c>
      <c r="J14" s="203" t="s">
        <v>814</v>
      </c>
      <c r="K14" s="204">
        <v>3</v>
      </c>
      <c r="L14" s="204">
        <v>1</v>
      </c>
      <c r="M14" s="205">
        <v>0.33333333333333331</v>
      </c>
      <c r="N14" s="206">
        <v>2.1800000000000002</v>
      </c>
      <c r="O14" s="208">
        <v>2.1800000000000002</v>
      </c>
      <c r="P14" s="208">
        <v>24.94</v>
      </c>
      <c r="Q14" s="208">
        <v>8.7409783480352843</v>
      </c>
      <c r="R14" s="221">
        <v>11.440366972477063</v>
      </c>
      <c r="S14" s="204">
        <v>1</v>
      </c>
      <c r="T14" s="204">
        <v>1</v>
      </c>
      <c r="U14" s="205">
        <v>1</v>
      </c>
      <c r="V14" s="204">
        <v>1</v>
      </c>
      <c r="W14" s="204">
        <v>0</v>
      </c>
      <c r="X14" s="206">
        <v>24.94</v>
      </c>
      <c r="Y14" s="222">
        <v>0</v>
      </c>
    </row>
    <row r="15" spans="1:25" ht="14.25" customHeight="1" x14ac:dyDescent="0.3">
      <c r="A15" s="201">
        <v>45872</v>
      </c>
      <c r="B15" s="202">
        <v>45878</v>
      </c>
      <c r="C15" s="203" t="s">
        <v>85</v>
      </c>
      <c r="D15" s="203" t="s">
        <v>28</v>
      </c>
      <c r="E15" s="203" t="s">
        <v>86</v>
      </c>
      <c r="F15" s="203" t="s">
        <v>87</v>
      </c>
      <c r="G15" s="203" t="s">
        <v>31</v>
      </c>
      <c r="H15" s="203" t="s">
        <v>88</v>
      </c>
      <c r="I15" s="203" t="s">
        <v>44</v>
      </c>
      <c r="J15" s="203" t="s">
        <v>89</v>
      </c>
      <c r="K15" s="204">
        <v>65</v>
      </c>
      <c r="L15" s="204">
        <v>8</v>
      </c>
      <c r="M15" s="205">
        <v>0.12307692307692308</v>
      </c>
      <c r="N15" s="206">
        <v>3.0212499999999998</v>
      </c>
      <c r="O15" s="208">
        <v>24.17</v>
      </c>
      <c r="P15" s="208">
        <v>24.95</v>
      </c>
      <c r="Q15" s="208">
        <v>96.873747494989971</v>
      </c>
      <c r="R15" s="221">
        <v>1.0322714108398843</v>
      </c>
      <c r="S15" s="204">
        <v>1</v>
      </c>
      <c r="T15" s="204">
        <v>1</v>
      </c>
      <c r="U15" s="205">
        <v>0.125</v>
      </c>
      <c r="V15" s="204">
        <v>1</v>
      </c>
      <c r="W15" s="204">
        <v>0</v>
      </c>
      <c r="X15" s="206">
        <v>24.95</v>
      </c>
      <c r="Y15" s="222">
        <v>0</v>
      </c>
    </row>
    <row r="16" spans="1:25" ht="14.25" customHeight="1" x14ac:dyDescent="0.3">
      <c r="A16" s="201">
        <v>45872</v>
      </c>
      <c r="B16" s="202">
        <v>45873</v>
      </c>
      <c r="C16" s="203" t="s">
        <v>85</v>
      </c>
      <c r="D16" s="203" t="s">
        <v>28</v>
      </c>
      <c r="E16" s="203" t="s">
        <v>86</v>
      </c>
      <c r="F16" s="203" t="s">
        <v>87</v>
      </c>
      <c r="G16" s="203" t="s">
        <v>31</v>
      </c>
      <c r="H16" s="203" t="s">
        <v>88</v>
      </c>
      <c r="I16" s="203" t="s">
        <v>44</v>
      </c>
      <c r="J16" s="203" t="s">
        <v>88</v>
      </c>
      <c r="K16" s="204">
        <v>8</v>
      </c>
      <c r="L16" s="204">
        <v>2</v>
      </c>
      <c r="M16" s="205">
        <v>0.25</v>
      </c>
      <c r="N16" s="206">
        <v>3.3849999999999998</v>
      </c>
      <c r="O16" s="208">
        <v>6.77</v>
      </c>
      <c r="P16" s="208">
        <v>24.95</v>
      </c>
      <c r="Q16" s="208">
        <v>27.134268537074146</v>
      </c>
      <c r="R16" s="221">
        <v>3.6853766617429837</v>
      </c>
      <c r="S16" s="204">
        <v>1</v>
      </c>
      <c r="T16" s="204">
        <v>1</v>
      </c>
      <c r="U16" s="205">
        <v>0.5</v>
      </c>
      <c r="V16" s="204">
        <v>1</v>
      </c>
      <c r="W16" s="204">
        <v>0</v>
      </c>
      <c r="X16" s="206">
        <v>24.95</v>
      </c>
      <c r="Y16" s="222">
        <v>0</v>
      </c>
    </row>
    <row r="17" spans="1:25" ht="14.25" customHeight="1" x14ac:dyDescent="0.3">
      <c r="A17" s="201">
        <v>45872</v>
      </c>
      <c r="B17" s="202">
        <v>45872</v>
      </c>
      <c r="C17" s="203" t="s">
        <v>85</v>
      </c>
      <c r="D17" s="203" t="s">
        <v>28</v>
      </c>
      <c r="E17" s="203" t="s">
        <v>817</v>
      </c>
      <c r="F17" s="203" t="s">
        <v>818</v>
      </c>
      <c r="G17" s="203" t="s">
        <v>31</v>
      </c>
      <c r="H17" s="203" t="s">
        <v>357</v>
      </c>
      <c r="I17" s="203" t="s">
        <v>44</v>
      </c>
      <c r="J17" s="203" t="s">
        <v>357</v>
      </c>
      <c r="K17" s="204">
        <v>54</v>
      </c>
      <c r="L17" s="204">
        <v>3</v>
      </c>
      <c r="M17" s="205">
        <v>5.5555555555555552E-2</v>
      </c>
      <c r="N17" s="206">
        <v>4.6100000000000003</v>
      </c>
      <c r="O17" s="208">
        <v>13.83</v>
      </c>
      <c r="P17" s="208">
        <v>24.95</v>
      </c>
      <c r="Q17" s="208">
        <v>55.430861723446903</v>
      </c>
      <c r="R17" s="221">
        <v>1.8040491684743312</v>
      </c>
      <c r="S17" s="204">
        <v>1</v>
      </c>
      <c r="T17" s="204">
        <v>1</v>
      </c>
      <c r="U17" s="205">
        <v>0.33333333333333331</v>
      </c>
      <c r="V17" s="204">
        <v>1</v>
      </c>
      <c r="W17" s="204">
        <v>0</v>
      </c>
      <c r="X17" s="206">
        <v>24.95</v>
      </c>
      <c r="Y17" s="222">
        <v>0</v>
      </c>
    </row>
    <row r="18" spans="1:25" ht="14.25" customHeight="1" x14ac:dyDescent="0.3">
      <c r="A18" s="201">
        <v>45872</v>
      </c>
      <c r="B18" s="202">
        <v>45877</v>
      </c>
      <c r="C18" s="203" t="s">
        <v>48</v>
      </c>
      <c r="D18" s="203" t="s">
        <v>28</v>
      </c>
      <c r="E18" s="203" t="s">
        <v>62</v>
      </c>
      <c r="F18" s="203" t="s">
        <v>63</v>
      </c>
      <c r="G18" s="203" t="s">
        <v>31</v>
      </c>
      <c r="H18" s="203" t="s">
        <v>64</v>
      </c>
      <c r="I18" s="203" t="s">
        <v>65</v>
      </c>
      <c r="J18" s="203" t="s">
        <v>64</v>
      </c>
      <c r="K18" s="204">
        <v>24</v>
      </c>
      <c r="L18" s="204">
        <v>2</v>
      </c>
      <c r="M18" s="205">
        <v>8.3333333333333315E-2</v>
      </c>
      <c r="N18" s="206">
        <v>4.9550000000000001</v>
      </c>
      <c r="O18" s="208">
        <v>9.91</v>
      </c>
      <c r="P18" s="208">
        <v>24.95</v>
      </c>
      <c r="Q18" s="208">
        <v>39.719438877755515</v>
      </c>
      <c r="R18" s="221">
        <v>2.5176589303733601</v>
      </c>
      <c r="S18" s="204">
        <v>1</v>
      </c>
      <c r="T18" s="204">
        <v>1</v>
      </c>
      <c r="U18" s="205">
        <v>0.5</v>
      </c>
      <c r="V18" s="204">
        <v>1</v>
      </c>
      <c r="W18" s="204">
        <v>0</v>
      </c>
      <c r="X18" s="206">
        <v>24.95</v>
      </c>
      <c r="Y18" s="222">
        <v>0</v>
      </c>
    </row>
    <row r="19" spans="1:25" ht="14.25" customHeight="1" x14ac:dyDescent="0.3">
      <c r="A19" s="201">
        <v>45873</v>
      </c>
      <c r="B19" s="202">
        <v>45877</v>
      </c>
      <c r="C19" s="203" t="s">
        <v>27</v>
      </c>
      <c r="D19" s="203" t="s">
        <v>28</v>
      </c>
      <c r="E19" s="203" t="s">
        <v>29</v>
      </c>
      <c r="F19" s="203" t="s">
        <v>30</v>
      </c>
      <c r="G19" s="203" t="s">
        <v>31</v>
      </c>
      <c r="H19" s="203" t="s">
        <v>30</v>
      </c>
      <c r="I19" s="203" t="s">
        <v>32</v>
      </c>
      <c r="J19" s="203" t="s">
        <v>786</v>
      </c>
      <c r="K19" s="204">
        <v>9</v>
      </c>
      <c r="L19" s="204">
        <v>4</v>
      </c>
      <c r="M19" s="205">
        <v>0.44444444444444442</v>
      </c>
      <c r="N19" s="206">
        <v>2.3774999999999999</v>
      </c>
      <c r="O19" s="208">
        <v>9.51</v>
      </c>
      <c r="P19" s="208">
        <v>24.94</v>
      </c>
      <c r="Q19" s="208">
        <v>38.131515637530065</v>
      </c>
      <c r="R19" s="221">
        <v>2.6225026288117772</v>
      </c>
      <c r="S19" s="204">
        <v>1</v>
      </c>
      <c r="T19" s="204">
        <v>1</v>
      </c>
      <c r="U19" s="205">
        <v>0.25</v>
      </c>
      <c r="V19" s="204">
        <v>1</v>
      </c>
      <c r="W19" s="204">
        <v>0</v>
      </c>
      <c r="X19" s="206">
        <v>24.94</v>
      </c>
      <c r="Y19" s="222">
        <v>0</v>
      </c>
    </row>
    <row r="20" spans="1:25" ht="14.25" customHeight="1" x14ac:dyDescent="0.3">
      <c r="A20" s="201">
        <v>45873</v>
      </c>
      <c r="B20" s="202">
        <v>45877</v>
      </c>
      <c r="C20" s="203" t="s">
        <v>85</v>
      </c>
      <c r="D20" s="203" t="s">
        <v>28</v>
      </c>
      <c r="E20" s="203" t="s">
        <v>108</v>
      </c>
      <c r="F20" s="203" t="s">
        <v>109</v>
      </c>
      <c r="G20" s="203" t="s">
        <v>31</v>
      </c>
      <c r="H20" s="203" t="s">
        <v>110</v>
      </c>
      <c r="I20" s="203" t="s">
        <v>44</v>
      </c>
      <c r="J20" s="203" t="s">
        <v>698</v>
      </c>
      <c r="K20" s="204">
        <v>3</v>
      </c>
      <c r="L20" s="204">
        <v>2</v>
      </c>
      <c r="M20" s="205">
        <v>0.66666666666666663</v>
      </c>
      <c r="N20" s="206">
        <v>1.2</v>
      </c>
      <c r="O20" s="208">
        <v>2.4</v>
      </c>
      <c r="P20" s="208">
        <v>29.99</v>
      </c>
      <c r="Q20" s="208">
        <v>8.0026675558519518</v>
      </c>
      <c r="R20" s="221">
        <v>12.495833333333334</v>
      </c>
      <c r="S20" s="204">
        <v>1</v>
      </c>
      <c r="T20" s="204">
        <v>1</v>
      </c>
      <c r="U20" s="205">
        <v>0.5</v>
      </c>
      <c r="V20" s="204">
        <v>1</v>
      </c>
      <c r="W20" s="204">
        <v>0</v>
      </c>
      <c r="X20" s="206">
        <v>29.99</v>
      </c>
      <c r="Y20" s="222">
        <v>0</v>
      </c>
    </row>
    <row r="21" spans="1:25" ht="14.25" customHeight="1" x14ac:dyDescent="0.3">
      <c r="A21" s="201">
        <v>45873</v>
      </c>
      <c r="B21" s="202">
        <v>45878</v>
      </c>
      <c r="C21" s="203" t="s">
        <v>40</v>
      </c>
      <c r="D21" s="203" t="s">
        <v>28</v>
      </c>
      <c r="E21" s="203" t="s">
        <v>41</v>
      </c>
      <c r="F21" s="203" t="s">
        <v>42</v>
      </c>
      <c r="G21" s="203" t="s">
        <v>31</v>
      </c>
      <c r="H21" s="203" t="s">
        <v>43</v>
      </c>
      <c r="I21" s="203" t="s">
        <v>44</v>
      </c>
      <c r="J21" s="203" t="s">
        <v>60</v>
      </c>
      <c r="K21" s="204">
        <v>39</v>
      </c>
      <c r="L21" s="204">
        <v>6</v>
      </c>
      <c r="M21" s="205">
        <v>0.15384615384615385</v>
      </c>
      <c r="N21" s="206">
        <v>3.3049999999999997</v>
      </c>
      <c r="O21" s="208">
        <v>19.829999999999998</v>
      </c>
      <c r="P21" s="208">
        <v>24.94</v>
      </c>
      <c r="Q21" s="208">
        <v>79.51082598235763</v>
      </c>
      <c r="R21" s="221">
        <v>1.2576903681290974</v>
      </c>
      <c r="S21" s="204">
        <v>1</v>
      </c>
      <c r="T21" s="204">
        <v>1</v>
      </c>
      <c r="U21" s="205">
        <v>0.16666666666666663</v>
      </c>
      <c r="V21" s="204">
        <v>1</v>
      </c>
      <c r="W21" s="204">
        <v>0</v>
      </c>
      <c r="X21" s="206">
        <v>24.94</v>
      </c>
      <c r="Y21" s="222">
        <v>0</v>
      </c>
    </row>
    <row r="22" spans="1:25" ht="14.25" customHeight="1" x14ac:dyDescent="0.3">
      <c r="A22" s="201">
        <v>45873</v>
      </c>
      <c r="B22" s="202">
        <v>45877</v>
      </c>
      <c r="C22" s="203" t="s">
        <v>40</v>
      </c>
      <c r="D22" s="203" t="s">
        <v>28</v>
      </c>
      <c r="E22" s="203" t="s">
        <v>41</v>
      </c>
      <c r="F22" s="203" t="s">
        <v>42</v>
      </c>
      <c r="G22" s="203" t="s">
        <v>31</v>
      </c>
      <c r="H22" s="203" t="s">
        <v>43</v>
      </c>
      <c r="I22" s="203" t="s">
        <v>44</v>
      </c>
      <c r="J22" s="203" t="s">
        <v>43</v>
      </c>
      <c r="K22" s="204">
        <v>210</v>
      </c>
      <c r="L22" s="204">
        <v>7</v>
      </c>
      <c r="M22" s="205">
        <v>3.3333333333333333E-2</v>
      </c>
      <c r="N22" s="206">
        <v>3.1485714285714286</v>
      </c>
      <c r="O22" s="208">
        <v>22.04</v>
      </c>
      <c r="P22" s="208">
        <v>74.820000000000007</v>
      </c>
      <c r="Q22" s="208">
        <v>29.457364341085267</v>
      </c>
      <c r="R22" s="221">
        <v>3.3947368421052637</v>
      </c>
      <c r="S22" s="204">
        <v>3</v>
      </c>
      <c r="T22" s="204">
        <v>3</v>
      </c>
      <c r="U22" s="205">
        <v>0.42857142857142855</v>
      </c>
      <c r="V22" s="204">
        <v>3</v>
      </c>
      <c r="W22" s="204">
        <v>0</v>
      </c>
      <c r="X22" s="206">
        <v>74.820000000000007</v>
      </c>
      <c r="Y22" s="222">
        <v>0</v>
      </c>
    </row>
    <row r="23" spans="1:25" ht="14.25" customHeight="1" x14ac:dyDescent="0.3">
      <c r="A23" s="201">
        <v>45873</v>
      </c>
      <c r="B23" s="202">
        <v>45876</v>
      </c>
      <c r="C23" s="203" t="s">
        <v>27</v>
      </c>
      <c r="D23" s="203" t="s">
        <v>28</v>
      </c>
      <c r="E23" s="203" t="s">
        <v>71</v>
      </c>
      <c r="F23" s="203" t="s">
        <v>72</v>
      </c>
      <c r="G23" s="203" t="s">
        <v>31</v>
      </c>
      <c r="H23" s="203" t="s">
        <v>73</v>
      </c>
      <c r="I23" s="203" t="s">
        <v>52</v>
      </c>
      <c r="J23" s="203" t="s">
        <v>617</v>
      </c>
      <c r="K23" s="204">
        <v>3</v>
      </c>
      <c r="L23" s="204">
        <v>2</v>
      </c>
      <c r="M23" s="205">
        <v>0.66666666666666663</v>
      </c>
      <c r="N23" s="206">
        <v>3.2050000000000001</v>
      </c>
      <c r="O23" s="208">
        <v>6.41</v>
      </c>
      <c r="P23" s="208">
        <v>24.94</v>
      </c>
      <c r="Q23" s="208">
        <v>25.70168404170008</v>
      </c>
      <c r="R23" s="221">
        <v>3.8907956318252732</v>
      </c>
      <c r="S23" s="204">
        <v>1</v>
      </c>
      <c r="T23" s="204">
        <v>1</v>
      </c>
      <c r="U23" s="205">
        <v>0.5</v>
      </c>
      <c r="V23" s="204">
        <v>1</v>
      </c>
      <c r="W23" s="204">
        <v>0</v>
      </c>
      <c r="X23" s="206">
        <v>24.94</v>
      </c>
      <c r="Y23" s="222">
        <v>0</v>
      </c>
    </row>
    <row r="24" spans="1:25" ht="14.25" customHeight="1" x14ac:dyDescent="0.3">
      <c r="A24" s="201">
        <v>45873</v>
      </c>
      <c r="B24" s="202">
        <v>45873</v>
      </c>
      <c r="C24" s="203" t="s">
        <v>27</v>
      </c>
      <c r="D24" s="203" t="s">
        <v>28</v>
      </c>
      <c r="E24" s="203" t="s">
        <v>56</v>
      </c>
      <c r="F24" s="203" t="s">
        <v>57</v>
      </c>
      <c r="G24" s="203" t="s">
        <v>31</v>
      </c>
      <c r="H24" s="203" t="s">
        <v>914</v>
      </c>
      <c r="I24" s="203" t="s">
        <v>32</v>
      </c>
      <c r="J24" s="203" t="s">
        <v>101</v>
      </c>
      <c r="K24" s="204">
        <v>875</v>
      </c>
      <c r="L24" s="204">
        <v>5</v>
      </c>
      <c r="M24" s="205">
        <v>5.7142857142857143E-3</v>
      </c>
      <c r="N24" s="206">
        <v>2.2679999999999998</v>
      </c>
      <c r="O24" s="208">
        <v>11.34</v>
      </c>
      <c r="P24" s="208">
        <v>49.88</v>
      </c>
      <c r="Q24" s="208">
        <v>22.734562951082594</v>
      </c>
      <c r="R24" s="221">
        <v>4.3985890652557318</v>
      </c>
      <c r="S24" s="204">
        <v>1</v>
      </c>
      <c r="T24" s="204">
        <v>2</v>
      </c>
      <c r="U24" s="205">
        <v>0.2</v>
      </c>
      <c r="V24" s="204">
        <v>2</v>
      </c>
      <c r="W24" s="204">
        <v>0</v>
      </c>
      <c r="X24" s="206">
        <v>49.88</v>
      </c>
      <c r="Y24" s="222">
        <v>0</v>
      </c>
    </row>
    <row r="25" spans="1:25" ht="14.25" customHeight="1" x14ac:dyDescent="0.3">
      <c r="A25" s="201">
        <v>45873</v>
      </c>
      <c r="B25" s="202">
        <v>45873</v>
      </c>
      <c r="C25" s="203" t="s">
        <v>40</v>
      </c>
      <c r="D25" s="203" t="s">
        <v>28</v>
      </c>
      <c r="E25" s="203" t="s">
        <v>41</v>
      </c>
      <c r="F25" s="203" t="s">
        <v>42</v>
      </c>
      <c r="G25" s="203" t="s">
        <v>31</v>
      </c>
      <c r="H25" s="203" t="s">
        <v>43</v>
      </c>
      <c r="I25" s="203" t="s">
        <v>44</v>
      </c>
      <c r="J25" s="203" t="s">
        <v>793</v>
      </c>
      <c r="K25" s="204">
        <v>1</v>
      </c>
      <c r="L25" s="204">
        <v>1</v>
      </c>
      <c r="M25" s="205">
        <v>1</v>
      </c>
      <c r="N25" s="206">
        <v>3.27</v>
      </c>
      <c r="O25" s="208">
        <v>3.27</v>
      </c>
      <c r="P25" s="208">
        <v>24.94</v>
      </c>
      <c r="Q25" s="208">
        <v>13.111467522052928</v>
      </c>
      <c r="R25" s="221">
        <v>7.6269113149847101</v>
      </c>
      <c r="S25" s="204">
        <v>1</v>
      </c>
      <c r="T25" s="204">
        <v>1</v>
      </c>
      <c r="U25" s="205">
        <v>1</v>
      </c>
      <c r="V25" s="204">
        <v>1</v>
      </c>
      <c r="W25" s="204">
        <v>0</v>
      </c>
      <c r="X25" s="206">
        <v>24.94</v>
      </c>
      <c r="Y25" s="222">
        <v>0</v>
      </c>
    </row>
    <row r="26" spans="1:25" ht="14.25" customHeight="1" x14ac:dyDescent="0.3">
      <c r="A26" s="201">
        <v>45873</v>
      </c>
      <c r="B26" s="202">
        <v>45873</v>
      </c>
      <c r="C26" s="203" t="s">
        <v>27</v>
      </c>
      <c r="D26" s="203" t="s">
        <v>28</v>
      </c>
      <c r="E26" s="203" t="s">
        <v>56</v>
      </c>
      <c r="F26" s="203" t="s">
        <v>57</v>
      </c>
      <c r="G26" s="203" t="s">
        <v>31</v>
      </c>
      <c r="H26" s="203" t="s">
        <v>914</v>
      </c>
      <c r="I26" s="203" t="s">
        <v>32</v>
      </c>
      <c r="J26" s="203" t="s">
        <v>401</v>
      </c>
      <c r="K26" s="204">
        <v>1</v>
      </c>
      <c r="L26" s="204">
        <v>1</v>
      </c>
      <c r="M26" s="205">
        <v>1</v>
      </c>
      <c r="N26" s="206">
        <v>2.1800000000000002</v>
      </c>
      <c r="O26" s="208">
        <v>2.1800000000000002</v>
      </c>
      <c r="P26" s="208">
        <v>24.94</v>
      </c>
      <c r="Q26" s="208">
        <v>8.7409783480352843</v>
      </c>
      <c r="R26" s="221">
        <v>11.440366972477063</v>
      </c>
      <c r="S26" s="204">
        <v>1</v>
      </c>
      <c r="T26" s="204">
        <v>1</v>
      </c>
      <c r="U26" s="205">
        <v>1</v>
      </c>
      <c r="V26" s="204">
        <v>1</v>
      </c>
      <c r="W26" s="204">
        <v>0</v>
      </c>
      <c r="X26" s="206">
        <v>24.94</v>
      </c>
      <c r="Y26" s="222">
        <v>0</v>
      </c>
    </row>
    <row r="27" spans="1:25" ht="14.25" customHeight="1" x14ac:dyDescent="0.3">
      <c r="A27" s="201">
        <v>45874</v>
      </c>
      <c r="B27" s="202">
        <v>45874</v>
      </c>
      <c r="C27" s="203" t="s">
        <v>40</v>
      </c>
      <c r="D27" s="203" t="s">
        <v>28</v>
      </c>
      <c r="E27" s="203" t="s">
        <v>41</v>
      </c>
      <c r="F27" s="203" t="s">
        <v>42</v>
      </c>
      <c r="G27" s="203" t="s">
        <v>31</v>
      </c>
      <c r="H27" s="203" t="s">
        <v>43</v>
      </c>
      <c r="I27" s="203" t="s">
        <v>44</v>
      </c>
      <c r="J27" s="203" t="s">
        <v>773</v>
      </c>
      <c r="K27" s="204">
        <v>1</v>
      </c>
      <c r="L27" s="204">
        <v>1</v>
      </c>
      <c r="M27" s="205">
        <v>1</v>
      </c>
      <c r="N27" s="206">
        <v>3.14</v>
      </c>
      <c r="O27" s="208">
        <v>3.14</v>
      </c>
      <c r="P27" s="208">
        <v>24.94</v>
      </c>
      <c r="Q27" s="208">
        <v>12.590216519647154</v>
      </c>
      <c r="R27" s="221">
        <v>7.9426751592356686</v>
      </c>
      <c r="S27" s="204">
        <v>1</v>
      </c>
      <c r="T27" s="204">
        <v>1</v>
      </c>
      <c r="U27" s="205">
        <v>1</v>
      </c>
      <c r="V27" s="204">
        <v>1</v>
      </c>
      <c r="W27" s="204">
        <v>0</v>
      </c>
      <c r="X27" s="206">
        <v>24.94</v>
      </c>
      <c r="Y27" s="222">
        <v>0</v>
      </c>
    </row>
    <row r="28" spans="1:25" ht="14.25" customHeight="1" x14ac:dyDescent="0.3">
      <c r="A28" s="201">
        <v>45874</v>
      </c>
      <c r="B28" s="202">
        <v>45877</v>
      </c>
      <c r="C28" s="203" t="s">
        <v>27</v>
      </c>
      <c r="D28" s="203" t="s">
        <v>28</v>
      </c>
      <c r="E28" s="203" t="s">
        <v>71</v>
      </c>
      <c r="F28" s="203" t="s">
        <v>72</v>
      </c>
      <c r="G28" s="203" t="s">
        <v>31</v>
      </c>
      <c r="H28" s="203" t="s">
        <v>73</v>
      </c>
      <c r="I28" s="203" t="s">
        <v>52</v>
      </c>
      <c r="J28" s="203" t="s">
        <v>97</v>
      </c>
      <c r="K28" s="204">
        <v>23</v>
      </c>
      <c r="L28" s="204">
        <v>3</v>
      </c>
      <c r="M28" s="205">
        <v>0.13043478260869565</v>
      </c>
      <c r="N28" s="206">
        <v>3.7766666666666668</v>
      </c>
      <c r="O28" s="208">
        <v>11.33</v>
      </c>
      <c r="P28" s="208">
        <v>24.94</v>
      </c>
      <c r="Q28" s="208">
        <v>45.429029671210905</v>
      </c>
      <c r="R28" s="221">
        <v>2.2012356575463374</v>
      </c>
      <c r="S28" s="204">
        <v>1</v>
      </c>
      <c r="T28" s="204">
        <v>1</v>
      </c>
      <c r="U28" s="205">
        <v>0.33333333333333331</v>
      </c>
      <c r="V28" s="204">
        <v>1</v>
      </c>
      <c r="W28" s="204">
        <v>0</v>
      </c>
      <c r="X28" s="206">
        <v>24.94</v>
      </c>
      <c r="Y28" s="222">
        <v>0</v>
      </c>
    </row>
    <row r="29" spans="1:25" ht="14.25" customHeight="1" x14ac:dyDescent="0.3">
      <c r="A29" s="201">
        <v>45874</v>
      </c>
      <c r="B29" s="202">
        <v>45874</v>
      </c>
      <c r="C29" s="203" t="s">
        <v>27</v>
      </c>
      <c r="D29" s="203" t="s">
        <v>28</v>
      </c>
      <c r="E29" s="203" t="s">
        <v>56</v>
      </c>
      <c r="F29" s="203" t="s">
        <v>57</v>
      </c>
      <c r="G29" s="203" t="s">
        <v>31</v>
      </c>
      <c r="H29" s="203" t="s">
        <v>914</v>
      </c>
      <c r="I29" s="203" t="s">
        <v>32</v>
      </c>
      <c r="J29" s="203" t="s">
        <v>776</v>
      </c>
      <c r="K29" s="204">
        <v>3</v>
      </c>
      <c r="L29" s="204">
        <v>1</v>
      </c>
      <c r="M29" s="205">
        <v>0.33333333333333331</v>
      </c>
      <c r="N29" s="206">
        <v>2.64</v>
      </c>
      <c r="O29" s="208">
        <v>2.64</v>
      </c>
      <c r="P29" s="208">
        <v>24.94</v>
      </c>
      <c r="Q29" s="208">
        <v>10.585404971932638</v>
      </c>
      <c r="R29" s="221">
        <v>9.4469696969696972</v>
      </c>
      <c r="S29" s="204">
        <v>1</v>
      </c>
      <c r="T29" s="204">
        <v>1</v>
      </c>
      <c r="U29" s="205">
        <v>1</v>
      </c>
      <c r="V29" s="204">
        <v>1</v>
      </c>
      <c r="W29" s="204">
        <v>0</v>
      </c>
      <c r="X29" s="206">
        <v>24.94</v>
      </c>
      <c r="Y29" s="222">
        <v>0</v>
      </c>
    </row>
    <row r="30" spans="1:25" ht="14.25" customHeight="1" x14ac:dyDescent="0.3">
      <c r="A30" s="201">
        <v>45874</v>
      </c>
      <c r="B30" s="202">
        <v>45874</v>
      </c>
      <c r="C30" s="203" t="s">
        <v>27</v>
      </c>
      <c r="D30" s="203" t="s">
        <v>28</v>
      </c>
      <c r="E30" s="203" t="s">
        <v>71</v>
      </c>
      <c r="F30" s="203" t="s">
        <v>72</v>
      </c>
      <c r="G30" s="203" t="s">
        <v>31</v>
      </c>
      <c r="H30" s="203" t="s">
        <v>51</v>
      </c>
      <c r="I30" s="203" t="s">
        <v>52</v>
      </c>
      <c r="J30" s="203" t="s">
        <v>370</v>
      </c>
      <c r="K30" s="204">
        <v>12</v>
      </c>
      <c r="L30" s="204">
        <v>2</v>
      </c>
      <c r="M30" s="205">
        <v>0.16666666666666663</v>
      </c>
      <c r="N30" s="206">
        <v>2.38</v>
      </c>
      <c r="O30" s="208">
        <v>4.76</v>
      </c>
      <c r="P30" s="208">
        <v>24.94</v>
      </c>
      <c r="Q30" s="208">
        <v>19.085805934242178</v>
      </c>
      <c r="R30" s="221">
        <v>5.2394957983193287</v>
      </c>
      <c r="S30" s="204">
        <v>1</v>
      </c>
      <c r="T30" s="204">
        <v>1</v>
      </c>
      <c r="U30" s="205">
        <v>0.5</v>
      </c>
      <c r="V30" s="204">
        <v>1</v>
      </c>
      <c r="W30" s="204">
        <v>0</v>
      </c>
      <c r="X30" s="206">
        <v>24.94</v>
      </c>
      <c r="Y30" s="222">
        <v>0</v>
      </c>
    </row>
    <row r="31" spans="1:25" ht="14.25" customHeight="1" x14ac:dyDescent="0.3">
      <c r="A31" s="201">
        <v>45874</v>
      </c>
      <c r="B31" s="202">
        <v>45874</v>
      </c>
      <c r="C31" s="203" t="s">
        <v>27</v>
      </c>
      <c r="D31" s="203" t="s">
        <v>28</v>
      </c>
      <c r="E31" s="203" t="s">
        <v>29</v>
      </c>
      <c r="F31" s="203" t="s">
        <v>30</v>
      </c>
      <c r="G31" s="203" t="s">
        <v>31</v>
      </c>
      <c r="H31" s="203" t="s">
        <v>30</v>
      </c>
      <c r="I31" s="203" t="s">
        <v>32</v>
      </c>
      <c r="J31" s="203" t="s">
        <v>164</v>
      </c>
      <c r="K31" s="204">
        <v>1</v>
      </c>
      <c r="L31" s="204">
        <v>1</v>
      </c>
      <c r="M31" s="205">
        <v>1</v>
      </c>
      <c r="N31" s="206">
        <v>2.95</v>
      </c>
      <c r="O31" s="208">
        <v>2.95</v>
      </c>
      <c r="P31" s="208">
        <v>24.94</v>
      </c>
      <c r="Q31" s="208">
        <v>11.828388131515638</v>
      </c>
      <c r="R31" s="221">
        <v>8.4542372881355927</v>
      </c>
      <c r="S31" s="204">
        <v>1</v>
      </c>
      <c r="T31" s="204">
        <v>1</v>
      </c>
      <c r="U31" s="205">
        <v>1</v>
      </c>
      <c r="V31" s="204">
        <v>1</v>
      </c>
      <c r="W31" s="204">
        <v>0</v>
      </c>
      <c r="X31" s="206">
        <v>24.94</v>
      </c>
      <c r="Y31" s="222">
        <v>0</v>
      </c>
    </row>
    <row r="32" spans="1:25" ht="14.25" customHeight="1" x14ac:dyDescent="0.3">
      <c r="A32" s="201">
        <v>45874</v>
      </c>
      <c r="B32" s="202">
        <v>45874</v>
      </c>
      <c r="C32" s="203" t="s">
        <v>48</v>
      </c>
      <c r="D32" s="203" t="s">
        <v>28</v>
      </c>
      <c r="E32" s="203" t="s">
        <v>446</v>
      </c>
      <c r="F32" s="203" t="s">
        <v>447</v>
      </c>
      <c r="G32" s="203" t="s">
        <v>31</v>
      </c>
      <c r="H32" s="203" t="s">
        <v>779</v>
      </c>
      <c r="I32" s="203" t="s">
        <v>44</v>
      </c>
      <c r="J32" s="203" t="s">
        <v>780</v>
      </c>
      <c r="K32" s="204">
        <v>3</v>
      </c>
      <c r="L32" s="204">
        <v>1</v>
      </c>
      <c r="M32" s="205">
        <v>0.33333333333333331</v>
      </c>
      <c r="N32" s="206">
        <v>2.63</v>
      </c>
      <c r="O32" s="208">
        <v>2.63</v>
      </c>
      <c r="P32" s="208">
        <v>21.95</v>
      </c>
      <c r="Q32" s="208">
        <v>11.981776765375853</v>
      </c>
      <c r="R32" s="221">
        <v>8.3460076045627378</v>
      </c>
      <c r="S32" s="204">
        <v>1</v>
      </c>
      <c r="T32" s="204">
        <v>1</v>
      </c>
      <c r="U32" s="205">
        <v>1</v>
      </c>
      <c r="V32" s="204">
        <v>1</v>
      </c>
      <c r="W32" s="204">
        <v>0</v>
      </c>
      <c r="X32" s="206">
        <v>21.95</v>
      </c>
      <c r="Y32" s="222">
        <v>0</v>
      </c>
    </row>
    <row r="33" spans="1:25" ht="14.25" customHeight="1" x14ac:dyDescent="0.3">
      <c r="A33" s="201">
        <v>45874</v>
      </c>
      <c r="B33" s="202">
        <v>45874</v>
      </c>
      <c r="C33" s="203" t="s">
        <v>27</v>
      </c>
      <c r="D33" s="203" t="s">
        <v>28</v>
      </c>
      <c r="E33" s="203" t="s">
        <v>29</v>
      </c>
      <c r="F33" s="203" t="s">
        <v>30</v>
      </c>
      <c r="G33" s="203" t="s">
        <v>31</v>
      </c>
      <c r="H33" s="203" t="s">
        <v>30</v>
      </c>
      <c r="I33" s="203" t="s">
        <v>32</v>
      </c>
      <c r="J33" s="203" t="s">
        <v>781</v>
      </c>
      <c r="K33" s="204">
        <v>7</v>
      </c>
      <c r="L33" s="204">
        <v>1</v>
      </c>
      <c r="M33" s="205">
        <v>0.14285714285714285</v>
      </c>
      <c r="N33" s="206">
        <v>2.75</v>
      </c>
      <c r="O33" s="208">
        <v>2.75</v>
      </c>
      <c r="P33" s="208">
        <v>24.94</v>
      </c>
      <c r="Q33" s="208">
        <v>11.026463512429832</v>
      </c>
      <c r="R33" s="221">
        <v>9.0690909090909102</v>
      </c>
      <c r="S33" s="204">
        <v>1</v>
      </c>
      <c r="T33" s="204">
        <v>1</v>
      </c>
      <c r="U33" s="205">
        <v>1</v>
      </c>
      <c r="V33" s="204">
        <v>1</v>
      </c>
      <c r="W33" s="204">
        <v>0</v>
      </c>
      <c r="X33" s="206">
        <v>24.94</v>
      </c>
      <c r="Y33" s="222">
        <v>0</v>
      </c>
    </row>
    <row r="34" spans="1:25" ht="14.25" customHeight="1" x14ac:dyDescent="0.3">
      <c r="A34" s="201">
        <v>45874</v>
      </c>
      <c r="B34" s="202">
        <v>45877</v>
      </c>
      <c r="C34" s="203" t="s">
        <v>48</v>
      </c>
      <c r="D34" s="203" t="s">
        <v>28</v>
      </c>
      <c r="E34" s="203" t="s">
        <v>49</v>
      </c>
      <c r="F34" s="203" t="s">
        <v>50</v>
      </c>
      <c r="G34" s="203" t="s">
        <v>31</v>
      </c>
      <c r="H34" s="203" t="s">
        <v>51</v>
      </c>
      <c r="I34" s="203" t="s">
        <v>52</v>
      </c>
      <c r="J34" s="203" t="s">
        <v>782</v>
      </c>
      <c r="K34" s="204">
        <v>9</v>
      </c>
      <c r="L34" s="204">
        <v>2</v>
      </c>
      <c r="M34" s="205">
        <v>0.22222222222222221</v>
      </c>
      <c r="N34" s="206">
        <v>2.415</v>
      </c>
      <c r="O34" s="208">
        <v>4.83</v>
      </c>
      <c r="P34" s="208">
        <v>21.95</v>
      </c>
      <c r="Q34" s="208">
        <v>22.004555808656036</v>
      </c>
      <c r="R34" s="221">
        <v>4.5445134575569357</v>
      </c>
      <c r="S34" s="204">
        <v>1</v>
      </c>
      <c r="T34" s="204">
        <v>1</v>
      </c>
      <c r="U34" s="205">
        <v>0.5</v>
      </c>
      <c r="V34" s="204">
        <v>1</v>
      </c>
      <c r="W34" s="204">
        <v>0</v>
      </c>
      <c r="X34" s="206">
        <v>21.95</v>
      </c>
      <c r="Y34" s="222">
        <v>0</v>
      </c>
    </row>
    <row r="35" spans="1:25" ht="14.25" customHeight="1" x14ac:dyDescent="0.3">
      <c r="A35" s="201">
        <v>45874</v>
      </c>
      <c r="B35" s="202">
        <v>45874</v>
      </c>
      <c r="C35" s="203" t="s">
        <v>48</v>
      </c>
      <c r="D35" s="203" t="s">
        <v>28</v>
      </c>
      <c r="E35" s="203" t="s">
        <v>233</v>
      </c>
      <c r="F35" s="203" t="s">
        <v>234</v>
      </c>
      <c r="G35" s="203" t="s">
        <v>31</v>
      </c>
      <c r="H35" s="203" t="s">
        <v>153</v>
      </c>
      <c r="I35" s="203" t="s">
        <v>32</v>
      </c>
      <c r="J35" s="203" t="s">
        <v>579</v>
      </c>
      <c r="K35" s="204">
        <v>1</v>
      </c>
      <c r="L35" s="204">
        <v>1</v>
      </c>
      <c r="M35" s="205">
        <v>1</v>
      </c>
      <c r="N35" s="206">
        <v>3.2</v>
      </c>
      <c r="O35" s="208">
        <v>3.2</v>
      </c>
      <c r="P35" s="208">
        <v>24.95</v>
      </c>
      <c r="Q35" s="208">
        <v>12.825651302605213</v>
      </c>
      <c r="R35" s="221">
        <v>7.7968749999999991</v>
      </c>
      <c r="S35" s="204">
        <v>1</v>
      </c>
      <c r="T35" s="204">
        <v>1</v>
      </c>
      <c r="U35" s="205">
        <v>1</v>
      </c>
      <c r="V35" s="204">
        <v>1</v>
      </c>
      <c r="W35" s="204">
        <v>0</v>
      </c>
      <c r="X35" s="206">
        <v>24.95</v>
      </c>
      <c r="Y35" s="222">
        <v>0</v>
      </c>
    </row>
    <row r="36" spans="1:25" ht="14.25" customHeight="1" x14ac:dyDescent="0.3">
      <c r="A36" s="201">
        <v>45875</v>
      </c>
      <c r="B36" s="202">
        <v>45875</v>
      </c>
      <c r="C36" s="203" t="s">
        <v>27</v>
      </c>
      <c r="D36" s="203" t="s">
        <v>28</v>
      </c>
      <c r="E36" s="203" t="s">
        <v>29</v>
      </c>
      <c r="F36" s="203" t="s">
        <v>30</v>
      </c>
      <c r="G36" s="203" t="s">
        <v>31</v>
      </c>
      <c r="H36" s="203" t="s">
        <v>30</v>
      </c>
      <c r="I36" s="203" t="s">
        <v>32</v>
      </c>
      <c r="J36" s="203" t="s">
        <v>766</v>
      </c>
      <c r="K36" s="204">
        <v>2</v>
      </c>
      <c r="L36" s="204">
        <v>1</v>
      </c>
      <c r="M36" s="205">
        <v>0.5</v>
      </c>
      <c r="N36" s="206">
        <v>1.82</v>
      </c>
      <c r="O36" s="208">
        <v>1.82</v>
      </c>
      <c r="P36" s="208">
        <v>24.94</v>
      </c>
      <c r="Q36" s="208">
        <v>7.2975140336808337</v>
      </c>
      <c r="R36" s="221">
        <v>13.703296703296704</v>
      </c>
      <c r="S36" s="204">
        <v>1</v>
      </c>
      <c r="T36" s="204">
        <v>1</v>
      </c>
      <c r="U36" s="205">
        <v>1</v>
      </c>
      <c r="V36" s="204">
        <v>1</v>
      </c>
      <c r="W36" s="204">
        <v>0</v>
      </c>
      <c r="X36" s="206">
        <v>24.94</v>
      </c>
      <c r="Y36" s="222">
        <v>0</v>
      </c>
    </row>
    <row r="37" spans="1:25" ht="14.25" customHeight="1" x14ac:dyDescent="0.3">
      <c r="A37" s="201">
        <v>45875</v>
      </c>
      <c r="B37" s="202">
        <v>45875</v>
      </c>
      <c r="C37" s="203" t="s">
        <v>27</v>
      </c>
      <c r="D37" s="203" t="s">
        <v>28</v>
      </c>
      <c r="E37" s="203" t="s">
        <v>56</v>
      </c>
      <c r="F37" s="203" t="s">
        <v>57</v>
      </c>
      <c r="G37" s="203" t="s">
        <v>31</v>
      </c>
      <c r="H37" s="203" t="s">
        <v>914</v>
      </c>
      <c r="I37" s="203" t="s">
        <v>32</v>
      </c>
      <c r="J37" s="203" t="s">
        <v>767</v>
      </c>
      <c r="K37" s="204">
        <v>28</v>
      </c>
      <c r="L37" s="204">
        <v>1</v>
      </c>
      <c r="M37" s="205">
        <v>3.5714285714285712E-2</v>
      </c>
      <c r="N37" s="206">
        <v>2.37</v>
      </c>
      <c r="O37" s="208">
        <v>2.37</v>
      </c>
      <c r="P37" s="208">
        <v>24.94</v>
      </c>
      <c r="Q37" s="208">
        <v>9.5028067361668001</v>
      </c>
      <c r="R37" s="221">
        <v>10.523206751054852</v>
      </c>
      <c r="S37" s="204">
        <v>1</v>
      </c>
      <c r="T37" s="204">
        <v>1</v>
      </c>
      <c r="U37" s="205">
        <v>1</v>
      </c>
      <c r="V37" s="204">
        <v>1</v>
      </c>
      <c r="W37" s="204">
        <v>0</v>
      </c>
      <c r="X37" s="206">
        <v>24.94</v>
      </c>
      <c r="Y37" s="222">
        <v>0</v>
      </c>
    </row>
    <row r="38" spans="1:25" ht="14.25" customHeight="1" x14ac:dyDescent="0.3">
      <c r="A38" s="201">
        <v>45875</v>
      </c>
      <c r="B38" s="202">
        <v>45875</v>
      </c>
      <c r="C38" s="203" t="s">
        <v>40</v>
      </c>
      <c r="D38" s="203" t="s">
        <v>28</v>
      </c>
      <c r="E38" s="203" t="s">
        <v>41</v>
      </c>
      <c r="F38" s="203" t="s">
        <v>42</v>
      </c>
      <c r="G38" s="203" t="s">
        <v>31</v>
      </c>
      <c r="H38" s="203" t="s">
        <v>43</v>
      </c>
      <c r="I38" s="203" t="s">
        <v>44</v>
      </c>
      <c r="J38" s="203" t="s">
        <v>769</v>
      </c>
      <c r="K38" s="204">
        <v>3</v>
      </c>
      <c r="L38" s="204">
        <v>1</v>
      </c>
      <c r="M38" s="205">
        <v>0.33333333333333331</v>
      </c>
      <c r="N38" s="206">
        <v>3.27</v>
      </c>
      <c r="O38" s="208">
        <v>3.27</v>
      </c>
      <c r="P38" s="208">
        <v>24.94</v>
      </c>
      <c r="Q38" s="208">
        <v>13.111467522052928</v>
      </c>
      <c r="R38" s="221">
        <v>7.6269113149847101</v>
      </c>
      <c r="S38" s="204">
        <v>1</v>
      </c>
      <c r="T38" s="204">
        <v>1</v>
      </c>
      <c r="U38" s="205">
        <v>1</v>
      </c>
      <c r="V38" s="204">
        <v>1</v>
      </c>
      <c r="W38" s="204">
        <v>0</v>
      </c>
      <c r="X38" s="206">
        <v>24.94</v>
      </c>
      <c r="Y38" s="222">
        <v>0</v>
      </c>
    </row>
    <row r="39" spans="1:25" ht="14.25" customHeight="1" x14ac:dyDescent="0.3">
      <c r="A39" s="201">
        <v>45875</v>
      </c>
      <c r="B39" s="202">
        <v>45878</v>
      </c>
      <c r="C39" s="203" t="s">
        <v>27</v>
      </c>
      <c r="D39" s="203" t="s">
        <v>28</v>
      </c>
      <c r="E39" s="203" t="s">
        <v>71</v>
      </c>
      <c r="F39" s="203" t="s">
        <v>72</v>
      </c>
      <c r="G39" s="203" t="s">
        <v>31</v>
      </c>
      <c r="H39" s="203" t="s">
        <v>51</v>
      </c>
      <c r="I39" s="203" t="s">
        <v>52</v>
      </c>
      <c r="J39" s="203" t="s">
        <v>306</v>
      </c>
      <c r="K39" s="204">
        <v>17</v>
      </c>
      <c r="L39" s="204">
        <v>3</v>
      </c>
      <c r="M39" s="205">
        <v>0.17647058823529413</v>
      </c>
      <c r="N39" s="206">
        <v>1.62</v>
      </c>
      <c r="O39" s="208">
        <v>4.8600000000000003</v>
      </c>
      <c r="P39" s="208">
        <v>24.94</v>
      </c>
      <c r="Q39" s="208">
        <v>19.486768243785086</v>
      </c>
      <c r="R39" s="221">
        <v>5.1316872427983542</v>
      </c>
      <c r="S39" s="204">
        <v>1</v>
      </c>
      <c r="T39" s="204">
        <v>1</v>
      </c>
      <c r="U39" s="205">
        <v>0.33333333333333331</v>
      </c>
      <c r="V39" s="204">
        <v>1</v>
      </c>
      <c r="W39" s="204">
        <v>0</v>
      </c>
      <c r="X39" s="206">
        <v>24.94</v>
      </c>
      <c r="Y39" s="222">
        <v>0</v>
      </c>
    </row>
    <row r="40" spans="1:25" ht="14.25" customHeight="1" x14ac:dyDescent="0.3">
      <c r="A40" s="201">
        <v>45875</v>
      </c>
      <c r="B40" s="202">
        <v>45878</v>
      </c>
      <c r="C40" s="203" t="s">
        <v>48</v>
      </c>
      <c r="D40" s="203" t="s">
        <v>28</v>
      </c>
      <c r="E40" s="203" t="s">
        <v>233</v>
      </c>
      <c r="F40" s="203" t="s">
        <v>234</v>
      </c>
      <c r="G40" s="203" t="s">
        <v>31</v>
      </c>
      <c r="H40" s="203" t="s">
        <v>153</v>
      </c>
      <c r="I40" s="203" t="s">
        <v>32</v>
      </c>
      <c r="J40" s="203" t="s">
        <v>771</v>
      </c>
      <c r="K40" s="204">
        <v>7</v>
      </c>
      <c r="L40" s="204">
        <v>2</v>
      </c>
      <c r="M40" s="205">
        <v>0.2857142857142857</v>
      </c>
      <c r="N40" s="206">
        <v>2.395</v>
      </c>
      <c r="O40" s="208">
        <v>4.79</v>
      </c>
      <c r="P40" s="208">
        <v>21.95</v>
      </c>
      <c r="Q40" s="208">
        <v>21.82232346241458</v>
      </c>
      <c r="R40" s="221">
        <v>4.5824634655532357</v>
      </c>
      <c r="S40" s="204">
        <v>1</v>
      </c>
      <c r="T40" s="204">
        <v>1</v>
      </c>
      <c r="U40" s="205">
        <v>0.5</v>
      </c>
      <c r="V40" s="204">
        <v>1</v>
      </c>
      <c r="W40" s="204">
        <v>0</v>
      </c>
      <c r="X40" s="206">
        <v>21.95</v>
      </c>
      <c r="Y40" s="222">
        <v>0</v>
      </c>
    </row>
    <row r="41" spans="1:25" ht="14.25" customHeight="1" x14ac:dyDescent="0.3">
      <c r="A41" s="201">
        <v>45876</v>
      </c>
      <c r="B41" s="202">
        <v>45876</v>
      </c>
      <c r="C41" s="203" t="s">
        <v>143</v>
      </c>
      <c r="D41" s="203" t="s">
        <v>28</v>
      </c>
      <c r="E41" s="203" t="s">
        <v>144</v>
      </c>
      <c r="F41" s="203" t="s">
        <v>32</v>
      </c>
      <c r="G41" s="203" t="s">
        <v>31</v>
      </c>
      <c r="H41" s="203" t="s">
        <v>30</v>
      </c>
      <c r="I41" s="203" t="s">
        <v>44</v>
      </c>
      <c r="J41" s="203" t="s">
        <v>759</v>
      </c>
      <c r="K41" s="204">
        <v>5</v>
      </c>
      <c r="L41" s="204">
        <v>1</v>
      </c>
      <c r="M41" s="205">
        <v>0.2</v>
      </c>
      <c r="N41" s="206">
        <v>1.82</v>
      </c>
      <c r="O41" s="208">
        <v>1.82</v>
      </c>
      <c r="P41" s="208">
        <v>24.94</v>
      </c>
      <c r="Q41" s="208">
        <v>7.2975140336808337</v>
      </c>
      <c r="R41" s="221">
        <v>13.703296703296704</v>
      </c>
      <c r="S41" s="204">
        <v>1</v>
      </c>
      <c r="T41" s="204">
        <v>1</v>
      </c>
      <c r="U41" s="205">
        <v>1</v>
      </c>
      <c r="V41" s="204">
        <v>1</v>
      </c>
      <c r="W41" s="204">
        <v>0</v>
      </c>
      <c r="X41" s="206">
        <v>24.94</v>
      </c>
      <c r="Y41" s="222">
        <v>0</v>
      </c>
    </row>
    <row r="42" spans="1:25" ht="14.25" customHeight="1" x14ac:dyDescent="0.3">
      <c r="A42" s="201">
        <v>45876</v>
      </c>
      <c r="B42" s="202">
        <v>45876</v>
      </c>
      <c r="C42" s="203" t="s">
        <v>27</v>
      </c>
      <c r="D42" s="203" t="s">
        <v>28</v>
      </c>
      <c r="E42" s="203" t="s">
        <v>29</v>
      </c>
      <c r="F42" s="203" t="s">
        <v>30</v>
      </c>
      <c r="G42" s="203" t="s">
        <v>31</v>
      </c>
      <c r="H42" s="203" t="s">
        <v>760</v>
      </c>
      <c r="I42" s="203" t="s">
        <v>32</v>
      </c>
      <c r="J42" s="203" t="s">
        <v>761</v>
      </c>
      <c r="K42" s="204">
        <v>59</v>
      </c>
      <c r="L42" s="204">
        <v>1</v>
      </c>
      <c r="M42" s="205">
        <v>1.6949152542372881E-2</v>
      </c>
      <c r="N42" s="206">
        <v>4.7699999999999996</v>
      </c>
      <c r="O42" s="208">
        <v>4.7699999999999996</v>
      </c>
      <c r="P42" s="208">
        <v>24.94</v>
      </c>
      <c r="Q42" s="208">
        <v>19.125902165196468</v>
      </c>
      <c r="R42" s="221">
        <v>5.2285115303983236</v>
      </c>
      <c r="S42" s="204">
        <v>1</v>
      </c>
      <c r="T42" s="204">
        <v>1</v>
      </c>
      <c r="U42" s="205">
        <v>1</v>
      </c>
      <c r="V42" s="204">
        <v>1</v>
      </c>
      <c r="W42" s="204">
        <v>0</v>
      </c>
      <c r="X42" s="206">
        <v>24.94</v>
      </c>
      <c r="Y42" s="222">
        <v>0</v>
      </c>
    </row>
    <row r="43" spans="1:25" ht="14.25" customHeight="1" x14ac:dyDescent="0.3">
      <c r="A43" s="201">
        <v>45876</v>
      </c>
      <c r="B43" s="202">
        <v>45876</v>
      </c>
      <c r="C43" s="203" t="s">
        <v>27</v>
      </c>
      <c r="D43" s="203" t="s">
        <v>28</v>
      </c>
      <c r="E43" s="203" t="s">
        <v>56</v>
      </c>
      <c r="F43" s="203" t="s">
        <v>57</v>
      </c>
      <c r="G43" s="203" t="s">
        <v>31</v>
      </c>
      <c r="H43" s="203" t="s">
        <v>914</v>
      </c>
      <c r="I43" s="203" t="s">
        <v>32</v>
      </c>
      <c r="J43" s="203" t="s">
        <v>762</v>
      </c>
      <c r="K43" s="204">
        <v>2</v>
      </c>
      <c r="L43" s="204">
        <v>1</v>
      </c>
      <c r="M43" s="205">
        <v>0.5</v>
      </c>
      <c r="N43" s="206">
        <v>3.05</v>
      </c>
      <c r="O43" s="208">
        <v>3.05</v>
      </c>
      <c r="P43" s="208">
        <v>24.94</v>
      </c>
      <c r="Q43" s="208">
        <v>12.229350441058539</v>
      </c>
      <c r="R43" s="221">
        <v>8.1770491803278702</v>
      </c>
      <c r="S43" s="204">
        <v>1</v>
      </c>
      <c r="T43" s="204">
        <v>1</v>
      </c>
      <c r="U43" s="205">
        <v>1</v>
      </c>
      <c r="V43" s="204">
        <v>1</v>
      </c>
      <c r="W43" s="204">
        <v>0</v>
      </c>
      <c r="X43" s="206">
        <v>24.94</v>
      </c>
      <c r="Y43" s="222">
        <v>0</v>
      </c>
    </row>
    <row r="44" spans="1:25" ht="14.25" customHeight="1" x14ac:dyDescent="0.3">
      <c r="A44" s="201">
        <v>45876</v>
      </c>
      <c r="B44" s="202">
        <v>45876</v>
      </c>
      <c r="C44" s="203" t="s">
        <v>494</v>
      </c>
      <c r="D44" s="203" t="s">
        <v>28</v>
      </c>
      <c r="E44" s="203" t="s">
        <v>495</v>
      </c>
      <c r="F44" s="203" t="s">
        <v>496</v>
      </c>
      <c r="G44" s="203" t="s">
        <v>31</v>
      </c>
      <c r="H44" s="203" t="s">
        <v>51</v>
      </c>
      <c r="I44" s="203" t="s">
        <v>52</v>
      </c>
      <c r="J44" s="203" t="s">
        <v>764</v>
      </c>
      <c r="K44" s="204">
        <v>1</v>
      </c>
      <c r="L44" s="204">
        <v>1</v>
      </c>
      <c r="M44" s="205">
        <v>1</v>
      </c>
      <c r="N44" s="206">
        <v>3.24</v>
      </c>
      <c r="O44" s="208">
        <v>3.24</v>
      </c>
      <c r="P44" s="208">
        <v>29.99</v>
      </c>
      <c r="Q44" s="208">
        <v>10.803601200400134</v>
      </c>
      <c r="R44" s="221">
        <v>9.2561728395061724</v>
      </c>
      <c r="S44" s="204">
        <v>1</v>
      </c>
      <c r="T44" s="204">
        <v>1</v>
      </c>
      <c r="U44" s="205">
        <v>1</v>
      </c>
      <c r="V44" s="204">
        <v>1</v>
      </c>
      <c r="W44" s="204">
        <v>0</v>
      </c>
      <c r="X44" s="206">
        <v>29.99</v>
      </c>
      <c r="Y44" s="222">
        <v>0</v>
      </c>
    </row>
    <row r="45" spans="1:25" ht="14.25" customHeight="1" x14ac:dyDescent="0.3">
      <c r="A45" s="201">
        <v>45876</v>
      </c>
      <c r="B45" s="202">
        <v>45878</v>
      </c>
      <c r="C45" s="203" t="s">
        <v>85</v>
      </c>
      <c r="D45" s="203" t="s">
        <v>28</v>
      </c>
      <c r="E45" s="203" t="s">
        <v>86</v>
      </c>
      <c r="F45" s="203" t="s">
        <v>87</v>
      </c>
      <c r="G45" s="203" t="s">
        <v>31</v>
      </c>
      <c r="H45" s="203" t="s">
        <v>87</v>
      </c>
      <c r="I45" s="203" t="s">
        <v>44</v>
      </c>
      <c r="J45" s="203" t="s">
        <v>87</v>
      </c>
      <c r="K45" s="204">
        <v>16</v>
      </c>
      <c r="L45" s="204">
        <v>3</v>
      </c>
      <c r="M45" s="205">
        <v>0.1875</v>
      </c>
      <c r="N45" s="206">
        <v>3.2300000000000004</v>
      </c>
      <c r="O45" s="208">
        <v>9.69</v>
      </c>
      <c r="P45" s="208">
        <v>65.849999999999994</v>
      </c>
      <c r="Q45" s="208">
        <v>14.715261958997724</v>
      </c>
      <c r="R45" s="221">
        <v>6.7956656346749211</v>
      </c>
      <c r="S45" s="204">
        <v>3</v>
      </c>
      <c r="T45" s="204">
        <v>3</v>
      </c>
      <c r="U45" s="205">
        <v>1</v>
      </c>
      <c r="V45" s="204">
        <v>3</v>
      </c>
      <c r="W45" s="204">
        <v>0</v>
      </c>
      <c r="X45" s="206">
        <v>65.849999999999994</v>
      </c>
      <c r="Y45" s="222">
        <v>0</v>
      </c>
    </row>
    <row r="46" spans="1:25" ht="14.25" customHeight="1" x14ac:dyDescent="0.3">
      <c r="A46" s="201">
        <v>45877</v>
      </c>
      <c r="B46" s="202">
        <v>45878</v>
      </c>
      <c r="C46" s="203" t="s">
        <v>40</v>
      </c>
      <c r="D46" s="203" t="s">
        <v>28</v>
      </c>
      <c r="E46" s="203" t="s">
        <v>41</v>
      </c>
      <c r="F46" s="203" t="s">
        <v>42</v>
      </c>
      <c r="G46" s="203" t="s">
        <v>31</v>
      </c>
      <c r="H46" s="203" t="s">
        <v>695</v>
      </c>
      <c r="I46" s="203" t="s">
        <v>44</v>
      </c>
      <c r="J46" s="203" t="s">
        <v>695</v>
      </c>
      <c r="K46" s="204">
        <v>11</v>
      </c>
      <c r="L46" s="204">
        <v>2</v>
      </c>
      <c r="M46" s="205">
        <v>0.18181818181818182</v>
      </c>
      <c r="N46" s="206">
        <v>3.3</v>
      </c>
      <c r="O46" s="208">
        <v>6.6</v>
      </c>
      <c r="P46" s="208">
        <v>49.88</v>
      </c>
      <c r="Q46" s="208">
        <v>13.231756214915796</v>
      </c>
      <c r="R46" s="221">
        <v>7.5575757575757585</v>
      </c>
      <c r="S46" s="204">
        <v>2</v>
      </c>
      <c r="T46" s="204">
        <v>2</v>
      </c>
      <c r="U46" s="205">
        <v>1</v>
      </c>
      <c r="V46" s="204">
        <v>2</v>
      </c>
      <c r="W46" s="204">
        <v>0</v>
      </c>
      <c r="X46" s="206">
        <v>49.88</v>
      </c>
      <c r="Y46" s="222">
        <v>0</v>
      </c>
    </row>
    <row r="47" spans="1:25" ht="14.25" customHeight="1" x14ac:dyDescent="0.3">
      <c r="A47" s="201">
        <v>45877</v>
      </c>
      <c r="B47" s="202">
        <v>45878</v>
      </c>
      <c r="C47" s="203" t="s">
        <v>48</v>
      </c>
      <c r="D47" s="203" t="s">
        <v>28</v>
      </c>
      <c r="E47" s="203" t="s">
        <v>62</v>
      </c>
      <c r="F47" s="203" t="s">
        <v>63</v>
      </c>
      <c r="G47" s="203" t="s">
        <v>31</v>
      </c>
      <c r="H47" s="203" t="s">
        <v>68</v>
      </c>
      <c r="I47" s="203" t="s">
        <v>65</v>
      </c>
      <c r="J47" s="203" t="s">
        <v>68</v>
      </c>
      <c r="K47" s="204">
        <v>47</v>
      </c>
      <c r="L47" s="204">
        <v>3</v>
      </c>
      <c r="M47" s="205">
        <v>6.3829787234042548E-2</v>
      </c>
      <c r="N47" s="206">
        <v>4.01</v>
      </c>
      <c r="O47" s="208">
        <v>12.03</v>
      </c>
      <c r="P47" s="208">
        <v>21.95</v>
      </c>
      <c r="Q47" s="208">
        <v>54.806378132118446</v>
      </c>
      <c r="R47" s="221">
        <v>1.8246051537822112</v>
      </c>
      <c r="S47" s="204">
        <v>1</v>
      </c>
      <c r="T47" s="204">
        <v>1</v>
      </c>
      <c r="U47" s="205">
        <v>0.33333333333333331</v>
      </c>
      <c r="V47" s="204">
        <v>1</v>
      </c>
      <c r="W47" s="204">
        <v>0</v>
      </c>
      <c r="X47" s="206">
        <v>21.95</v>
      </c>
      <c r="Y47" s="222">
        <v>0</v>
      </c>
    </row>
    <row r="48" spans="1:25" ht="14.25" customHeight="1" x14ac:dyDescent="0.3">
      <c r="A48" s="201">
        <v>45877</v>
      </c>
      <c r="B48" s="202">
        <v>45877</v>
      </c>
      <c r="C48" s="203" t="s">
        <v>48</v>
      </c>
      <c r="D48" s="203" t="s">
        <v>28</v>
      </c>
      <c r="E48" s="203" t="s">
        <v>233</v>
      </c>
      <c r="F48" s="203" t="s">
        <v>234</v>
      </c>
      <c r="G48" s="203" t="s">
        <v>31</v>
      </c>
      <c r="H48" s="203" t="s">
        <v>357</v>
      </c>
      <c r="I48" s="203" t="s">
        <v>32</v>
      </c>
      <c r="J48" s="203" t="s">
        <v>758</v>
      </c>
      <c r="K48" s="204">
        <v>91</v>
      </c>
      <c r="L48" s="204">
        <v>1</v>
      </c>
      <c r="M48" s="205">
        <v>1.098901098901099E-2</v>
      </c>
      <c r="N48" s="206">
        <v>4.0599999999999996</v>
      </c>
      <c r="O48" s="208">
        <v>4.0599999999999996</v>
      </c>
      <c r="P48" s="208">
        <v>43.9</v>
      </c>
      <c r="Q48" s="208">
        <v>9.2482915717539864</v>
      </c>
      <c r="R48" s="221">
        <v>10.8128078817734</v>
      </c>
      <c r="S48" s="204">
        <v>2</v>
      </c>
      <c r="T48" s="204">
        <v>2</v>
      </c>
      <c r="U48" s="205">
        <v>2</v>
      </c>
      <c r="V48" s="204">
        <v>2</v>
      </c>
      <c r="W48" s="204">
        <v>0</v>
      </c>
      <c r="X48" s="206">
        <v>43.9</v>
      </c>
      <c r="Y48" s="222">
        <v>0</v>
      </c>
    </row>
    <row r="49" spans="1:25" ht="14.25" customHeight="1" x14ac:dyDescent="0.3">
      <c r="A49" s="201">
        <v>45878</v>
      </c>
      <c r="B49" s="202">
        <v>45878</v>
      </c>
      <c r="C49" s="203" t="s">
        <v>143</v>
      </c>
      <c r="D49" s="203" t="s">
        <v>28</v>
      </c>
      <c r="E49" s="203" t="s">
        <v>144</v>
      </c>
      <c r="F49" s="203" t="s">
        <v>32</v>
      </c>
      <c r="G49" s="203" t="s">
        <v>31</v>
      </c>
      <c r="H49" s="203" t="s">
        <v>30</v>
      </c>
      <c r="I49" s="203" t="s">
        <v>44</v>
      </c>
      <c r="J49" s="203" t="s">
        <v>159</v>
      </c>
      <c r="K49" s="204">
        <v>121</v>
      </c>
      <c r="L49" s="204">
        <v>4</v>
      </c>
      <c r="M49" s="205">
        <v>3.3057851239669422E-2</v>
      </c>
      <c r="N49" s="206">
        <v>0.71499999999999997</v>
      </c>
      <c r="O49" s="208">
        <v>2.86</v>
      </c>
      <c r="P49" s="208">
        <v>49.88</v>
      </c>
      <c r="Q49" s="208">
        <v>5.7337610264635117</v>
      </c>
      <c r="R49" s="221">
        <v>17.440559440559444</v>
      </c>
      <c r="S49" s="204">
        <v>2</v>
      </c>
      <c r="T49" s="204">
        <v>2</v>
      </c>
      <c r="U49" s="205">
        <v>0.5</v>
      </c>
      <c r="V49" s="204">
        <v>2</v>
      </c>
      <c r="W49" s="204">
        <v>0</v>
      </c>
      <c r="X49" s="206">
        <v>49.88</v>
      </c>
      <c r="Y49" s="222">
        <v>0</v>
      </c>
    </row>
    <row r="50" spans="1:25" ht="14.25" customHeight="1" x14ac:dyDescent="0.3">
      <c r="A50" s="201">
        <v>45878</v>
      </c>
      <c r="B50" s="202">
        <v>45878</v>
      </c>
      <c r="C50" s="203" t="s">
        <v>27</v>
      </c>
      <c r="D50" s="203" t="s">
        <v>28</v>
      </c>
      <c r="E50" s="203" t="s">
        <v>71</v>
      </c>
      <c r="F50" s="203" t="s">
        <v>72</v>
      </c>
      <c r="G50" s="203" t="s">
        <v>31</v>
      </c>
      <c r="H50" s="203" t="s">
        <v>51</v>
      </c>
      <c r="I50" s="203" t="s">
        <v>52</v>
      </c>
      <c r="J50" s="203" t="s">
        <v>752</v>
      </c>
      <c r="K50" s="204">
        <v>2</v>
      </c>
      <c r="L50" s="204">
        <v>1</v>
      </c>
      <c r="M50" s="205">
        <v>0.5</v>
      </c>
      <c r="N50" s="206">
        <v>3.5</v>
      </c>
      <c r="O50" s="208">
        <v>3.5</v>
      </c>
      <c r="P50" s="208">
        <v>24.94</v>
      </c>
      <c r="Q50" s="208">
        <v>14.033680834001602</v>
      </c>
      <c r="R50" s="221">
        <v>7.1257142857142863</v>
      </c>
      <c r="S50" s="204">
        <v>1</v>
      </c>
      <c r="T50" s="204">
        <v>1</v>
      </c>
      <c r="U50" s="205">
        <v>1</v>
      </c>
      <c r="V50" s="204">
        <v>1</v>
      </c>
      <c r="W50" s="204">
        <v>0</v>
      </c>
      <c r="X50" s="206">
        <v>24.94</v>
      </c>
      <c r="Y50" s="222">
        <v>0</v>
      </c>
    </row>
    <row r="51" spans="1:25" ht="14.25" customHeight="1" x14ac:dyDescent="0.3">
      <c r="A51" s="201">
        <v>45878</v>
      </c>
      <c r="B51" s="202">
        <v>45878</v>
      </c>
      <c r="C51" s="203" t="s">
        <v>48</v>
      </c>
      <c r="D51" s="203" t="s">
        <v>28</v>
      </c>
      <c r="E51" s="203" t="s">
        <v>49</v>
      </c>
      <c r="F51" s="203" t="s">
        <v>50</v>
      </c>
      <c r="G51" s="203" t="s">
        <v>31</v>
      </c>
      <c r="H51" s="203" t="s">
        <v>51</v>
      </c>
      <c r="I51" s="203" t="s">
        <v>52</v>
      </c>
      <c r="J51" s="203" t="s">
        <v>753</v>
      </c>
      <c r="K51" s="204">
        <v>2</v>
      </c>
      <c r="L51" s="204">
        <v>1</v>
      </c>
      <c r="M51" s="205">
        <v>0.5</v>
      </c>
      <c r="N51" s="206">
        <v>2</v>
      </c>
      <c r="O51" s="208">
        <v>2</v>
      </c>
      <c r="P51" s="208">
        <v>21.95</v>
      </c>
      <c r="Q51" s="208">
        <v>9.1116173120728927</v>
      </c>
      <c r="R51" s="221">
        <v>10.975</v>
      </c>
      <c r="S51" s="204">
        <v>1</v>
      </c>
      <c r="T51" s="204">
        <v>1</v>
      </c>
      <c r="U51" s="205">
        <v>1</v>
      </c>
      <c r="V51" s="204">
        <v>1</v>
      </c>
      <c r="W51" s="204">
        <v>0</v>
      </c>
      <c r="X51" s="206">
        <v>21.95</v>
      </c>
      <c r="Y51" s="222">
        <v>0</v>
      </c>
    </row>
    <row r="52" spans="1:25" ht="14.25" customHeight="1" x14ac:dyDescent="0.3">
      <c r="A52" s="201">
        <v>45878</v>
      </c>
      <c r="B52" s="202">
        <v>45878</v>
      </c>
      <c r="C52" s="203" t="s">
        <v>143</v>
      </c>
      <c r="D52" s="203" t="s">
        <v>28</v>
      </c>
      <c r="E52" s="203" t="s">
        <v>144</v>
      </c>
      <c r="F52" s="203" t="s">
        <v>32</v>
      </c>
      <c r="G52" s="203" t="s">
        <v>31</v>
      </c>
      <c r="H52" s="203" t="s">
        <v>30</v>
      </c>
      <c r="I52" s="203" t="s">
        <v>44</v>
      </c>
      <c r="J52" s="203" t="s">
        <v>754</v>
      </c>
      <c r="K52" s="204">
        <v>1</v>
      </c>
      <c r="L52" s="204">
        <v>1</v>
      </c>
      <c r="M52" s="205">
        <v>1</v>
      </c>
      <c r="N52" s="206">
        <v>1.82</v>
      </c>
      <c r="O52" s="208">
        <v>1.82</v>
      </c>
      <c r="P52" s="208">
        <v>24.94</v>
      </c>
      <c r="Q52" s="208">
        <v>7.2975140336808337</v>
      </c>
      <c r="R52" s="221">
        <v>13.703296703296704</v>
      </c>
      <c r="S52" s="204">
        <v>1</v>
      </c>
      <c r="T52" s="204">
        <v>1</v>
      </c>
      <c r="U52" s="205">
        <v>1</v>
      </c>
      <c r="V52" s="204">
        <v>1</v>
      </c>
      <c r="W52" s="204">
        <v>0</v>
      </c>
      <c r="X52" s="206">
        <v>24.94</v>
      </c>
      <c r="Y52" s="222">
        <v>0</v>
      </c>
    </row>
    <row r="53" spans="1:25" ht="14.25" customHeight="1" x14ac:dyDescent="0.3">
      <c r="A53" s="223"/>
      <c r="B53" s="223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5"/>
      <c r="Q53" s="225"/>
      <c r="R53" s="224"/>
      <c r="S53" s="224"/>
      <c r="T53" s="224"/>
      <c r="U53" s="224"/>
      <c r="V53" s="224"/>
      <c r="W53" s="224"/>
      <c r="X53" s="224"/>
      <c r="Y53" s="224"/>
    </row>
    <row r="54" spans="1:25" ht="14.25" customHeight="1" x14ac:dyDescent="0.3">
      <c r="A54" s="223"/>
      <c r="B54" s="223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5"/>
      <c r="Q54" s="225"/>
      <c r="R54" s="224"/>
      <c r="S54" s="224"/>
      <c r="T54" s="224"/>
      <c r="U54" s="224"/>
      <c r="V54" s="224"/>
      <c r="W54" s="224"/>
      <c r="X54" s="224"/>
      <c r="Y54" s="224"/>
    </row>
    <row r="55" spans="1:25" ht="14.25" customHeight="1" x14ac:dyDescent="0.3">
      <c r="A55" s="223"/>
      <c r="B55" s="223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5"/>
      <c r="Q55" s="225"/>
      <c r="R55" s="224"/>
      <c r="S55" s="224"/>
      <c r="T55" s="224"/>
      <c r="U55" s="224"/>
      <c r="V55" s="224"/>
      <c r="W55" s="224"/>
      <c r="X55" s="224"/>
      <c r="Y55" s="224"/>
    </row>
    <row r="56" spans="1:25" ht="14.25" customHeight="1" x14ac:dyDescent="0.3">
      <c r="A56" s="223"/>
      <c r="B56" s="223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5"/>
      <c r="Q56" s="225"/>
      <c r="R56" s="224"/>
      <c r="S56" s="224"/>
      <c r="T56" s="224"/>
      <c r="U56" s="224"/>
      <c r="V56" s="224"/>
      <c r="W56" s="224"/>
      <c r="X56" s="224"/>
      <c r="Y56" s="224"/>
    </row>
    <row r="57" spans="1:25" ht="14.25" customHeight="1" x14ac:dyDescent="0.3">
      <c r="A57" s="223"/>
      <c r="B57" s="223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5"/>
      <c r="Q57" s="225"/>
      <c r="R57" s="224"/>
      <c r="S57" s="224"/>
      <c r="T57" s="224"/>
      <c r="U57" s="224"/>
      <c r="V57" s="224"/>
      <c r="W57" s="224"/>
      <c r="X57" s="224"/>
      <c r="Y57" s="224"/>
    </row>
    <row r="58" spans="1:25" ht="14.25" customHeight="1" x14ac:dyDescent="0.3">
      <c r="A58" s="223"/>
      <c r="B58" s="223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5"/>
      <c r="Q58" s="225"/>
      <c r="R58" s="224"/>
      <c r="S58" s="224"/>
      <c r="T58" s="224"/>
      <c r="U58" s="224"/>
      <c r="V58" s="224"/>
      <c r="W58" s="224"/>
      <c r="X58" s="224"/>
      <c r="Y58" s="224"/>
    </row>
    <row r="59" spans="1:25" ht="14.25" customHeight="1" x14ac:dyDescent="0.3">
      <c r="A59" s="223"/>
      <c r="B59" s="223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5"/>
      <c r="Q59" s="225"/>
      <c r="R59" s="224"/>
      <c r="S59" s="224"/>
      <c r="T59" s="224"/>
      <c r="U59" s="224"/>
      <c r="V59" s="224"/>
      <c r="W59" s="224"/>
      <c r="X59" s="224"/>
      <c r="Y59" s="224"/>
    </row>
    <row r="60" spans="1:25" ht="14.25" customHeight="1" x14ac:dyDescent="0.3">
      <c r="A60" s="223"/>
      <c r="B60" s="223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5"/>
      <c r="Q60" s="225"/>
      <c r="R60" s="224"/>
      <c r="S60" s="224"/>
      <c r="T60" s="224"/>
      <c r="U60" s="224"/>
      <c r="V60" s="224"/>
      <c r="W60" s="224"/>
      <c r="X60" s="224"/>
      <c r="Y60" s="224"/>
    </row>
    <row r="61" spans="1:25" ht="14.25" customHeight="1" x14ac:dyDescent="0.3">
      <c r="A61" s="223"/>
      <c r="B61" s="223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5"/>
      <c r="Q61" s="225"/>
      <c r="R61" s="224"/>
      <c r="S61" s="224"/>
      <c r="T61" s="224"/>
      <c r="U61" s="224"/>
      <c r="V61" s="224"/>
      <c r="W61" s="224"/>
      <c r="X61" s="224"/>
      <c r="Y61" s="224"/>
    </row>
    <row r="62" spans="1:25" ht="14.25" customHeight="1" x14ac:dyDescent="0.3">
      <c r="A62" s="223"/>
      <c r="B62" s="223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5"/>
      <c r="Q62" s="225"/>
      <c r="R62" s="224"/>
      <c r="S62" s="224"/>
      <c r="T62" s="224"/>
      <c r="U62" s="224"/>
      <c r="V62" s="224"/>
      <c r="W62" s="224"/>
      <c r="X62" s="224"/>
      <c r="Y62" s="224"/>
    </row>
    <row r="63" spans="1:25" ht="14.25" customHeight="1" x14ac:dyDescent="0.3">
      <c r="A63" s="223"/>
      <c r="B63" s="223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5"/>
      <c r="Q63" s="225"/>
      <c r="R63" s="224"/>
      <c r="S63" s="224"/>
      <c r="T63" s="224"/>
      <c r="U63" s="224"/>
      <c r="V63" s="224"/>
      <c r="W63" s="224"/>
      <c r="X63" s="224"/>
      <c r="Y63" s="224"/>
    </row>
    <row r="64" spans="1:25" ht="14.25" customHeight="1" x14ac:dyDescent="0.3">
      <c r="A64" s="223"/>
      <c r="B64" s="223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5"/>
      <c r="Q64" s="225"/>
      <c r="R64" s="224"/>
      <c r="S64" s="224"/>
      <c r="T64" s="224"/>
      <c r="U64" s="224"/>
      <c r="V64" s="224"/>
      <c r="W64" s="224"/>
      <c r="X64" s="224"/>
      <c r="Y64" s="224"/>
    </row>
    <row r="65" spans="1:25" ht="14.25" customHeight="1" x14ac:dyDescent="0.3">
      <c r="A65" s="223"/>
      <c r="B65" s="223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5"/>
      <c r="Q65" s="225"/>
      <c r="R65" s="224"/>
      <c r="S65" s="224"/>
      <c r="T65" s="224"/>
      <c r="U65" s="224"/>
      <c r="V65" s="224"/>
      <c r="W65" s="224"/>
      <c r="X65" s="224"/>
      <c r="Y65" s="224"/>
    </row>
    <row r="66" spans="1:25" ht="14.25" customHeight="1" x14ac:dyDescent="0.3">
      <c r="A66" s="223"/>
      <c r="B66" s="223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25"/>
      <c r="R66" s="224"/>
      <c r="S66" s="224"/>
      <c r="T66" s="224"/>
      <c r="U66" s="224"/>
      <c r="V66" s="224"/>
      <c r="W66" s="224"/>
      <c r="X66" s="224"/>
      <c r="Y66" s="224"/>
    </row>
    <row r="67" spans="1:25" ht="14.25" customHeight="1" x14ac:dyDescent="0.3">
      <c r="A67" s="223"/>
      <c r="B67" s="223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5"/>
      <c r="Q67" s="225"/>
      <c r="R67" s="224"/>
      <c r="S67" s="224"/>
      <c r="T67" s="224"/>
      <c r="U67" s="224"/>
      <c r="V67" s="224"/>
      <c r="W67" s="224"/>
      <c r="X67" s="224"/>
      <c r="Y67" s="224"/>
    </row>
    <row r="68" spans="1:25" ht="14.25" customHeight="1" x14ac:dyDescent="0.3">
      <c r="A68" s="223"/>
      <c r="B68" s="223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5"/>
      <c r="R68" s="224"/>
      <c r="S68" s="224"/>
      <c r="T68" s="224"/>
      <c r="U68" s="224"/>
      <c r="V68" s="224"/>
      <c r="W68" s="224"/>
      <c r="X68" s="224"/>
      <c r="Y68" s="224"/>
    </row>
    <row r="69" spans="1:25" ht="14.25" customHeight="1" x14ac:dyDescent="0.3">
      <c r="A69" s="223"/>
      <c r="B69" s="223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5"/>
      <c r="Q69" s="225"/>
      <c r="R69" s="224"/>
      <c r="S69" s="224"/>
      <c r="T69" s="224"/>
      <c r="U69" s="224"/>
      <c r="V69" s="224"/>
      <c r="W69" s="224"/>
      <c r="X69" s="224"/>
      <c r="Y69" s="224"/>
    </row>
    <row r="70" spans="1:25" ht="14.25" customHeight="1" x14ac:dyDescent="0.3">
      <c r="A70" s="223"/>
      <c r="B70" s="223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5"/>
      <c r="R70" s="224"/>
      <c r="S70" s="224"/>
      <c r="T70" s="224"/>
      <c r="U70" s="224"/>
      <c r="V70" s="224"/>
      <c r="W70" s="224"/>
      <c r="X70" s="224"/>
      <c r="Y70" s="224"/>
    </row>
    <row r="71" spans="1:25" ht="14.25" customHeight="1" x14ac:dyDescent="0.3">
      <c r="A71" s="223"/>
      <c r="B71" s="223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5"/>
      <c r="Q71" s="225"/>
      <c r="R71" s="224"/>
      <c r="S71" s="224"/>
      <c r="T71" s="224"/>
      <c r="U71" s="224"/>
      <c r="V71" s="224"/>
      <c r="W71" s="224"/>
      <c r="X71" s="224"/>
      <c r="Y71" s="224"/>
    </row>
    <row r="72" spans="1:25" ht="14.25" customHeight="1" x14ac:dyDescent="0.3">
      <c r="A72" s="223"/>
      <c r="B72" s="223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5"/>
      <c r="R72" s="224"/>
      <c r="S72" s="224"/>
      <c r="T72" s="224"/>
      <c r="U72" s="224"/>
      <c r="V72" s="224"/>
      <c r="W72" s="224"/>
      <c r="X72" s="224"/>
      <c r="Y72" s="224"/>
    </row>
    <row r="73" spans="1:25" ht="14.25" customHeight="1" x14ac:dyDescent="0.3">
      <c r="A73" s="223"/>
      <c r="B73" s="223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5"/>
      <c r="Q73" s="225"/>
      <c r="R73" s="224"/>
      <c r="S73" s="224"/>
      <c r="T73" s="224"/>
      <c r="U73" s="224"/>
      <c r="V73" s="224"/>
      <c r="W73" s="224"/>
      <c r="X73" s="224"/>
      <c r="Y73" s="224"/>
    </row>
    <row r="74" spans="1:25" ht="14.25" customHeight="1" x14ac:dyDescent="0.3">
      <c r="A74" s="223"/>
      <c r="B74" s="223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5"/>
      <c r="R74" s="224"/>
      <c r="S74" s="224"/>
      <c r="T74" s="224"/>
      <c r="U74" s="224"/>
      <c r="V74" s="224"/>
      <c r="W74" s="224"/>
      <c r="X74" s="224"/>
      <c r="Y74" s="224"/>
    </row>
    <row r="75" spans="1:25" ht="14.25" customHeight="1" x14ac:dyDescent="0.3">
      <c r="A75" s="223"/>
      <c r="B75" s="223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5"/>
      <c r="Q75" s="225"/>
      <c r="R75" s="224"/>
      <c r="S75" s="224"/>
      <c r="T75" s="224"/>
      <c r="U75" s="224"/>
      <c r="V75" s="224"/>
      <c r="W75" s="224"/>
      <c r="X75" s="224"/>
      <c r="Y75" s="224"/>
    </row>
    <row r="76" spans="1:25" ht="14.25" customHeight="1" x14ac:dyDescent="0.3">
      <c r="A76" s="223"/>
      <c r="B76" s="223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5"/>
      <c r="R76" s="224"/>
      <c r="S76" s="224"/>
      <c r="T76" s="224"/>
      <c r="U76" s="224"/>
      <c r="V76" s="224"/>
      <c r="W76" s="224"/>
      <c r="X76" s="224"/>
      <c r="Y76" s="224"/>
    </row>
    <row r="77" spans="1:25" ht="14.25" customHeight="1" x14ac:dyDescent="0.3">
      <c r="A77" s="223"/>
      <c r="B77" s="223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5"/>
      <c r="Q77" s="225"/>
      <c r="R77" s="224"/>
      <c r="S77" s="224"/>
      <c r="T77" s="224"/>
      <c r="U77" s="224"/>
      <c r="V77" s="224"/>
      <c r="W77" s="224"/>
      <c r="X77" s="224"/>
      <c r="Y77" s="224"/>
    </row>
    <row r="78" spans="1:25" ht="14.25" customHeight="1" x14ac:dyDescent="0.3">
      <c r="A78" s="223"/>
      <c r="B78" s="223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5"/>
      <c r="Q78" s="225"/>
      <c r="R78" s="224"/>
      <c r="S78" s="224"/>
      <c r="T78" s="224"/>
      <c r="U78" s="224"/>
      <c r="V78" s="224"/>
      <c r="W78" s="224"/>
      <c r="X78" s="224"/>
      <c r="Y78" s="224"/>
    </row>
    <row r="79" spans="1:25" ht="14.25" customHeight="1" x14ac:dyDescent="0.3">
      <c r="A79" s="223"/>
      <c r="B79" s="223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5"/>
      <c r="Q79" s="225"/>
      <c r="R79" s="224"/>
      <c r="S79" s="224"/>
      <c r="T79" s="224"/>
      <c r="U79" s="224"/>
      <c r="V79" s="224"/>
      <c r="W79" s="224"/>
      <c r="X79" s="224"/>
      <c r="Y79" s="224"/>
    </row>
    <row r="80" spans="1:25" ht="14.25" customHeight="1" x14ac:dyDescent="0.3">
      <c r="A80" s="223"/>
      <c r="B80" s="223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5"/>
      <c r="Q80" s="225"/>
      <c r="R80" s="224"/>
      <c r="S80" s="224"/>
      <c r="T80" s="224"/>
      <c r="U80" s="224"/>
      <c r="V80" s="224"/>
      <c r="W80" s="224"/>
      <c r="X80" s="224"/>
      <c r="Y80" s="224"/>
    </row>
    <row r="81" spans="1:25" ht="14.25" customHeight="1" x14ac:dyDescent="0.3">
      <c r="A81" s="223"/>
      <c r="B81" s="223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5"/>
      <c r="Q81" s="225"/>
      <c r="R81" s="224"/>
      <c r="S81" s="224"/>
      <c r="T81" s="224"/>
      <c r="U81" s="224"/>
      <c r="V81" s="224"/>
      <c r="W81" s="224"/>
      <c r="X81" s="224"/>
      <c r="Y81" s="224"/>
    </row>
    <row r="82" spans="1:25" ht="14.25" customHeight="1" x14ac:dyDescent="0.3">
      <c r="A82" s="223"/>
      <c r="B82" s="223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5"/>
      <c r="Q82" s="225"/>
      <c r="R82" s="224"/>
      <c r="S82" s="224"/>
      <c r="T82" s="224"/>
      <c r="U82" s="224"/>
      <c r="V82" s="224"/>
      <c r="W82" s="224"/>
      <c r="X82" s="224"/>
      <c r="Y82" s="224"/>
    </row>
    <row r="83" spans="1:25" ht="14.25" customHeight="1" x14ac:dyDescent="0.3">
      <c r="A83" s="223"/>
      <c r="B83" s="223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5"/>
      <c r="Q83" s="225"/>
      <c r="R83" s="224"/>
      <c r="S83" s="224"/>
      <c r="T83" s="224"/>
      <c r="U83" s="224"/>
      <c r="V83" s="224"/>
      <c r="W83" s="224"/>
      <c r="X83" s="224"/>
      <c r="Y83" s="224"/>
    </row>
    <row r="84" spans="1:25" ht="14.25" customHeight="1" x14ac:dyDescent="0.3">
      <c r="A84" s="223"/>
      <c r="B84" s="223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5"/>
      <c r="Q84" s="225"/>
      <c r="R84" s="224"/>
      <c r="S84" s="224"/>
      <c r="T84" s="224"/>
      <c r="U84" s="224"/>
      <c r="V84" s="224"/>
      <c r="W84" s="224"/>
      <c r="X84" s="224"/>
      <c r="Y84" s="224"/>
    </row>
    <row r="85" spans="1:25" ht="14.25" customHeight="1" x14ac:dyDescent="0.3">
      <c r="A85" s="223"/>
      <c r="B85" s="223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5"/>
      <c r="Q85" s="225"/>
      <c r="R85" s="224"/>
      <c r="S85" s="224"/>
      <c r="T85" s="224"/>
      <c r="U85" s="224"/>
      <c r="V85" s="224"/>
      <c r="W85" s="224"/>
      <c r="X85" s="224"/>
      <c r="Y85" s="224"/>
    </row>
    <row r="86" spans="1:25" ht="14.25" customHeight="1" x14ac:dyDescent="0.3">
      <c r="A86" s="223"/>
      <c r="B86" s="223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5"/>
      <c r="Q86" s="225"/>
      <c r="R86" s="224"/>
      <c r="S86" s="224"/>
      <c r="T86" s="224"/>
      <c r="U86" s="224"/>
      <c r="V86" s="224"/>
      <c r="W86" s="224"/>
      <c r="X86" s="224"/>
      <c r="Y86" s="224"/>
    </row>
    <row r="87" spans="1:25" ht="14.25" customHeight="1" x14ac:dyDescent="0.3">
      <c r="A87" s="223"/>
      <c r="B87" s="223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5"/>
      <c r="Q87" s="225"/>
      <c r="R87" s="224"/>
      <c r="S87" s="224"/>
      <c r="T87" s="224"/>
      <c r="U87" s="224"/>
      <c r="V87" s="224"/>
      <c r="W87" s="224"/>
      <c r="X87" s="224"/>
      <c r="Y87" s="224"/>
    </row>
    <row r="88" spans="1:25" ht="14.25" customHeight="1" x14ac:dyDescent="0.3">
      <c r="A88" s="223"/>
      <c r="B88" s="223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5"/>
      <c r="Q88" s="225"/>
      <c r="R88" s="224"/>
      <c r="S88" s="224"/>
      <c r="T88" s="224"/>
      <c r="U88" s="224"/>
      <c r="V88" s="224"/>
      <c r="W88" s="224"/>
      <c r="X88" s="224"/>
      <c r="Y88" s="224"/>
    </row>
    <row r="89" spans="1:25" ht="14.25" customHeight="1" x14ac:dyDescent="0.3">
      <c r="A89" s="223"/>
      <c r="B89" s="223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5"/>
      <c r="Q89" s="225"/>
      <c r="R89" s="224"/>
      <c r="S89" s="224"/>
      <c r="T89" s="224"/>
      <c r="U89" s="224"/>
      <c r="V89" s="224"/>
      <c r="W89" s="224"/>
      <c r="X89" s="224"/>
      <c r="Y89" s="224"/>
    </row>
    <row r="90" spans="1:25" ht="14.25" customHeight="1" x14ac:dyDescent="0.3">
      <c r="A90" s="223"/>
      <c r="B90" s="223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5"/>
      <c r="Q90" s="225"/>
      <c r="R90" s="224"/>
      <c r="S90" s="224"/>
      <c r="T90" s="224"/>
      <c r="U90" s="224"/>
      <c r="V90" s="224"/>
      <c r="W90" s="224"/>
      <c r="X90" s="224"/>
      <c r="Y90" s="224"/>
    </row>
    <row r="91" spans="1:25" ht="14.25" customHeight="1" x14ac:dyDescent="0.3">
      <c r="A91" s="223"/>
      <c r="B91" s="223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5"/>
      <c r="Q91" s="225"/>
      <c r="R91" s="224"/>
      <c r="S91" s="224"/>
      <c r="T91" s="224"/>
      <c r="U91" s="224"/>
      <c r="V91" s="224"/>
      <c r="W91" s="224"/>
      <c r="X91" s="224"/>
      <c r="Y91" s="224"/>
    </row>
    <row r="92" spans="1:25" ht="14.25" customHeight="1" x14ac:dyDescent="0.3">
      <c r="A92" s="223"/>
      <c r="B92" s="223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5"/>
      <c r="Q92" s="225"/>
      <c r="R92" s="224"/>
      <c r="S92" s="224"/>
      <c r="T92" s="224"/>
      <c r="U92" s="224"/>
      <c r="V92" s="224"/>
      <c r="W92" s="224"/>
      <c r="X92" s="224"/>
      <c r="Y92" s="224"/>
    </row>
    <row r="93" spans="1:25" ht="14.25" customHeight="1" x14ac:dyDescent="0.3">
      <c r="A93" s="223"/>
      <c r="B93" s="223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5"/>
      <c r="Q93" s="225"/>
      <c r="R93" s="224"/>
      <c r="S93" s="224"/>
      <c r="T93" s="224"/>
      <c r="U93" s="224"/>
      <c r="V93" s="224"/>
      <c r="W93" s="224"/>
      <c r="X93" s="224"/>
      <c r="Y93" s="224"/>
    </row>
    <row r="94" spans="1:25" ht="14.25" customHeight="1" x14ac:dyDescent="0.3">
      <c r="A94" s="223"/>
      <c r="B94" s="223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5"/>
      <c r="Q94" s="225"/>
      <c r="R94" s="224"/>
      <c r="S94" s="224"/>
      <c r="T94" s="224"/>
      <c r="U94" s="224"/>
      <c r="V94" s="224"/>
      <c r="W94" s="224"/>
      <c r="X94" s="224"/>
      <c r="Y94" s="224"/>
    </row>
    <row r="95" spans="1:25" ht="14.25" customHeight="1" x14ac:dyDescent="0.3">
      <c r="A95" s="223"/>
      <c r="B95" s="223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5"/>
      <c r="Q95" s="225"/>
      <c r="R95" s="224"/>
      <c r="S95" s="224"/>
      <c r="T95" s="224"/>
      <c r="U95" s="224"/>
      <c r="V95" s="224"/>
      <c r="W95" s="224"/>
      <c r="X95" s="224"/>
      <c r="Y95" s="224"/>
    </row>
    <row r="96" spans="1:25" ht="14.25" customHeight="1" x14ac:dyDescent="0.3">
      <c r="A96" s="223"/>
      <c r="B96" s="223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5"/>
      <c r="Q96" s="225"/>
      <c r="R96" s="224"/>
      <c r="S96" s="224"/>
      <c r="T96" s="224"/>
      <c r="U96" s="224"/>
      <c r="V96" s="224"/>
      <c r="W96" s="224"/>
      <c r="X96" s="224"/>
      <c r="Y96" s="224"/>
    </row>
    <row r="97" spans="1:25" ht="14.25" customHeight="1" x14ac:dyDescent="0.3">
      <c r="A97" s="223"/>
      <c r="B97" s="223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5"/>
      <c r="Q97" s="225"/>
      <c r="R97" s="224"/>
      <c r="S97" s="224"/>
      <c r="T97" s="224"/>
      <c r="U97" s="224"/>
      <c r="V97" s="224"/>
      <c r="W97" s="224"/>
      <c r="X97" s="224"/>
      <c r="Y97" s="224"/>
    </row>
    <row r="98" spans="1:25" ht="14.25" customHeight="1" x14ac:dyDescent="0.3">
      <c r="A98" s="223"/>
      <c r="B98" s="223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5"/>
      <c r="Q98" s="225"/>
      <c r="R98" s="224"/>
      <c r="S98" s="224"/>
      <c r="T98" s="224"/>
      <c r="U98" s="224"/>
      <c r="V98" s="224"/>
      <c r="W98" s="224"/>
      <c r="X98" s="224"/>
      <c r="Y98" s="224"/>
    </row>
    <row r="99" spans="1:25" ht="14.25" customHeight="1" x14ac:dyDescent="0.3">
      <c r="A99" s="223"/>
      <c r="B99" s="223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5"/>
      <c r="Q99" s="225"/>
      <c r="R99" s="224"/>
      <c r="S99" s="224"/>
      <c r="T99" s="224"/>
      <c r="U99" s="224"/>
      <c r="V99" s="224"/>
      <c r="W99" s="224"/>
      <c r="X99" s="224"/>
      <c r="Y99" s="224"/>
    </row>
    <row r="100" spans="1:25" ht="14.25" customHeight="1" x14ac:dyDescent="0.3">
      <c r="A100" s="223"/>
      <c r="B100" s="223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5"/>
      <c r="Q100" s="225"/>
      <c r="R100" s="224"/>
      <c r="S100" s="224"/>
      <c r="T100" s="224"/>
      <c r="U100" s="224"/>
      <c r="V100" s="224"/>
      <c r="W100" s="224"/>
      <c r="X100" s="224"/>
      <c r="Y100" s="224"/>
    </row>
    <row r="101" spans="1:25" ht="14.25" customHeight="1" x14ac:dyDescent="0.3">
      <c r="A101" s="223"/>
      <c r="B101" s="223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5"/>
      <c r="Q101" s="225"/>
      <c r="R101" s="224"/>
      <c r="S101" s="224"/>
      <c r="T101" s="224"/>
      <c r="U101" s="224"/>
      <c r="V101" s="224"/>
      <c r="W101" s="224"/>
      <c r="X101" s="224"/>
      <c r="Y101" s="224"/>
    </row>
    <row r="102" spans="1:25" ht="14.25" customHeight="1" x14ac:dyDescent="0.3">
      <c r="A102" s="223"/>
      <c r="B102" s="223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5"/>
      <c r="Q102" s="225"/>
      <c r="R102" s="224"/>
      <c r="S102" s="224"/>
      <c r="T102" s="224"/>
      <c r="U102" s="224"/>
      <c r="V102" s="224"/>
      <c r="W102" s="224"/>
      <c r="X102" s="224"/>
      <c r="Y102" s="224"/>
    </row>
    <row r="103" spans="1:25" ht="14.25" customHeight="1" x14ac:dyDescent="0.3">
      <c r="A103" s="223"/>
      <c r="B103" s="223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5"/>
      <c r="Q103" s="225"/>
      <c r="R103" s="224"/>
      <c r="S103" s="224"/>
      <c r="T103" s="224"/>
      <c r="U103" s="224"/>
      <c r="V103" s="224"/>
      <c r="W103" s="224"/>
      <c r="X103" s="224"/>
      <c r="Y103" s="224"/>
    </row>
    <row r="104" spans="1:25" ht="14.25" customHeight="1" x14ac:dyDescent="0.3">
      <c r="A104" s="223"/>
      <c r="B104" s="223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5"/>
      <c r="Q104" s="225"/>
      <c r="R104" s="224"/>
      <c r="S104" s="224"/>
      <c r="T104" s="224"/>
      <c r="U104" s="224"/>
      <c r="V104" s="224"/>
      <c r="W104" s="224"/>
      <c r="X104" s="224"/>
      <c r="Y104" s="224"/>
    </row>
    <row r="105" spans="1:25" ht="14.25" customHeight="1" x14ac:dyDescent="0.3">
      <c r="A105" s="223"/>
      <c r="B105" s="223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5"/>
      <c r="Q105" s="225"/>
      <c r="R105" s="224"/>
      <c r="S105" s="224"/>
      <c r="T105" s="224"/>
      <c r="U105" s="224"/>
      <c r="V105" s="224"/>
      <c r="W105" s="224"/>
      <c r="X105" s="224"/>
      <c r="Y105" s="224"/>
    </row>
    <row r="106" spans="1:25" ht="14.25" customHeight="1" x14ac:dyDescent="0.3">
      <c r="A106" s="223"/>
      <c r="B106" s="223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5"/>
      <c r="Q106" s="225"/>
      <c r="R106" s="224"/>
      <c r="S106" s="224"/>
      <c r="T106" s="224"/>
      <c r="U106" s="224"/>
      <c r="V106" s="224"/>
      <c r="W106" s="224"/>
      <c r="X106" s="224"/>
      <c r="Y106" s="224"/>
    </row>
    <row r="107" spans="1:25" ht="14.25" customHeight="1" x14ac:dyDescent="0.3">
      <c r="A107" s="223"/>
      <c r="B107" s="223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5"/>
      <c r="Q107" s="225"/>
      <c r="R107" s="224"/>
      <c r="S107" s="224"/>
      <c r="T107" s="224"/>
      <c r="U107" s="224"/>
      <c r="V107" s="224"/>
      <c r="W107" s="224"/>
      <c r="X107" s="224"/>
      <c r="Y107" s="224"/>
    </row>
    <row r="108" spans="1:25" ht="14.25" customHeight="1" x14ac:dyDescent="0.3">
      <c r="A108" s="223"/>
      <c r="B108" s="223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5"/>
      <c r="Q108" s="225"/>
      <c r="R108" s="224"/>
      <c r="S108" s="224"/>
      <c r="T108" s="224"/>
      <c r="U108" s="224"/>
      <c r="V108" s="224"/>
      <c r="W108" s="224"/>
      <c r="X108" s="224"/>
      <c r="Y108" s="224"/>
    </row>
    <row r="109" spans="1:25" ht="14.25" customHeight="1" x14ac:dyDescent="0.3">
      <c r="A109" s="223"/>
      <c r="B109" s="223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5"/>
      <c r="Q109" s="225"/>
      <c r="R109" s="224"/>
      <c r="S109" s="224"/>
      <c r="T109" s="224"/>
      <c r="U109" s="224"/>
      <c r="V109" s="224"/>
      <c r="W109" s="224"/>
      <c r="X109" s="224"/>
      <c r="Y109" s="224"/>
    </row>
    <row r="110" spans="1:25" ht="14.25" customHeight="1" x14ac:dyDescent="0.3">
      <c r="A110" s="223"/>
      <c r="B110" s="223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5"/>
      <c r="Q110" s="225"/>
      <c r="R110" s="224"/>
      <c r="S110" s="224"/>
      <c r="T110" s="224"/>
      <c r="U110" s="224"/>
      <c r="V110" s="224"/>
      <c r="W110" s="224"/>
      <c r="X110" s="224"/>
      <c r="Y110" s="224"/>
    </row>
    <row r="111" spans="1:25" ht="14.25" customHeight="1" x14ac:dyDescent="0.3">
      <c r="A111" s="223"/>
      <c r="B111" s="223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5"/>
      <c r="Q111" s="225"/>
      <c r="R111" s="224"/>
      <c r="S111" s="224"/>
      <c r="T111" s="224"/>
      <c r="U111" s="224"/>
      <c r="V111" s="224"/>
      <c r="W111" s="224"/>
      <c r="X111" s="224"/>
      <c r="Y111" s="224"/>
    </row>
    <row r="112" spans="1:25" ht="14.25" customHeight="1" x14ac:dyDescent="0.3">
      <c r="A112" s="223"/>
      <c r="B112" s="223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5"/>
      <c r="Q112" s="225"/>
      <c r="R112" s="224"/>
      <c r="S112" s="224"/>
      <c r="T112" s="224"/>
      <c r="U112" s="224"/>
      <c r="V112" s="224"/>
      <c r="W112" s="224"/>
      <c r="X112" s="224"/>
      <c r="Y112" s="224"/>
    </row>
    <row r="113" spans="1:25" ht="14.25" customHeight="1" x14ac:dyDescent="0.3">
      <c r="A113" s="223"/>
      <c r="B113" s="223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5"/>
      <c r="Q113" s="225"/>
      <c r="R113" s="224"/>
      <c r="S113" s="224"/>
      <c r="T113" s="224"/>
      <c r="U113" s="224"/>
      <c r="V113" s="224"/>
      <c r="W113" s="224"/>
      <c r="X113" s="224"/>
      <c r="Y113" s="224"/>
    </row>
    <row r="114" spans="1:25" ht="14.25" customHeight="1" x14ac:dyDescent="0.3">
      <c r="A114" s="223"/>
      <c r="B114" s="223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5"/>
      <c r="Q114" s="225"/>
      <c r="R114" s="224"/>
      <c r="S114" s="224"/>
      <c r="T114" s="224"/>
      <c r="U114" s="224"/>
      <c r="V114" s="224"/>
      <c r="W114" s="224"/>
      <c r="X114" s="224"/>
      <c r="Y114" s="224"/>
    </row>
    <row r="115" spans="1:25" ht="14.25" customHeight="1" x14ac:dyDescent="0.3">
      <c r="A115" s="223"/>
      <c r="B115" s="223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5"/>
      <c r="Q115" s="225"/>
      <c r="R115" s="224"/>
      <c r="S115" s="224"/>
      <c r="T115" s="224"/>
      <c r="U115" s="224"/>
      <c r="V115" s="224"/>
      <c r="W115" s="224"/>
      <c r="X115" s="224"/>
      <c r="Y115" s="224"/>
    </row>
    <row r="116" spans="1:25" ht="14.25" customHeight="1" x14ac:dyDescent="0.3">
      <c r="A116" s="223"/>
      <c r="B116" s="223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5"/>
      <c r="Q116" s="225"/>
      <c r="R116" s="224"/>
      <c r="S116" s="224"/>
      <c r="T116" s="224"/>
      <c r="U116" s="224"/>
      <c r="V116" s="224"/>
      <c r="W116" s="224"/>
      <c r="X116" s="224"/>
      <c r="Y116" s="224"/>
    </row>
    <row r="117" spans="1:25" ht="14.25" customHeight="1" x14ac:dyDescent="0.3">
      <c r="A117" s="223"/>
      <c r="B117" s="223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5"/>
      <c r="Q117" s="225"/>
      <c r="R117" s="224"/>
      <c r="S117" s="224"/>
      <c r="T117" s="224"/>
      <c r="U117" s="224"/>
      <c r="V117" s="224"/>
      <c r="W117" s="224"/>
      <c r="X117" s="224"/>
      <c r="Y117" s="224"/>
    </row>
    <row r="118" spans="1:25" ht="14.25" customHeight="1" x14ac:dyDescent="0.3">
      <c r="A118" s="223"/>
      <c r="B118" s="223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5"/>
      <c r="Q118" s="225"/>
      <c r="R118" s="224"/>
      <c r="S118" s="224"/>
      <c r="T118" s="224"/>
      <c r="U118" s="224"/>
      <c r="V118" s="224"/>
      <c r="W118" s="224"/>
      <c r="X118" s="224"/>
      <c r="Y118" s="224"/>
    </row>
    <row r="119" spans="1:25" ht="14.25" customHeight="1" x14ac:dyDescent="0.3">
      <c r="A119" s="223"/>
      <c r="B119" s="223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5"/>
      <c r="Q119" s="225"/>
      <c r="R119" s="224"/>
      <c r="S119" s="224"/>
      <c r="T119" s="224"/>
      <c r="U119" s="224"/>
      <c r="V119" s="224"/>
      <c r="W119" s="224"/>
      <c r="X119" s="224"/>
      <c r="Y119" s="224"/>
    </row>
    <row r="120" spans="1:25" ht="14.25" customHeight="1" x14ac:dyDescent="0.3">
      <c r="A120" s="223"/>
      <c r="B120" s="223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5"/>
      <c r="Q120" s="225"/>
      <c r="R120" s="224"/>
      <c r="S120" s="224"/>
      <c r="T120" s="224"/>
      <c r="U120" s="224"/>
      <c r="V120" s="224"/>
      <c r="W120" s="224"/>
      <c r="X120" s="224"/>
      <c r="Y120" s="224"/>
    </row>
    <row r="121" spans="1:25" ht="14.25" customHeight="1" x14ac:dyDescent="0.3">
      <c r="A121" s="223"/>
      <c r="B121" s="223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5"/>
      <c r="Q121" s="225"/>
      <c r="R121" s="224"/>
      <c r="S121" s="224"/>
      <c r="T121" s="224"/>
      <c r="U121" s="224"/>
      <c r="V121" s="224"/>
      <c r="W121" s="224"/>
      <c r="X121" s="224"/>
      <c r="Y121" s="224"/>
    </row>
    <row r="122" spans="1:25" ht="14.25" customHeight="1" x14ac:dyDescent="0.3">
      <c r="A122" s="223"/>
      <c r="B122" s="223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5"/>
      <c r="Q122" s="225"/>
      <c r="R122" s="224"/>
      <c r="S122" s="224"/>
      <c r="T122" s="224"/>
      <c r="U122" s="224"/>
      <c r="V122" s="224"/>
      <c r="W122" s="224"/>
      <c r="X122" s="224"/>
      <c r="Y122" s="224"/>
    </row>
    <row r="123" spans="1:25" ht="14.25" customHeight="1" x14ac:dyDescent="0.3">
      <c r="A123" s="223"/>
      <c r="B123" s="223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5"/>
      <c r="Q123" s="225"/>
      <c r="R123" s="224"/>
      <c r="S123" s="224"/>
      <c r="T123" s="224"/>
      <c r="U123" s="224"/>
      <c r="V123" s="224"/>
      <c r="W123" s="224"/>
      <c r="X123" s="224"/>
      <c r="Y123" s="224"/>
    </row>
    <row r="124" spans="1:25" ht="14.25" customHeight="1" x14ac:dyDescent="0.3">
      <c r="A124" s="223"/>
      <c r="B124" s="223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5"/>
      <c r="Q124" s="225"/>
      <c r="R124" s="224"/>
      <c r="S124" s="224"/>
      <c r="T124" s="224"/>
      <c r="U124" s="224"/>
      <c r="V124" s="224"/>
      <c r="W124" s="224"/>
      <c r="X124" s="224"/>
      <c r="Y124" s="224"/>
    </row>
    <row r="125" spans="1:25" ht="14.25" customHeight="1" x14ac:dyDescent="0.3">
      <c r="A125" s="223"/>
      <c r="B125" s="223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5"/>
      <c r="Q125" s="225"/>
      <c r="R125" s="224"/>
      <c r="S125" s="224"/>
      <c r="T125" s="224"/>
      <c r="U125" s="224"/>
      <c r="V125" s="224"/>
      <c r="W125" s="224"/>
      <c r="X125" s="224"/>
      <c r="Y125" s="224"/>
    </row>
    <row r="126" spans="1:25" ht="14.25" customHeight="1" x14ac:dyDescent="0.3">
      <c r="A126" s="223"/>
      <c r="B126" s="223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5"/>
      <c r="Q126" s="225"/>
      <c r="R126" s="224"/>
      <c r="S126" s="224"/>
      <c r="T126" s="224"/>
      <c r="U126" s="224"/>
      <c r="V126" s="224"/>
      <c r="W126" s="224"/>
      <c r="X126" s="224"/>
      <c r="Y126" s="224"/>
    </row>
    <row r="127" spans="1:25" ht="14.25" customHeight="1" x14ac:dyDescent="0.3">
      <c r="A127" s="223"/>
      <c r="B127" s="223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5"/>
      <c r="Q127" s="225"/>
      <c r="R127" s="224"/>
      <c r="S127" s="224"/>
      <c r="T127" s="224"/>
      <c r="U127" s="224"/>
      <c r="V127" s="224"/>
      <c r="W127" s="224"/>
      <c r="X127" s="224"/>
      <c r="Y127" s="224"/>
    </row>
    <row r="128" spans="1:25" ht="14.25" customHeight="1" x14ac:dyDescent="0.3">
      <c r="A128" s="223"/>
      <c r="B128" s="223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5"/>
      <c r="Q128" s="225"/>
      <c r="R128" s="224"/>
      <c r="S128" s="224"/>
      <c r="T128" s="224"/>
      <c r="U128" s="224"/>
      <c r="V128" s="224"/>
      <c r="W128" s="224"/>
      <c r="X128" s="224"/>
      <c r="Y128" s="224"/>
    </row>
    <row r="129" spans="1:25" ht="14.25" customHeight="1" x14ac:dyDescent="0.3">
      <c r="A129" s="223"/>
      <c r="B129" s="223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5"/>
      <c r="Q129" s="225"/>
      <c r="R129" s="224"/>
      <c r="S129" s="224"/>
      <c r="T129" s="224"/>
      <c r="U129" s="224"/>
      <c r="V129" s="224"/>
      <c r="W129" s="224"/>
      <c r="X129" s="224"/>
      <c r="Y129" s="224"/>
    </row>
    <row r="130" spans="1:25" ht="14.25" customHeight="1" x14ac:dyDescent="0.3">
      <c r="A130" s="223"/>
      <c r="B130" s="223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5"/>
      <c r="Q130" s="225"/>
      <c r="R130" s="224"/>
      <c r="S130" s="224"/>
      <c r="T130" s="224"/>
      <c r="U130" s="224"/>
      <c r="V130" s="224"/>
      <c r="W130" s="224"/>
      <c r="X130" s="224"/>
      <c r="Y130" s="224"/>
    </row>
    <row r="131" spans="1:25" ht="14.25" customHeight="1" x14ac:dyDescent="0.3">
      <c r="A131" s="223"/>
      <c r="B131" s="223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5"/>
      <c r="Q131" s="225"/>
      <c r="R131" s="224"/>
      <c r="S131" s="224"/>
      <c r="T131" s="224"/>
      <c r="U131" s="224"/>
      <c r="V131" s="224"/>
      <c r="W131" s="224"/>
      <c r="X131" s="224"/>
      <c r="Y131" s="224"/>
    </row>
    <row r="132" spans="1:25" ht="14.25" customHeight="1" x14ac:dyDescent="0.3">
      <c r="A132" s="223"/>
      <c r="B132" s="223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5"/>
      <c r="Q132" s="225"/>
      <c r="R132" s="224"/>
      <c r="S132" s="224"/>
      <c r="T132" s="224"/>
      <c r="U132" s="224"/>
      <c r="V132" s="224"/>
      <c r="W132" s="224"/>
      <c r="X132" s="224"/>
      <c r="Y132" s="224"/>
    </row>
    <row r="133" spans="1:25" ht="14.25" customHeight="1" x14ac:dyDescent="0.3">
      <c r="A133" s="223"/>
      <c r="B133" s="223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5"/>
      <c r="Q133" s="225"/>
      <c r="R133" s="224"/>
      <c r="S133" s="224"/>
      <c r="T133" s="224"/>
      <c r="U133" s="224"/>
      <c r="V133" s="224"/>
      <c r="W133" s="224"/>
      <c r="X133" s="224"/>
      <c r="Y133" s="224"/>
    </row>
    <row r="134" spans="1:25" ht="14.25" customHeight="1" x14ac:dyDescent="0.3">
      <c r="A134" s="223"/>
      <c r="B134" s="223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5"/>
      <c r="Q134" s="225"/>
      <c r="R134" s="224"/>
      <c r="S134" s="224"/>
      <c r="T134" s="224"/>
      <c r="U134" s="224"/>
      <c r="V134" s="224"/>
      <c r="W134" s="224"/>
      <c r="X134" s="224"/>
      <c r="Y134" s="224"/>
    </row>
    <row r="135" spans="1:25" ht="14.25" customHeight="1" x14ac:dyDescent="0.3">
      <c r="A135" s="223"/>
      <c r="B135" s="223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5"/>
      <c r="Q135" s="225"/>
      <c r="R135" s="224"/>
      <c r="S135" s="224"/>
      <c r="T135" s="224"/>
      <c r="U135" s="224"/>
      <c r="V135" s="224"/>
      <c r="W135" s="224"/>
      <c r="X135" s="224"/>
      <c r="Y135" s="224"/>
    </row>
    <row r="136" spans="1:25" ht="14.25" customHeight="1" x14ac:dyDescent="0.3">
      <c r="A136" s="223"/>
      <c r="B136" s="223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5"/>
      <c r="Q136" s="225"/>
      <c r="R136" s="224"/>
      <c r="S136" s="224"/>
      <c r="T136" s="224"/>
      <c r="U136" s="224"/>
      <c r="V136" s="224"/>
      <c r="W136" s="224"/>
      <c r="X136" s="224"/>
      <c r="Y136" s="224"/>
    </row>
    <row r="137" spans="1:25" ht="14.25" customHeight="1" x14ac:dyDescent="0.3">
      <c r="A137" s="223"/>
      <c r="B137" s="223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5"/>
      <c r="Q137" s="225"/>
      <c r="R137" s="224"/>
      <c r="S137" s="224"/>
      <c r="T137" s="224"/>
      <c r="U137" s="224"/>
      <c r="V137" s="224"/>
      <c r="W137" s="224"/>
      <c r="X137" s="224"/>
      <c r="Y137" s="224"/>
    </row>
    <row r="138" spans="1:25" ht="14.25" customHeight="1" x14ac:dyDescent="0.3">
      <c r="A138" s="223"/>
      <c r="B138" s="223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5"/>
      <c r="Q138" s="225"/>
      <c r="R138" s="224"/>
      <c r="S138" s="224"/>
      <c r="T138" s="224"/>
      <c r="U138" s="224"/>
      <c r="V138" s="224"/>
      <c r="W138" s="224"/>
      <c r="X138" s="224"/>
      <c r="Y138" s="224"/>
    </row>
    <row r="139" spans="1:25" ht="14.25" customHeight="1" x14ac:dyDescent="0.3">
      <c r="A139" s="223"/>
      <c r="B139" s="223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5"/>
      <c r="Q139" s="225"/>
      <c r="R139" s="224"/>
      <c r="S139" s="224"/>
      <c r="T139" s="224"/>
      <c r="U139" s="224"/>
      <c r="V139" s="224"/>
      <c r="W139" s="224"/>
      <c r="X139" s="224"/>
      <c r="Y139" s="224"/>
    </row>
    <row r="140" spans="1:25" ht="14.25" customHeight="1" x14ac:dyDescent="0.3">
      <c r="A140" s="223"/>
      <c r="B140" s="223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5"/>
      <c r="Q140" s="225"/>
      <c r="R140" s="224"/>
      <c r="S140" s="224"/>
      <c r="T140" s="224"/>
      <c r="U140" s="224"/>
      <c r="V140" s="224"/>
      <c r="W140" s="224"/>
      <c r="X140" s="224"/>
      <c r="Y140" s="224"/>
    </row>
    <row r="141" spans="1:25" ht="14.25" customHeight="1" x14ac:dyDescent="0.3">
      <c r="A141" s="223"/>
      <c r="B141" s="223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5"/>
      <c r="Q141" s="225"/>
      <c r="R141" s="224"/>
      <c r="S141" s="224"/>
      <c r="T141" s="224"/>
      <c r="U141" s="224"/>
      <c r="V141" s="224"/>
      <c r="W141" s="224"/>
      <c r="X141" s="224"/>
      <c r="Y141" s="224"/>
    </row>
    <row r="142" spans="1:25" ht="14.25" customHeight="1" x14ac:dyDescent="0.3">
      <c r="A142" s="223"/>
      <c r="B142" s="223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5"/>
      <c r="Q142" s="225"/>
      <c r="R142" s="224"/>
      <c r="S142" s="224"/>
      <c r="T142" s="224"/>
      <c r="U142" s="224"/>
      <c r="V142" s="224"/>
      <c r="W142" s="224"/>
      <c r="X142" s="224"/>
      <c r="Y142" s="224"/>
    </row>
    <row r="143" spans="1:25" ht="14.25" customHeight="1" x14ac:dyDescent="0.3">
      <c r="A143" s="223"/>
      <c r="B143" s="223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5"/>
      <c r="Q143" s="225"/>
      <c r="R143" s="224"/>
      <c r="S143" s="224"/>
      <c r="T143" s="224"/>
      <c r="U143" s="224"/>
      <c r="V143" s="224"/>
      <c r="W143" s="224"/>
      <c r="X143" s="224"/>
      <c r="Y143" s="224"/>
    </row>
    <row r="144" spans="1:25" ht="14.25" customHeight="1" x14ac:dyDescent="0.3">
      <c r="A144" s="223"/>
      <c r="B144" s="223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5"/>
      <c r="Q144" s="225"/>
      <c r="R144" s="224"/>
      <c r="S144" s="224"/>
      <c r="T144" s="224"/>
      <c r="U144" s="224"/>
      <c r="V144" s="224"/>
      <c r="W144" s="224"/>
      <c r="X144" s="224"/>
      <c r="Y144" s="224"/>
    </row>
    <row r="145" spans="1:25" ht="14.25" customHeight="1" x14ac:dyDescent="0.3">
      <c r="A145" s="223"/>
      <c r="B145" s="223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5"/>
      <c r="Q145" s="225"/>
      <c r="R145" s="224"/>
      <c r="S145" s="224"/>
      <c r="T145" s="224"/>
      <c r="U145" s="224"/>
      <c r="V145" s="224"/>
      <c r="W145" s="224"/>
      <c r="X145" s="224"/>
      <c r="Y145" s="224"/>
    </row>
    <row r="146" spans="1:25" ht="14.25" customHeight="1" x14ac:dyDescent="0.3">
      <c r="A146" s="223"/>
      <c r="B146" s="223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5"/>
      <c r="Q146" s="225"/>
      <c r="R146" s="224"/>
      <c r="S146" s="224"/>
      <c r="T146" s="224"/>
      <c r="U146" s="224"/>
      <c r="V146" s="224"/>
      <c r="W146" s="224"/>
      <c r="X146" s="224"/>
      <c r="Y146" s="224"/>
    </row>
    <row r="147" spans="1:25" ht="14.25" customHeight="1" x14ac:dyDescent="0.3">
      <c r="A147" s="223"/>
      <c r="B147" s="223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5"/>
      <c r="Q147" s="225"/>
      <c r="R147" s="224"/>
      <c r="S147" s="224"/>
      <c r="T147" s="224"/>
      <c r="U147" s="224"/>
      <c r="V147" s="224"/>
      <c r="W147" s="224"/>
      <c r="X147" s="224"/>
      <c r="Y147" s="224"/>
    </row>
    <row r="148" spans="1:25" ht="14.25" customHeight="1" x14ac:dyDescent="0.3">
      <c r="A148" s="223"/>
      <c r="B148" s="223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5"/>
      <c r="Q148" s="225"/>
      <c r="R148" s="224"/>
      <c r="S148" s="224"/>
      <c r="T148" s="224"/>
      <c r="U148" s="224"/>
      <c r="V148" s="224"/>
      <c r="W148" s="224"/>
      <c r="X148" s="224"/>
      <c r="Y148" s="224"/>
    </row>
    <row r="149" spans="1:25" ht="14.25" customHeight="1" x14ac:dyDescent="0.3">
      <c r="A149" s="223"/>
      <c r="B149" s="223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5"/>
      <c r="Q149" s="225"/>
      <c r="R149" s="224"/>
      <c r="S149" s="224"/>
      <c r="T149" s="224"/>
      <c r="U149" s="224"/>
      <c r="V149" s="224"/>
      <c r="W149" s="224"/>
      <c r="X149" s="224"/>
      <c r="Y149" s="224"/>
    </row>
    <row r="150" spans="1:25" ht="14.25" customHeight="1" x14ac:dyDescent="0.3">
      <c r="A150" s="223"/>
      <c r="B150" s="223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5"/>
      <c r="Q150" s="225"/>
      <c r="R150" s="224"/>
      <c r="S150" s="224"/>
      <c r="T150" s="224"/>
      <c r="U150" s="224"/>
      <c r="V150" s="224"/>
      <c r="W150" s="224"/>
      <c r="X150" s="224"/>
      <c r="Y150" s="224"/>
    </row>
    <row r="151" spans="1:25" ht="14.25" customHeight="1" x14ac:dyDescent="0.3">
      <c r="A151" s="223"/>
      <c r="B151" s="223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5"/>
      <c r="Q151" s="225"/>
      <c r="R151" s="224"/>
      <c r="S151" s="224"/>
      <c r="T151" s="224"/>
      <c r="U151" s="224"/>
      <c r="V151" s="224"/>
      <c r="W151" s="224"/>
      <c r="X151" s="224"/>
      <c r="Y151" s="224"/>
    </row>
    <row r="152" spans="1:25" ht="14.25" customHeight="1" x14ac:dyDescent="0.3">
      <c r="A152" s="223"/>
      <c r="B152" s="223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5"/>
      <c r="Q152" s="225"/>
      <c r="R152" s="224"/>
      <c r="S152" s="224"/>
      <c r="T152" s="224"/>
      <c r="U152" s="224"/>
      <c r="V152" s="224"/>
      <c r="W152" s="224"/>
      <c r="X152" s="224"/>
      <c r="Y152" s="224"/>
    </row>
    <row r="153" spans="1:25" ht="14.25" customHeight="1" x14ac:dyDescent="0.3">
      <c r="A153" s="223"/>
      <c r="B153" s="223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5"/>
      <c r="Q153" s="225"/>
      <c r="R153" s="224"/>
      <c r="S153" s="224"/>
      <c r="T153" s="224"/>
      <c r="U153" s="224"/>
      <c r="V153" s="224"/>
      <c r="W153" s="224"/>
      <c r="X153" s="224"/>
      <c r="Y153" s="224"/>
    </row>
    <row r="154" spans="1:25" ht="14.25" customHeight="1" x14ac:dyDescent="0.3">
      <c r="A154" s="223"/>
      <c r="B154" s="223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5"/>
      <c r="Q154" s="225"/>
      <c r="R154" s="224"/>
      <c r="S154" s="224"/>
      <c r="T154" s="224"/>
      <c r="U154" s="224"/>
      <c r="V154" s="224"/>
      <c r="W154" s="224"/>
      <c r="X154" s="224"/>
      <c r="Y154" s="224"/>
    </row>
    <row r="155" spans="1:25" ht="14.25" customHeight="1" x14ac:dyDescent="0.3">
      <c r="A155" s="223"/>
      <c r="B155" s="223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5"/>
      <c r="Q155" s="225"/>
      <c r="R155" s="224"/>
      <c r="S155" s="224"/>
      <c r="T155" s="224"/>
      <c r="U155" s="224"/>
      <c r="V155" s="224"/>
      <c r="W155" s="224"/>
      <c r="X155" s="224"/>
      <c r="Y155" s="224"/>
    </row>
    <row r="156" spans="1:25" ht="14.25" customHeight="1" x14ac:dyDescent="0.3">
      <c r="A156" s="223"/>
      <c r="B156" s="223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5"/>
      <c r="Q156" s="225"/>
      <c r="R156" s="224"/>
      <c r="S156" s="224"/>
      <c r="T156" s="224"/>
      <c r="U156" s="224"/>
      <c r="V156" s="224"/>
      <c r="W156" s="224"/>
      <c r="X156" s="224"/>
      <c r="Y156" s="224"/>
    </row>
    <row r="157" spans="1:25" ht="14.25" customHeight="1" x14ac:dyDescent="0.3">
      <c r="A157" s="223"/>
      <c r="B157" s="223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5"/>
      <c r="Q157" s="225"/>
      <c r="R157" s="224"/>
      <c r="S157" s="224"/>
      <c r="T157" s="224"/>
      <c r="U157" s="224"/>
      <c r="V157" s="224"/>
      <c r="W157" s="224"/>
      <c r="X157" s="224"/>
      <c r="Y157" s="224"/>
    </row>
    <row r="158" spans="1:25" ht="14.25" customHeight="1" x14ac:dyDescent="0.3">
      <c r="A158" s="223"/>
      <c r="B158" s="223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5"/>
      <c r="Q158" s="225"/>
      <c r="R158" s="224"/>
      <c r="S158" s="224"/>
      <c r="T158" s="224"/>
      <c r="U158" s="224"/>
      <c r="V158" s="224"/>
      <c r="W158" s="224"/>
      <c r="X158" s="224"/>
      <c r="Y158" s="224"/>
    </row>
    <row r="159" spans="1:25" ht="14.25" customHeight="1" x14ac:dyDescent="0.3">
      <c r="A159" s="223"/>
      <c r="B159" s="223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5"/>
      <c r="Q159" s="225"/>
      <c r="R159" s="224"/>
      <c r="S159" s="224"/>
      <c r="T159" s="224"/>
      <c r="U159" s="224"/>
      <c r="V159" s="224"/>
      <c r="W159" s="224"/>
      <c r="X159" s="224"/>
      <c r="Y159" s="224"/>
    </row>
    <row r="160" spans="1:25" ht="14.25" customHeight="1" x14ac:dyDescent="0.3">
      <c r="A160" s="223"/>
      <c r="B160" s="223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5"/>
      <c r="Q160" s="225"/>
      <c r="R160" s="224"/>
      <c r="S160" s="224"/>
      <c r="T160" s="224"/>
      <c r="U160" s="224"/>
      <c r="V160" s="224"/>
      <c r="W160" s="224"/>
      <c r="X160" s="224"/>
      <c r="Y160" s="224"/>
    </row>
    <row r="161" spans="1:25" ht="14.25" customHeight="1" x14ac:dyDescent="0.3">
      <c r="A161" s="223"/>
      <c r="B161" s="223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5"/>
      <c r="Q161" s="225"/>
      <c r="R161" s="224"/>
      <c r="S161" s="224"/>
      <c r="T161" s="224"/>
      <c r="U161" s="224"/>
      <c r="V161" s="224"/>
      <c r="W161" s="224"/>
      <c r="X161" s="224"/>
      <c r="Y161" s="224"/>
    </row>
    <row r="162" spans="1:25" ht="14.25" customHeight="1" x14ac:dyDescent="0.3">
      <c r="A162" s="223"/>
      <c r="B162" s="223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5"/>
      <c r="Q162" s="225"/>
      <c r="R162" s="224"/>
      <c r="S162" s="224"/>
      <c r="T162" s="224"/>
      <c r="U162" s="224"/>
      <c r="V162" s="224"/>
      <c r="W162" s="224"/>
      <c r="X162" s="224"/>
      <c r="Y162" s="224"/>
    </row>
    <row r="163" spans="1:25" ht="14.25" customHeight="1" x14ac:dyDescent="0.3">
      <c r="A163" s="223"/>
      <c r="B163" s="223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5"/>
      <c r="Q163" s="225"/>
      <c r="R163" s="224"/>
      <c r="S163" s="224"/>
      <c r="T163" s="224"/>
      <c r="U163" s="224"/>
      <c r="V163" s="224"/>
      <c r="W163" s="224"/>
      <c r="X163" s="224"/>
      <c r="Y163" s="224"/>
    </row>
    <row r="164" spans="1:25" ht="14.25" customHeight="1" x14ac:dyDescent="0.3">
      <c r="A164" s="223"/>
      <c r="B164" s="223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5"/>
      <c r="Q164" s="225"/>
      <c r="R164" s="224"/>
      <c r="S164" s="224"/>
      <c r="T164" s="224"/>
      <c r="U164" s="224"/>
      <c r="V164" s="224"/>
      <c r="W164" s="224"/>
      <c r="X164" s="224"/>
      <c r="Y164" s="224"/>
    </row>
    <row r="165" spans="1:25" ht="14.25" customHeight="1" x14ac:dyDescent="0.3">
      <c r="A165" s="223"/>
      <c r="B165" s="223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5"/>
      <c r="Q165" s="225"/>
      <c r="R165" s="224"/>
      <c r="S165" s="224"/>
      <c r="T165" s="224"/>
      <c r="U165" s="224"/>
      <c r="V165" s="224"/>
      <c r="W165" s="224"/>
      <c r="X165" s="224"/>
      <c r="Y165" s="224"/>
    </row>
    <row r="166" spans="1:25" ht="14.25" customHeight="1" x14ac:dyDescent="0.3">
      <c r="A166" s="223"/>
      <c r="B166" s="223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5"/>
      <c r="Q166" s="225"/>
      <c r="R166" s="224"/>
      <c r="S166" s="224"/>
      <c r="T166" s="224"/>
      <c r="U166" s="224"/>
      <c r="V166" s="224"/>
      <c r="W166" s="224"/>
      <c r="X166" s="224"/>
      <c r="Y166" s="224"/>
    </row>
    <row r="167" spans="1:25" ht="14.25" customHeight="1" x14ac:dyDescent="0.3">
      <c r="A167" s="223"/>
      <c r="B167" s="223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5"/>
      <c r="Q167" s="225"/>
      <c r="R167" s="224"/>
      <c r="S167" s="224"/>
      <c r="T167" s="224"/>
      <c r="U167" s="224"/>
      <c r="V167" s="224"/>
      <c r="W167" s="224"/>
      <c r="X167" s="224"/>
      <c r="Y167" s="224"/>
    </row>
    <row r="168" spans="1:25" ht="14.25" customHeight="1" x14ac:dyDescent="0.3">
      <c r="A168" s="223"/>
      <c r="B168" s="223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5"/>
      <c r="Q168" s="225"/>
      <c r="R168" s="224"/>
      <c r="S168" s="224"/>
      <c r="T168" s="224"/>
      <c r="U168" s="224"/>
      <c r="V168" s="224"/>
      <c r="W168" s="224"/>
      <c r="X168" s="224"/>
      <c r="Y168" s="224"/>
    </row>
    <row r="169" spans="1:25" ht="14.25" customHeight="1" x14ac:dyDescent="0.3">
      <c r="A169" s="223"/>
      <c r="B169" s="223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5"/>
      <c r="Q169" s="225"/>
      <c r="R169" s="224"/>
      <c r="S169" s="224"/>
      <c r="T169" s="224"/>
      <c r="U169" s="224"/>
      <c r="V169" s="224"/>
      <c r="W169" s="224"/>
      <c r="X169" s="224"/>
      <c r="Y169" s="224"/>
    </row>
    <row r="170" spans="1:25" ht="14.25" customHeight="1" x14ac:dyDescent="0.3">
      <c r="A170" s="223"/>
      <c r="B170" s="223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5"/>
      <c r="Q170" s="225"/>
      <c r="R170" s="224"/>
      <c r="S170" s="224"/>
      <c r="T170" s="224"/>
      <c r="U170" s="224"/>
      <c r="V170" s="224"/>
      <c r="W170" s="224"/>
      <c r="X170" s="224"/>
      <c r="Y170" s="224"/>
    </row>
    <row r="171" spans="1:25" ht="14.25" customHeight="1" x14ac:dyDescent="0.3">
      <c r="A171" s="223"/>
      <c r="B171" s="223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5"/>
      <c r="Q171" s="225"/>
      <c r="R171" s="224"/>
      <c r="S171" s="224"/>
      <c r="T171" s="224"/>
      <c r="U171" s="224"/>
      <c r="V171" s="224"/>
      <c r="W171" s="224"/>
      <c r="X171" s="224"/>
      <c r="Y171" s="224"/>
    </row>
    <row r="172" spans="1:25" ht="14.25" customHeight="1" x14ac:dyDescent="0.3">
      <c r="A172" s="223"/>
      <c r="B172" s="223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5"/>
      <c r="Q172" s="225"/>
      <c r="R172" s="224"/>
      <c r="S172" s="224"/>
      <c r="T172" s="224"/>
      <c r="U172" s="224"/>
      <c r="V172" s="224"/>
      <c r="W172" s="224"/>
      <c r="X172" s="224"/>
      <c r="Y172" s="224"/>
    </row>
    <row r="173" spans="1:25" ht="14.25" customHeight="1" x14ac:dyDescent="0.3">
      <c r="A173" s="223"/>
      <c r="B173" s="223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5"/>
      <c r="Q173" s="225"/>
      <c r="R173" s="224"/>
      <c r="S173" s="224"/>
      <c r="T173" s="224"/>
      <c r="U173" s="224"/>
      <c r="V173" s="224"/>
      <c r="W173" s="224"/>
      <c r="X173" s="224"/>
      <c r="Y173" s="224"/>
    </row>
    <row r="174" spans="1:25" ht="14.25" customHeight="1" x14ac:dyDescent="0.3">
      <c r="A174" s="223"/>
      <c r="B174" s="223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5"/>
      <c r="Q174" s="225"/>
      <c r="R174" s="224"/>
      <c r="S174" s="224"/>
      <c r="T174" s="224"/>
      <c r="U174" s="224"/>
      <c r="V174" s="224"/>
      <c r="W174" s="224"/>
      <c r="X174" s="224"/>
      <c r="Y174" s="224"/>
    </row>
    <row r="175" spans="1:25" ht="14.25" customHeight="1" x14ac:dyDescent="0.3">
      <c r="A175" s="223"/>
      <c r="B175" s="223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5"/>
      <c r="Q175" s="225"/>
      <c r="R175" s="224"/>
      <c r="S175" s="224"/>
      <c r="T175" s="224"/>
      <c r="U175" s="224"/>
      <c r="V175" s="224"/>
      <c r="W175" s="224"/>
      <c r="X175" s="224"/>
      <c r="Y175" s="224"/>
    </row>
    <row r="176" spans="1:25" ht="14.25" customHeight="1" x14ac:dyDescent="0.3">
      <c r="A176" s="223"/>
      <c r="B176" s="223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5"/>
      <c r="Q176" s="225"/>
      <c r="R176" s="224"/>
      <c r="S176" s="224"/>
      <c r="T176" s="224"/>
      <c r="U176" s="224"/>
      <c r="V176" s="224"/>
      <c r="W176" s="224"/>
      <c r="X176" s="224"/>
      <c r="Y176" s="224"/>
    </row>
    <row r="177" spans="1:25" ht="14.25" customHeight="1" x14ac:dyDescent="0.3">
      <c r="A177" s="223"/>
      <c r="B177" s="223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5"/>
      <c r="Q177" s="225"/>
      <c r="R177" s="224"/>
      <c r="S177" s="224"/>
      <c r="T177" s="224"/>
      <c r="U177" s="224"/>
      <c r="V177" s="224"/>
      <c r="W177" s="224"/>
      <c r="X177" s="224"/>
      <c r="Y177" s="224"/>
    </row>
    <row r="178" spans="1:25" ht="14.25" customHeight="1" x14ac:dyDescent="0.3">
      <c r="A178" s="223"/>
      <c r="B178" s="223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5"/>
      <c r="Q178" s="225"/>
      <c r="R178" s="224"/>
      <c r="S178" s="224"/>
      <c r="T178" s="224"/>
      <c r="U178" s="224"/>
      <c r="V178" s="224"/>
      <c r="W178" s="224"/>
      <c r="X178" s="224"/>
      <c r="Y178" s="224"/>
    </row>
    <row r="179" spans="1:25" ht="14.25" customHeight="1" x14ac:dyDescent="0.3">
      <c r="A179" s="223"/>
      <c r="B179" s="223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5"/>
      <c r="Q179" s="225"/>
      <c r="R179" s="224"/>
      <c r="S179" s="224"/>
      <c r="T179" s="224"/>
      <c r="U179" s="224"/>
      <c r="V179" s="224"/>
      <c r="W179" s="224"/>
      <c r="X179" s="224"/>
      <c r="Y179" s="224"/>
    </row>
    <row r="180" spans="1:25" ht="14.25" customHeight="1" x14ac:dyDescent="0.3">
      <c r="A180" s="223"/>
      <c r="B180" s="223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5"/>
      <c r="Q180" s="225"/>
      <c r="R180" s="224"/>
      <c r="S180" s="224"/>
      <c r="T180" s="224"/>
      <c r="U180" s="224"/>
      <c r="V180" s="224"/>
      <c r="W180" s="224"/>
      <c r="X180" s="224"/>
      <c r="Y180" s="224"/>
    </row>
    <row r="181" spans="1:25" ht="14.25" customHeight="1" x14ac:dyDescent="0.3">
      <c r="A181" s="223"/>
      <c r="B181" s="223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5"/>
      <c r="Q181" s="225"/>
      <c r="R181" s="224"/>
      <c r="S181" s="224"/>
      <c r="T181" s="224"/>
      <c r="U181" s="224"/>
      <c r="V181" s="224"/>
      <c r="W181" s="224"/>
      <c r="X181" s="224"/>
      <c r="Y181" s="224"/>
    </row>
    <row r="182" spans="1:25" ht="14.25" customHeight="1" x14ac:dyDescent="0.3">
      <c r="A182" s="223"/>
      <c r="B182" s="223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5"/>
      <c r="Q182" s="225"/>
      <c r="R182" s="224"/>
      <c r="S182" s="224"/>
      <c r="T182" s="224"/>
      <c r="U182" s="224"/>
      <c r="V182" s="224"/>
      <c r="W182" s="224"/>
      <c r="X182" s="224"/>
      <c r="Y182" s="224"/>
    </row>
    <row r="183" spans="1:25" ht="14.25" customHeight="1" x14ac:dyDescent="0.3">
      <c r="A183" s="223"/>
      <c r="B183" s="223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5"/>
      <c r="Q183" s="225"/>
      <c r="R183" s="224"/>
      <c r="S183" s="224"/>
      <c r="T183" s="224"/>
      <c r="U183" s="224"/>
      <c r="V183" s="224"/>
      <c r="W183" s="224"/>
      <c r="X183" s="224"/>
      <c r="Y183" s="224"/>
    </row>
    <row r="184" spans="1:25" ht="14.25" customHeight="1" x14ac:dyDescent="0.3">
      <c r="A184" s="223"/>
      <c r="B184" s="223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5"/>
      <c r="Q184" s="225"/>
      <c r="R184" s="224"/>
      <c r="S184" s="224"/>
      <c r="T184" s="224"/>
      <c r="U184" s="224"/>
      <c r="V184" s="224"/>
      <c r="W184" s="224"/>
      <c r="X184" s="224"/>
      <c r="Y184" s="224"/>
    </row>
    <row r="185" spans="1:25" ht="14.25" customHeight="1" x14ac:dyDescent="0.3">
      <c r="A185" s="223"/>
      <c r="B185" s="223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5"/>
      <c r="Q185" s="225"/>
      <c r="R185" s="224"/>
      <c r="S185" s="224"/>
      <c r="T185" s="224"/>
      <c r="U185" s="224"/>
      <c r="V185" s="224"/>
      <c r="W185" s="224"/>
      <c r="X185" s="224"/>
      <c r="Y185" s="224"/>
    </row>
    <row r="186" spans="1:25" ht="14.25" customHeight="1" x14ac:dyDescent="0.3">
      <c r="A186" s="223"/>
      <c r="B186" s="223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5"/>
      <c r="Q186" s="225"/>
      <c r="R186" s="224"/>
      <c r="S186" s="224"/>
      <c r="T186" s="224"/>
      <c r="U186" s="224"/>
      <c r="V186" s="224"/>
      <c r="W186" s="224"/>
      <c r="X186" s="224"/>
      <c r="Y186" s="224"/>
    </row>
    <row r="187" spans="1:25" ht="14.25" customHeight="1" x14ac:dyDescent="0.3">
      <c r="A187" s="223"/>
      <c r="B187" s="223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5"/>
      <c r="Q187" s="225"/>
      <c r="R187" s="224"/>
      <c r="S187" s="224"/>
      <c r="T187" s="224"/>
      <c r="U187" s="224"/>
      <c r="V187" s="224"/>
      <c r="W187" s="224"/>
      <c r="X187" s="224"/>
      <c r="Y187" s="224"/>
    </row>
    <row r="188" spans="1:25" ht="14.25" customHeight="1" x14ac:dyDescent="0.3">
      <c r="A188" s="223"/>
      <c r="B188" s="223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5"/>
      <c r="Q188" s="225"/>
      <c r="R188" s="224"/>
      <c r="S188" s="224"/>
      <c r="T188" s="224"/>
      <c r="U188" s="224"/>
      <c r="V188" s="224"/>
      <c r="W188" s="224"/>
      <c r="X188" s="224"/>
      <c r="Y188" s="224"/>
    </row>
    <row r="189" spans="1:25" ht="14.25" customHeight="1" x14ac:dyDescent="0.3">
      <c r="A189" s="223"/>
      <c r="B189" s="223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5"/>
      <c r="Q189" s="225"/>
      <c r="R189" s="224"/>
      <c r="S189" s="224"/>
      <c r="T189" s="224"/>
      <c r="U189" s="224"/>
      <c r="V189" s="224"/>
      <c r="W189" s="224"/>
      <c r="X189" s="224"/>
      <c r="Y189" s="224"/>
    </row>
    <row r="190" spans="1:25" ht="14.25" customHeight="1" x14ac:dyDescent="0.3">
      <c r="A190" s="223"/>
      <c r="B190" s="223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5"/>
      <c r="Q190" s="225"/>
      <c r="R190" s="224"/>
      <c r="S190" s="224"/>
      <c r="T190" s="224"/>
      <c r="U190" s="224"/>
      <c r="V190" s="224"/>
      <c r="W190" s="224"/>
      <c r="X190" s="224"/>
      <c r="Y190" s="224"/>
    </row>
    <row r="191" spans="1:25" ht="14.25" customHeight="1" x14ac:dyDescent="0.3">
      <c r="A191" s="223"/>
      <c r="B191" s="223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5"/>
      <c r="Q191" s="225"/>
      <c r="R191" s="224"/>
      <c r="S191" s="224"/>
      <c r="T191" s="224"/>
      <c r="U191" s="224"/>
      <c r="V191" s="224"/>
      <c r="W191" s="224"/>
      <c r="X191" s="224"/>
      <c r="Y191" s="224"/>
    </row>
    <row r="192" spans="1:25" ht="14.25" customHeight="1" x14ac:dyDescent="0.3">
      <c r="A192" s="223"/>
      <c r="B192" s="223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5"/>
      <c r="Q192" s="225"/>
      <c r="R192" s="224"/>
      <c r="S192" s="224"/>
      <c r="T192" s="224"/>
      <c r="U192" s="224"/>
      <c r="V192" s="224"/>
      <c r="W192" s="224"/>
      <c r="X192" s="224"/>
      <c r="Y192" s="224"/>
    </row>
    <row r="193" spans="1:25" ht="14.25" customHeight="1" x14ac:dyDescent="0.3">
      <c r="A193" s="223"/>
      <c r="B193" s="223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5"/>
      <c r="Q193" s="225"/>
      <c r="R193" s="224"/>
      <c r="S193" s="224"/>
      <c r="T193" s="224"/>
      <c r="U193" s="224"/>
      <c r="V193" s="224"/>
      <c r="W193" s="224"/>
      <c r="X193" s="224"/>
      <c r="Y193" s="224"/>
    </row>
    <row r="194" spans="1:25" ht="14.25" customHeight="1" x14ac:dyDescent="0.3">
      <c r="A194" s="223"/>
      <c r="B194" s="223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5"/>
      <c r="Q194" s="225"/>
      <c r="R194" s="224"/>
      <c r="S194" s="224"/>
      <c r="T194" s="224"/>
      <c r="U194" s="224"/>
      <c r="V194" s="224"/>
      <c r="W194" s="224"/>
      <c r="X194" s="224"/>
      <c r="Y194" s="224"/>
    </row>
    <row r="195" spans="1:25" ht="14.25" customHeight="1" x14ac:dyDescent="0.3">
      <c r="A195" s="223"/>
      <c r="B195" s="223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5"/>
      <c r="Q195" s="225"/>
      <c r="R195" s="224"/>
      <c r="S195" s="224"/>
      <c r="T195" s="224"/>
      <c r="U195" s="224"/>
      <c r="V195" s="224"/>
      <c r="W195" s="224"/>
      <c r="X195" s="224"/>
      <c r="Y195" s="224"/>
    </row>
    <row r="196" spans="1:25" ht="14.25" customHeight="1" x14ac:dyDescent="0.3">
      <c r="A196" s="223"/>
      <c r="B196" s="223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5"/>
      <c r="Q196" s="225"/>
      <c r="R196" s="224"/>
      <c r="S196" s="224"/>
      <c r="T196" s="224"/>
      <c r="U196" s="224"/>
      <c r="V196" s="224"/>
      <c r="W196" s="224"/>
      <c r="X196" s="224"/>
      <c r="Y196" s="224"/>
    </row>
    <row r="197" spans="1:25" ht="14.25" customHeight="1" x14ac:dyDescent="0.3">
      <c r="A197" s="223"/>
      <c r="B197" s="223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5"/>
      <c r="Q197" s="225"/>
      <c r="R197" s="224"/>
      <c r="S197" s="224"/>
      <c r="T197" s="224"/>
      <c r="U197" s="224"/>
      <c r="V197" s="224"/>
      <c r="W197" s="224"/>
      <c r="X197" s="224"/>
      <c r="Y197" s="224"/>
    </row>
    <row r="198" spans="1:25" ht="14.25" customHeight="1" x14ac:dyDescent="0.3">
      <c r="A198" s="223"/>
      <c r="B198" s="223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5"/>
      <c r="Q198" s="225"/>
      <c r="R198" s="224"/>
      <c r="S198" s="224"/>
      <c r="T198" s="224"/>
      <c r="U198" s="224"/>
      <c r="V198" s="224"/>
      <c r="W198" s="224"/>
      <c r="X198" s="224"/>
      <c r="Y198" s="224"/>
    </row>
    <row r="199" spans="1:25" ht="14.25" customHeight="1" x14ac:dyDescent="0.3">
      <c r="A199" s="223"/>
      <c r="B199" s="223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5"/>
      <c r="Q199" s="225"/>
      <c r="R199" s="224"/>
      <c r="S199" s="224"/>
      <c r="T199" s="224"/>
      <c r="U199" s="224"/>
      <c r="V199" s="224"/>
      <c r="W199" s="224"/>
      <c r="X199" s="224"/>
      <c r="Y199" s="224"/>
    </row>
    <row r="200" spans="1:25" ht="14.25" customHeight="1" x14ac:dyDescent="0.3">
      <c r="A200" s="223"/>
      <c r="B200" s="223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5"/>
      <c r="Q200" s="225"/>
      <c r="R200" s="224"/>
      <c r="S200" s="224"/>
      <c r="T200" s="224"/>
      <c r="U200" s="224"/>
      <c r="V200" s="224"/>
      <c r="W200" s="224"/>
      <c r="X200" s="224"/>
      <c r="Y200" s="224"/>
    </row>
    <row r="201" spans="1:25" ht="14.25" customHeight="1" x14ac:dyDescent="0.3">
      <c r="A201" s="223"/>
      <c r="B201" s="223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5"/>
      <c r="Q201" s="225"/>
      <c r="R201" s="224"/>
      <c r="S201" s="224"/>
      <c r="T201" s="224"/>
      <c r="U201" s="224"/>
      <c r="V201" s="224"/>
      <c r="W201" s="224"/>
      <c r="X201" s="224"/>
      <c r="Y201" s="224"/>
    </row>
    <row r="202" spans="1:25" ht="14.25" customHeight="1" x14ac:dyDescent="0.3">
      <c r="A202" s="223"/>
      <c r="B202" s="223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5"/>
      <c r="Q202" s="225"/>
      <c r="R202" s="224"/>
      <c r="S202" s="224"/>
      <c r="T202" s="224"/>
      <c r="U202" s="224"/>
      <c r="V202" s="224"/>
      <c r="W202" s="224"/>
      <c r="X202" s="224"/>
      <c r="Y202" s="224"/>
    </row>
    <row r="203" spans="1:25" ht="14.25" customHeight="1" x14ac:dyDescent="0.3">
      <c r="A203" s="223"/>
      <c r="B203" s="223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5"/>
      <c r="Q203" s="225"/>
      <c r="R203" s="224"/>
      <c r="S203" s="224"/>
      <c r="T203" s="224"/>
      <c r="U203" s="224"/>
      <c r="V203" s="224"/>
      <c r="W203" s="224"/>
      <c r="X203" s="224"/>
      <c r="Y203" s="224"/>
    </row>
    <row r="204" spans="1:25" ht="14.25" customHeight="1" x14ac:dyDescent="0.3">
      <c r="A204" s="223"/>
      <c r="B204" s="223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5"/>
      <c r="Q204" s="225"/>
      <c r="R204" s="224"/>
      <c r="S204" s="224"/>
      <c r="T204" s="224"/>
      <c r="U204" s="224"/>
      <c r="V204" s="224"/>
      <c r="W204" s="224"/>
      <c r="X204" s="224"/>
      <c r="Y204" s="224"/>
    </row>
    <row r="205" spans="1:25" ht="14.25" customHeight="1" x14ac:dyDescent="0.3">
      <c r="A205" s="223"/>
      <c r="B205" s="223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5"/>
      <c r="Q205" s="225"/>
      <c r="R205" s="224"/>
      <c r="S205" s="224"/>
      <c r="T205" s="224"/>
      <c r="U205" s="224"/>
      <c r="V205" s="224"/>
      <c r="W205" s="224"/>
      <c r="X205" s="224"/>
      <c r="Y205" s="224"/>
    </row>
    <row r="206" spans="1:25" ht="14.25" customHeight="1" x14ac:dyDescent="0.3">
      <c r="A206" s="223"/>
      <c r="B206" s="223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5"/>
      <c r="Q206" s="225"/>
      <c r="R206" s="224"/>
      <c r="S206" s="224"/>
      <c r="T206" s="224"/>
      <c r="U206" s="224"/>
      <c r="V206" s="224"/>
      <c r="W206" s="224"/>
      <c r="X206" s="224"/>
      <c r="Y206" s="224"/>
    </row>
    <row r="207" spans="1:25" ht="14.25" customHeight="1" x14ac:dyDescent="0.3">
      <c r="A207" s="223"/>
      <c r="B207" s="223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5"/>
      <c r="Q207" s="225"/>
      <c r="R207" s="224"/>
      <c r="S207" s="224"/>
      <c r="T207" s="224"/>
      <c r="U207" s="224"/>
      <c r="V207" s="224"/>
      <c r="W207" s="224"/>
      <c r="X207" s="224"/>
      <c r="Y207" s="224"/>
    </row>
    <row r="208" spans="1:25" ht="14.25" customHeight="1" x14ac:dyDescent="0.3">
      <c r="A208" s="223"/>
      <c r="B208" s="223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5"/>
      <c r="Q208" s="225"/>
      <c r="R208" s="224"/>
      <c r="S208" s="224"/>
      <c r="T208" s="224"/>
      <c r="U208" s="224"/>
      <c r="V208" s="224"/>
      <c r="W208" s="224"/>
      <c r="X208" s="224"/>
      <c r="Y208" s="224"/>
    </row>
    <row r="209" spans="1:25" ht="14.25" customHeight="1" x14ac:dyDescent="0.3">
      <c r="A209" s="223"/>
      <c r="B209" s="223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5"/>
      <c r="Q209" s="225"/>
      <c r="R209" s="224"/>
      <c r="S209" s="224"/>
      <c r="T209" s="224"/>
      <c r="U209" s="224"/>
      <c r="V209" s="224"/>
      <c r="W209" s="224"/>
      <c r="X209" s="224"/>
      <c r="Y209" s="224"/>
    </row>
    <row r="210" spans="1:25" ht="14.25" customHeight="1" x14ac:dyDescent="0.3">
      <c r="A210" s="223"/>
      <c r="B210" s="223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5"/>
      <c r="Q210" s="225"/>
      <c r="R210" s="224"/>
      <c r="S210" s="224"/>
      <c r="T210" s="224"/>
      <c r="U210" s="224"/>
      <c r="V210" s="224"/>
      <c r="W210" s="224"/>
      <c r="X210" s="224"/>
      <c r="Y210" s="224"/>
    </row>
    <row r="211" spans="1:25" ht="14.25" customHeight="1" x14ac:dyDescent="0.3">
      <c r="A211" s="223"/>
      <c r="B211" s="223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5"/>
      <c r="Q211" s="225"/>
      <c r="R211" s="224"/>
      <c r="S211" s="224"/>
      <c r="T211" s="224"/>
      <c r="U211" s="224"/>
      <c r="V211" s="224"/>
      <c r="W211" s="224"/>
      <c r="X211" s="224"/>
      <c r="Y211" s="224"/>
    </row>
    <row r="212" spans="1:25" ht="14.25" customHeight="1" x14ac:dyDescent="0.3">
      <c r="A212" s="223"/>
      <c r="B212" s="223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5"/>
      <c r="Q212" s="225"/>
      <c r="R212" s="224"/>
      <c r="S212" s="224"/>
      <c r="T212" s="224"/>
      <c r="U212" s="224"/>
      <c r="V212" s="224"/>
      <c r="W212" s="224"/>
      <c r="X212" s="224"/>
      <c r="Y212" s="224"/>
    </row>
    <row r="213" spans="1:25" ht="14.25" customHeight="1" x14ac:dyDescent="0.3">
      <c r="A213" s="223"/>
      <c r="B213" s="223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5"/>
      <c r="Q213" s="225"/>
      <c r="R213" s="224"/>
      <c r="S213" s="224"/>
      <c r="T213" s="224"/>
      <c r="U213" s="224"/>
      <c r="V213" s="224"/>
      <c r="W213" s="224"/>
      <c r="X213" s="224"/>
      <c r="Y213" s="224"/>
    </row>
    <row r="214" spans="1:25" ht="14.25" customHeight="1" x14ac:dyDescent="0.3">
      <c r="A214" s="223"/>
      <c r="B214" s="223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5"/>
      <c r="Q214" s="225"/>
      <c r="R214" s="224"/>
      <c r="S214" s="224"/>
      <c r="T214" s="224"/>
      <c r="U214" s="224"/>
      <c r="V214" s="224"/>
      <c r="W214" s="224"/>
      <c r="X214" s="224"/>
      <c r="Y214" s="224"/>
    </row>
    <row r="215" spans="1:25" ht="14.25" customHeight="1" x14ac:dyDescent="0.3">
      <c r="A215" s="223"/>
      <c r="B215" s="223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5"/>
      <c r="Q215" s="225"/>
      <c r="R215" s="224"/>
      <c r="S215" s="224"/>
      <c r="T215" s="224"/>
      <c r="U215" s="224"/>
      <c r="V215" s="224"/>
      <c r="W215" s="224"/>
      <c r="X215" s="224"/>
      <c r="Y215" s="224"/>
    </row>
    <row r="216" spans="1:25" ht="14.25" customHeight="1" x14ac:dyDescent="0.3">
      <c r="A216" s="223"/>
      <c r="B216" s="223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5"/>
      <c r="Q216" s="225"/>
      <c r="R216" s="224"/>
      <c r="S216" s="224"/>
      <c r="T216" s="224"/>
      <c r="U216" s="224"/>
      <c r="V216" s="224"/>
      <c r="W216" s="224"/>
      <c r="X216" s="224"/>
      <c r="Y216" s="224"/>
    </row>
    <row r="217" spans="1:25" ht="14.25" customHeight="1" x14ac:dyDescent="0.3">
      <c r="A217" s="223"/>
      <c r="B217" s="223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5"/>
      <c r="Q217" s="225"/>
      <c r="R217" s="224"/>
      <c r="S217" s="224"/>
      <c r="T217" s="224"/>
      <c r="U217" s="224"/>
      <c r="V217" s="224"/>
      <c r="W217" s="224"/>
      <c r="X217" s="224"/>
      <c r="Y217" s="224"/>
    </row>
    <row r="218" spans="1:25" ht="14.25" customHeight="1" x14ac:dyDescent="0.3">
      <c r="A218" s="223"/>
      <c r="B218" s="223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5"/>
      <c r="Q218" s="225"/>
      <c r="R218" s="224"/>
      <c r="S218" s="224"/>
      <c r="T218" s="224"/>
      <c r="U218" s="224"/>
      <c r="V218" s="224"/>
      <c r="W218" s="224"/>
      <c r="X218" s="224"/>
      <c r="Y218" s="224"/>
    </row>
    <row r="219" spans="1:25" ht="14.25" customHeight="1" x14ac:dyDescent="0.3">
      <c r="A219" s="223"/>
      <c r="B219" s="223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5"/>
      <c r="Q219" s="225"/>
      <c r="R219" s="224"/>
      <c r="S219" s="224"/>
      <c r="T219" s="224"/>
      <c r="U219" s="224"/>
      <c r="V219" s="224"/>
      <c r="W219" s="224"/>
      <c r="X219" s="224"/>
      <c r="Y219" s="224"/>
    </row>
    <row r="220" spans="1:25" ht="14.25" customHeight="1" x14ac:dyDescent="0.3">
      <c r="A220" s="223"/>
      <c r="B220" s="223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5"/>
      <c r="Q220" s="225"/>
      <c r="R220" s="224"/>
      <c r="S220" s="224"/>
      <c r="T220" s="224"/>
      <c r="U220" s="224"/>
      <c r="V220" s="224"/>
      <c r="W220" s="224"/>
      <c r="X220" s="224"/>
      <c r="Y220" s="224"/>
    </row>
    <row r="221" spans="1:25" ht="14.25" customHeight="1" x14ac:dyDescent="0.3">
      <c r="A221" s="223"/>
      <c r="B221" s="223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5"/>
      <c r="Q221" s="225"/>
      <c r="R221" s="224"/>
      <c r="S221" s="224"/>
      <c r="T221" s="224"/>
      <c r="U221" s="224"/>
      <c r="V221" s="224"/>
      <c r="W221" s="224"/>
      <c r="X221" s="224"/>
      <c r="Y221" s="224"/>
    </row>
    <row r="222" spans="1:25" ht="14.25" customHeight="1" x14ac:dyDescent="0.3">
      <c r="A222" s="223"/>
      <c r="B222" s="223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5"/>
      <c r="Q222" s="225"/>
      <c r="R222" s="224"/>
      <c r="S222" s="224"/>
      <c r="T222" s="224"/>
      <c r="U222" s="224"/>
      <c r="V222" s="224"/>
      <c r="W222" s="224"/>
      <c r="X222" s="224"/>
      <c r="Y222" s="224"/>
    </row>
    <row r="223" spans="1:25" ht="14.25" customHeight="1" x14ac:dyDescent="0.3">
      <c r="A223" s="223"/>
      <c r="B223" s="223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5"/>
      <c r="Q223" s="225"/>
      <c r="R223" s="224"/>
      <c r="S223" s="224"/>
      <c r="T223" s="224"/>
      <c r="U223" s="224"/>
      <c r="V223" s="224"/>
      <c r="W223" s="224"/>
      <c r="X223" s="224"/>
      <c r="Y223" s="224"/>
    </row>
    <row r="224" spans="1:25" ht="14.25" customHeight="1" x14ac:dyDescent="0.3">
      <c r="A224" s="223"/>
      <c r="B224" s="223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5"/>
      <c r="Q224" s="225"/>
      <c r="R224" s="224"/>
      <c r="S224" s="224"/>
      <c r="T224" s="224"/>
      <c r="U224" s="224"/>
      <c r="V224" s="224"/>
      <c r="W224" s="224"/>
      <c r="X224" s="224"/>
      <c r="Y224" s="224"/>
    </row>
    <row r="225" spans="1:25" ht="14.25" customHeight="1" x14ac:dyDescent="0.3">
      <c r="A225" s="223"/>
      <c r="B225" s="223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5"/>
      <c r="Q225" s="225"/>
      <c r="R225" s="224"/>
      <c r="S225" s="224"/>
      <c r="T225" s="224"/>
      <c r="U225" s="224"/>
      <c r="V225" s="224"/>
      <c r="W225" s="224"/>
      <c r="X225" s="224"/>
      <c r="Y225" s="224"/>
    </row>
    <row r="226" spans="1:25" ht="14.25" customHeight="1" x14ac:dyDescent="0.3">
      <c r="A226" s="223"/>
      <c r="B226" s="223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5"/>
      <c r="Q226" s="225"/>
      <c r="R226" s="224"/>
      <c r="S226" s="224"/>
      <c r="T226" s="224"/>
      <c r="U226" s="224"/>
      <c r="V226" s="224"/>
      <c r="W226" s="224"/>
      <c r="X226" s="224"/>
      <c r="Y226" s="224"/>
    </row>
    <row r="227" spans="1:25" ht="14.25" customHeight="1" x14ac:dyDescent="0.3">
      <c r="A227" s="223"/>
      <c r="B227" s="223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5"/>
      <c r="Q227" s="225"/>
      <c r="R227" s="224"/>
      <c r="S227" s="224"/>
      <c r="T227" s="224"/>
      <c r="U227" s="224"/>
      <c r="V227" s="224"/>
      <c r="W227" s="224"/>
      <c r="X227" s="224"/>
      <c r="Y227" s="224"/>
    </row>
    <row r="228" spans="1:25" ht="14.25" customHeight="1" x14ac:dyDescent="0.3">
      <c r="A228" s="223"/>
      <c r="B228" s="223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5"/>
      <c r="Q228" s="225"/>
      <c r="R228" s="224"/>
      <c r="S228" s="224"/>
      <c r="T228" s="224"/>
      <c r="U228" s="224"/>
      <c r="V228" s="224"/>
      <c r="W228" s="224"/>
      <c r="X228" s="224"/>
      <c r="Y228" s="224"/>
    </row>
    <row r="229" spans="1:25" ht="14.25" customHeight="1" x14ac:dyDescent="0.3">
      <c r="A229" s="223"/>
      <c r="B229" s="223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5"/>
      <c r="Q229" s="225"/>
      <c r="R229" s="224"/>
      <c r="S229" s="224"/>
      <c r="T229" s="224"/>
      <c r="U229" s="224"/>
      <c r="V229" s="224"/>
      <c r="W229" s="224"/>
      <c r="X229" s="224"/>
      <c r="Y229" s="224"/>
    </row>
    <row r="230" spans="1:25" ht="14.25" customHeight="1" x14ac:dyDescent="0.3">
      <c r="A230" s="223"/>
      <c r="B230" s="223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5"/>
      <c r="Q230" s="225"/>
      <c r="R230" s="224"/>
      <c r="S230" s="224"/>
      <c r="T230" s="224"/>
      <c r="U230" s="224"/>
      <c r="V230" s="224"/>
      <c r="W230" s="224"/>
      <c r="X230" s="224"/>
      <c r="Y230" s="224"/>
    </row>
    <row r="231" spans="1:25" ht="14.25" customHeight="1" x14ac:dyDescent="0.3">
      <c r="A231" s="223"/>
      <c r="B231" s="223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5"/>
      <c r="Q231" s="225"/>
      <c r="R231" s="224"/>
      <c r="S231" s="224"/>
      <c r="T231" s="224"/>
      <c r="U231" s="224"/>
      <c r="V231" s="224"/>
      <c r="W231" s="224"/>
      <c r="X231" s="224"/>
      <c r="Y231" s="224"/>
    </row>
    <row r="232" spans="1:25" ht="14.25" customHeight="1" x14ac:dyDescent="0.3">
      <c r="A232" s="223"/>
      <c r="B232" s="223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5"/>
      <c r="Q232" s="225"/>
      <c r="R232" s="224"/>
      <c r="S232" s="224"/>
      <c r="T232" s="224"/>
      <c r="U232" s="224"/>
      <c r="V232" s="224"/>
      <c r="W232" s="224"/>
      <c r="X232" s="224"/>
      <c r="Y232" s="224"/>
    </row>
    <row r="233" spans="1:25" ht="14.25" customHeight="1" x14ac:dyDescent="0.3">
      <c r="A233" s="223"/>
      <c r="B233" s="223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5"/>
      <c r="Q233" s="225"/>
      <c r="R233" s="224"/>
      <c r="S233" s="224"/>
      <c r="T233" s="224"/>
      <c r="U233" s="224"/>
      <c r="V233" s="224"/>
      <c r="W233" s="224"/>
      <c r="X233" s="224"/>
      <c r="Y233" s="224"/>
    </row>
    <row r="234" spans="1:25" ht="14.25" customHeight="1" x14ac:dyDescent="0.3">
      <c r="A234" s="223"/>
      <c r="B234" s="223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5"/>
      <c r="Q234" s="225"/>
      <c r="R234" s="224"/>
      <c r="S234" s="224"/>
      <c r="T234" s="224"/>
      <c r="U234" s="224"/>
      <c r="V234" s="224"/>
      <c r="W234" s="224"/>
      <c r="X234" s="224"/>
      <c r="Y234" s="224"/>
    </row>
    <row r="235" spans="1:25" ht="14.25" customHeight="1" x14ac:dyDescent="0.3">
      <c r="A235" s="223"/>
      <c r="B235" s="223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5"/>
      <c r="Q235" s="225"/>
      <c r="R235" s="224"/>
      <c r="S235" s="224"/>
      <c r="T235" s="224"/>
      <c r="U235" s="224"/>
      <c r="V235" s="224"/>
      <c r="W235" s="224"/>
      <c r="X235" s="224"/>
      <c r="Y235" s="224"/>
    </row>
    <row r="236" spans="1:25" ht="14.25" customHeight="1" x14ac:dyDescent="0.3">
      <c r="A236" s="223"/>
      <c r="B236" s="223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5"/>
      <c r="Q236" s="225"/>
      <c r="R236" s="224"/>
      <c r="S236" s="224"/>
      <c r="T236" s="224"/>
      <c r="U236" s="224"/>
      <c r="V236" s="224"/>
      <c r="W236" s="224"/>
      <c r="X236" s="224"/>
      <c r="Y236" s="224"/>
    </row>
    <row r="237" spans="1:25" ht="14.25" customHeight="1" x14ac:dyDescent="0.3">
      <c r="A237" s="223"/>
      <c r="B237" s="223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5"/>
      <c r="Q237" s="225"/>
      <c r="R237" s="224"/>
      <c r="S237" s="224"/>
      <c r="T237" s="224"/>
      <c r="U237" s="224"/>
      <c r="V237" s="224"/>
      <c r="W237" s="224"/>
      <c r="X237" s="224"/>
      <c r="Y237" s="224"/>
    </row>
    <row r="238" spans="1:25" ht="14.25" customHeight="1" x14ac:dyDescent="0.3">
      <c r="A238" s="223"/>
      <c r="B238" s="223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5"/>
      <c r="Q238" s="225"/>
      <c r="R238" s="224"/>
      <c r="S238" s="224"/>
      <c r="T238" s="224"/>
      <c r="U238" s="224"/>
      <c r="V238" s="224"/>
      <c r="W238" s="224"/>
      <c r="X238" s="224"/>
      <c r="Y238" s="224"/>
    </row>
    <row r="239" spans="1:25" ht="14.25" customHeight="1" x14ac:dyDescent="0.3">
      <c r="A239" s="223"/>
      <c r="B239" s="223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5"/>
      <c r="Q239" s="225"/>
      <c r="R239" s="224"/>
      <c r="S239" s="224"/>
      <c r="T239" s="224"/>
      <c r="U239" s="224"/>
      <c r="V239" s="224"/>
      <c r="W239" s="224"/>
      <c r="X239" s="224"/>
      <c r="Y239" s="224"/>
    </row>
    <row r="240" spans="1:25" ht="14.25" customHeight="1" x14ac:dyDescent="0.3">
      <c r="A240" s="223"/>
      <c r="B240" s="223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5"/>
      <c r="Q240" s="225"/>
      <c r="R240" s="224"/>
      <c r="S240" s="224"/>
      <c r="T240" s="224"/>
      <c r="U240" s="224"/>
      <c r="V240" s="224"/>
      <c r="W240" s="224"/>
      <c r="X240" s="224"/>
      <c r="Y240" s="224"/>
    </row>
    <row r="241" spans="1:25" ht="14.25" customHeight="1" x14ac:dyDescent="0.3">
      <c r="A241" s="223"/>
      <c r="B241" s="223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5"/>
      <c r="Q241" s="225"/>
      <c r="R241" s="224"/>
      <c r="S241" s="224"/>
      <c r="T241" s="224"/>
      <c r="U241" s="224"/>
      <c r="V241" s="224"/>
      <c r="W241" s="224"/>
      <c r="X241" s="224"/>
      <c r="Y241" s="224"/>
    </row>
    <row r="242" spans="1:25" ht="14.25" customHeight="1" x14ac:dyDescent="0.3">
      <c r="A242" s="223"/>
      <c r="B242" s="223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5"/>
      <c r="Q242" s="225"/>
      <c r="R242" s="224"/>
      <c r="S242" s="224"/>
      <c r="T242" s="224"/>
      <c r="U242" s="224"/>
      <c r="V242" s="224"/>
      <c r="W242" s="224"/>
      <c r="X242" s="224"/>
      <c r="Y242" s="224"/>
    </row>
    <row r="243" spans="1:25" ht="14.25" customHeight="1" x14ac:dyDescent="0.3">
      <c r="A243" s="223"/>
      <c r="B243" s="223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5"/>
      <c r="Q243" s="225"/>
      <c r="R243" s="224"/>
      <c r="S243" s="224"/>
      <c r="T243" s="224"/>
      <c r="U243" s="224"/>
      <c r="V243" s="224"/>
      <c r="W243" s="224"/>
      <c r="X243" s="224"/>
      <c r="Y243" s="224"/>
    </row>
    <row r="244" spans="1:25" ht="14.25" customHeight="1" x14ac:dyDescent="0.3">
      <c r="A244" s="223"/>
      <c r="B244" s="223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5"/>
      <c r="Q244" s="225"/>
      <c r="R244" s="224"/>
      <c r="S244" s="224"/>
      <c r="T244" s="224"/>
      <c r="U244" s="224"/>
      <c r="V244" s="224"/>
      <c r="W244" s="224"/>
      <c r="X244" s="224"/>
      <c r="Y244" s="224"/>
    </row>
    <row r="245" spans="1:25" ht="14.25" customHeight="1" x14ac:dyDescent="0.3">
      <c r="A245" s="223"/>
      <c r="B245" s="223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5"/>
      <c r="Q245" s="225"/>
      <c r="R245" s="224"/>
      <c r="S245" s="224"/>
      <c r="T245" s="224"/>
      <c r="U245" s="224"/>
      <c r="V245" s="224"/>
      <c r="W245" s="224"/>
      <c r="X245" s="224"/>
      <c r="Y245" s="224"/>
    </row>
    <row r="246" spans="1:25" ht="14.25" customHeight="1" x14ac:dyDescent="0.3">
      <c r="A246" s="223"/>
      <c r="B246" s="223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5"/>
      <c r="Q246" s="225"/>
      <c r="R246" s="224"/>
      <c r="S246" s="224"/>
      <c r="T246" s="224"/>
      <c r="U246" s="224"/>
      <c r="V246" s="224"/>
      <c r="W246" s="224"/>
      <c r="X246" s="224"/>
      <c r="Y246" s="224"/>
    </row>
    <row r="247" spans="1:25" ht="14.25" customHeight="1" x14ac:dyDescent="0.3">
      <c r="A247" s="223"/>
      <c r="B247" s="223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5"/>
      <c r="Q247" s="225"/>
      <c r="R247" s="224"/>
      <c r="S247" s="224"/>
      <c r="T247" s="224"/>
      <c r="U247" s="224"/>
      <c r="V247" s="224"/>
      <c r="W247" s="224"/>
      <c r="X247" s="224"/>
      <c r="Y247" s="224"/>
    </row>
    <row r="248" spans="1:25" ht="14.25" customHeight="1" x14ac:dyDescent="0.3">
      <c r="A248" s="223"/>
      <c r="B248" s="223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5"/>
      <c r="Q248" s="225"/>
      <c r="R248" s="224"/>
      <c r="S248" s="224"/>
      <c r="T248" s="224"/>
      <c r="U248" s="224"/>
      <c r="V248" s="224"/>
      <c r="W248" s="224"/>
      <c r="X248" s="224"/>
      <c r="Y248" s="224"/>
    </row>
    <row r="249" spans="1:25" ht="14.25" customHeight="1" x14ac:dyDescent="0.3">
      <c r="A249" s="223"/>
      <c r="B249" s="223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5"/>
      <c r="Q249" s="225"/>
      <c r="R249" s="224"/>
      <c r="S249" s="224"/>
      <c r="T249" s="224"/>
      <c r="U249" s="224"/>
      <c r="V249" s="224"/>
      <c r="W249" s="224"/>
      <c r="X249" s="224"/>
      <c r="Y249" s="224"/>
    </row>
    <row r="250" spans="1:25" ht="14.25" customHeight="1" x14ac:dyDescent="0.3">
      <c r="A250" s="223"/>
      <c r="B250" s="223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5"/>
      <c r="Q250" s="225"/>
      <c r="R250" s="224"/>
      <c r="S250" s="224"/>
      <c r="T250" s="224"/>
      <c r="U250" s="224"/>
      <c r="V250" s="224"/>
      <c r="W250" s="224"/>
      <c r="X250" s="224"/>
      <c r="Y250" s="224"/>
    </row>
    <row r="251" spans="1:25" ht="14.25" customHeight="1" x14ac:dyDescent="0.3">
      <c r="A251" s="223"/>
      <c r="B251" s="223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5"/>
      <c r="Q251" s="225"/>
      <c r="R251" s="224"/>
      <c r="S251" s="224"/>
      <c r="T251" s="224"/>
      <c r="U251" s="224"/>
      <c r="V251" s="224"/>
      <c r="W251" s="224"/>
      <c r="X251" s="224"/>
      <c r="Y251" s="224"/>
    </row>
    <row r="252" spans="1:25" ht="14.25" customHeight="1" x14ac:dyDescent="0.3">
      <c r="A252" s="223"/>
      <c r="B252" s="223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5"/>
      <c r="Q252" s="225"/>
      <c r="R252" s="224"/>
      <c r="S252" s="224"/>
      <c r="T252" s="224"/>
      <c r="U252" s="224"/>
      <c r="V252" s="224"/>
      <c r="W252" s="224"/>
      <c r="X252" s="224"/>
      <c r="Y252" s="224"/>
    </row>
    <row r="253" spans="1:25" ht="14.25" customHeight="1" x14ac:dyDescent="0.3">
      <c r="P253" s="225"/>
      <c r="Q253" s="225"/>
    </row>
    <row r="254" spans="1:25" ht="14.25" customHeight="1" x14ac:dyDescent="0.3">
      <c r="P254" s="225"/>
      <c r="Q254" s="225"/>
    </row>
    <row r="255" spans="1:25" ht="14.25" customHeight="1" x14ac:dyDescent="0.3">
      <c r="P255" s="225"/>
      <c r="Q255" s="225"/>
    </row>
    <row r="256" spans="1:25" ht="14.25" customHeight="1" x14ac:dyDescent="0.3">
      <c r="P256" s="225"/>
      <c r="Q256" s="225"/>
    </row>
    <row r="257" spans="16:17" ht="14.25" customHeight="1" x14ac:dyDescent="0.3">
      <c r="P257" s="225"/>
      <c r="Q257" s="225"/>
    </row>
    <row r="258" spans="16:17" ht="14.25" customHeight="1" x14ac:dyDescent="0.3">
      <c r="P258" s="225"/>
      <c r="Q258" s="225"/>
    </row>
    <row r="259" spans="16:17" ht="14.25" customHeight="1" x14ac:dyDescent="0.3">
      <c r="P259" s="225"/>
      <c r="Q259" s="225"/>
    </row>
    <row r="260" spans="16:17" ht="14.25" customHeight="1" x14ac:dyDescent="0.3">
      <c r="P260" s="225"/>
      <c r="Q260" s="225"/>
    </row>
    <row r="261" spans="16:17" ht="14.25" customHeight="1" x14ac:dyDescent="0.3">
      <c r="P261" s="225"/>
      <c r="Q261" s="225"/>
    </row>
    <row r="262" spans="16:17" ht="14.25" customHeight="1" x14ac:dyDescent="0.3">
      <c r="P262" s="225"/>
      <c r="Q262" s="225"/>
    </row>
    <row r="263" spans="16:17" ht="14.25" customHeight="1" x14ac:dyDescent="0.3">
      <c r="P263" s="225"/>
      <c r="Q263" s="225"/>
    </row>
    <row r="264" spans="16:17" ht="14.25" customHeight="1" x14ac:dyDescent="0.3">
      <c r="P264" s="225"/>
      <c r="Q264" s="225"/>
    </row>
    <row r="265" spans="16:17" ht="14.25" customHeight="1" x14ac:dyDescent="0.3">
      <c r="P265" s="225"/>
      <c r="Q265" s="225"/>
    </row>
    <row r="266" spans="16:17" ht="14.25" customHeight="1" x14ac:dyDescent="0.3">
      <c r="P266" s="225"/>
      <c r="Q266" s="225"/>
    </row>
    <row r="267" spans="16:17" ht="14.25" customHeight="1" x14ac:dyDescent="0.3">
      <c r="P267" s="225"/>
      <c r="Q267" s="225"/>
    </row>
    <row r="268" spans="16:17" ht="14.25" customHeight="1" x14ac:dyDescent="0.3">
      <c r="P268" s="225"/>
      <c r="Q268" s="225"/>
    </row>
    <row r="269" spans="16:17" ht="14.25" customHeight="1" x14ac:dyDescent="0.3">
      <c r="P269" s="225"/>
      <c r="Q269" s="225"/>
    </row>
    <row r="270" spans="16:17" ht="14.25" customHeight="1" x14ac:dyDescent="0.3">
      <c r="P270" s="225"/>
      <c r="Q270" s="225"/>
    </row>
    <row r="271" spans="16:17" ht="14.25" customHeight="1" x14ac:dyDescent="0.3">
      <c r="P271" s="225"/>
      <c r="Q271" s="225"/>
    </row>
    <row r="272" spans="16:17" ht="14.25" customHeight="1" x14ac:dyDescent="0.3">
      <c r="P272" s="225"/>
      <c r="Q272" s="225"/>
    </row>
    <row r="273" spans="16:17" ht="14.25" customHeight="1" x14ac:dyDescent="0.3">
      <c r="P273" s="225"/>
      <c r="Q273" s="225"/>
    </row>
    <row r="274" spans="16:17" ht="14.25" customHeight="1" x14ac:dyDescent="0.3">
      <c r="P274" s="225"/>
      <c r="Q274" s="225"/>
    </row>
    <row r="275" spans="16:17" ht="14.25" customHeight="1" x14ac:dyDescent="0.3">
      <c r="P275" s="225"/>
      <c r="Q275" s="225"/>
    </row>
    <row r="276" spans="16:17" ht="14.25" customHeight="1" x14ac:dyDescent="0.3">
      <c r="P276" s="225"/>
      <c r="Q276" s="225"/>
    </row>
    <row r="277" spans="16:17" ht="14.25" customHeight="1" x14ac:dyDescent="0.3">
      <c r="P277" s="225"/>
      <c r="Q277" s="225"/>
    </row>
    <row r="278" spans="16:17" ht="14.25" customHeight="1" x14ac:dyDescent="0.3">
      <c r="P278" s="225"/>
      <c r="Q278" s="225"/>
    </row>
    <row r="279" spans="16:17" ht="14.25" customHeight="1" x14ac:dyDescent="0.3">
      <c r="P279" s="225"/>
      <c r="Q279" s="225"/>
    </row>
    <row r="280" spans="16:17" ht="14.25" customHeight="1" x14ac:dyDescent="0.3">
      <c r="P280" s="225"/>
      <c r="Q280" s="225"/>
    </row>
    <row r="281" spans="16:17" ht="14.25" customHeight="1" x14ac:dyDescent="0.3">
      <c r="P281" s="225"/>
      <c r="Q281" s="225"/>
    </row>
    <row r="282" spans="16:17" ht="14.25" customHeight="1" x14ac:dyDescent="0.3">
      <c r="P282" s="225"/>
      <c r="Q282" s="225"/>
    </row>
    <row r="283" spans="16:17" ht="14.25" customHeight="1" x14ac:dyDescent="0.3">
      <c r="P283" s="225"/>
      <c r="Q283" s="225"/>
    </row>
    <row r="284" spans="16:17" ht="14.25" customHeight="1" x14ac:dyDescent="0.3">
      <c r="P284" s="225"/>
      <c r="Q284" s="225"/>
    </row>
    <row r="285" spans="16:17" ht="14.25" customHeight="1" x14ac:dyDescent="0.3">
      <c r="P285" s="225"/>
      <c r="Q285" s="225"/>
    </row>
    <row r="286" spans="16:17" ht="14.25" customHeight="1" x14ac:dyDescent="0.3">
      <c r="P286" s="225"/>
      <c r="Q286" s="225"/>
    </row>
    <row r="287" spans="16:17" ht="14.25" customHeight="1" x14ac:dyDescent="0.3">
      <c r="P287" s="225"/>
      <c r="Q287" s="225"/>
    </row>
    <row r="288" spans="16:17" ht="14.25" customHeight="1" x14ac:dyDescent="0.3">
      <c r="P288" s="225"/>
      <c r="Q288" s="225"/>
    </row>
    <row r="289" spans="16:17" ht="14.25" customHeight="1" x14ac:dyDescent="0.3">
      <c r="P289" s="225"/>
      <c r="Q289" s="225"/>
    </row>
    <row r="290" spans="16:17" ht="14.25" customHeight="1" x14ac:dyDescent="0.3">
      <c r="P290" s="225"/>
      <c r="Q290" s="225"/>
    </row>
    <row r="291" spans="16:17" ht="14.25" customHeight="1" x14ac:dyDescent="0.3">
      <c r="P291" s="225"/>
      <c r="Q291" s="225"/>
    </row>
    <row r="292" spans="16:17" ht="14.25" customHeight="1" x14ac:dyDescent="0.3">
      <c r="P292" s="225"/>
      <c r="Q292" s="225"/>
    </row>
    <row r="293" spans="16:17" ht="14.25" customHeight="1" x14ac:dyDescent="0.3">
      <c r="P293" s="225"/>
      <c r="Q293" s="225"/>
    </row>
    <row r="294" spans="16:17" ht="14.25" customHeight="1" x14ac:dyDescent="0.3">
      <c r="P294" s="225"/>
      <c r="Q294" s="225"/>
    </row>
    <row r="295" spans="16:17" ht="14.25" customHeight="1" x14ac:dyDescent="0.3">
      <c r="P295" s="225"/>
      <c r="Q295" s="225"/>
    </row>
    <row r="296" spans="16:17" ht="14.25" customHeight="1" x14ac:dyDescent="0.3">
      <c r="P296" s="225"/>
      <c r="Q296" s="225"/>
    </row>
    <row r="297" spans="16:17" ht="14.25" customHeight="1" x14ac:dyDescent="0.3">
      <c r="P297" s="225"/>
      <c r="Q297" s="225"/>
    </row>
    <row r="298" spans="16:17" ht="14.25" customHeight="1" x14ac:dyDescent="0.3">
      <c r="P298" s="225"/>
      <c r="Q298" s="225"/>
    </row>
    <row r="299" spans="16:17" ht="14.25" customHeight="1" x14ac:dyDescent="0.3">
      <c r="P299" s="225"/>
      <c r="Q299" s="225"/>
    </row>
    <row r="300" spans="16:17" ht="14.25" customHeight="1" x14ac:dyDescent="0.3">
      <c r="P300" s="225"/>
      <c r="Q300" s="225"/>
    </row>
    <row r="301" spans="16:17" ht="14.25" customHeight="1" x14ac:dyDescent="0.3">
      <c r="P301" s="225"/>
      <c r="Q301" s="225"/>
    </row>
    <row r="302" spans="16:17" ht="14.25" customHeight="1" x14ac:dyDescent="0.3">
      <c r="P302" s="225"/>
      <c r="Q302" s="225"/>
    </row>
    <row r="303" spans="16:17" ht="14.25" customHeight="1" x14ac:dyDescent="0.3">
      <c r="P303" s="225"/>
      <c r="Q303" s="225"/>
    </row>
    <row r="304" spans="16:17" ht="14.25" customHeight="1" x14ac:dyDescent="0.3">
      <c r="P304" s="225"/>
      <c r="Q304" s="225"/>
    </row>
    <row r="305" spans="16:17" ht="14.25" customHeight="1" x14ac:dyDescent="0.3">
      <c r="P305" s="225"/>
      <c r="Q305" s="225"/>
    </row>
    <row r="306" spans="16:17" ht="14.25" customHeight="1" x14ac:dyDescent="0.3">
      <c r="P306" s="225"/>
      <c r="Q306" s="225"/>
    </row>
    <row r="307" spans="16:17" ht="14.25" customHeight="1" x14ac:dyDescent="0.3">
      <c r="P307" s="225"/>
      <c r="Q307" s="225"/>
    </row>
    <row r="308" spans="16:17" ht="14.25" customHeight="1" x14ac:dyDescent="0.3">
      <c r="P308" s="225"/>
      <c r="Q308" s="225"/>
    </row>
    <row r="309" spans="16:17" ht="14.25" customHeight="1" x14ac:dyDescent="0.3">
      <c r="P309" s="225"/>
      <c r="Q309" s="225"/>
    </row>
    <row r="310" spans="16:17" ht="14.25" customHeight="1" x14ac:dyDescent="0.3">
      <c r="P310" s="225"/>
      <c r="Q310" s="225"/>
    </row>
    <row r="311" spans="16:17" ht="14.25" customHeight="1" x14ac:dyDescent="0.3">
      <c r="P311" s="225"/>
      <c r="Q311" s="225"/>
    </row>
    <row r="312" spans="16:17" ht="14.25" customHeight="1" x14ac:dyDescent="0.3">
      <c r="P312" s="225"/>
      <c r="Q312" s="225"/>
    </row>
    <row r="313" spans="16:17" ht="14.25" customHeight="1" x14ac:dyDescent="0.3">
      <c r="P313" s="225"/>
      <c r="Q313" s="225"/>
    </row>
    <row r="314" spans="16:17" ht="14.25" customHeight="1" x14ac:dyDescent="0.3">
      <c r="P314" s="225"/>
      <c r="Q314" s="225"/>
    </row>
    <row r="315" spans="16:17" ht="14.25" customHeight="1" x14ac:dyDescent="0.3">
      <c r="P315" s="225"/>
      <c r="Q315" s="225"/>
    </row>
    <row r="316" spans="16:17" ht="14.25" customHeight="1" x14ac:dyDescent="0.3">
      <c r="P316" s="225"/>
      <c r="Q316" s="225"/>
    </row>
    <row r="317" spans="16:17" ht="14.25" customHeight="1" x14ac:dyDescent="0.3">
      <c r="P317" s="225"/>
      <c r="Q317" s="225"/>
    </row>
    <row r="318" spans="16:17" ht="14.25" customHeight="1" x14ac:dyDescent="0.3">
      <c r="P318" s="225"/>
      <c r="Q318" s="225"/>
    </row>
    <row r="319" spans="16:17" ht="14.25" customHeight="1" x14ac:dyDescent="0.3">
      <c r="P319" s="225"/>
      <c r="Q319" s="225"/>
    </row>
    <row r="320" spans="16:17" ht="14.25" customHeight="1" x14ac:dyDescent="0.3">
      <c r="P320" s="225"/>
      <c r="Q320" s="225"/>
    </row>
    <row r="321" spans="16:17" ht="14.25" customHeight="1" x14ac:dyDescent="0.3">
      <c r="P321" s="225"/>
      <c r="Q321" s="225"/>
    </row>
    <row r="322" spans="16:17" ht="14.25" customHeight="1" x14ac:dyDescent="0.3">
      <c r="P322" s="225"/>
      <c r="Q322" s="225"/>
    </row>
    <row r="323" spans="16:17" ht="14.25" customHeight="1" x14ac:dyDescent="0.3">
      <c r="P323" s="225"/>
      <c r="Q323" s="225"/>
    </row>
    <row r="324" spans="16:17" ht="14.25" customHeight="1" x14ac:dyDescent="0.3">
      <c r="P324" s="225"/>
      <c r="Q324" s="225"/>
    </row>
    <row r="325" spans="16:17" ht="14.25" customHeight="1" x14ac:dyDescent="0.3">
      <c r="P325" s="225"/>
      <c r="Q325" s="225"/>
    </row>
    <row r="326" spans="16:17" ht="14.25" customHeight="1" x14ac:dyDescent="0.3">
      <c r="P326" s="225"/>
      <c r="Q326" s="225"/>
    </row>
    <row r="327" spans="16:17" ht="14.25" customHeight="1" x14ac:dyDescent="0.3">
      <c r="P327" s="225"/>
      <c r="Q327" s="225"/>
    </row>
    <row r="328" spans="16:17" ht="14.25" customHeight="1" x14ac:dyDescent="0.3">
      <c r="P328" s="225"/>
      <c r="Q328" s="225"/>
    </row>
    <row r="329" spans="16:17" ht="14.25" customHeight="1" x14ac:dyDescent="0.3">
      <c r="P329" s="225"/>
      <c r="Q329" s="225"/>
    </row>
    <row r="330" spans="16:17" ht="14.25" customHeight="1" x14ac:dyDescent="0.3">
      <c r="P330" s="225"/>
      <c r="Q330" s="225"/>
    </row>
    <row r="331" spans="16:17" ht="14.25" customHeight="1" x14ac:dyDescent="0.3">
      <c r="P331" s="225"/>
      <c r="Q331" s="225"/>
    </row>
    <row r="332" spans="16:17" ht="14.25" customHeight="1" x14ac:dyDescent="0.3">
      <c r="P332" s="225"/>
      <c r="Q332" s="225"/>
    </row>
    <row r="333" spans="16:17" ht="14.25" customHeight="1" x14ac:dyDescent="0.3">
      <c r="P333" s="225"/>
      <c r="Q333" s="225"/>
    </row>
    <row r="334" spans="16:17" ht="14.25" customHeight="1" x14ac:dyDescent="0.3">
      <c r="P334" s="225"/>
      <c r="Q334" s="225"/>
    </row>
    <row r="335" spans="16:17" ht="14.25" customHeight="1" x14ac:dyDescent="0.3">
      <c r="P335" s="225"/>
      <c r="Q335" s="225"/>
    </row>
    <row r="336" spans="16:17" ht="14.25" customHeight="1" x14ac:dyDescent="0.3">
      <c r="P336" s="225"/>
      <c r="Q336" s="225"/>
    </row>
    <row r="337" spans="16:17" ht="14.25" customHeight="1" x14ac:dyDescent="0.3">
      <c r="P337" s="225"/>
      <c r="Q337" s="225"/>
    </row>
    <row r="338" spans="16:17" ht="14.25" customHeight="1" x14ac:dyDescent="0.3">
      <c r="P338" s="225"/>
      <c r="Q338" s="225"/>
    </row>
    <row r="339" spans="16:17" ht="14.25" customHeight="1" x14ac:dyDescent="0.3">
      <c r="P339" s="225"/>
      <c r="Q339" s="225"/>
    </row>
    <row r="340" spans="16:17" ht="14.25" customHeight="1" x14ac:dyDescent="0.3">
      <c r="P340" s="225"/>
      <c r="Q340" s="225"/>
    </row>
    <row r="341" spans="16:17" ht="14.25" customHeight="1" x14ac:dyDescent="0.3">
      <c r="P341" s="225"/>
      <c r="Q341" s="225"/>
    </row>
    <row r="342" spans="16:17" ht="14.25" customHeight="1" x14ac:dyDescent="0.3">
      <c r="P342" s="225"/>
      <c r="Q342" s="225"/>
    </row>
    <row r="343" spans="16:17" ht="14.25" customHeight="1" x14ac:dyDescent="0.3">
      <c r="P343" s="225"/>
      <c r="Q343" s="225"/>
    </row>
    <row r="344" spans="16:17" ht="14.25" customHeight="1" x14ac:dyDescent="0.3">
      <c r="P344" s="225"/>
      <c r="Q344" s="225"/>
    </row>
    <row r="345" spans="16:17" ht="14.25" customHeight="1" x14ac:dyDescent="0.3">
      <c r="P345" s="225"/>
      <c r="Q345" s="225"/>
    </row>
    <row r="346" spans="16:17" ht="14.25" customHeight="1" x14ac:dyDescent="0.3">
      <c r="P346" s="225"/>
      <c r="Q346" s="225"/>
    </row>
    <row r="347" spans="16:17" ht="14.25" customHeight="1" x14ac:dyDescent="0.3">
      <c r="P347" s="225"/>
      <c r="Q347" s="225"/>
    </row>
    <row r="348" spans="16:17" ht="14.25" customHeight="1" x14ac:dyDescent="0.3">
      <c r="P348" s="225"/>
      <c r="Q348" s="225"/>
    </row>
    <row r="349" spans="16:17" ht="14.25" customHeight="1" x14ac:dyDescent="0.3">
      <c r="P349" s="225"/>
      <c r="Q349" s="225"/>
    </row>
    <row r="350" spans="16:17" ht="14.25" customHeight="1" x14ac:dyDescent="0.3">
      <c r="P350" s="225"/>
      <c r="Q350" s="225"/>
    </row>
    <row r="351" spans="16:17" ht="14.25" customHeight="1" x14ac:dyDescent="0.3">
      <c r="P351" s="225"/>
      <c r="Q351" s="225"/>
    </row>
    <row r="352" spans="16:17" ht="14.25" customHeight="1" x14ac:dyDescent="0.3">
      <c r="P352" s="225"/>
      <c r="Q352" s="225"/>
    </row>
    <row r="353" spans="16:17" ht="14.25" customHeight="1" x14ac:dyDescent="0.3">
      <c r="P353" s="225"/>
      <c r="Q353" s="225"/>
    </row>
    <row r="354" spans="16:17" ht="14.25" customHeight="1" x14ac:dyDescent="0.3">
      <c r="P354" s="225"/>
      <c r="Q354" s="225"/>
    </row>
    <row r="355" spans="16:17" ht="14.25" customHeight="1" x14ac:dyDescent="0.3">
      <c r="P355" s="225"/>
      <c r="Q355" s="225"/>
    </row>
    <row r="356" spans="16:17" ht="14.25" customHeight="1" x14ac:dyDescent="0.3">
      <c r="P356" s="225"/>
      <c r="Q356" s="225"/>
    </row>
    <row r="357" spans="16:17" ht="14.25" customHeight="1" x14ac:dyDescent="0.3">
      <c r="P357" s="225"/>
      <c r="Q357" s="225"/>
    </row>
    <row r="358" spans="16:17" ht="14.25" customHeight="1" x14ac:dyDescent="0.3">
      <c r="P358" s="225"/>
      <c r="Q358" s="225"/>
    </row>
    <row r="359" spans="16:17" ht="14.25" customHeight="1" x14ac:dyDescent="0.3">
      <c r="P359" s="225"/>
      <c r="Q359" s="225"/>
    </row>
    <row r="360" spans="16:17" ht="14.25" customHeight="1" x14ac:dyDescent="0.3">
      <c r="P360" s="225"/>
      <c r="Q360" s="225"/>
    </row>
    <row r="361" spans="16:17" ht="14.25" customHeight="1" x14ac:dyDescent="0.3">
      <c r="P361" s="225"/>
      <c r="Q361" s="225"/>
    </row>
    <row r="362" spans="16:17" ht="14.25" customHeight="1" x14ac:dyDescent="0.3">
      <c r="P362" s="225"/>
      <c r="Q362" s="225"/>
    </row>
    <row r="363" spans="16:17" ht="14.25" customHeight="1" x14ac:dyDescent="0.3">
      <c r="P363" s="225"/>
      <c r="Q363" s="225"/>
    </row>
    <row r="364" spans="16:17" ht="14.25" customHeight="1" x14ac:dyDescent="0.3">
      <c r="P364" s="225"/>
      <c r="Q364" s="225"/>
    </row>
    <row r="365" spans="16:17" ht="14.25" customHeight="1" x14ac:dyDescent="0.3">
      <c r="P365" s="225"/>
      <c r="Q365" s="225"/>
    </row>
    <row r="366" spans="16:17" ht="14.25" customHeight="1" x14ac:dyDescent="0.3">
      <c r="P366" s="225"/>
      <c r="Q366" s="225"/>
    </row>
    <row r="367" spans="16:17" ht="14.25" customHeight="1" x14ac:dyDescent="0.3">
      <c r="P367" s="225"/>
      <c r="Q367" s="225"/>
    </row>
    <row r="368" spans="16:17" ht="14.25" customHeight="1" x14ac:dyDescent="0.3">
      <c r="P368" s="225"/>
      <c r="Q368" s="225"/>
    </row>
    <row r="369" spans="16:17" ht="14.25" customHeight="1" x14ac:dyDescent="0.3">
      <c r="P369" s="225"/>
      <c r="Q369" s="225"/>
    </row>
    <row r="370" spans="16:17" ht="14.25" customHeight="1" x14ac:dyDescent="0.3">
      <c r="P370" s="225"/>
      <c r="Q370" s="225"/>
    </row>
    <row r="371" spans="16:17" ht="14.25" customHeight="1" x14ac:dyDescent="0.3">
      <c r="P371" s="225"/>
      <c r="Q371" s="225"/>
    </row>
    <row r="372" spans="16:17" ht="14.25" customHeight="1" x14ac:dyDescent="0.3">
      <c r="P372" s="225"/>
      <c r="Q372" s="225"/>
    </row>
    <row r="373" spans="16:17" ht="14.25" customHeight="1" x14ac:dyDescent="0.3">
      <c r="P373" s="225"/>
      <c r="Q373" s="225"/>
    </row>
    <row r="374" spans="16:17" ht="14.25" customHeight="1" x14ac:dyDescent="0.3">
      <c r="P374" s="225"/>
      <c r="Q374" s="225"/>
    </row>
    <row r="375" spans="16:17" ht="14.25" customHeight="1" x14ac:dyDescent="0.3">
      <c r="P375" s="225"/>
      <c r="Q375" s="225"/>
    </row>
    <row r="376" spans="16:17" ht="14.25" customHeight="1" x14ac:dyDescent="0.3">
      <c r="P376" s="225"/>
      <c r="Q376" s="225"/>
    </row>
    <row r="377" spans="16:17" ht="14.25" customHeight="1" x14ac:dyDescent="0.3">
      <c r="P377" s="225"/>
      <c r="Q377" s="225"/>
    </row>
    <row r="378" spans="16:17" ht="14.25" customHeight="1" x14ac:dyDescent="0.3">
      <c r="P378" s="225"/>
      <c r="Q378" s="225"/>
    </row>
    <row r="379" spans="16:17" ht="14.25" customHeight="1" x14ac:dyDescent="0.3">
      <c r="P379" s="225"/>
      <c r="Q379" s="225"/>
    </row>
    <row r="380" spans="16:17" ht="14.25" customHeight="1" x14ac:dyDescent="0.3">
      <c r="P380" s="225"/>
      <c r="Q380" s="225"/>
    </row>
    <row r="381" spans="16:17" ht="14.25" customHeight="1" x14ac:dyDescent="0.3">
      <c r="P381" s="225"/>
      <c r="Q381" s="225"/>
    </row>
    <row r="382" spans="16:17" ht="14.25" customHeight="1" x14ac:dyDescent="0.3">
      <c r="P382" s="225"/>
      <c r="Q382" s="225"/>
    </row>
    <row r="383" spans="16:17" ht="14.25" customHeight="1" x14ac:dyDescent="0.3">
      <c r="P383" s="225"/>
      <c r="Q383" s="225"/>
    </row>
    <row r="384" spans="16:17" ht="14.25" customHeight="1" x14ac:dyDescent="0.3">
      <c r="P384" s="225"/>
      <c r="Q384" s="225"/>
    </row>
    <row r="385" spans="16:17" ht="14.25" customHeight="1" x14ac:dyDescent="0.3">
      <c r="P385" s="225"/>
      <c r="Q385" s="225"/>
    </row>
    <row r="386" spans="16:17" ht="14.25" customHeight="1" x14ac:dyDescent="0.3">
      <c r="P386" s="225"/>
      <c r="Q386" s="225"/>
    </row>
    <row r="387" spans="16:17" ht="14.25" customHeight="1" x14ac:dyDescent="0.3">
      <c r="P387" s="225"/>
      <c r="Q387" s="225"/>
    </row>
    <row r="388" spans="16:17" ht="14.25" customHeight="1" x14ac:dyDescent="0.3">
      <c r="P388" s="225"/>
      <c r="Q388" s="225"/>
    </row>
    <row r="389" spans="16:17" ht="14.25" customHeight="1" x14ac:dyDescent="0.3">
      <c r="P389" s="225"/>
      <c r="Q389" s="225"/>
    </row>
    <row r="390" spans="16:17" ht="14.25" customHeight="1" x14ac:dyDescent="0.3">
      <c r="P390" s="225"/>
      <c r="Q390" s="225"/>
    </row>
    <row r="391" spans="16:17" ht="14.25" customHeight="1" x14ac:dyDescent="0.3">
      <c r="P391" s="225"/>
      <c r="Q391" s="225"/>
    </row>
    <row r="392" spans="16:17" ht="14.25" customHeight="1" x14ac:dyDescent="0.3">
      <c r="P392" s="225"/>
      <c r="Q392" s="225"/>
    </row>
    <row r="393" spans="16:17" ht="14.25" customHeight="1" x14ac:dyDescent="0.3">
      <c r="P393" s="225"/>
      <c r="Q393" s="225"/>
    </row>
    <row r="394" spans="16:17" ht="14.25" customHeight="1" x14ac:dyDescent="0.3">
      <c r="P394" s="225"/>
      <c r="Q394" s="225"/>
    </row>
    <row r="395" spans="16:17" ht="14.25" customHeight="1" x14ac:dyDescent="0.3">
      <c r="P395" s="225"/>
      <c r="Q395" s="225"/>
    </row>
    <row r="396" spans="16:17" ht="14.25" customHeight="1" x14ac:dyDescent="0.3">
      <c r="P396" s="225"/>
      <c r="Q396" s="225"/>
    </row>
    <row r="397" spans="16:17" ht="14.25" customHeight="1" x14ac:dyDescent="0.3">
      <c r="P397" s="225"/>
      <c r="Q397" s="225"/>
    </row>
    <row r="398" spans="16:17" ht="14.25" customHeight="1" x14ac:dyDescent="0.3">
      <c r="P398" s="225"/>
      <c r="Q398" s="225"/>
    </row>
    <row r="399" spans="16:17" ht="14.25" customHeight="1" x14ac:dyDescent="0.3">
      <c r="P399" s="225"/>
      <c r="Q399" s="225"/>
    </row>
    <row r="400" spans="16:17" ht="14.25" customHeight="1" x14ac:dyDescent="0.3">
      <c r="P400" s="225"/>
      <c r="Q400" s="225"/>
    </row>
    <row r="401" spans="16:17" ht="14.25" customHeight="1" x14ac:dyDescent="0.3">
      <c r="P401" s="225"/>
      <c r="Q401" s="225"/>
    </row>
    <row r="402" spans="16:17" ht="14.25" customHeight="1" x14ac:dyDescent="0.3">
      <c r="P402" s="225"/>
      <c r="Q402" s="225"/>
    </row>
    <row r="403" spans="16:17" ht="14.25" customHeight="1" x14ac:dyDescent="0.3">
      <c r="P403" s="225"/>
      <c r="Q403" s="225"/>
    </row>
    <row r="404" spans="16:17" ht="14.25" customHeight="1" x14ac:dyDescent="0.3">
      <c r="P404" s="225"/>
      <c r="Q404" s="225"/>
    </row>
    <row r="405" spans="16:17" ht="14.25" customHeight="1" x14ac:dyDescent="0.3">
      <c r="P405" s="225"/>
      <c r="Q405" s="225"/>
    </row>
    <row r="406" spans="16:17" ht="14.25" customHeight="1" x14ac:dyDescent="0.3">
      <c r="P406" s="225"/>
      <c r="Q406" s="225"/>
    </row>
    <row r="407" spans="16:17" ht="14.25" customHeight="1" x14ac:dyDescent="0.3">
      <c r="P407" s="225"/>
      <c r="Q407" s="225"/>
    </row>
    <row r="408" spans="16:17" ht="14.25" customHeight="1" x14ac:dyDescent="0.3">
      <c r="P408" s="225"/>
      <c r="Q408" s="225"/>
    </row>
    <row r="409" spans="16:17" ht="14.25" customHeight="1" x14ac:dyDescent="0.3">
      <c r="P409" s="225"/>
      <c r="Q409" s="225"/>
    </row>
    <row r="410" spans="16:17" ht="14.25" customHeight="1" x14ac:dyDescent="0.3">
      <c r="P410" s="225"/>
      <c r="Q410" s="225"/>
    </row>
    <row r="411" spans="16:17" ht="14.25" customHeight="1" x14ac:dyDescent="0.3">
      <c r="P411" s="225"/>
      <c r="Q411" s="225"/>
    </row>
    <row r="412" spans="16:17" ht="14.25" customHeight="1" x14ac:dyDescent="0.3">
      <c r="P412" s="225"/>
      <c r="Q412" s="225"/>
    </row>
    <row r="413" spans="16:17" ht="14.25" customHeight="1" x14ac:dyDescent="0.3">
      <c r="P413" s="225"/>
      <c r="Q413" s="225"/>
    </row>
    <row r="414" spans="16:17" ht="14.25" customHeight="1" x14ac:dyDescent="0.3">
      <c r="P414" s="225"/>
      <c r="Q414" s="225"/>
    </row>
    <row r="415" spans="16:17" ht="14.25" customHeight="1" x14ac:dyDescent="0.3">
      <c r="P415" s="225"/>
      <c r="Q415" s="225"/>
    </row>
    <row r="416" spans="16:17" ht="14.25" customHeight="1" x14ac:dyDescent="0.3">
      <c r="P416" s="225"/>
      <c r="Q416" s="225"/>
    </row>
    <row r="417" spans="16:17" ht="14.25" customHeight="1" x14ac:dyDescent="0.3">
      <c r="P417" s="225"/>
      <c r="Q417" s="225"/>
    </row>
    <row r="418" spans="16:17" ht="14.25" customHeight="1" x14ac:dyDescent="0.3">
      <c r="P418" s="225"/>
      <c r="Q418" s="225"/>
    </row>
    <row r="419" spans="16:17" ht="14.25" customHeight="1" x14ac:dyDescent="0.3">
      <c r="P419" s="225"/>
      <c r="Q419" s="225"/>
    </row>
    <row r="420" spans="16:17" ht="14.25" customHeight="1" x14ac:dyDescent="0.3">
      <c r="P420" s="225"/>
      <c r="Q420" s="225"/>
    </row>
    <row r="421" spans="16:17" ht="14.25" customHeight="1" x14ac:dyDescent="0.3">
      <c r="P421" s="225"/>
      <c r="Q421" s="225"/>
    </row>
    <row r="422" spans="16:17" ht="14.25" customHeight="1" x14ac:dyDescent="0.3">
      <c r="P422" s="225"/>
      <c r="Q422" s="225"/>
    </row>
    <row r="423" spans="16:17" ht="14.25" customHeight="1" x14ac:dyDescent="0.3">
      <c r="P423" s="225"/>
      <c r="Q423" s="225"/>
    </row>
    <row r="424" spans="16:17" ht="14.25" customHeight="1" x14ac:dyDescent="0.3">
      <c r="P424" s="225"/>
      <c r="Q424" s="225"/>
    </row>
    <row r="425" spans="16:17" ht="14.25" customHeight="1" x14ac:dyDescent="0.3">
      <c r="P425" s="225"/>
      <c r="Q425" s="225"/>
    </row>
    <row r="426" spans="16:17" ht="14.25" customHeight="1" x14ac:dyDescent="0.3">
      <c r="P426" s="225"/>
      <c r="Q426" s="225"/>
    </row>
    <row r="427" spans="16:17" ht="14.25" customHeight="1" x14ac:dyDescent="0.3">
      <c r="P427" s="225"/>
      <c r="Q427" s="225"/>
    </row>
    <row r="428" spans="16:17" ht="14.25" customHeight="1" x14ac:dyDescent="0.3">
      <c r="P428" s="225"/>
      <c r="Q428" s="225"/>
    </row>
    <row r="429" spans="16:17" ht="14.25" customHeight="1" x14ac:dyDescent="0.3">
      <c r="P429" s="225"/>
      <c r="Q429" s="225"/>
    </row>
    <row r="430" spans="16:17" ht="14.25" customHeight="1" x14ac:dyDescent="0.3">
      <c r="P430" s="225"/>
      <c r="Q430" s="225"/>
    </row>
    <row r="431" spans="16:17" ht="14.25" customHeight="1" x14ac:dyDescent="0.3">
      <c r="P431" s="225"/>
      <c r="Q431" s="225"/>
    </row>
    <row r="432" spans="16:17" ht="14.25" customHeight="1" x14ac:dyDescent="0.3">
      <c r="P432" s="225"/>
      <c r="Q432" s="225"/>
    </row>
    <row r="433" spans="16:17" ht="14.25" customHeight="1" x14ac:dyDescent="0.3">
      <c r="P433" s="225"/>
      <c r="Q433" s="225"/>
    </row>
    <row r="434" spans="16:17" ht="14.25" customHeight="1" x14ac:dyDescent="0.3">
      <c r="P434" s="225"/>
      <c r="Q434" s="225"/>
    </row>
    <row r="435" spans="16:17" ht="14.25" customHeight="1" x14ac:dyDescent="0.3">
      <c r="P435" s="225"/>
      <c r="Q435" s="225"/>
    </row>
    <row r="436" spans="16:17" ht="14.25" customHeight="1" x14ac:dyDescent="0.3">
      <c r="P436" s="225"/>
      <c r="Q436" s="225"/>
    </row>
    <row r="437" spans="16:17" ht="14.25" customHeight="1" x14ac:dyDescent="0.3">
      <c r="P437" s="225"/>
      <c r="Q437" s="225"/>
    </row>
    <row r="438" spans="16:17" ht="14.25" customHeight="1" x14ac:dyDescent="0.3">
      <c r="P438" s="225"/>
      <c r="Q438" s="225"/>
    </row>
    <row r="439" spans="16:17" ht="14.25" customHeight="1" x14ac:dyDescent="0.3">
      <c r="P439" s="225"/>
      <c r="Q439" s="225"/>
    </row>
    <row r="440" spans="16:17" ht="14.25" customHeight="1" x14ac:dyDescent="0.3">
      <c r="P440" s="225"/>
      <c r="Q440" s="225"/>
    </row>
    <row r="441" spans="16:17" ht="14.25" customHeight="1" x14ac:dyDescent="0.3">
      <c r="P441" s="225"/>
      <c r="Q441" s="225"/>
    </row>
    <row r="442" spans="16:17" ht="14.25" customHeight="1" x14ac:dyDescent="0.3">
      <c r="P442" s="225"/>
      <c r="Q442" s="225"/>
    </row>
    <row r="443" spans="16:17" ht="14.25" customHeight="1" x14ac:dyDescent="0.3">
      <c r="P443" s="225"/>
      <c r="Q443" s="225"/>
    </row>
    <row r="444" spans="16:17" ht="14.25" customHeight="1" x14ac:dyDescent="0.3">
      <c r="P444" s="225"/>
      <c r="Q444" s="225"/>
    </row>
    <row r="445" spans="16:17" ht="14.25" customHeight="1" x14ac:dyDescent="0.3">
      <c r="P445" s="225"/>
      <c r="Q445" s="225"/>
    </row>
    <row r="446" spans="16:17" ht="14.25" customHeight="1" x14ac:dyDescent="0.3">
      <c r="P446" s="225"/>
      <c r="Q446" s="225"/>
    </row>
    <row r="447" spans="16:17" ht="14.25" customHeight="1" x14ac:dyDescent="0.3">
      <c r="P447" s="225"/>
      <c r="Q447" s="225"/>
    </row>
    <row r="448" spans="16:17" ht="14.25" customHeight="1" x14ac:dyDescent="0.3">
      <c r="P448" s="225"/>
      <c r="Q448" s="225"/>
    </row>
    <row r="449" spans="16:17" ht="14.25" customHeight="1" x14ac:dyDescent="0.3">
      <c r="P449" s="225"/>
      <c r="Q449" s="225"/>
    </row>
    <row r="450" spans="16:17" ht="14.25" customHeight="1" x14ac:dyDescent="0.3">
      <c r="P450" s="225"/>
      <c r="Q450" s="225"/>
    </row>
    <row r="451" spans="16:17" ht="14.25" customHeight="1" x14ac:dyDescent="0.3">
      <c r="P451" s="225"/>
      <c r="Q451" s="225"/>
    </row>
    <row r="452" spans="16:17" ht="14.25" customHeight="1" x14ac:dyDescent="0.3">
      <c r="P452" s="225"/>
      <c r="Q452" s="225"/>
    </row>
    <row r="453" spans="16:17" ht="14.25" customHeight="1" x14ac:dyDescent="0.3">
      <c r="P453" s="225"/>
      <c r="Q453" s="225"/>
    </row>
    <row r="454" spans="16:17" ht="14.25" customHeight="1" x14ac:dyDescent="0.3">
      <c r="P454" s="225"/>
      <c r="Q454" s="225"/>
    </row>
    <row r="455" spans="16:17" ht="14.25" customHeight="1" x14ac:dyDescent="0.3">
      <c r="P455" s="225"/>
      <c r="Q455" s="225"/>
    </row>
    <row r="456" spans="16:17" ht="14.25" customHeight="1" x14ac:dyDescent="0.3">
      <c r="P456" s="225"/>
      <c r="Q456" s="225"/>
    </row>
    <row r="457" spans="16:17" ht="14.25" customHeight="1" x14ac:dyDescent="0.3">
      <c r="P457" s="225"/>
      <c r="Q457" s="225"/>
    </row>
    <row r="458" spans="16:17" ht="14.25" customHeight="1" x14ac:dyDescent="0.3">
      <c r="P458" s="225"/>
      <c r="Q458" s="225"/>
    </row>
    <row r="459" spans="16:17" ht="14.25" customHeight="1" x14ac:dyDescent="0.3">
      <c r="P459" s="225"/>
      <c r="Q459" s="225"/>
    </row>
    <row r="460" spans="16:17" ht="14.25" customHeight="1" x14ac:dyDescent="0.3">
      <c r="P460" s="225"/>
      <c r="Q460" s="225"/>
    </row>
    <row r="461" spans="16:17" ht="14.25" customHeight="1" x14ac:dyDescent="0.3">
      <c r="P461" s="225"/>
      <c r="Q461" s="225"/>
    </row>
    <row r="462" spans="16:17" ht="14.25" customHeight="1" x14ac:dyDescent="0.3">
      <c r="P462" s="225"/>
      <c r="Q462" s="225"/>
    </row>
    <row r="463" spans="16:17" ht="14.25" customHeight="1" x14ac:dyDescent="0.3">
      <c r="P463" s="225"/>
      <c r="Q463" s="225"/>
    </row>
    <row r="464" spans="16:17" ht="14.25" customHeight="1" x14ac:dyDescent="0.3">
      <c r="P464" s="225"/>
      <c r="Q464" s="225"/>
    </row>
    <row r="465" spans="16:17" ht="14.25" customHeight="1" x14ac:dyDescent="0.3">
      <c r="P465" s="225"/>
      <c r="Q465" s="225"/>
    </row>
    <row r="466" spans="16:17" ht="14.25" customHeight="1" x14ac:dyDescent="0.3">
      <c r="P466" s="225"/>
      <c r="Q466" s="225"/>
    </row>
    <row r="467" spans="16:17" ht="14.25" customHeight="1" x14ac:dyDescent="0.3">
      <c r="P467" s="225"/>
      <c r="Q467" s="225"/>
    </row>
    <row r="468" spans="16:17" ht="14.25" customHeight="1" x14ac:dyDescent="0.3">
      <c r="P468" s="225"/>
      <c r="Q468" s="225"/>
    </row>
    <row r="469" spans="16:17" ht="14.25" customHeight="1" x14ac:dyDescent="0.3">
      <c r="P469" s="225"/>
      <c r="Q469" s="225"/>
    </row>
    <row r="470" spans="16:17" ht="14.25" customHeight="1" x14ac:dyDescent="0.3">
      <c r="P470" s="225"/>
      <c r="Q470" s="225"/>
    </row>
    <row r="471" spans="16:17" ht="14.25" customHeight="1" x14ac:dyDescent="0.3">
      <c r="P471" s="225"/>
      <c r="Q471" s="225"/>
    </row>
    <row r="472" spans="16:17" ht="14.25" customHeight="1" x14ac:dyDescent="0.3">
      <c r="P472" s="225"/>
      <c r="Q472" s="225"/>
    </row>
    <row r="473" spans="16:17" ht="14.25" customHeight="1" x14ac:dyDescent="0.3">
      <c r="P473" s="225"/>
      <c r="Q473" s="225"/>
    </row>
    <row r="474" spans="16:17" ht="14.25" customHeight="1" x14ac:dyDescent="0.3">
      <c r="P474" s="225"/>
      <c r="Q474" s="225"/>
    </row>
    <row r="475" spans="16:17" ht="14.25" customHeight="1" x14ac:dyDescent="0.3">
      <c r="P475" s="225"/>
      <c r="Q475" s="225"/>
    </row>
    <row r="476" spans="16:17" ht="14.25" customHeight="1" x14ac:dyDescent="0.3">
      <c r="P476" s="225"/>
      <c r="Q476" s="225"/>
    </row>
    <row r="477" spans="16:17" ht="14.25" customHeight="1" x14ac:dyDescent="0.3">
      <c r="P477" s="225"/>
      <c r="Q477" s="225"/>
    </row>
    <row r="478" spans="16:17" ht="14.25" customHeight="1" x14ac:dyDescent="0.3">
      <c r="P478" s="225"/>
      <c r="Q478" s="225"/>
    </row>
    <row r="479" spans="16:17" ht="14.25" customHeight="1" x14ac:dyDescent="0.3">
      <c r="P479" s="225"/>
      <c r="Q479" s="225"/>
    </row>
    <row r="480" spans="16:17" ht="14.25" customHeight="1" x14ac:dyDescent="0.3">
      <c r="P480" s="225"/>
      <c r="Q480" s="225"/>
    </row>
    <row r="481" spans="16:17" ht="14.25" customHeight="1" x14ac:dyDescent="0.3">
      <c r="P481" s="225"/>
      <c r="Q481" s="225"/>
    </row>
    <row r="482" spans="16:17" ht="14.25" customHeight="1" x14ac:dyDescent="0.3">
      <c r="P482" s="225"/>
      <c r="Q482" s="225"/>
    </row>
    <row r="483" spans="16:17" ht="14.25" customHeight="1" x14ac:dyDescent="0.3">
      <c r="P483" s="225"/>
      <c r="Q483" s="225"/>
    </row>
    <row r="484" spans="16:17" ht="14.25" customHeight="1" x14ac:dyDescent="0.3">
      <c r="P484" s="225"/>
      <c r="Q484" s="225"/>
    </row>
    <row r="485" spans="16:17" ht="14.25" customHeight="1" x14ac:dyDescent="0.3">
      <c r="P485" s="225"/>
      <c r="Q485" s="225"/>
    </row>
    <row r="486" spans="16:17" ht="14.25" customHeight="1" x14ac:dyDescent="0.3">
      <c r="P486" s="225"/>
      <c r="Q486" s="225"/>
    </row>
    <row r="487" spans="16:17" ht="14.25" customHeight="1" x14ac:dyDescent="0.3">
      <c r="P487" s="225"/>
      <c r="Q487" s="225"/>
    </row>
    <row r="488" spans="16:17" ht="14.25" customHeight="1" x14ac:dyDescent="0.3">
      <c r="P488" s="225"/>
      <c r="Q488" s="225"/>
    </row>
    <row r="489" spans="16:17" ht="14.25" customHeight="1" x14ac:dyDescent="0.3">
      <c r="P489" s="225"/>
      <c r="Q489" s="225"/>
    </row>
    <row r="490" spans="16:17" ht="14.25" customHeight="1" x14ac:dyDescent="0.3">
      <c r="P490" s="225"/>
      <c r="Q490" s="225"/>
    </row>
    <row r="491" spans="16:17" ht="14.25" customHeight="1" x14ac:dyDescent="0.3">
      <c r="P491" s="225"/>
      <c r="Q491" s="225"/>
    </row>
    <row r="492" spans="16:17" ht="14.25" customHeight="1" x14ac:dyDescent="0.3">
      <c r="P492" s="225"/>
      <c r="Q492" s="225"/>
    </row>
    <row r="493" spans="16:17" ht="14.25" customHeight="1" x14ac:dyDescent="0.3">
      <c r="P493" s="225"/>
      <c r="Q493" s="225"/>
    </row>
    <row r="494" spans="16:17" ht="14.25" customHeight="1" x14ac:dyDescent="0.3">
      <c r="P494" s="225"/>
      <c r="Q494" s="225"/>
    </row>
    <row r="495" spans="16:17" ht="14.25" customHeight="1" x14ac:dyDescent="0.3">
      <c r="P495" s="225"/>
      <c r="Q495" s="225"/>
    </row>
    <row r="496" spans="16:17" ht="14.25" customHeight="1" x14ac:dyDescent="0.3">
      <c r="P496" s="225"/>
      <c r="Q496" s="225"/>
    </row>
    <row r="497" spans="16:17" ht="14.25" customHeight="1" x14ac:dyDescent="0.3">
      <c r="P497" s="225"/>
      <c r="Q497" s="225"/>
    </row>
    <row r="498" spans="16:17" ht="14.25" customHeight="1" x14ac:dyDescent="0.3">
      <c r="P498" s="225"/>
      <c r="Q498" s="225"/>
    </row>
    <row r="499" spans="16:17" ht="14.25" customHeight="1" x14ac:dyDescent="0.3">
      <c r="P499" s="225"/>
      <c r="Q499" s="225"/>
    </row>
    <row r="500" spans="16:17" ht="14.25" customHeight="1" x14ac:dyDescent="0.3">
      <c r="P500" s="225"/>
      <c r="Q500" s="225"/>
    </row>
    <row r="501" spans="16:17" ht="14.25" customHeight="1" x14ac:dyDescent="0.3">
      <c r="P501" s="225"/>
      <c r="Q501" s="225"/>
    </row>
    <row r="502" spans="16:17" ht="14.25" customHeight="1" x14ac:dyDescent="0.3">
      <c r="P502" s="225"/>
      <c r="Q502" s="225"/>
    </row>
    <row r="503" spans="16:17" ht="14.25" customHeight="1" x14ac:dyDescent="0.3">
      <c r="P503" s="225"/>
      <c r="Q503" s="225"/>
    </row>
    <row r="504" spans="16:17" ht="14.25" customHeight="1" x14ac:dyDescent="0.3">
      <c r="P504" s="225"/>
      <c r="Q504" s="225"/>
    </row>
    <row r="505" spans="16:17" ht="14.25" customHeight="1" x14ac:dyDescent="0.3">
      <c r="P505" s="225"/>
      <c r="Q505" s="225"/>
    </row>
    <row r="506" spans="16:17" ht="14.25" customHeight="1" x14ac:dyDescent="0.3">
      <c r="P506" s="225"/>
      <c r="Q506" s="225"/>
    </row>
    <row r="507" spans="16:17" ht="14.25" customHeight="1" x14ac:dyDescent="0.3">
      <c r="P507" s="225"/>
      <c r="Q507" s="225"/>
    </row>
    <row r="508" spans="16:17" ht="14.25" customHeight="1" x14ac:dyDescent="0.3">
      <c r="P508" s="225"/>
      <c r="Q508" s="225"/>
    </row>
    <row r="509" spans="16:17" ht="14.25" customHeight="1" x14ac:dyDescent="0.3">
      <c r="P509" s="225"/>
      <c r="Q509" s="225"/>
    </row>
    <row r="510" spans="16:17" ht="14.25" customHeight="1" x14ac:dyDescent="0.3">
      <c r="P510" s="225"/>
      <c r="Q510" s="225"/>
    </row>
    <row r="511" spans="16:17" ht="14.25" customHeight="1" x14ac:dyDescent="0.3">
      <c r="P511" s="225"/>
      <c r="Q511" s="225"/>
    </row>
    <row r="512" spans="16:17" ht="14.25" customHeight="1" x14ac:dyDescent="0.3">
      <c r="P512" s="225"/>
      <c r="Q512" s="225"/>
    </row>
    <row r="513" spans="16:17" ht="14.25" customHeight="1" x14ac:dyDescent="0.3">
      <c r="P513" s="225"/>
      <c r="Q513" s="225"/>
    </row>
    <row r="514" spans="16:17" ht="14.25" customHeight="1" x14ac:dyDescent="0.3">
      <c r="P514" s="225"/>
      <c r="Q514" s="225"/>
    </row>
    <row r="515" spans="16:17" ht="14.25" customHeight="1" x14ac:dyDescent="0.3">
      <c r="P515" s="225"/>
      <c r="Q515" s="225"/>
    </row>
    <row r="516" spans="16:17" ht="14.25" customHeight="1" x14ac:dyDescent="0.3">
      <c r="P516" s="225"/>
      <c r="Q516" s="225"/>
    </row>
    <row r="517" spans="16:17" ht="14.25" customHeight="1" x14ac:dyDescent="0.3">
      <c r="P517" s="225"/>
      <c r="Q517" s="225"/>
    </row>
    <row r="518" spans="16:17" ht="14.25" customHeight="1" x14ac:dyDescent="0.3">
      <c r="P518" s="225"/>
      <c r="Q518" s="225"/>
    </row>
    <row r="519" spans="16:17" ht="14.25" customHeight="1" x14ac:dyDescent="0.3">
      <c r="P519" s="225"/>
      <c r="Q519" s="225"/>
    </row>
    <row r="520" spans="16:17" ht="14.25" customHeight="1" x14ac:dyDescent="0.3">
      <c r="P520" s="225"/>
      <c r="Q520" s="225"/>
    </row>
    <row r="521" spans="16:17" ht="14.25" customHeight="1" x14ac:dyDescent="0.3">
      <c r="P521" s="225"/>
      <c r="Q521" s="225"/>
    </row>
    <row r="522" spans="16:17" ht="14.25" customHeight="1" x14ac:dyDescent="0.3">
      <c r="P522" s="225"/>
      <c r="Q522" s="225"/>
    </row>
    <row r="523" spans="16:17" ht="14.25" customHeight="1" x14ac:dyDescent="0.3">
      <c r="P523" s="225"/>
      <c r="Q523" s="225"/>
    </row>
    <row r="524" spans="16:17" ht="14.25" customHeight="1" x14ac:dyDescent="0.3">
      <c r="P524" s="225"/>
      <c r="Q524" s="225"/>
    </row>
    <row r="525" spans="16:17" ht="14.25" customHeight="1" x14ac:dyDescent="0.3">
      <c r="P525" s="225"/>
      <c r="Q525" s="225"/>
    </row>
    <row r="526" spans="16:17" ht="14.25" customHeight="1" x14ac:dyDescent="0.3">
      <c r="P526" s="225"/>
      <c r="Q526" s="225"/>
    </row>
    <row r="527" spans="16:17" ht="14.25" customHeight="1" x14ac:dyDescent="0.3">
      <c r="P527" s="225"/>
      <c r="Q527" s="225"/>
    </row>
    <row r="528" spans="16:17" ht="14.25" customHeight="1" x14ac:dyDescent="0.3">
      <c r="P528" s="225"/>
      <c r="Q528" s="225"/>
    </row>
    <row r="529" spans="16:17" ht="14.25" customHeight="1" x14ac:dyDescent="0.3">
      <c r="P529" s="225"/>
      <c r="Q529" s="225"/>
    </row>
    <row r="530" spans="16:17" ht="14.25" customHeight="1" x14ac:dyDescent="0.3">
      <c r="P530" s="225"/>
      <c r="Q530" s="225"/>
    </row>
    <row r="531" spans="16:17" ht="14.25" customHeight="1" x14ac:dyDescent="0.3">
      <c r="P531" s="225"/>
      <c r="Q531" s="225"/>
    </row>
    <row r="532" spans="16:17" ht="14.25" customHeight="1" x14ac:dyDescent="0.3">
      <c r="P532" s="225"/>
      <c r="Q532" s="225"/>
    </row>
    <row r="533" spans="16:17" ht="14.25" customHeight="1" x14ac:dyDescent="0.3">
      <c r="P533" s="225"/>
      <c r="Q533" s="225"/>
    </row>
    <row r="534" spans="16:17" ht="14.25" customHeight="1" x14ac:dyDescent="0.3">
      <c r="P534" s="225"/>
      <c r="Q534" s="225"/>
    </row>
    <row r="535" spans="16:17" ht="14.25" customHeight="1" x14ac:dyDescent="0.3">
      <c r="P535" s="225"/>
      <c r="Q535" s="225"/>
    </row>
    <row r="536" spans="16:17" ht="14.25" customHeight="1" x14ac:dyDescent="0.3">
      <c r="P536" s="225"/>
      <c r="Q536" s="225"/>
    </row>
    <row r="537" spans="16:17" ht="14.25" customHeight="1" x14ac:dyDescent="0.3">
      <c r="P537" s="225"/>
      <c r="Q537" s="225"/>
    </row>
    <row r="538" spans="16:17" ht="14.25" customHeight="1" x14ac:dyDescent="0.3">
      <c r="P538" s="225"/>
      <c r="Q538" s="225"/>
    </row>
    <row r="539" spans="16:17" ht="14.25" customHeight="1" x14ac:dyDescent="0.3">
      <c r="P539" s="225"/>
      <c r="Q539" s="225"/>
    </row>
    <row r="540" spans="16:17" ht="14.25" customHeight="1" x14ac:dyDescent="0.3">
      <c r="P540" s="225"/>
      <c r="Q540" s="225"/>
    </row>
    <row r="541" spans="16:17" ht="14.25" customHeight="1" x14ac:dyDescent="0.3">
      <c r="P541" s="225"/>
      <c r="Q541" s="225"/>
    </row>
    <row r="542" spans="16:17" ht="14.25" customHeight="1" x14ac:dyDescent="0.3">
      <c r="P542" s="225"/>
      <c r="Q542" s="225"/>
    </row>
    <row r="543" spans="16:17" ht="14.25" customHeight="1" x14ac:dyDescent="0.3">
      <c r="P543" s="225"/>
      <c r="Q543" s="225"/>
    </row>
    <row r="544" spans="16:17" ht="14.25" customHeight="1" x14ac:dyDescent="0.3">
      <c r="P544" s="225"/>
      <c r="Q544" s="225"/>
    </row>
    <row r="545" spans="16:17" ht="14.25" customHeight="1" x14ac:dyDescent="0.3">
      <c r="P545" s="225"/>
      <c r="Q545" s="225"/>
    </row>
    <row r="546" spans="16:17" ht="14.25" customHeight="1" x14ac:dyDescent="0.3">
      <c r="P546" s="225"/>
      <c r="Q546" s="225"/>
    </row>
    <row r="547" spans="16:17" ht="14.25" customHeight="1" x14ac:dyDescent="0.3">
      <c r="P547" s="225"/>
      <c r="Q547" s="225"/>
    </row>
    <row r="548" spans="16:17" ht="14.25" customHeight="1" x14ac:dyDescent="0.3">
      <c r="P548" s="225"/>
      <c r="Q548" s="225"/>
    </row>
    <row r="549" spans="16:17" ht="14.25" customHeight="1" x14ac:dyDescent="0.3">
      <c r="P549" s="225"/>
      <c r="Q549" s="225"/>
    </row>
    <row r="550" spans="16:17" ht="14.25" customHeight="1" x14ac:dyDescent="0.3">
      <c r="P550" s="225"/>
      <c r="Q550" s="225"/>
    </row>
    <row r="551" spans="16:17" ht="14.25" customHeight="1" x14ac:dyDescent="0.3">
      <c r="P551" s="225"/>
      <c r="Q551" s="225"/>
    </row>
    <row r="552" spans="16:17" ht="14.25" customHeight="1" x14ac:dyDescent="0.3">
      <c r="P552" s="225"/>
      <c r="Q552" s="225"/>
    </row>
    <row r="553" spans="16:17" ht="14.25" customHeight="1" x14ac:dyDescent="0.3">
      <c r="P553" s="225"/>
      <c r="Q553" s="225"/>
    </row>
    <row r="554" spans="16:17" ht="14.25" customHeight="1" x14ac:dyDescent="0.3">
      <c r="P554" s="225"/>
      <c r="Q554" s="225"/>
    </row>
    <row r="555" spans="16:17" ht="14.25" customHeight="1" x14ac:dyDescent="0.3">
      <c r="P555" s="225"/>
      <c r="Q555" s="225"/>
    </row>
    <row r="556" spans="16:17" ht="14.25" customHeight="1" x14ac:dyDescent="0.3">
      <c r="P556" s="225"/>
      <c r="Q556" s="225"/>
    </row>
    <row r="557" spans="16:17" ht="14.25" customHeight="1" x14ac:dyDescent="0.3">
      <c r="P557" s="225"/>
      <c r="Q557" s="225"/>
    </row>
    <row r="558" spans="16:17" ht="14.25" customHeight="1" x14ac:dyDescent="0.3">
      <c r="P558" s="225"/>
      <c r="Q558" s="225"/>
    </row>
    <row r="559" spans="16:17" ht="14.25" customHeight="1" x14ac:dyDescent="0.3">
      <c r="P559" s="225"/>
      <c r="Q559" s="225"/>
    </row>
    <row r="560" spans="16:17" ht="14.25" customHeight="1" x14ac:dyDescent="0.3">
      <c r="P560" s="225"/>
      <c r="Q560" s="225"/>
    </row>
    <row r="561" spans="16:17" ht="14.25" customHeight="1" x14ac:dyDescent="0.3">
      <c r="P561" s="225"/>
      <c r="Q561" s="225"/>
    </row>
    <row r="562" spans="16:17" ht="14.25" customHeight="1" x14ac:dyDescent="0.3">
      <c r="P562" s="225"/>
      <c r="Q562" s="225"/>
    </row>
    <row r="563" spans="16:17" ht="14.25" customHeight="1" x14ac:dyDescent="0.3">
      <c r="P563" s="225"/>
      <c r="Q563" s="225"/>
    </row>
    <row r="564" spans="16:17" ht="14.25" customHeight="1" x14ac:dyDescent="0.3">
      <c r="P564" s="225"/>
      <c r="Q564" s="225"/>
    </row>
    <row r="565" spans="16:17" ht="14.25" customHeight="1" x14ac:dyDescent="0.3">
      <c r="P565" s="225"/>
      <c r="Q565" s="225"/>
    </row>
    <row r="566" spans="16:17" ht="14.25" customHeight="1" x14ac:dyDescent="0.3">
      <c r="P566" s="225"/>
      <c r="Q566" s="225"/>
    </row>
    <row r="567" spans="16:17" ht="14.25" customHeight="1" x14ac:dyDescent="0.3">
      <c r="P567" s="225"/>
      <c r="Q567" s="225"/>
    </row>
    <row r="568" spans="16:17" ht="14.25" customHeight="1" x14ac:dyDescent="0.3">
      <c r="P568" s="225"/>
      <c r="Q568" s="225"/>
    </row>
    <row r="569" spans="16:17" ht="14.25" customHeight="1" x14ac:dyDescent="0.3">
      <c r="P569" s="225"/>
      <c r="Q569" s="225"/>
    </row>
    <row r="570" spans="16:17" ht="14.25" customHeight="1" x14ac:dyDescent="0.3">
      <c r="P570" s="225"/>
      <c r="Q570" s="225"/>
    </row>
    <row r="571" spans="16:17" ht="14.25" customHeight="1" x14ac:dyDescent="0.3">
      <c r="P571" s="225"/>
      <c r="Q571" s="225"/>
    </row>
    <row r="572" spans="16:17" ht="14.25" customHeight="1" x14ac:dyDescent="0.3">
      <c r="P572" s="225"/>
      <c r="Q572" s="225"/>
    </row>
    <row r="573" spans="16:17" ht="14.25" customHeight="1" x14ac:dyDescent="0.3">
      <c r="P573" s="225"/>
      <c r="Q573" s="225"/>
    </row>
    <row r="574" spans="16:17" ht="14.25" customHeight="1" x14ac:dyDescent="0.3">
      <c r="P574" s="225"/>
      <c r="Q574" s="225"/>
    </row>
    <row r="575" spans="16:17" ht="14.25" customHeight="1" x14ac:dyDescent="0.3">
      <c r="P575" s="225"/>
      <c r="Q575" s="225"/>
    </row>
    <row r="576" spans="16:17" ht="14.25" customHeight="1" x14ac:dyDescent="0.3">
      <c r="P576" s="225"/>
      <c r="Q576" s="225"/>
    </row>
    <row r="577" spans="16:17" ht="14.25" customHeight="1" x14ac:dyDescent="0.3">
      <c r="P577" s="225"/>
      <c r="Q577" s="225"/>
    </row>
    <row r="578" spans="16:17" ht="14.25" customHeight="1" x14ac:dyDescent="0.3">
      <c r="P578" s="225"/>
      <c r="Q578" s="225"/>
    </row>
    <row r="579" spans="16:17" ht="14.25" customHeight="1" x14ac:dyDescent="0.3">
      <c r="P579" s="225"/>
      <c r="Q579" s="225"/>
    </row>
    <row r="580" spans="16:17" ht="14.25" customHeight="1" x14ac:dyDescent="0.3">
      <c r="P580" s="225"/>
      <c r="Q580" s="225"/>
    </row>
    <row r="581" spans="16:17" ht="14.25" customHeight="1" x14ac:dyDescent="0.3">
      <c r="P581" s="225"/>
      <c r="Q581" s="225"/>
    </row>
    <row r="582" spans="16:17" ht="14.25" customHeight="1" x14ac:dyDescent="0.3">
      <c r="P582" s="225"/>
      <c r="Q582" s="225"/>
    </row>
    <row r="583" spans="16:17" ht="14.25" customHeight="1" x14ac:dyDescent="0.3">
      <c r="P583" s="225"/>
      <c r="Q583" s="225"/>
    </row>
    <row r="584" spans="16:17" ht="14.25" customHeight="1" x14ac:dyDescent="0.3">
      <c r="P584" s="225"/>
      <c r="Q584" s="225"/>
    </row>
    <row r="585" spans="16:17" ht="14.25" customHeight="1" x14ac:dyDescent="0.3">
      <c r="P585" s="225"/>
      <c r="Q585" s="225"/>
    </row>
    <row r="586" spans="16:17" ht="14.25" customHeight="1" x14ac:dyDescent="0.3">
      <c r="P586" s="225"/>
      <c r="Q586" s="225"/>
    </row>
    <row r="587" spans="16:17" ht="14.25" customHeight="1" x14ac:dyDescent="0.3">
      <c r="P587" s="225"/>
      <c r="Q587" s="225"/>
    </row>
    <row r="588" spans="16:17" ht="14.25" customHeight="1" x14ac:dyDescent="0.3">
      <c r="P588" s="225"/>
      <c r="Q588" s="225"/>
    </row>
    <row r="589" spans="16:17" ht="14.25" customHeight="1" x14ac:dyDescent="0.3">
      <c r="P589" s="225"/>
      <c r="Q589" s="225"/>
    </row>
    <row r="590" spans="16:17" ht="14.25" customHeight="1" x14ac:dyDescent="0.3">
      <c r="P590" s="225"/>
      <c r="Q590" s="225"/>
    </row>
    <row r="591" spans="16:17" ht="14.25" customHeight="1" x14ac:dyDescent="0.3">
      <c r="P591" s="225"/>
      <c r="Q591" s="225"/>
    </row>
    <row r="592" spans="16:17" ht="14.25" customHeight="1" x14ac:dyDescent="0.3">
      <c r="P592" s="225"/>
      <c r="Q592" s="225"/>
    </row>
    <row r="593" spans="16:17" ht="14.25" customHeight="1" x14ac:dyDescent="0.3">
      <c r="P593" s="225"/>
      <c r="Q593" s="225"/>
    </row>
    <row r="594" spans="16:17" ht="14.25" customHeight="1" x14ac:dyDescent="0.3">
      <c r="P594" s="225"/>
      <c r="Q594" s="225"/>
    </row>
    <row r="595" spans="16:17" ht="14.25" customHeight="1" x14ac:dyDescent="0.3">
      <c r="P595" s="225"/>
      <c r="Q595" s="225"/>
    </row>
    <row r="596" spans="16:17" ht="14.25" customHeight="1" x14ac:dyDescent="0.3">
      <c r="P596" s="225"/>
      <c r="Q596" s="225"/>
    </row>
    <row r="597" spans="16:17" ht="14.25" customHeight="1" x14ac:dyDescent="0.3">
      <c r="P597" s="225"/>
      <c r="Q597" s="225"/>
    </row>
    <row r="598" spans="16:17" ht="14.25" customHeight="1" x14ac:dyDescent="0.3">
      <c r="P598" s="225"/>
      <c r="Q598" s="225"/>
    </row>
    <row r="599" spans="16:17" ht="14.25" customHeight="1" x14ac:dyDescent="0.3">
      <c r="P599" s="225"/>
      <c r="Q599" s="225"/>
    </row>
    <row r="600" spans="16:17" ht="14.25" customHeight="1" x14ac:dyDescent="0.3">
      <c r="P600" s="225"/>
      <c r="Q600" s="225"/>
    </row>
    <row r="601" spans="16:17" ht="14.25" customHeight="1" x14ac:dyDescent="0.3">
      <c r="P601" s="225"/>
      <c r="Q601" s="225"/>
    </row>
    <row r="602" spans="16:17" ht="14.25" customHeight="1" x14ac:dyDescent="0.3">
      <c r="P602" s="225"/>
      <c r="Q602" s="225"/>
    </row>
    <row r="603" spans="16:17" ht="14.25" customHeight="1" x14ac:dyDescent="0.3">
      <c r="P603" s="225"/>
      <c r="Q603" s="225"/>
    </row>
    <row r="604" spans="16:17" ht="14.25" customHeight="1" x14ac:dyDescent="0.3">
      <c r="P604" s="225"/>
      <c r="Q604" s="225"/>
    </row>
    <row r="605" spans="16:17" ht="14.25" customHeight="1" x14ac:dyDescent="0.3">
      <c r="P605" s="225"/>
      <c r="Q605" s="225"/>
    </row>
    <row r="606" spans="16:17" ht="14.25" customHeight="1" x14ac:dyDescent="0.3">
      <c r="P606" s="225"/>
      <c r="Q606" s="225"/>
    </row>
    <row r="607" spans="16:17" ht="14.25" customHeight="1" x14ac:dyDescent="0.3">
      <c r="P607" s="225"/>
      <c r="Q607" s="225"/>
    </row>
    <row r="608" spans="16:17" ht="14.25" customHeight="1" x14ac:dyDescent="0.3">
      <c r="P608" s="225"/>
      <c r="Q608" s="225"/>
    </row>
    <row r="609" spans="16:17" ht="14.25" customHeight="1" x14ac:dyDescent="0.3">
      <c r="P609" s="225"/>
      <c r="Q609" s="225"/>
    </row>
    <row r="610" spans="16:17" ht="14.25" customHeight="1" x14ac:dyDescent="0.3">
      <c r="P610" s="225"/>
      <c r="Q610" s="225"/>
    </row>
    <row r="611" spans="16:17" ht="14.25" customHeight="1" x14ac:dyDescent="0.3">
      <c r="P611" s="225"/>
      <c r="Q611" s="225"/>
    </row>
    <row r="612" spans="16:17" ht="14.25" customHeight="1" x14ac:dyDescent="0.3">
      <c r="P612" s="225"/>
      <c r="Q612" s="225"/>
    </row>
    <row r="613" spans="16:17" ht="14.25" customHeight="1" x14ac:dyDescent="0.3">
      <c r="P613" s="225"/>
      <c r="Q613" s="225"/>
    </row>
    <row r="614" spans="16:17" ht="14.25" customHeight="1" x14ac:dyDescent="0.3">
      <c r="P614" s="225"/>
      <c r="Q614" s="225"/>
    </row>
    <row r="615" spans="16:17" ht="14.25" customHeight="1" x14ac:dyDescent="0.3">
      <c r="P615" s="225"/>
      <c r="Q615" s="225"/>
    </row>
    <row r="616" spans="16:17" ht="14.25" customHeight="1" x14ac:dyDescent="0.3">
      <c r="P616" s="225"/>
      <c r="Q616" s="225"/>
    </row>
    <row r="617" spans="16:17" ht="14.25" customHeight="1" x14ac:dyDescent="0.3">
      <c r="P617" s="225"/>
      <c r="Q617" s="225"/>
    </row>
    <row r="618" spans="16:17" ht="14.25" customHeight="1" x14ac:dyDescent="0.3">
      <c r="P618" s="225"/>
      <c r="Q618" s="225"/>
    </row>
    <row r="619" spans="16:17" ht="14.25" customHeight="1" x14ac:dyDescent="0.3">
      <c r="P619" s="225"/>
      <c r="Q619" s="225"/>
    </row>
    <row r="620" spans="16:17" ht="14.25" customHeight="1" x14ac:dyDescent="0.3">
      <c r="P620" s="225"/>
      <c r="Q620" s="225"/>
    </row>
    <row r="621" spans="16:17" ht="14.25" customHeight="1" x14ac:dyDescent="0.3">
      <c r="P621" s="225"/>
      <c r="Q621" s="225"/>
    </row>
    <row r="622" spans="16:17" ht="14.25" customHeight="1" x14ac:dyDescent="0.3">
      <c r="P622" s="225"/>
      <c r="Q622" s="225"/>
    </row>
    <row r="623" spans="16:17" ht="14.25" customHeight="1" x14ac:dyDescent="0.3">
      <c r="P623" s="225"/>
      <c r="Q623" s="225"/>
    </row>
    <row r="624" spans="16:17" ht="14.25" customHeight="1" x14ac:dyDescent="0.3">
      <c r="P624" s="225"/>
      <c r="Q624" s="225"/>
    </row>
    <row r="625" spans="16:17" ht="14.25" customHeight="1" x14ac:dyDescent="0.3">
      <c r="P625" s="225"/>
      <c r="Q625" s="225"/>
    </row>
    <row r="626" spans="16:17" ht="14.25" customHeight="1" x14ac:dyDescent="0.3">
      <c r="P626" s="225"/>
      <c r="Q626" s="225"/>
    </row>
    <row r="627" spans="16:17" ht="14.25" customHeight="1" x14ac:dyDescent="0.3">
      <c r="P627" s="225"/>
      <c r="Q627" s="225"/>
    </row>
    <row r="628" spans="16:17" ht="14.25" customHeight="1" x14ac:dyDescent="0.3">
      <c r="P628" s="225"/>
      <c r="Q628" s="225"/>
    </row>
    <row r="629" spans="16:17" ht="14.25" customHeight="1" x14ac:dyDescent="0.3">
      <c r="P629" s="225"/>
      <c r="Q629" s="225"/>
    </row>
    <row r="630" spans="16:17" ht="14.25" customHeight="1" x14ac:dyDescent="0.3">
      <c r="P630" s="225"/>
      <c r="Q630" s="225"/>
    </row>
    <row r="631" spans="16:17" ht="14.25" customHeight="1" x14ac:dyDescent="0.3">
      <c r="P631" s="225"/>
      <c r="Q631" s="225"/>
    </row>
    <row r="632" spans="16:17" ht="14.25" customHeight="1" x14ac:dyDescent="0.3">
      <c r="P632" s="225"/>
      <c r="Q632" s="225"/>
    </row>
    <row r="633" spans="16:17" ht="14.25" customHeight="1" x14ac:dyDescent="0.3">
      <c r="P633" s="225"/>
      <c r="Q633" s="225"/>
    </row>
    <row r="634" spans="16:17" ht="14.25" customHeight="1" x14ac:dyDescent="0.3">
      <c r="P634" s="225"/>
      <c r="Q634" s="225"/>
    </row>
    <row r="635" spans="16:17" ht="14.25" customHeight="1" x14ac:dyDescent="0.3">
      <c r="P635" s="225"/>
      <c r="Q635" s="225"/>
    </row>
    <row r="636" spans="16:17" ht="14.25" customHeight="1" x14ac:dyDescent="0.3">
      <c r="P636" s="225"/>
      <c r="Q636" s="225"/>
    </row>
    <row r="637" spans="16:17" ht="14.25" customHeight="1" x14ac:dyDescent="0.3">
      <c r="P637" s="225"/>
      <c r="Q637" s="225"/>
    </row>
    <row r="638" spans="16:17" ht="14.25" customHeight="1" x14ac:dyDescent="0.3">
      <c r="P638" s="225"/>
      <c r="Q638" s="225"/>
    </row>
    <row r="639" spans="16:17" ht="14.25" customHeight="1" x14ac:dyDescent="0.3">
      <c r="P639" s="225"/>
      <c r="Q639" s="225"/>
    </row>
    <row r="640" spans="16:17" ht="14.25" customHeight="1" x14ac:dyDescent="0.3">
      <c r="P640" s="225"/>
      <c r="Q640" s="225"/>
    </row>
    <row r="641" spans="16:17" ht="14.25" customHeight="1" x14ac:dyDescent="0.3">
      <c r="P641" s="225"/>
      <c r="Q641" s="225"/>
    </row>
    <row r="642" spans="16:17" ht="14.25" customHeight="1" x14ac:dyDescent="0.3">
      <c r="P642" s="225"/>
      <c r="Q642" s="225"/>
    </row>
    <row r="643" spans="16:17" ht="14.25" customHeight="1" x14ac:dyDescent="0.3">
      <c r="P643" s="225"/>
      <c r="Q643" s="225"/>
    </row>
    <row r="644" spans="16:17" ht="14.25" customHeight="1" x14ac:dyDescent="0.3">
      <c r="P644" s="225"/>
      <c r="Q644" s="225"/>
    </row>
    <row r="645" spans="16:17" ht="14.25" customHeight="1" x14ac:dyDescent="0.3">
      <c r="P645" s="225"/>
      <c r="Q645" s="225"/>
    </row>
    <row r="646" spans="16:17" ht="14.25" customHeight="1" x14ac:dyDescent="0.3">
      <c r="P646" s="225"/>
      <c r="Q646" s="225"/>
    </row>
    <row r="647" spans="16:17" ht="14.25" customHeight="1" x14ac:dyDescent="0.3">
      <c r="P647" s="225"/>
      <c r="Q647" s="225"/>
    </row>
    <row r="648" spans="16:17" ht="14.25" customHeight="1" x14ac:dyDescent="0.3">
      <c r="P648" s="225"/>
      <c r="Q648" s="225"/>
    </row>
    <row r="649" spans="16:17" ht="14.25" customHeight="1" x14ac:dyDescent="0.3">
      <c r="P649" s="225"/>
      <c r="Q649" s="225"/>
    </row>
    <row r="650" spans="16:17" ht="14.25" customHeight="1" x14ac:dyDescent="0.3">
      <c r="P650" s="225"/>
      <c r="Q650" s="225"/>
    </row>
    <row r="651" spans="16:17" ht="14.25" customHeight="1" x14ac:dyDescent="0.3">
      <c r="P651" s="225"/>
      <c r="Q651" s="225"/>
    </row>
    <row r="652" spans="16:17" ht="14.25" customHeight="1" x14ac:dyDescent="0.3">
      <c r="P652" s="225"/>
      <c r="Q652" s="225"/>
    </row>
    <row r="653" spans="16:17" ht="14.25" customHeight="1" x14ac:dyDescent="0.3">
      <c r="P653" s="225"/>
      <c r="Q653" s="225"/>
    </row>
    <row r="654" spans="16:17" ht="14.25" customHeight="1" x14ac:dyDescent="0.3">
      <c r="P654" s="225"/>
      <c r="Q654" s="225"/>
    </row>
    <row r="655" spans="16:17" ht="14.25" customHeight="1" x14ac:dyDescent="0.3">
      <c r="P655" s="225"/>
      <c r="Q655" s="225"/>
    </row>
    <row r="656" spans="16:17" ht="14.25" customHeight="1" x14ac:dyDescent="0.3">
      <c r="P656" s="225"/>
      <c r="Q656" s="225"/>
    </row>
    <row r="657" spans="16:17" ht="14.25" customHeight="1" x14ac:dyDescent="0.3">
      <c r="P657" s="225"/>
      <c r="Q657" s="225"/>
    </row>
    <row r="658" spans="16:17" ht="14.25" customHeight="1" x14ac:dyDescent="0.3">
      <c r="P658" s="225"/>
      <c r="Q658" s="225"/>
    </row>
    <row r="659" spans="16:17" ht="14.25" customHeight="1" x14ac:dyDescent="0.3">
      <c r="P659" s="225"/>
      <c r="Q659" s="225"/>
    </row>
    <row r="660" spans="16:17" ht="14.25" customHeight="1" x14ac:dyDescent="0.3">
      <c r="P660" s="225"/>
      <c r="Q660" s="225"/>
    </row>
    <row r="661" spans="16:17" ht="14.25" customHeight="1" x14ac:dyDescent="0.3">
      <c r="P661" s="225"/>
      <c r="Q661" s="225"/>
    </row>
    <row r="662" spans="16:17" ht="14.25" customHeight="1" x14ac:dyDescent="0.3">
      <c r="P662" s="225"/>
      <c r="Q662" s="225"/>
    </row>
    <row r="663" spans="16:17" ht="14.25" customHeight="1" x14ac:dyDescent="0.3">
      <c r="P663" s="225"/>
      <c r="Q663" s="225"/>
    </row>
    <row r="664" spans="16:17" ht="14.25" customHeight="1" x14ac:dyDescent="0.3">
      <c r="P664" s="225"/>
      <c r="Q664" s="225"/>
    </row>
    <row r="665" spans="16:17" ht="14.25" customHeight="1" x14ac:dyDescent="0.3">
      <c r="P665" s="225"/>
      <c r="Q665" s="225"/>
    </row>
    <row r="666" spans="16:17" ht="14.25" customHeight="1" x14ac:dyDescent="0.3">
      <c r="P666" s="225"/>
      <c r="Q666" s="225"/>
    </row>
    <row r="667" spans="16:17" ht="14.25" customHeight="1" x14ac:dyDescent="0.3">
      <c r="P667" s="225"/>
      <c r="Q667" s="225"/>
    </row>
    <row r="668" spans="16:17" ht="14.25" customHeight="1" x14ac:dyDescent="0.3">
      <c r="P668" s="225"/>
      <c r="Q668" s="225"/>
    </row>
    <row r="669" spans="16:17" ht="14.25" customHeight="1" x14ac:dyDescent="0.3">
      <c r="P669" s="225"/>
      <c r="Q669" s="225"/>
    </row>
    <row r="670" spans="16:17" ht="14.25" customHeight="1" x14ac:dyDescent="0.3">
      <c r="P670" s="225"/>
      <c r="Q670" s="225"/>
    </row>
    <row r="671" spans="16:17" ht="14.25" customHeight="1" x14ac:dyDescent="0.3">
      <c r="P671" s="225"/>
      <c r="Q671" s="225"/>
    </row>
    <row r="672" spans="16:17" ht="14.25" customHeight="1" x14ac:dyDescent="0.3">
      <c r="P672" s="225"/>
      <c r="Q672" s="225"/>
    </row>
    <row r="673" spans="16:17" ht="14.25" customHeight="1" x14ac:dyDescent="0.3">
      <c r="P673" s="225"/>
      <c r="Q673" s="225"/>
    </row>
    <row r="674" spans="16:17" ht="14.25" customHeight="1" x14ac:dyDescent="0.3">
      <c r="P674" s="225"/>
      <c r="Q674" s="225"/>
    </row>
    <row r="675" spans="16:17" ht="14.25" customHeight="1" x14ac:dyDescent="0.3">
      <c r="P675" s="225"/>
      <c r="Q675" s="225"/>
    </row>
    <row r="676" spans="16:17" ht="14.25" customHeight="1" x14ac:dyDescent="0.3">
      <c r="P676" s="225"/>
      <c r="Q676" s="225"/>
    </row>
    <row r="677" spans="16:17" ht="14.25" customHeight="1" x14ac:dyDescent="0.3">
      <c r="P677" s="225"/>
      <c r="Q677" s="225"/>
    </row>
    <row r="678" spans="16:17" ht="14.25" customHeight="1" x14ac:dyDescent="0.3">
      <c r="P678" s="225"/>
      <c r="Q678" s="225"/>
    </row>
    <row r="679" spans="16:17" ht="14.25" customHeight="1" x14ac:dyDescent="0.3">
      <c r="P679" s="225"/>
      <c r="Q679" s="225"/>
    </row>
    <row r="680" spans="16:17" ht="14.25" customHeight="1" x14ac:dyDescent="0.3">
      <c r="P680" s="225"/>
      <c r="Q680" s="225"/>
    </row>
    <row r="681" spans="16:17" ht="14.25" customHeight="1" x14ac:dyDescent="0.3">
      <c r="P681" s="225"/>
      <c r="Q681" s="225"/>
    </row>
    <row r="682" spans="16:17" ht="14.25" customHeight="1" x14ac:dyDescent="0.3">
      <c r="P682" s="225"/>
      <c r="Q682" s="225"/>
    </row>
    <row r="683" spans="16:17" ht="14.25" customHeight="1" x14ac:dyDescent="0.3">
      <c r="P683" s="225"/>
      <c r="Q683" s="225"/>
    </row>
    <row r="684" spans="16:17" ht="14.25" customHeight="1" x14ac:dyDescent="0.3">
      <c r="P684" s="225"/>
      <c r="Q684" s="225"/>
    </row>
    <row r="685" spans="16:17" ht="14.25" customHeight="1" x14ac:dyDescent="0.3">
      <c r="P685" s="225"/>
      <c r="Q685" s="225"/>
    </row>
    <row r="686" spans="16:17" ht="14.25" customHeight="1" x14ac:dyDescent="0.3">
      <c r="P686" s="225"/>
      <c r="Q686" s="225"/>
    </row>
    <row r="687" spans="16:17" ht="14.25" customHeight="1" x14ac:dyDescent="0.3">
      <c r="P687" s="225"/>
      <c r="Q687" s="225"/>
    </row>
    <row r="688" spans="16:17" ht="14.25" customHeight="1" x14ac:dyDescent="0.3">
      <c r="P688" s="225"/>
      <c r="Q688" s="225"/>
    </row>
    <row r="689" spans="16:17" ht="14.25" customHeight="1" x14ac:dyDescent="0.3">
      <c r="P689" s="225"/>
      <c r="Q689" s="225"/>
    </row>
    <row r="690" spans="16:17" ht="14.25" customHeight="1" x14ac:dyDescent="0.3">
      <c r="P690" s="225"/>
      <c r="Q690" s="225"/>
    </row>
    <row r="691" spans="16:17" ht="14.25" customHeight="1" x14ac:dyDescent="0.3">
      <c r="P691" s="225"/>
      <c r="Q691" s="225"/>
    </row>
    <row r="692" spans="16:17" ht="14.25" customHeight="1" x14ac:dyDescent="0.3">
      <c r="P692" s="225"/>
      <c r="Q692" s="225"/>
    </row>
    <row r="693" spans="16:17" ht="14.25" customHeight="1" x14ac:dyDescent="0.3">
      <c r="P693" s="225"/>
      <c r="Q693" s="225"/>
    </row>
    <row r="694" spans="16:17" ht="14.25" customHeight="1" x14ac:dyDescent="0.3">
      <c r="P694" s="225"/>
      <c r="Q694" s="225"/>
    </row>
    <row r="695" spans="16:17" ht="14.25" customHeight="1" x14ac:dyDescent="0.3">
      <c r="P695" s="225"/>
      <c r="Q695" s="225"/>
    </row>
    <row r="696" spans="16:17" ht="14.25" customHeight="1" x14ac:dyDescent="0.3">
      <c r="P696" s="225"/>
      <c r="Q696" s="225"/>
    </row>
    <row r="697" spans="16:17" ht="14.25" customHeight="1" x14ac:dyDescent="0.3">
      <c r="P697" s="225"/>
      <c r="Q697" s="225"/>
    </row>
    <row r="698" spans="16:17" ht="14.25" customHeight="1" x14ac:dyDescent="0.3">
      <c r="P698" s="225"/>
      <c r="Q698" s="225"/>
    </row>
    <row r="699" spans="16:17" ht="14.25" customHeight="1" x14ac:dyDescent="0.3">
      <c r="P699" s="225"/>
      <c r="Q699" s="225"/>
    </row>
    <row r="700" spans="16:17" ht="14.25" customHeight="1" x14ac:dyDescent="0.3">
      <c r="P700" s="225"/>
      <c r="Q700" s="225"/>
    </row>
    <row r="701" spans="16:17" ht="14.25" customHeight="1" x14ac:dyDescent="0.3">
      <c r="P701" s="225"/>
      <c r="Q701" s="225"/>
    </row>
    <row r="702" spans="16:17" ht="14.25" customHeight="1" x14ac:dyDescent="0.3">
      <c r="P702" s="225"/>
      <c r="Q702" s="225"/>
    </row>
    <row r="703" spans="16:17" ht="14.25" customHeight="1" x14ac:dyDescent="0.3">
      <c r="P703" s="225"/>
      <c r="Q703" s="225"/>
    </row>
    <row r="704" spans="16:17" ht="14.25" customHeight="1" x14ac:dyDescent="0.3">
      <c r="P704" s="225"/>
      <c r="Q704" s="225"/>
    </row>
    <row r="705" spans="16:17" ht="14.25" customHeight="1" x14ac:dyDescent="0.3">
      <c r="P705" s="225"/>
      <c r="Q705" s="225"/>
    </row>
    <row r="706" spans="16:17" ht="14.25" customHeight="1" x14ac:dyDescent="0.3">
      <c r="P706" s="225"/>
      <c r="Q706" s="225"/>
    </row>
    <row r="707" spans="16:17" ht="14.25" customHeight="1" x14ac:dyDescent="0.3">
      <c r="P707" s="225"/>
      <c r="Q707" s="225"/>
    </row>
    <row r="708" spans="16:17" ht="14.25" customHeight="1" x14ac:dyDescent="0.3">
      <c r="P708" s="225"/>
      <c r="Q708" s="225"/>
    </row>
    <row r="709" spans="16:17" ht="14.25" customHeight="1" x14ac:dyDescent="0.3">
      <c r="P709" s="225"/>
      <c r="Q709" s="225"/>
    </row>
    <row r="710" spans="16:17" ht="14.25" customHeight="1" x14ac:dyDescent="0.3">
      <c r="P710" s="225"/>
      <c r="Q710" s="225"/>
    </row>
    <row r="711" spans="16:17" ht="14.25" customHeight="1" x14ac:dyDescent="0.3">
      <c r="P711" s="225"/>
      <c r="Q711" s="225"/>
    </row>
    <row r="712" spans="16:17" ht="14.25" customHeight="1" x14ac:dyDescent="0.3">
      <c r="P712" s="225"/>
      <c r="Q712" s="225"/>
    </row>
    <row r="713" spans="16:17" ht="14.25" customHeight="1" x14ac:dyDescent="0.3">
      <c r="P713" s="225"/>
      <c r="Q713" s="225"/>
    </row>
    <row r="714" spans="16:17" ht="14.25" customHeight="1" x14ac:dyDescent="0.3">
      <c r="P714" s="225"/>
      <c r="Q714" s="225"/>
    </row>
    <row r="715" spans="16:17" ht="14.25" customHeight="1" x14ac:dyDescent="0.3">
      <c r="P715" s="225"/>
      <c r="Q715" s="225"/>
    </row>
    <row r="716" spans="16:17" ht="14.25" customHeight="1" x14ac:dyDescent="0.3">
      <c r="P716" s="225"/>
      <c r="Q716" s="225"/>
    </row>
    <row r="717" spans="16:17" ht="14.25" customHeight="1" x14ac:dyDescent="0.3">
      <c r="P717" s="225"/>
      <c r="Q717" s="225"/>
    </row>
    <row r="718" spans="16:17" ht="14.25" customHeight="1" x14ac:dyDescent="0.3">
      <c r="P718" s="225"/>
      <c r="Q718" s="225"/>
    </row>
    <row r="719" spans="16:17" ht="14.25" customHeight="1" x14ac:dyDescent="0.3">
      <c r="P719" s="225"/>
      <c r="Q719" s="225"/>
    </row>
    <row r="720" spans="16:17" ht="14.25" customHeight="1" x14ac:dyDescent="0.3">
      <c r="P720" s="225"/>
      <c r="Q720" s="225"/>
    </row>
    <row r="721" spans="16:17" ht="14.25" customHeight="1" x14ac:dyDescent="0.3">
      <c r="P721" s="225"/>
      <c r="Q721" s="225"/>
    </row>
    <row r="722" spans="16:17" ht="14.25" customHeight="1" x14ac:dyDescent="0.3">
      <c r="P722" s="225"/>
      <c r="Q722" s="225"/>
    </row>
    <row r="723" spans="16:17" ht="14.25" customHeight="1" x14ac:dyDescent="0.3">
      <c r="P723" s="225"/>
      <c r="Q723" s="225"/>
    </row>
    <row r="724" spans="16:17" ht="14.25" customHeight="1" x14ac:dyDescent="0.3">
      <c r="P724" s="225"/>
      <c r="Q724" s="225"/>
    </row>
    <row r="725" spans="16:17" ht="14.25" customHeight="1" x14ac:dyDescent="0.3">
      <c r="P725" s="225"/>
      <c r="Q725" s="225"/>
    </row>
    <row r="726" spans="16:17" ht="14.25" customHeight="1" x14ac:dyDescent="0.3">
      <c r="P726" s="225"/>
      <c r="Q726" s="225"/>
    </row>
    <row r="727" spans="16:17" ht="14.25" customHeight="1" x14ac:dyDescent="0.3">
      <c r="P727" s="225"/>
      <c r="Q727" s="225"/>
    </row>
    <row r="728" spans="16:17" ht="14.25" customHeight="1" x14ac:dyDescent="0.3">
      <c r="P728" s="225"/>
      <c r="Q728" s="225"/>
    </row>
    <row r="729" spans="16:17" ht="14.25" customHeight="1" x14ac:dyDescent="0.3">
      <c r="P729" s="225"/>
      <c r="Q729" s="225"/>
    </row>
    <row r="730" spans="16:17" ht="14.25" customHeight="1" x14ac:dyDescent="0.3">
      <c r="P730" s="225"/>
      <c r="Q730" s="225"/>
    </row>
    <row r="731" spans="16:17" ht="14.25" customHeight="1" x14ac:dyDescent="0.3">
      <c r="P731" s="225"/>
      <c r="Q731" s="225"/>
    </row>
    <row r="732" spans="16:17" ht="14.25" customHeight="1" x14ac:dyDescent="0.3">
      <c r="P732" s="225"/>
      <c r="Q732" s="225"/>
    </row>
    <row r="733" spans="16:17" ht="14.25" customHeight="1" x14ac:dyDescent="0.3">
      <c r="P733" s="225"/>
      <c r="Q733" s="225"/>
    </row>
    <row r="734" spans="16:17" ht="14.25" customHeight="1" x14ac:dyDescent="0.3">
      <c r="P734" s="225"/>
      <c r="Q734" s="225"/>
    </row>
    <row r="735" spans="16:17" ht="14.25" customHeight="1" x14ac:dyDescent="0.3">
      <c r="P735" s="225"/>
      <c r="Q735" s="225"/>
    </row>
    <row r="736" spans="16:17" ht="14.25" customHeight="1" x14ac:dyDescent="0.3">
      <c r="P736" s="225"/>
      <c r="Q736" s="225"/>
    </row>
    <row r="737" spans="16:17" ht="14.25" customHeight="1" x14ac:dyDescent="0.3">
      <c r="P737" s="225"/>
      <c r="Q737" s="225"/>
    </row>
    <row r="738" spans="16:17" ht="14.25" customHeight="1" x14ac:dyDescent="0.3">
      <c r="P738" s="225"/>
      <c r="Q738" s="225"/>
    </row>
    <row r="739" spans="16:17" ht="14.25" customHeight="1" x14ac:dyDescent="0.3">
      <c r="P739" s="225"/>
      <c r="Q739" s="225"/>
    </row>
    <row r="740" spans="16:17" ht="14.25" customHeight="1" x14ac:dyDescent="0.3">
      <c r="P740" s="225"/>
      <c r="Q740" s="225"/>
    </row>
    <row r="741" spans="16:17" ht="14.25" customHeight="1" x14ac:dyDescent="0.3">
      <c r="P741" s="225"/>
      <c r="Q741" s="225"/>
    </row>
    <row r="742" spans="16:17" ht="14.25" customHeight="1" x14ac:dyDescent="0.3">
      <c r="P742" s="225"/>
      <c r="Q742" s="225"/>
    </row>
    <row r="743" spans="16:17" ht="14.25" customHeight="1" x14ac:dyDescent="0.3">
      <c r="P743" s="225"/>
      <c r="Q743" s="225"/>
    </row>
    <row r="744" spans="16:17" ht="14.25" customHeight="1" x14ac:dyDescent="0.3">
      <c r="P744" s="225"/>
      <c r="Q744" s="225"/>
    </row>
    <row r="745" spans="16:17" ht="14.25" customHeight="1" x14ac:dyDescent="0.3">
      <c r="P745" s="225"/>
      <c r="Q745" s="225"/>
    </row>
    <row r="746" spans="16:17" ht="14.25" customHeight="1" x14ac:dyDescent="0.3">
      <c r="P746" s="225"/>
      <c r="Q746" s="225"/>
    </row>
    <row r="747" spans="16:17" ht="14.25" customHeight="1" x14ac:dyDescent="0.3">
      <c r="P747" s="225"/>
      <c r="Q747" s="225"/>
    </row>
    <row r="748" spans="16:17" ht="14.25" customHeight="1" x14ac:dyDescent="0.3">
      <c r="P748" s="225"/>
      <c r="Q748" s="225"/>
    </row>
    <row r="749" spans="16:17" ht="14.25" customHeight="1" x14ac:dyDescent="0.3">
      <c r="P749" s="225"/>
      <c r="Q749" s="225"/>
    </row>
    <row r="750" spans="16:17" ht="14.25" customHeight="1" x14ac:dyDescent="0.3">
      <c r="P750" s="225"/>
      <c r="Q750" s="225"/>
    </row>
    <row r="751" spans="16:17" ht="14.25" customHeight="1" x14ac:dyDescent="0.3">
      <c r="P751" s="225"/>
      <c r="Q751" s="225"/>
    </row>
    <row r="752" spans="16:17" ht="14.25" customHeight="1" x14ac:dyDescent="0.3">
      <c r="P752" s="225"/>
      <c r="Q752" s="225"/>
    </row>
    <row r="753" spans="16:17" ht="14.25" customHeight="1" x14ac:dyDescent="0.3">
      <c r="P753" s="225"/>
      <c r="Q753" s="225"/>
    </row>
    <row r="754" spans="16:17" ht="14.25" customHeight="1" x14ac:dyDescent="0.3">
      <c r="P754" s="225"/>
      <c r="Q754" s="225"/>
    </row>
    <row r="755" spans="16:17" ht="14.25" customHeight="1" x14ac:dyDescent="0.3">
      <c r="P755" s="225"/>
      <c r="Q755" s="225"/>
    </row>
    <row r="756" spans="16:17" ht="14.25" customHeight="1" x14ac:dyDescent="0.3">
      <c r="P756" s="225"/>
      <c r="Q756" s="225"/>
    </row>
    <row r="757" spans="16:17" ht="14.25" customHeight="1" x14ac:dyDescent="0.3">
      <c r="P757" s="225"/>
      <c r="Q757" s="225"/>
    </row>
    <row r="758" spans="16:17" ht="14.25" customHeight="1" x14ac:dyDescent="0.3">
      <c r="P758" s="225"/>
      <c r="Q758" s="225"/>
    </row>
    <row r="759" spans="16:17" ht="14.25" customHeight="1" x14ac:dyDescent="0.3">
      <c r="P759" s="225"/>
      <c r="Q759" s="225"/>
    </row>
    <row r="760" spans="16:17" ht="14.25" customHeight="1" x14ac:dyDescent="0.3">
      <c r="P760" s="225"/>
      <c r="Q760" s="225"/>
    </row>
    <row r="761" spans="16:17" ht="14.25" customHeight="1" x14ac:dyDescent="0.3">
      <c r="P761" s="225"/>
      <c r="Q761" s="225"/>
    </row>
    <row r="762" spans="16:17" ht="14.25" customHeight="1" x14ac:dyDescent="0.3">
      <c r="P762" s="225"/>
      <c r="Q762" s="225"/>
    </row>
    <row r="763" spans="16:17" ht="14.25" customHeight="1" x14ac:dyDescent="0.3">
      <c r="P763" s="225"/>
      <c r="Q763" s="225"/>
    </row>
    <row r="764" spans="16:17" ht="14.25" customHeight="1" x14ac:dyDescent="0.3">
      <c r="P764" s="225"/>
      <c r="Q764" s="225"/>
    </row>
    <row r="765" spans="16:17" ht="14.25" customHeight="1" x14ac:dyDescent="0.3">
      <c r="P765" s="225"/>
      <c r="Q765" s="225"/>
    </row>
    <row r="766" spans="16:17" ht="14.25" customHeight="1" x14ac:dyDescent="0.3">
      <c r="P766" s="225"/>
      <c r="Q766" s="225"/>
    </row>
    <row r="767" spans="16:17" ht="14.25" customHeight="1" x14ac:dyDescent="0.3">
      <c r="P767" s="225"/>
      <c r="Q767" s="225"/>
    </row>
    <row r="768" spans="16:17" ht="14.25" customHeight="1" x14ac:dyDescent="0.3">
      <c r="P768" s="225"/>
      <c r="Q768" s="225"/>
    </row>
    <row r="769" spans="16:17" ht="14.25" customHeight="1" x14ac:dyDescent="0.3">
      <c r="P769" s="225"/>
      <c r="Q769" s="225"/>
    </row>
    <row r="770" spans="16:17" ht="14.25" customHeight="1" x14ac:dyDescent="0.3">
      <c r="P770" s="225"/>
      <c r="Q770" s="225"/>
    </row>
    <row r="771" spans="16:17" ht="14.25" customHeight="1" x14ac:dyDescent="0.3">
      <c r="P771" s="225"/>
      <c r="Q771" s="225"/>
    </row>
    <row r="772" spans="16:17" ht="14.25" customHeight="1" x14ac:dyDescent="0.3">
      <c r="P772" s="225"/>
      <c r="Q772" s="225"/>
    </row>
    <row r="773" spans="16:17" ht="14.25" customHeight="1" x14ac:dyDescent="0.3">
      <c r="P773" s="225"/>
      <c r="Q773" s="225"/>
    </row>
    <row r="774" spans="16:17" ht="14.25" customHeight="1" x14ac:dyDescent="0.3">
      <c r="P774" s="225"/>
      <c r="Q774" s="225"/>
    </row>
    <row r="775" spans="16:17" ht="14.25" customHeight="1" x14ac:dyDescent="0.3">
      <c r="P775" s="225"/>
      <c r="Q775" s="225"/>
    </row>
    <row r="776" spans="16:17" ht="14.25" customHeight="1" x14ac:dyDescent="0.3">
      <c r="P776" s="225"/>
      <c r="Q776" s="225"/>
    </row>
    <row r="777" spans="16:17" ht="14.25" customHeight="1" x14ac:dyDescent="0.3">
      <c r="P777" s="225"/>
      <c r="Q777" s="225"/>
    </row>
    <row r="778" spans="16:17" ht="14.25" customHeight="1" x14ac:dyDescent="0.3">
      <c r="P778" s="225"/>
      <c r="Q778" s="225"/>
    </row>
    <row r="779" spans="16:17" ht="14.25" customHeight="1" x14ac:dyDescent="0.3">
      <c r="P779" s="225"/>
      <c r="Q779" s="225"/>
    </row>
    <row r="780" spans="16:17" ht="14.25" customHeight="1" x14ac:dyDescent="0.3">
      <c r="P780" s="225"/>
      <c r="Q780" s="225"/>
    </row>
    <row r="781" spans="16:17" ht="14.25" customHeight="1" x14ac:dyDescent="0.3">
      <c r="P781" s="225"/>
      <c r="Q781" s="225"/>
    </row>
    <row r="782" spans="16:17" ht="14.25" customHeight="1" x14ac:dyDescent="0.3">
      <c r="P782" s="225"/>
      <c r="Q782" s="225"/>
    </row>
    <row r="783" spans="16:17" ht="14.25" customHeight="1" x14ac:dyDescent="0.3">
      <c r="P783" s="225"/>
      <c r="Q783" s="225"/>
    </row>
    <row r="784" spans="16:17" ht="14.25" customHeight="1" x14ac:dyDescent="0.3">
      <c r="P784" s="225"/>
      <c r="Q784" s="225"/>
    </row>
    <row r="785" spans="16:17" ht="14.25" customHeight="1" x14ac:dyDescent="0.3">
      <c r="P785" s="225"/>
      <c r="Q785" s="225"/>
    </row>
    <row r="786" spans="16:17" ht="14.25" customHeight="1" x14ac:dyDescent="0.3">
      <c r="P786" s="225"/>
      <c r="Q786" s="225"/>
    </row>
    <row r="787" spans="16:17" ht="14.25" customHeight="1" x14ac:dyDescent="0.3">
      <c r="P787" s="225"/>
      <c r="Q787" s="225"/>
    </row>
    <row r="788" spans="16:17" ht="14.25" customHeight="1" x14ac:dyDescent="0.3">
      <c r="P788" s="225"/>
      <c r="Q788" s="225"/>
    </row>
    <row r="789" spans="16:17" ht="14.25" customHeight="1" x14ac:dyDescent="0.3">
      <c r="P789" s="225"/>
      <c r="Q789" s="225"/>
    </row>
    <row r="790" spans="16:17" ht="14.25" customHeight="1" x14ac:dyDescent="0.3">
      <c r="P790" s="225"/>
      <c r="Q790" s="225"/>
    </row>
    <row r="791" spans="16:17" ht="14.25" customHeight="1" x14ac:dyDescent="0.3">
      <c r="P791" s="225"/>
      <c r="Q791" s="225"/>
    </row>
    <row r="792" spans="16:17" ht="14.25" customHeight="1" x14ac:dyDescent="0.3">
      <c r="P792" s="225"/>
      <c r="Q792" s="225"/>
    </row>
    <row r="793" spans="16:17" ht="14.25" customHeight="1" x14ac:dyDescent="0.3">
      <c r="P793" s="225"/>
      <c r="Q793" s="225"/>
    </row>
    <row r="794" spans="16:17" ht="14.25" customHeight="1" x14ac:dyDescent="0.3">
      <c r="P794" s="225"/>
      <c r="Q794" s="225"/>
    </row>
    <row r="795" spans="16:17" ht="14.25" customHeight="1" x14ac:dyDescent="0.3">
      <c r="P795" s="225"/>
      <c r="Q795" s="225"/>
    </row>
    <row r="796" spans="16:17" ht="14.25" customHeight="1" x14ac:dyDescent="0.3">
      <c r="P796" s="225"/>
      <c r="Q796" s="225"/>
    </row>
    <row r="797" spans="16:17" ht="14.25" customHeight="1" x14ac:dyDescent="0.3">
      <c r="P797" s="225"/>
      <c r="Q797" s="225"/>
    </row>
    <row r="798" spans="16:17" ht="14.25" customHeight="1" x14ac:dyDescent="0.3">
      <c r="P798" s="225"/>
      <c r="Q798" s="225"/>
    </row>
    <row r="799" spans="16:17" ht="14.25" customHeight="1" x14ac:dyDescent="0.3">
      <c r="P799" s="225"/>
      <c r="Q799" s="225"/>
    </row>
    <row r="800" spans="16:17" ht="14.25" customHeight="1" x14ac:dyDescent="0.3">
      <c r="P800" s="225"/>
      <c r="Q800" s="225"/>
    </row>
    <row r="801" spans="16:17" ht="14.25" customHeight="1" x14ac:dyDescent="0.3">
      <c r="P801" s="225"/>
      <c r="Q801" s="225"/>
    </row>
    <row r="802" spans="16:17" ht="14.25" customHeight="1" x14ac:dyDescent="0.3">
      <c r="P802" s="225"/>
      <c r="Q802" s="225"/>
    </row>
    <row r="803" spans="16:17" ht="14.25" customHeight="1" x14ac:dyDescent="0.3">
      <c r="P803" s="225"/>
      <c r="Q803" s="225"/>
    </row>
    <row r="804" spans="16:17" ht="14.25" customHeight="1" x14ac:dyDescent="0.3">
      <c r="P804" s="225"/>
      <c r="Q804" s="225"/>
    </row>
    <row r="805" spans="16:17" ht="14.25" customHeight="1" x14ac:dyDescent="0.3">
      <c r="P805" s="225"/>
      <c r="Q805" s="225"/>
    </row>
    <row r="806" spans="16:17" ht="14.25" customHeight="1" x14ac:dyDescent="0.3">
      <c r="P806" s="225"/>
      <c r="Q806" s="225"/>
    </row>
    <row r="807" spans="16:17" ht="14.25" customHeight="1" x14ac:dyDescent="0.3">
      <c r="P807" s="225"/>
      <c r="Q807" s="225"/>
    </row>
    <row r="808" spans="16:17" ht="14.25" customHeight="1" x14ac:dyDescent="0.3">
      <c r="P808" s="225"/>
      <c r="Q808" s="225"/>
    </row>
    <row r="809" spans="16:17" ht="14.25" customHeight="1" x14ac:dyDescent="0.3">
      <c r="P809" s="225"/>
      <c r="Q809" s="225"/>
    </row>
    <row r="810" spans="16:17" ht="14.25" customHeight="1" x14ac:dyDescent="0.3">
      <c r="P810" s="225"/>
      <c r="Q810" s="225"/>
    </row>
    <row r="811" spans="16:17" ht="14.25" customHeight="1" x14ac:dyDescent="0.3">
      <c r="P811" s="225"/>
      <c r="Q811" s="225"/>
    </row>
    <row r="812" spans="16:17" ht="14.25" customHeight="1" x14ac:dyDescent="0.3">
      <c r="P812" s="225"/>
      <c r="Q812" s="225"/>
    </row>
    <row r="813" spans="16:17" ht="14.25" customHeight="1" x14ac:dyDescent="0.3">
      <c r="P813" s="225"/>
      <c r="Q813" s="225"/>
    </row>
    <row r="814" spans="16:17" ht="14.25" customHeight="1" x14ac:dyDescent="0.3">
      <c r="P814" s="225"/>
      <c r="Q814" s="225"/>
    </row>
    <row r="815" spans="16:17" ht="14.25" customHeight="1" x14ac:dyDescent="0.3">
      <c r="P815" s="225"/>
      <c r="Q815" s="225"/>
    </row>
    <row r="816" spans="16:17" ht="14.25" customHeight="1" x14ac:dyDescent="0.3">
      <c r="P816" s="225"/>
      <c r="Q816" s="225"/>
    </row>
    <row r="817" spans="16:17" ht="14.25" customHeight="1" x14ac:dyDescent="0.3">
      <c r="P817" s="225"/>
      <c r="Q817" s="225"/>
    </row>
    <row r="818" spans="16:17" ht="14.25" customHeight="1" x14ac:dyDescent="0.3">
      <c r="P818" s="225"/>
      <c r="Q818" s="225"/>
    </row>
    <row r="819" spans="16:17" ht="14.25" customHeight="1" x14ac:dyDescent="0.3">
      <c r="P819" s="225"/>
      <c r="Q819" s="225"/>
    </row>
    <row r="820" spans="16:17" ht="14.25" customHeight="1" x14ac:dyDescent="0.3">
      <c r="P820" s="225"/>
      <c r="Q820" s="225"/>
    </row>
    <row r="821" spans="16:17" ht="14.25" customHeight="1" x14ac:dyDescent="0.3">
      <c r="P821" s="225"/>
      <c r="Q821" s="225"/>
    </row>
    <row r="822" spans="16:17" ht="14.25" customHeight="1" x14ac:dyDescent="0.3">
      <c r="P822" s="225"/>
      <c r="Q822" s="225"/>
    </row>
    <row r="823" spans="16:17" ht="14.25" customHeight="1" x14ac:dyDescent="0.3">
      <c r="P823" s="225"/>
      <c r="Q823" s="225"/>
    </row>
    <row r="824" spans="16:17" ht="14.25" customHeight="1" x14ac:dyDescent="0.3">
      <c r="P824" s="225"/>
      <c r="Q824" s="225"/>
    </row>
    <row r="825" spans="16:17" ht="14.25" customHeight="1" x14ac:dyDescent="0.3">
      <c r="P825" s="225"/>
      <c r="Q825" s="225"/>
    </row>
    <row r="826" spans="16:17" ht="14.25" customHeight="1" x14ac:dyDescent="0.3">
      <c r="P826" s="225"/>
      <c r="Q826" s="225"/>
    </row>
    <row r="827" spans="16:17" ht="14.25" customHeight="1" x14ac:dyDescent="0.3">
      <c r="P827" s="225"/>
      <c r="Q827" s="225"/>
    </row>
    <row r="828" spans="16:17" ht="14.25" customHeight="1" x14ac:dyDescent="0.3">
      <c r="P828" s="225"/>
      <c r="Q828" s="225"/>
    </row>
    <row r="829" spans="16:17" ht="14.25" customHeight="1" x14ac:dyDescent="0.3">
      <c r="P829" s="225"/>
      <c r="Q829" s="225"/>
    </row>
    <row r="830" spans="16:17" ht="14.25" customHeight="1" x14ac:dyDescent="0.3">
      <c r="P830" s="225"/>
      <c r="Q830" s="225"/>
    </row>
    <row r="831" spans="16:17" ht="14.25" customHeight="1" x14ac:dyDescent="0.3">
      <c r="P831" s="225"/>
      <c r="Q831" s="225"/>
    </row>
    <row r="832" spans="16:17" ht="14.25" customHeight="1" x14ac:dyDescent="0.3">
      <c r="P832" s="225"/>
      <c r="Q832" s="225"/>
    </row>
    <row r="833" spans="16:17" ht="14.25" customHeight="1" x14ac:dyDescent="0.3">
      <c r="P833" s="225"/>
      <c r="Q833" s="225"/>
    </row>
    <row r="834" spans="16:17" ht="14.25" customHeight="1" x14ac:dyDescent="0.3">
      <c r="P834" s="225"/>
      <c r="Q834" s="225"/>
    </row>
    <row r="835" spans="16:17" ht="14.25" customHeight="1" x14ac:dyDescent="0.3">
      <c r="P835" s="225"/>
      <c r="Q835" s="225"/>
    </row>
    <row r="836" spans="16:17" ht="14.25" customHeight="1" x14ac:dyDescent="0.3">
      <c r="P836" s="225"/>
      <c r="Q836" s="225"/>
    </row>
    <row r="837" spans="16:17" ht="14.25" customHeight="1" x14ac:dyDescent="0.3">
      <c r="P837" s="225"/>
      <c r="Q837" s="225"/>
    </row>
    <row r="838" spans="16:17" ht="14.25" customHeight="1" x14ac:dyDescent="0.3">
      <c r="P838" s="225"/>
      <c r="Q838" s="225"/>
    </row>
    <row r="839" spans="16:17" ht="14.25" customHeight="1" x14ac:dyDescent="0.3">
      <c r="P839" s="225"/>
      <c r="Q839" s="225"/>
    </row>
    <row r="840" spans="16:17" ht="14.25" customHeight="1" x14ac:dyDescent="0.3">
      <c r="P840" s="225"/>
      <c r="Q840" s="225"/>
    </row>
    <row r="841" spans="16:17" ht="14.25" customHeight="1" x14ac:dyDescent="0.3">
      <c r="P841" s="225"/>
      <c r="Q841" s="225"/>
    </row>
    <row r="842" spans="16:17" ht="14.25" customHeight="1" x14ac:dyDescent="0.3">
      <c r="P842" s="225"/>
      <c r="Q842" s="225"/>
    </row>
    <row r="843" spans="16:17" ht="14.25" customHeight="1" x14ac:dyDescent="0.3">
      <c r="P843" s="225"/>
      <c r="Q843" s="225"/>
    </row>
    <row r="844" spans="16:17" ht="14.25" customHeight="1" x14ac:dyDescent="0.3">
      <c r="P844" s="225"/>
      <c r="Q844" s="225"/>
    </row>
    <row r="845" spans="16:17" ht="14.25" customHeight="1" x14ac:dyDescent="0.3">
      <c r="P845" s="225"/>
      <c r="Q845" s="225"/>
    </row>
    <row r="846" spans="16:17" ht="14.25" customHeight="1" x14ac:dyDescent="0.3">
      <c r="P846" s="225"/>
      <c r="Q846" s="225"/>
    </row>
    <row r="847" spans="16:17" ht="14.25" customHeight="1" x14ac:dyDescent="0.3">
      <c r="P847" s="225"/>
      <c r="Q847" s="225"/>
    </row>
    <row r="848" spans="16:17" ht="14.25" customHeight="1" x14ac:dyDescent="0.3">
      <c r="P848" s="225"/>
      <c r="Q848" s="225"/>
    </row>
    <row r="849" spans="16:17" ht="14.25" customHeight="1" x14ac:dyDescent="0.3">
      <c r="P849" s="225"/>
      <c r="Q849" s="225"/>
    </row>
    <row r="850" spans="16:17" ht="14.25" customHeight="1" x14ac:dyDescent="0.3">
      <c r="P850" s="225"/>
      <c r="Q850" s="225"/>
    </row>
    <row r="851" spans="16:17" ht="14.25" customHeight="1" x14ac:dyDescent="0.3">
      <c r="P851" s="225"/>
      <c r="Q851" s="225"/>
    </row>
    <row r="852" spans="16:17" ht="14.25" customHeight="1" x14ac:dyDescent="0.3">
      <c r="P852" s="225"/>
      <c r="Q852" s="225"/>
    </row>
    <row r="853" spans="16:17" ht="14.25" customHeight="1" x14ac:dyDescent="0.3">
      <c r="P853" s="225"/>
      <c r="Q853" s="225"/>
    </row>
    <row r="854" spans="16:17" ht="14.25" customHeight="1" x14ac:dyDescent="0.3">
      <c r="P854" s="225"/>
      <c r="Q854" s="225"/>
    </row>
    <row r="855" spans="16:17" ht="14.25" customHeight="1" x14ac:dyDescent="0.3">
      <c r="P855" s="225"/>
      <c r="Q855" s="225"/>
    </row>
    <row r="856" spans="16:17" ht="14.25" customHeight="1" x14ac:dyDescent="0.3">
      <c r="P856" s="225"/>
      <c r="Q856" s="225"/>
    </row>
    <row r="857" spans="16:17" ht="14.25" customHeight="1" x14ac:dyDescent="0.3">
      <c r="P857" s="225"/>
      <c r="Q857" s="225"/>
    </row>
    <row r="858" spans="16:17" ht="14.25" customHeight="1" x14ac:dyDescent="0.3">
      <c r="P858" s="225"/>
      <c r="Q858" s="225"/>
    </row>
    <row r="859" spans="16:17" ht="14.25" customHeight="1" x14ac:dyDescent="0.3">
      <c r="P859" s="225"/>
      <c r="Q859" s="225"/>
    </row>
    <row r="860" spans="16:17" ht="14.25" customHeight="1" x14ac:dyDescent="0.3">
      <c r="P860" s="225"/>
      <c r="Q860" s="225"/>
    </row>
    <row r="861" spans="16:17" ht="14.25" customHeight="1" x14ac:dyDescent="0.3">
      <c r="P861" s="225"/>
      <c r="Q861" s="225"/>
    </row>
    <row r="862" spans="16:17" ht="14.25" customHeight="1" x14ac:dyDescent="0.3">
      <c r="P862" s="225"/>
      <c r="Q862" s="225"/>
    </row>
    <row r="863" spans="16:17" ht="14.25" customHeight="1" x14ac:dyDescent="0.3">
      <c r="P863" s="225"/>
      <c r="Q863" s="225"/>
    </row>
    <row r="864" spans="16:17" ht="14.25" customHeight="1" x14ac:dyDescent="0.3">
      <c r="P864" s="225"/>
      <c r="Q864" s="225"/>
    </row>
    <row r="865" spans="16:17" ht="14.25" customHeight="1" x14ac:dyDescent="0.3">
      <c r="P865" s="225"/>
      <c r="Q865" s="225"/>
    </row>
    <row r="866" spans="16:17" ht="14.25" customHeight="1" x14ac:dyDescent="0.3">
      <c r="P866" s="225"/>
      <c r="Q866" s="225"/>
    </row>
    <row r="867" spans="16:17" ht="14.25" customHeight="1" x14ac:dyDescent="0.3">
      <c r="P867" s="225"/>
      <c r="Q867" s="225"/>
    </row>
    <row r="868" spans="16:17" ht="14.25" customHeight="1" x14ac:dyDescent="0.3">
      <c r="P868" s="225"/>
      <c r="Q868" s="225"/>
    </row>
    <row r="869" spans="16:17" ht="14.25" customHeight="1" x14ac:dyDescent="0.3">
      <c r="P869" s="225"/>
      <c r="Q869" s="225"/>
    </row>
    <row r="870" spans="16:17" ht="14.25" customHeight="1" x14ac:dyDescent="0.3">
      <c r="P870" s="225"/>
      <c r="Q870" s="225"/>
    </row>
    <row r="871" spans="16:17" ht="14.25" customHeight="1" x14ac:dyDescent="0.3">
      <c r="P871" s="225"/>
      <c r="Q871" s="225"/>
    </row>
    <row r="872" spans="16:17" ht="14.25" customHeight="1" x14ac:dyDescent="0.3">
      <c r="P872" s="225"/>
      <c r="Q872" s="225"/>
    </row>
    <row r="873" spans="16:17" ht="14.25" customHeight="1" x14ac:dyDescent="0.3">
      <c r="P873" s="225"/>
      <c r="Q873" s="225"/>
    </row>
    <row r="874" spans="16:17" ht="14.25" customHeight="1" x14ac:dyDescent="0.3">
      <c r="P874" s="225"/>
      <c r="Q874" s="225"/>
    </row>
    <row r="875" spans="16:17" ht="14.25" customHeight="1" x14ac:dyDescent="0.3">
      <c r="P875" s="225"/>
      <c r="Q875" s="225"/>
    </row>
    <row r="876" spans="16:17" ht="14.25" customHeight="1" x14ac:dyDescent="0.3">
      <c r="P876" s="225"/>
      <c r="Q876" s="225"/>
    </row>
    <row r="877" spans="16:17" ht="14.25" customHeight="1" x14ac:dyDescent="0.3">
      <c r="P877" s="225"/>
      <c r="Q877" s="225"/>
    </row>
    <row r="878" spans="16:17" ht="14.25" customHeight="1" x14ac:dyDescent="0.3">
      <c r="P878" s="225"/>
      <c r="Q878" s="225"/>
    </row>
    <row r="879" spans="16:17" ht="14.25" customHeight="1" x14ac:dyDescent="0.3">
      <c r="P879" s="225"/>
      <c r="Q879" s="225"/>
    </row>
    <row r="880" spans="16:17" ht="14.25" customHeight="1" x14ac:dyDescent="0.3">
      <c r="P880" s="225"/>
      <c r="Q880" s="225"/>
    </row>
    <row r="881" spans="16:17" ht="14.25" customHeight="1" x14ac:dyDescent="0.3">
      <c r="P881" s="225"/>
      <c r="Q881" s="225"/>
    </row>
    <row r="882" spans="16:17" ht="14.25" customHeight="1" x14ac:dyDescent="0.3">
      <c r="P882" s="225"/>
      <c r="Q882" s="225"/>
    </row>
    <row r="883" spans="16:17" ht="14.25" customHeight="1" x14ac:dyDescent="0.3">
      <c r="P883" s="225"/>
      <c r="Q883" s="225"/>
    </row>
    <row r="884" spans="16:17" ht="14.25" customHeight="1" x14ac:dyDescent="0.3">
      <c r="P884" s="225"/>
      <c r="Q884" s="225"/>
    </row>
    <row r="885" spans="16:17" ht="14.25" customHeight="1" x14ac:dyDescent="0.3">
      <c r="P885" s="225"/>
      <c r="Q885" s="225"/>
    </row>
    <row r="886" spans="16:17" ht="14.25" customHeight="1" x14ac:dyDescent="0.3">
      <c r="P886" s="225"/>
      <c r="Q886" s="225"/>
    </row>
    <row r="887" spans="16:17" ht="14.25" customHeight="1" x14ac:dyDescent="0.3">
      <c r="P887" s="225"/>
      <c r="Q887" s="225"/>
    </row>
    <row r="888" spans="16:17" ht="14.25" customHeight="1" x14ac:dyDescent="0.3">
      <c r="P888" s="225"/>
      <c r="Q888" s="225"/>
    </row>
    <row r="889" spans="16:17" ht="14.25" customHeight="1" x14ac:dyDescent="0.3">
      <c r="P889" s="225"/>
      <c r="Q889" s="225"/>
    </row>
    <row r="890" spans="16:17" ht="14.25" customHeight="1" x14ac:dyDescent="0.3">
      <c r="P890" s="225"/>
      <c r="Q890" s="225"/>
    </row>
    <row r="891" spans="16:17" ht="14.25" customHeight="1" x14ac:dyDescent="0.3">
      <c r="P891" s="225"/>
      <c r="Q891" s="225"/>
    </row>
    <row r="892" spans="16:17" ht="14.25" customHeight="1" x14ac:dyDescent="0.3">
      <c r="P892" s="225"/>
      <c r="Q892" s="225"/>
    </row>
    <row r="893" spans="16:17" ht="14.25" customHeight="1" x14ac:dyDescent="0.3">
      <c r="P893" s="225"/>
      <c r="Q893" s="225"/>
    </row>
    <row r="894" spans="16:17" ht="14.25" customHeight="1" x14ac:dyDescent="0.3">
      <c r="P894" s="225"/>
      <c r="Q894" s="225"/>
    </row>
    <row r="895" spans="16:17" ht="14.25" customHeight="1" x14ac:dyDescent="0.3">
      <c r="P895" s="225"/>
      <c r="Q895" s="225"/>
    </row>
    <row r="896" spans="16:17" ht="14.25" customHeight="1" x14ac:dyDescent="0.3">
      <c r="P896" s="225"/>
      <c r="Q896" s="225"/>
    </row>
    <row r="897" spans="16:17" ht="14.25" customHeight="1" x14ac:dyDescent="0.3">
      <c r="P897" s="225"/>
      <c r="Q897" s="225"/>
    </row>
    <row r="898" spans="16:17" ht="14.25" customHeight="1" x14ac:dyDescent="0.3">
      <c r="P898" s="225"/>
      <c r="Q898" s="225"/>
    </row>
    <row r="899" spans="16:17" ht="14.25" customHeight="1" x14ac:dyDescent="0.3">
      <c r="P899" s="225"/>
      <c r="Q899" s="225"/>
    </row>
    <row r="900" spans="16:17" ht="14.25" customHeight="1" x14ac:dyDescent="0.3">
      <c r="P900" s="225"/>
      <c r="Q900" s="225"/>
    </row>
    <row r="901" spans="16:17" ht="14.25" customHeight="1" x14ac:dyDescent="0.3">
      <c r="P901" s="225"/>
      <c r="Q901" s="225"/>
    </row>
    <row r="902" spans="16:17" ht="14.25" customHeight="1" x14ac:dyDescent="0.3">
      <c r="P902" s="225"/>
      <c r="Q902" s="225"/>
    </row>
    <row r="903" spans="16:17" ht="14.25" customHeight="1" x14ac:dyDescent="0.3">
      <c r="P903" s="225"/>
      <c r="Q903" s="225"/>
    </row>
    <row r="904" spans="16:17" ht="14.25" customHeight="1" x14ac:dyDescent="0.3">
      <c r="P904" s="225"/>
      <c r="Q904" s="225"/>
    </row>
    <row r="905" spans="16:17" ht="14.25" customHeight="1" x14ac:dyDescent="0.3">
      <c r="P905" s="225"/>
      <c r="Q905" s="225"/>
    </row>
    <row r="906" spans="16:17" ht="14.25" customHeight="1" x14ac:dyDescent="0.3">
      <c r="P906" s="225"/>
      <c r="Q906" s="225"/>
    </row>
    <row r="907" spans="16:17" ht="14.25" customHeight="1" x14ac:dyDescent="0.3">
      <c r="P907" s="225"/>
      <c r="Q907" s="225"/>
    </row>
    <row r="908" spans="16:17" ht="14.25" customHeight="1" x14ac:dyDescent="0.3">
      <c r="P908" s="225"/>
      <c r="Q908" s="225"/>
    </row>
    <row r="909" spans="16:17" ht="14.25" customHeight="1" x14ac:dyDescent="0.3">
      <c r="P909" s="225"/>
      <c r="Q909" s="225"/>
    </row>
    <row r="910" spans="16:17" ht="14.25" customHeight="1" x14ac:dyDescent="0.3">
      <c r="P910" s="225"/>
      <c r="Q910" s="225"/>
    </row>
    <row r="911" spans="16:17" ht="14.25" customHeight="1" x14ac:dyDescent="0.3">
      <c r="P911" s="225"/>
      <c r="Q911" s="225"/>
    </row>
    <row r="912" spans="16:17" ht="14.25" customHeight="1" x14ac:dyDescent="0.3">
      <c r="P912" s="225"/>
      <c r="Q912" s="225"/>
    </row>
    <row r="913" spans="16:17" ht="14.25" customHeight="1" x14ac:dyDescent="0.3">
      <c r="P913" s="225"/>
      <c r="Q913" s="225"/>
    </row>
    <row r="914" spans="16:17" ht="14.25" customHeight="1" x14ac:dyDescent="0.3">
      <c r="P914" s="225"/>
      <c r="Q914" s="225"/>
    </row>
    <row r="915" spans="16:17" ht="14.25" customHeight="1" x14ac:dyDescent="0.3">
      <c r="P915" s="225"/>
      <c r="Q915" s="225"/>
    </row>
    <row r="916" spans="16:17" ht="14.25" customHeight="1" x14ac:dyDescent="0.3">
      <c r="P916" s="225"/>
      <c r="Q916" s="225"/>
    </row>
    <row r="917" spans="16:17" ht="14.25" customHeight="1" x14ac:dyDescent="0.3">
      <c r="P917" s="225"/>
      <c r="Q917" s="225"/>
    </row>
    <row r="918" spans="16:17" ht="14.25" customHeight="1" x14ac:dyDescent="0.3">
      <c r="P918" s="225"/>
      <c r="Q918" s="225"/>
    </row>
    <row r="919" spans="16:17" ht="14.25" customHeight="1" x14ac:dyDescent="0.3">
      <c r="P919" s="225"/>
      <c r="Q919" s="225"/>
    </row>
    <row r="920" spans="16:17" ht="14.25" customHeight="1" x14ac:dyDescent="0.3">
      <c r="P920" s="225"/>
      <c r="Q920" s="225"/>
    </row>
    <row r="921" spans="16:17" ht="14.25" customHeight="1" x14ac:dyDescent="0.3">
      <c r="P921" s="225"/>
      <c r="Q921" s="225"/>
    </row>
    <row r="922" spans="16:17" ht="14.25" customHeight="1" x14ac:dyDescent="0.3">
      <c r="P922" s="225"/>
      <c r="Q922" s="225"/>
    </row>
    <row r="923" spans="16:17" ht="14.25" customHeight="1" x14ac:dyDescent="0.3">
      <c r="P923" s="225"/>
      <c r="Q923" s="225"/>
    </row>
    <row r="924" spans="16:17" ht="14.25" customHeight="1" x14ac:dyDescent="0.3">
      <c r="P924" s="225"/>
      <c r="Q924" s="225"/>
    </row>
    <row r="925" spans="16:17" ht="14.25" customHeight="1" x14ac:dyDescent="0.3">
      <c r="P925" s="225"/>
      <c r="Q925" s="225"/>
    </row>
    <row r="926" spans="16:17" ht="14.25" customHeight="1" x14ac:dyDescent="0.3">
      <c r="P926" s="225"/>
      <c r="Q926" s="225"/>
    </row>
    <row r="927" spans="16:17" ht="14.25" customHeight="1" x14ac:dyDescent="0.3">
      <c r="P927" s="225"/>
      <c r="Q927" s="225"/>
    </row>
    <row r="928" spans="16:17" ht="14.25" customHeight="1" x14ac:dyDescent="0.3">
      <c r="P928" s="225"/>
      <c r="Q928" s="225"/>
    </row>
    <row r="929" spans="16:17" ht="14.25" customHeight="1" x14ac:dyDescent="0.3">
      <c r="P929" s="225"/>
      <c r="Q929" s="225"/>
    </row>
    <row r="930" spans="16:17" ht="14.25" customHeight="1" x14ac:dyDescent="0.3">
      <c r="P930" s="225"/>
      <c r="Q930" s="225"/>
    </row>
    <row r="931" spans="16:17" ht="14.25" customHeight="1" x14ac:dyDescent="0.3">
      <c r="P931" s="225"/>
      <c r="Q931" s="225"/>
    </row>
    <row r="932" spans="16:17" ht="14.25" customHeight="1" x14ac:dyDescent="0.3">
      <c r="P932" s="225"/>
      <c r="Q932" s="225"/>
    </row>
    <row r="933" spans="16:17" ht="14.25" customHeight="1" x14ac:dyDescent="0.3">
      <c r="P933" s="225"/>
      <c r="Q933" s="225"/>
    </row>
    <row r="934" spans="16:17" ht="14.25" customHeight="1" x14ac:dyDescent="0.3">
      <c r="P934" s="225"/>
      <c r="Q934" s="225"/>
    </row>
    <row r="935" spans="16:17" ht="14.25" customHeight="1" x14ac:dyDescent="0.3">
      <c r="P935" s="225"/>
      <c r="Q935" s="225"/>
    </row>
    <row r="936" spans="16:17" ht="14.25" customHeight="1" x14ac:dyDescent="0.3">
      <c r="P936" s="225"/>
      <c r="Q936" s="225"/>
    </row>
    <row r="937" spans="16:17" ht="14.25" customHeight="1" x14ac:dyDescent="0.3">
      <c r="P937" s="225"/>
      <c r="Q937" s="225"/>
    </row>
    <row r="938" spans="16:17" ht="14.25" customHeight="1" x14ac:dyDescent="0.3">
      <c r="P938" s="225"/>
      <c r="Q938" s="225"/>
    </row>
    <row r="939" spans="16:17" ht="14.25" customHeight="1" x14ac:dyDescent="0.3">
      <c r="P939" s="225"/>
      <c r="Q939" s="225"/>
    </row>
    <row r="940" spans="16:17" ht="14.25" customHeight="1" x14ac:dyDescent="0.3">
      <c r="P940" s="225"/>
      <c r="Q940" s="225"/>
    </row>
    <row r="941" spans="16:17" ht="14.25" customHeight="1" x14ac:dyDescent="0.3">
      <c r="P941" s="225"/>
      <c r="Q941" s="225"/>
    </row>
    <row r="942" spans="16:17" ht="14.25" customHeight="1" x14ac:dyDescent="0.3">
      <c r="P942" s="225"/>
      <c r="Q942" s="225"/>
    </row>
    <row r="943" spans="16:17" ht="14.25" customHeight="1" x14ac:dyDescent="0.3">
      <c r="P943" s="225"/>
      <c r="Q943" s="225"/>
    </row>
    <row r="944" spans="16:17" ht="14.25" customHeight="1" x14ac:dyDescent="0.3">
      <c r="P944" s="225"/>
      <c r="Q944" s="225"/>
    </row>
    <row r="945" spans="16:17" ht="14.25" customHeight="1" x14ac:dyDescent="0.3">
      <c r="P945" s="225"/>
      <c r="Q945" s="225"/>
    </row>
    <row r="946" spans="16:17" ht="14.25" customHeight="1" x14ac:dyDescent="0.3">
      <c r="P946" s="225"/>
      <c r="Q946" s="225"/>
    </row>
    <row r="947" spans="16:17" ht="14.25" customHeight="1" x14ac:dyDescent="0.3">
      <c r="P947" s="225"/>
      <c r="Q947" s="225"/>
    </row>
    <row r="948" spans="16:17" ht="14.25" customHeight="1" x14ac:dyDescent="0.3">
      <c r="P948" s="225"/>
      <c r="Q948" s="225"/>
    </row>
    <row r="949" spans="16:17" ht="14.25" customHeight="1" x14ac:dyDescent="0.3">
      <c r="P949" s="225"/>
      <c r="Q949" s="225"/>
    </row>
    <row r="950" spans="16:17" ht="14.25" customHeight="1" x14ac:dyDescent="0.3">
      <c r="P950" s="225"/>
      <c r="Q950" s="225"/>
    </row>
    <row r="951" spans="16:17" ht="14.25" customHeight="1" x14ac:dyDescent="0.3">
      <c r="P951" s="225"/>
      <c r="Q951" s="225"/>
    </row>
    <row r="952" spans="16:17" ht="14.25" customHeight="1" x14ac:dyDescent="0.3">
      <c r="P952" s="225"/>
      <c r="Q952" s="225"/>
    </row>
    <row r="953" spans="16:17" ht="14.25" customHeight="1" x14ac:dyDescent="0.3">
      <c r="P953" s="225"/>
      <c r="Q953" s="225"/>
    </row>
    <row r="954" spans="16:17" ht="14.25" customHeight="1" x14ac:dyDescent="0.3">
      <c r="P954" s="225"/>
      <c r="Q954" s="225"/>
    </row>
    <row r="955" spans="16:17" ht="14.25" customHeight="1" x14ac:dyDescent="0.3">
      <c r="P955" s="225"/>
      <c r="Q955" s="225"/>
    </row>
    <row r="956" spans="16:17" ht="14.25" customHeight="1" x14ac:dyDescent="0.3">
      <c r="P956" s="225"/>
      <c r="Q956" s="225"/>
    </row>
    <row r="957" spans="16:17" ht="14.25" customHeight="1" x14ac:dyDescent="0.3">
      <c r="P957" s="225"/>
      <c r="Q957" s="225"/>
    </row>
    <row r="958" spans="16:17" ht="14.25" customHeight="1" x14ac:dyDescent="0.3">
      <c r="P958" s="225"/>
      <c r="Q958" s="225"/>
    </row>
    <row r="959" spans="16:17" ht="14.25" customHeight="1" x14ac:dyDescent="0.3">
      <c r="P959" s="225"/>
      <c r="Q959" s="225"/>
    </row>
    <row r="960" spans="16:17" ht="14.25" customHeight="1" x14ac:dyDescent="0.3">
      <c r="P960" s="225"/>
      <c r="Q960" s="225"/>
    </row>
    <row r="961" spans="16:17" ht="14.25" customHeight="1" x14ac:dyDescent="0.3">
      <c r="P961" s="225"/>
      <c r="Q961" s="225"/>
    </row>
    <row r="962" spans="16:17" ht="14.25" customHeight="1" x14ac:dyDescent="0.3">
      <c r="P962" s="225"/>
      <c r="Q962" s="225"/>
    </row>
    <row r="963" spans="16:17" ht="14.25" customHeight="1" x14ac:dyDescent="0.3">
      <c r="P963" s="225"/>
      <c r="Q963" s="225"/>
    </row>
    <row r="964" spans="16:17" ht="14.25" customHeight="1" x14ac:dyDescent="0.3">
      <c r="P964" s="225"/>
      <c r="Q964" s="225"/>
    </row>
    <row r="965" spans="16:17" ht="14.25" customHeight="1" x14ac:dyDescent="0.3">
      <c r="P965" s="225"/>
      <c r="Q965" s="225"/>
    </row>
    <row r="966" spans="16:17" ht="14.25" customHeight="1" x14ac:dyDescent="0.3">
      <c r="P966" s="225"/>
      <c r="Q966" s="225"/>
    </row>
    <row r="967" spans="16:17" ht="14.25" customHeight="1" x14ac:dyDescent="0.3">
      <c r="P967" s="225"/>
      <c r="Q967" s="225"/>
    </row>
    <row r="968" spans="16:17" ht="14.25" customHeight="1" x14ac:dyDescent="0.3">
      <c r="P968" s="225"/>
      <c r="Q968" s="225"/>
    </row>
    <row r="969" spans="16:17" ht="14.25" customHeight="1" x14ac:dyDescent="0.3">
      <c r="P969" s="225"/>
      <c r="Q969" s="225"/>
    </row>
    <row r="970" spans="16:17" ht="14.25" customHeight="1" x14ac:dyDescent="0.3">
      <c r="P970" s="225"/>
      <c r="Q970" s="225"/>
    </row>
    <row r="971" spans="16:17" ht="14.25" customHeight="1" x14ac:dyDescent="0.3">
      <c r="P971" s="225"/>
      <c r="Q971" s="225"/>
    </row>
    <row r="972" spans="16:17" ht="14.25" customHeight="1" x14ac:dyDescent="0.3">
      <c r="P972" s="225"/>
      <c r="Q972" s="225"/>
    </row>
    <row r="973" spans="16:17" ht="14.25" customHeight="1" x14ac:dyDescent="0.3">
      <c r="P973" s="225"/>
      <c r="Q973" s="225"/>
    </row>
    <row r="974" spans="16:17" ht="14.25" customHeight="1" x14ac:dyDescent="0.3">
      <c r="P974" s="225"/>
      <c r="Q974" s="225"/>
    </row>
    <row r="975" spans="16:17" ht="14.25" customHeight="1" x14ac:dyDescent="0.3">
      <c r="P975" s="225"/>
      <c r="Q975" s="225"/>
    </row>
    <row r="976" spans="16:17" ht="14.25" customHeight="1" x14ac:dyDescent="0.3">
      <c r="P976" s="225"/>
      <c r="Q976" s="225"/>
    </row>
    <row r="977" spans="16:17" ht="14.25" customHeight="1" x14ac:dyDescent="0.3">
      <c r="P977" s="225"/>
      <c r="Q977" s="225"/>
    </row>
    <row r="978" spans="16:17" ht="14.25" customHeight="1" x14ac:dyDescent="0.3">
      <c r="P978" s="225"/>
      <c r="Q978" s="225"/>
    </row>
    <row r="979" spans="16:17" ht="14.25" customHeight="1" x14ac:dyDescent="0.3">
      <c r="P979" s="225"/>
      <c r="Q979" s="225"/>
    </row>
    <row r="980" spans="16:17" ht="14.25" customHeight="1" x14ac:dyDescent="0.3">
      <c r="P980" s="225"/>
      <c r="Q980" s="225"/>
    </row>
    <row r="981" spans="16:17" ht="14.25" customHeight="1" x14ac:dyDescent="0.3">
      <c r="P981" s="225"/>
      <c r="Q981" s="225"/>
    </row>
    <row r="982" spans="16:17" ht="14.25" customHeight="1" x14ac:dyDescent="0.3">
      <c r="P982" s="225"/>
      <c r="Q982" s="225"/>
    </row>
    <row r="983" spans="16:17" ht="14.25" customHeight="1" x14ac:dyDescent="0.3">
      <c r="P983" s="225"/>
      <c r="Q983" s="225"/>
    </row>
    <row r="984" spans="16:17" ht="14.25" customHeight="1" x14ac:dyDescent="0.3">
      <c r="P984" s="225"/>
      <c r="Q984" s="225"/>
    </row>
    <row r="985" spans="16:17" ht="14.25" customHeight="1" x14ac:dyDescent="0.3">
      <c r="P985" s="225"/>
      <c r="Q985" s="225"/>
    </row>
    <row r="986" spans="16:17" ht="14.25" customHeight="1" x14ac:dyDescent="0.3">
      <c r="P986" s="225"/>
      <c r="Q986" s="225"/>
    </row>
    <row r="987" spans="16:17" ht="14.25" customHeight="1" x14ac:dyDescent="0.3">
      <c r="P987" s="225"/>
      <c r="Q987" s="225"/>
    </row>
    <row r="988" spans="16:17" ht="14.25" customHeight="1" x14ac:dyDescent="0.3">
      <c r="P988" s="225"/>
      <c r="Q988" s="225"/>
    </row>
    <row r="989" spans="16:17" ht="14.25" customHeight="1" x14ac:dyDescent="0.3">
      <c r="P989" s="225"/>
      <c r="Q989" s="225"/>
    </row>
    <row r="990" spans="16:17" ht="14.25" customHeight="1" x14ac:dyDescent="0.3">
      <c r="P990" s="225"/>
      <c r="Q990" s="225"/>
    </row>
    <row r="991" spans="16:17" ht="14.25" customHeight="1" x14ac:dyDescent="0.3">
      <c r="P991" s="225"/>
      <c r="Q991" s="225"/>
    </row>
    <row r="992" spans="16:17" ht="14.25" customHeight="1" x14ac:dyDescent="0.3">
      <c r="P992" s="225"/>
      <c r="Q992" s="225"/>
    </row>
    <row r="993" spans="16:17" ht="14.25" customHeight="1" x14ac:dyDescent="0.3">
      <c r="P993" s="225"/>
      <c r="Q993" s="225"/>
    </row>
    <row r="994" spans="16:17" ht="14.25" customHeight="1" x14ac:dyDescent="0.3">
      <c r="P994" s="225"/>
      <c r="Q994" s="225"/>
    </row>
    <row r="995" spans="16:17" ht="14.25" customHeight="1" x14ac:dyDescent="0.3">
      <c r="P995" s="225"/>
      <c r="Q995" s="225"/>
    </row>
    <row r="996" spans="16:17" ht="14.25" customHeight="1" x14ac:dyDescent="0.3">
      <c r="P996" s="225"/>
      <c r="Q996" s="225"/>
    </row>
    <row r="997" spans="16:17" ht="14.25" customHeight="1" x14ac:dyDescent="0.3">
      <c r="P997" s="225"/>
      <c r="Q997" s="225"/>
    </row>
    <row r="998" spans="16:17" ht="14.25" customHeight="1" x14ac:dyDescent="0.3">
      <c r="P998" s="225"/>
      <c r="Q998" s="225"/>
    </row>
    <row r="999" spans="16:17" ht="14.25" customHeight="1" x14ac:dyDescent="0.3">
      <c r="P999" s="225"/>
      <c r="Q999" s="225"/>
    </row>
    <row r="1000" spans="16:17" ht="14.25" customHeight="1" x14ac:dyDescent="0.3">
      <c r="P1000" s="225"/>
      <c r="Q1000" s="225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2.59765625" defaultRowHeight="15" customHeight="1" x14ac:dyDescent="0.25"/>
  <cols>
    <col min="1" max="1" width="11.59765625" customWidth="1"/>
    <col min="2" max="2" width="9.8984375" customWidth="1"/>
    <col min="3" max="3" width="18.5" customWidth="1"/>
    <col min="4" max="4" width="17.19921875" customWidth="1"/>
    <col min="5" max="5" width="7.5" customWidth="1"/>
    <col min="6" max="6" width="15.5" customWidth="1"/>
    <col min="7" max="7" width="31.3984375" customWidth="1"/>
    <col min="8" max="8" width="34.09765625" customWidth="1"/>
    <col min="9" max="9" width="18.8984375" customWidth="1"/>
    <col min="10" max="10" width="17.69921875" customWidth="1"/>
    <col min="11" max="11" width="9.59765625" customWidth="1"/>
    <col min="12" max="12" width="5" customWidth="1"/>
    <col min="13" max="13" width="21.69921875" customWidth="1"/>
    <col min="14" max="14" width="23.3984375" customWidth="1"/>
    <col min="15" max="15" width="19.5" customWidth="1"/>
    <col min="16" max="16" width="13.59765625" customWidth="1"/>
    <col min="17" max="17" width="29.5" customWidth="1"/>
    <col min="18" max="20" width="7.59765625" customWidth="1"/>
    <col min="21" max="21" width="17.5" customWidth="1"/>
    <col min="22" max="24" width="7.59765625" customWidth="1"/>
    <col min="25" max="25" width="17.59765625" customWidth="1"/>
    <col min="26" max="26" width="7.59765625" customWidth="1"/>
  </cols>
  <sheetData>
    <row r="1" spans="1:25" ht="14.25" customHeight="1" x14ac:dyDescent="0.3">
      <c r="A1" s="197" t="s">
        <v>0</v>
      </c>
      <c r="B1" s="198" t="s">
        <v>1</v>
      </c>
      <c r="C1" s="198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8" t="s">
        <v>8</v>
      </c>
      <c r="J1" s="198" t="s">
        <v>9</v>
      </c>
      <c r="K1" s="198" t="s">
        <v>10</v>
      </c>
      <c r="L1" s="198" t="s">
        <v>11</v>
      </c>
      <c r="M1" s="198" t="s">
        <v>12</v>
      </c>
      <c r="N1" s="198" t="s">
        <v>13</v>
      </c>
      <c r="O1" s="198" t="s">
        <v>14</v>
      </c>
      <c r="P1" s="199" t="s">
        <v>910</v>
      </c>
      <c r="Q1" s="199" t="s">
        <v>911</v>
      </c>
      <c r="R1" s="198" t="s">
        <v>17</v>
      </c>
      <c r="S1" s="198" t="s">
        <v>18</v>
      </c>
      <c r="T1" s="198" t="s">
        <v>19</v>
      </c>
      <c r="U1" s="198" t="s">
        <v>20</v>
      </c>
      <c r="V1" s="198" t="s">
        <v>21</v>
      </c>
      <c r="W1" s="198" t="s">
        <v>22</v>
      </c>
      <c r="X1" s="198" t="s">
        <v>912</v>
      </c>
      <c r="Y1" s="200" t="s">
        <v>913</v>
      </c>
    </row>
    <row r="2" spans="1:25" ht="14.25" customHeight="1" x14ac:dyDescent="0.3">
      <c r="A2" s="201">
        <v>45865</v>
      </c>
      <c r="B2" s="202">
        <v>45865</v>
      </c>
      <c r="C2" s="203" t="s">
        <v>27</v>
      </c>
      <c r="D2" s="203" t="s">
        <v>28</v>
      </c>
      <c r="E2" s="203" t="s">
        <v>29</v>
      </c>
      <c r="F2" s="203" t="s">
        <v>30</v>
      </c>
      <c r="G2" s="203" t="s">
        <v>31</v>
      </c>
      <c r="H2" s="203" t="s">
        <v>644</v>
      </c>
      <c r="I2" s="203" t="s">
        <v>32</v>
      </c>
      <c r="J2" s="203" t="s">
        <v>644</v>
      </c>
      <c r="K2" s="204">
        <v>6</v>
      </c>
      <c r="L2" s="204">
        <v>2</v>
      </c>
      <c r="M2" s="205">
        <v>0.33333333333333331</v>
      </c>
      <c r="N2" s="206">
        <v>3.54</v>
      </c>
      <c r="O2" s="208">
        <v>7.08</v>
      </c>
      <c r="P2" s="208">
        <v>49.88</v>
      </c>
      <c r="Q2" s="208">
        <v>14.1940657578188</v>
      </c>
      <c r="R2" s="221">
        <v>7.0451977401129948</v>
      </c>
      <c r="S2" s="204">
        <v>2</v>
      </c>
      <c r="T2" s="204">
        <v>2</v>
      </c>
      <c r="U2" s="205">
        <v>1</v>
      </c>
      <c r="V2" s="204">
        <v>2</v>
      </c>
      <c r="W2" s="204">
        <v>0</v>
      </c>
      <c r="X2" s="206">
        <v>49.88</v>
      </c>
      <c r="Y2" s="222">
        <v>0</v>
      </c>
    </row>
    <row r="3" spans="1:25" ht="14.25" customHeight="1" x14ac:dyDescent="0.3">
      <c r="A3" s="201">
        <v>45865</v>
      </c>
      <c r="B3" s="202">
        <v>45871</v>
      </c>
      <c r="C3" s="203" t="s">
        <v>27</v>
      </c>
      <c r="D3" s="203" t="s">
        <v>28</v>
      </c>
      <c r="E3" s="203" t="s">
        <v>29</v>
      </c>
      <c r="F3" s="203" t="s">
        <v>30</v>
      </c>
      <c r="G3" s="203" t="s">
        <v>31</v>
      </c>
      <c r="H3" s="203" t="s">
        <v>30</v>
      </c>
      <c r="I3" s="203" t="s">
        <v>32</v>
      </c>
      <c r="J3" s="203" t="s">
        <v>30</v>
      </c>
      <c r="K3" s="204">
        <v>866</v>
      </c>
      <c r="L3" s="204">
        <v>14</v>
      </c>
      <c r="M3" s="205">
        <v>1.6166281755196306E-2</v>
      </c>
      <c r="N3" s="206">
        <v>3.4642857142857144</v>
      </c>
      <c r="O3" s="208">
        <v>48.5</v>
      </c>
      <c r="P3" s="208">
        <v>124.7</v>
      </c>
      <c r="Q3" s="208">
        <v>38.893344025661584</v>
      </c>
      <c r="R3" s="221">
        <v>2.5711340206185569</v>
      </c>
      <c r="S3" s="204">
        <v>5</v>
      </c>
      <c r="T3" s="204">
        <v>5</v>
      </c>
      <c r="U3" s="205">
        <v>0.35714285714285715</v>
      </c>
      <c r="V3" s="204">
        <v>5</v>
      </c>
      <c r="W3" s="204">
        <v>0</v>
      </c>
      <c r="X3" s="206">
        <v>124.7</v>
      </c>
      <c r="Y3" s="222">
        <v>0</v>
      </c>
    </row>
    <row r="4" spans="1:25" ht="14.25" customHeight="1" x14ac:dyDescent="0.3">
      <c r="A4" s="201">
        <v>45865</v>
      </c>
      <c r="B4" s="202">
        <v>45871</v>
      </c>
      <c r="C4" s="203" t="s">
        <v>105</v>
      </c>
      <c r="D4" s="203" t="s">
        <v>28</v>
      </c>
      <c r="E4" s="203" t="s">
        <v>669</v>
      </c>
      <c r="F4" s="203" t="s">
        <v>30</v>
      </c>
      <c r="G4" s="203" t="s">
        <v>31</v>
      </c>
      <c r="H4" s="203" t="s">
        <v>30</v>
      </c>
      <c r="I4" s="203" t="s">
        <v>65</v>
      </c>
      <c r="J4" s="203" t="s">
        <v>30</v>
      </c>
      <c r="K4" s="204">
        <v>261</v>
      </c>
      <c r="L4" s="204">
        <v>11</v>
      </c>
      <c r="M4" s="205">
        <v>4.2145593869731802E-2</v>
      </c>
      <c r="N4" s="206">
        <v>2.87</v>
      </c>
      <c r="O4" s="208">
        <v>31.57</v>
      </c>
      <c r="P4" s="208">
        <v>74.819999999999993</v>
      </c>
      <c r="Q4" s="208">
        <v>42.194600374231484</v>
      </c>
      <c r="R4" s="221">
        <v>2.3699714919227115</v>
      </c>
      <c r="S4" s="204">
        <v>3</v>
      </c>
      <c r="T4" s="204">
        <v>3</v>
      </c>
      <c r="U4" s="205">
        <v>0.27272727272727271</v>
      </c>
      <c r="V4" s="204">
        <v>3</v>
      </c>
      <c r="W4" s="204">
        <v>0</v>
      </c>
      <c r="X4" s="206">
        <v>74.820000000000007</v>
      </c>
      <c r="Y4" s="222">
        <v>0</v>
      </c>
    </row>
    <row r="5" spans="1:25" ht="14.25" customHeight="1" x14ac:dyDescent="0.3">
      <c r="A5" s="201">
        <v>45865</v>
      </c>
      <c r="B5" s="202">
        <v>45868</v>
      </c>
      <c r="C5" s="203" t="s">
        <v>27</v>
      </c>
      <c r="D5" s="203" t="s">
        <v>28</v>
      </c>
      <c r="E5" s="203" t="s">
        <v>71</v>
      </c>
      <c r="F5" s="203" t="s">
        <v>72</v>
      </c>
      <c r="G5" s="203" t="s">
        <v>31</v>
      </c>
      <c r="H5" s="203" t="s">
        <v>73</v>
      </c>
      <c r="I5" s="203" t="s">
        <v>52</v>
      </c>
      <c r="J5" s="203" t="s">
        <v>159</v>
      </c>
      <c r="K5" s="204">
        <v>68</v>
      </c>
      <c r="L5" s="204">
        <v>8</v>
      </c>
      <c r="M5" s="205">
        <v>0.1176470588235294</v>
      </c>
      <c r="N5" s="206">
        <v>3.05</v>
      </c>
      <c r="O5" s="208">
        <v>24.4</v>
      </c>
      <c r="P5" s="208">
        <v>49.88</v>
      </c>
      <c r="Q5" s="208">
        <v>48.917401764234157</v>
      </c>
      <c r="R5" s="221">
        <v>2.0442622950819676</v>
      </c>
      <c r="S5" s="204">
        <v>2</v>
      </c>
      <c r="T5" s="204">
        <v>2</v>
      </c>
      <c r="U5" s="205">
        <v>0.25</v>
      </c>
      <c r="V5" s="204">
        <v>2</v>
      </c>
      <c r="W5" s="204">
        <v>0</v>
      </c>
      <c r="X5" s="206">
        <v>49.88</v>
      </c>
      <c r="Y5" s="222">
        <v>0</v>
      </c>
    </row>
    <row r="6" spans="1:25" ht="14.25" customHeight="1" x14ac:dyDescent="0.3">
      <c r="A6" s="201">
        <v>45865</v>
      </c>
      <c r="B6" s="202">
        <v>45871</v>
      </c>
      <c r="C6" s="203" t="s">
        <v>48</v>
      </c>
      <c r="D6" s="203" t="s">
        <v>28</v>
      </c>
      <c r="E6" s="203" t="s">
        <v>62</v>
      </c>
      <c r="F6" s="203" t="s">
        <v>63</v>
      </c>
      <c r="G6" s="203" t="s">
        <v>31</v>
      </c>
      <c r="H6" s="203" t="s">
        <v>68</v>
      </c>
      <c r="I6" s="203" t="s">
        <v>65</v>
      </c>
      <c r="J6" s="203" t="s">
        <v>68</v>
      </c>
      <c r="K6" s="204">
        <v>97</v>
      </c>
      <c r="L6" s="204">
        <v>4</v>
      </c>
      <c r="M6" s="205">
        <v>4.1237113402061848E-2</v>
      </c>
      <c r="N6" s="206">
        <v>3.7774999999999999</v>
      </c>
      <c r="O6" s="208">
        <v>15.11</v>
      </c>
      <c r="P6" s="208">
        <v>49.9</v>
      </c>
      <c r="Q6" s="208">
        <v>30.280561122244485</v>
      </c>
      <c r="R6" s="221">
        <v>3.3024487094639312</v>
      </c>
      <c r="S6" s="204">
        <v>2</v>
      </c>
      <c r="T6" s="204">
        <v>2</v>
      </c>
      <c r="U6" s="205">
        <v>0.5</v>
      </c>
      <c r="V6" s="204">
        <v>2</v>
      </c>
      <c r="W6" s="204">
        <v>0</v>
      </c>
      <c r="X6" s="206">
        <v>49.9</v>
      </c>
      <c r="Y6" s="222">
        <v>0</v>
      </c>
    </row>
    <row r="7" spans="1:25" ht="14.25" customHeight="1" x14ac:dyDescent="0.3">
      <c r="A7" s="201">
        <v>45865</v>
      </c>
      <c r="B7" s="202">
        <v>45865</v>
      </c>
      <c r="C7" s="203" t="s">
        <v>40</v>
      </c>
      <c r="D7" s="203" t="s">
        <v>28</v>
      </c>
      <c r="E7" s="203" t="s">
        <v>41</v>
      </c>
      <c r="F7" s="203" t="s">
        <v>42</v>
      </c>
      <c r="G7" s="203" t="s">
        <v>31</v>
      </c>
      <c r="H7" s="203" t="s">
        <v>43</v>
      </c>
      <c r="I7" s="203" t="s">
        <v>44</v>
      </c>
      <c r="J7" s="203" t="s">
        <v>867</v>
      </c>
      <c r="K7" s="204">
        <v>8</v>
      </c>
      <c r="L7" s="204">
        <v>1</v>
      </c>
      <c r="M7" s="205">
        <v>0.125</v>
      </c>
      <c r="N7" s="206">
        <v>3.27</v>
      </c>
      <c r="O7" s="208">
        <v>3.27</v>
      </c>
      <c r="P7" s="208">
        <v>24.94</v>
      </c>
      <c r="Q7" s="208">
        <v>13.111467522052928</v>
      </c>
      <c r="R7" s="221">
        <v>7.6269113149847101</v>
      </c>
      <c r="S7" s="204">
        <v>1</v>
      </c>
      <c r="T7" s="204">
        <v>1</v>
      </c>
      <c r="U7" s="205">
        <v>1</v>
      </c>
      <c r="V7" s="204">
        <v>1</v>
      </c>
      <c r="W7" s="204">
        <v>0</v>
      </c>
      <c r="X7" s="206">
        <v>24.94</v>
      </c>
      <c r="Y7" s="222">
        <v>0</v>
      </c>
    </row>
    <row r="8" spans="1:25" ht="14.25" customHeight="1" x14ac:dyDescent="0.3">
      <c r="A8" s="201">
        <v>45865</v>
      </c>
      <c r="B8" s="202">
        <v>45869</v>
      </c>
      <c r="C8" s="203" t="s">
        <v>40</v>
      </c>
      <c r="D8" s="203" t="s">
        <v>28</v>
      </c>
      <c r="E8" s="203" t="s">
        <v>41</v>
      </c>
      <c r="F8" s="203" t="s">
        <v>42</v>
      </c>
      <c r="G8" s="203" t="s">
        <v>31</v>
      </c>
      <c r="H8" s="203" t="s">
        <v>404</v>
      </c>
      <c r="I8" s="203" t="s">
        <v>44</v>
      </c>
      <c r="J8" s="203" t="s">
        <v>183</v>
      </c>
      <c r="K8" s="204">
        <v>140</v>
      </c>
      <c r="L8" s="204">
        <v>12</v>
      </c>
      <c r="M8" s="205">
        <v>8.5714285714285715E-2</v>
      </c>
      <c r="N8" s="206">
        <v>3.41</v>
      </c>
      <c r="O8" s="208">
        <v>40.92</v>
      </c>
      <c r="P8" s="208">
        <v>49.88</v>
      </c>
      <c r="Q8" s="208">
        <v>82.036888532477946</v>
      </c>
      <c r="R8" s="221">
        <v>1.2189638318670577</v>
      </c>
      <c r="S8" s="204">
        <v>2</v>
      </c>
      <c r="T8" s="204">
        <v>2</v>
      </c>
      <c r="U8" s="205">
        <v>0.16666666666666663</v>
      </c>
      <c r="V8" s="204">
        <v>2</v>
      </c>
      <c r="W8" s="204">
        <v>0</v>
      </c>
      <c r="X8" s="206">
        <v>49.88</v>
      </c>
      <c r="Y8" s="222">
        <v>0</v>
      </c>
    </row>
    <row r="9" spans="1:25" ht="14.25" customHeight="1" x14ac:dyDescent="0.3">
      <c r="A9" s="201">
        <v>45865</v>
      </c>
      <c r="B9" s="202">
        <v>45871</v>
      </c>
      <c r="C9" s="203" t="s">
        <v>105</v>
      </c>
      <c r="D9" s="203" t="s">
        <v>28</v>
      </c>
      <c r="E9" s="203" t="s">
        <v>117</v>
      </c>
      <c r="F9" s="203" t="s">
        <v>915</v>
      </c>
      <c r="G9" s="203" t="s">
        <v>31</v>
      </c>
      <c r="H9" s="203" t="s">
        <v>119</v>
      </c>
      <c r="I9" s="203" t="s">
        <v>65</v>
      </c>
      <c r="J9" s="203" t="s">
        <v>119</v>
      </c>
      <c r="K9" s="204">
        <v>405</v>
      </c>
      <c r="L9" s="204">
        <v>8</v>
      </c>
      <c r="M9" s="205">
        <v>1.9753086419753086E-2</v>
      </c>
      <c r="N9" s="206">
        <v>2.5275000000000003</v>
      </c>
      <c r="O9" s="208">
        <v>20.22</v>
      </c>
      <c r="P9" s="208">
        <v>49.88</v>
      </c>
      <c r="Q9" s="208">
        <v>40.537289494787494</v>
      </c>
      <c r="R9" s="221">
        <v>2.466864490603363</v>
      </c>
      <c r="S9" s="204">
        <v>2</v>
      </c>
      <c r="T9" s="204">
        <v>2</v>
      </c>
      <c r="U9" s="205">
        <v>0.25</v>
      </c>
      <c r="V9" s="204">
        <v>2</v>
      </c>
      <c r="W9" s="204">
        <v>0</v>
      </c>
      <c r="X9" s="206">
        <v>49.88</v>
      </c>
      <c r="Y9" s="222">
        <v>0</v>
      </c>
    </row>
    <row r="10" spans="1:25" ht="14.25" customHeight="1" x14ac:dyDescent="0.3">
      <c r="A10" s="201">
        <v>45865</v>
      </c>
      <c r="B10" s="202">
        <v>45871</v>
      </c>
      <c r="C10" s="203" t="s">
        <v>27</v>
      </c>
      <c r="D10" s="203" t="s">
        <v>28</v>
      </c>
      <c r="E10" s="203" t="s">
        <v>56</v>
      </c>
      <c r="F10" s="203" t="s">
        <v>57</v>
      </c>
      <c r="G10" s="203" t="s">
        <v>31</v>
      </c>
      <c r="H10" s="203" t="s">
        <v>914</v>
      </c>
      <c r="I10" s="203" t="s">
        <v>32</v>
      </c>
      <c r="J10" s="203" t="s">
        <v>119</v>
      </c>
      <c r="K10" s="204">
        <v>4212</v>
      </c>
      <c r="L10" s="204">
        <v>64</v>
      </c>
      <c r="M10" s="205">
        <v>1.5194681861348531E-2</v>
      </c>
      <c r="N10" s="206">
        <v>2.4309374999999998</v>
      </c>
      <c r="O10" s="208">
        <v>155.58000000000001</v>
      </c>
      <c r="P10" s="208">
        <v>246.96</v>
      </c>
      <c r="Q10" s="208">
        <v>62.998056365403301</v>
      </c>
      <c r="R10" s="221">
        <v>1.5873505591978403</v>
      </c>
      <c r="S10" s="204">
        <v>10</v>
      </c>
      <c r="T10" s="204">
        <v>10</v>
      </c>
      <c r="U10" s="205">
        <v>0.15625</v>
      </c>
      <c r="V10" s="204">
        <v>10</v>
      </c>
      <c r="W10" s="204">
        <v>0</v>
      </c>
      <c r="X10" s="206">
        <v>246.95999999999998</v>
      </c>
      <c r="Y10" s="222">
        <v>0</v>
      </c>
    </row>
    <row r="11" spans="1:25" ht="14.25" customHeight="1" x14ac:dyDescent="0.3">
      <c r="A11" s="201">
        <v>45865</v>
      </c>
      <c r="B11" s="202">
        <v>45867</v>
      </c>
      <c r="C11" s="203" t="s">
        <v>27</v>
      </c>
      <c r="D11" s="203" t="s">
        <v>28</v>
      </c>
      <c r="E11" s="203" t="s">
        <v>71</v>
      </c>
      <c r="F11" s="203" t="s">
        <v>72</v>
      </c>
      <c r="G11" s="203" t="s">
        <v>31</v>
      </c>
      <c r="H11" s="203" t="s">
        <v>73</v>
      </c>
      <c r="I11" s="203" t="s">
        <v>52</v>
      </c>
      <c r="J11" s="203" t="s">
        <v>60</v>
      </c>
      <c r="K11" s="204">
        <v>14</v>
      </c>
      <c r="L11" s="204">
        <v>3</v>
      </c>
      <c r="M11" s="205">
        <v>0.21428571428571427</v>
      </c>
      <c r="N11" s="206">
        <v>3.57</v>
      </c>
      <c r="O11" s="208">
        <v>10.71</v>
      </c>
      <c r="P11" s="208">
        <v>49.88</v>
      </c>
      <c r="Q11" s="208">
        <v>21.471531676022451</v>
      </c>
      <c r="R11" s="221">
        <v>4.6573295985060694</v>
      </c>
      <c r="S11" s="204">
        <v>2</v>
      </c>
      <c r="T11" s="204">
        <v>2</v>
      </c>
      <c r="U11" s="205">
        <v>0.66666666666666663</v>
      </c>
      <c r="V11" s="204">
        <v>2</v>
      </c>
      <c r="W11" s="204">
        <v>0</v>
      </c>
      <c r="X11" s="206">
        <v>49.88</v>
      </c>
      <c r="Y11" s="222">
        <v>0</v>
      </c>
    </row>
    <row r="12" spans="1:25" ht="14.25" customHeight="1" x14ac:dyDescent="0.3">
      <c r="A12" s="201">
        <v>45865</v>
      </c>
      <c r="B12" s="202">
        <v>45871</v>
      </c>
      <c r="C12" s="203" t="s">
        <v>40</v>
      </c>
      <c r="D12" s="203" t="s">
        <v>28</v>
      </c>
      <c r="E12" s="203" t="s">
        <v>41</v>
      </c>
      <c r="F12" s="203" t="s">
        <v>42</v>
      </c>
      <c r="G12" s="203" t="s">
        <v>31</v>
      </c>
      <c r="H12" s="203" t="s">
        <v>43</v>
      </c>
      <c r="I12" s="203" t="s">
        <v>44</v>
      </c>
      <c r="J12" s="203" t="s">
        <v>43</v>
      </c>
      <c r="K12" s="204">
        <v>256</v>
      </c>
      <c r="L12" s="204">
        <v>9</v>
      </c>
      <c r="M12" s="205">
        <v>3.515625E-2</v>
      </c>
      <c r="N12" s="206">
        <v>3.0511111111111107</v>
      </c>
      <c r="O12" s="208">
        <v>27.46</v>
      </c>
      <c r="P12" s="208">
        <v>24.94</v>
      </c>
      <c r="Q12" s="208">
        <v>110.10425020048113</v>
      </c>
      <c r="R12" s="221">
        <v>0.90823015294974518</v>
      </c>
      <c r="S12" s="204">
        <v>1</v>
      </c>
      <c r="T12" s="204">
        <v>1</v>
      </c>
      <c r="U12" s="205">
        <v>0.1111111111111111</v>
      </c>
      <c r="V12" s="204">
        <v>1</v>
      </c>
      <c r="W12" s="204">
        <v>0</v>
      </c>
      <c r="X12" s="206">
        <v>24.94</v>
      </c>
      <c r="Y12" s="222">
        <v>0</v>
      </c>
    </row>
    <row r="13" spans="1:25" ht="14.25" customHeight="1" x14ac:dyDescent="0.3">
      <c r="A13" s="201">
        <v>45865</v>
      </c>
      <c r="B13" s="202">
        <v>45871</v>
      </c>
      <c r="C13" s="203" t="s">
        <v>27</v>
      </c>
      <c r="D13" s="203" t="s">
        <v>28</v>
      </c>
      <c r="E13" s="203" t="s">
        <v>71</v>
      </c>
      <c r="F13" s="203" t="s">
        <v>72</v>
      </c>
      <c r="G13" s="203" t="s">
        <v>31</v>
      </c>
      <c r="H13" s="203" t="s">
        <v>73</v>
      </c>
      <c r="I13" s="203" t="s">
        <v>52</v>
      </c>
      <c r="J13" s="203" t="s">
        <v>101</v>
      </c>
      <c r="K13" s="204">
        <v>1346</v>
      </c>
      <c r="L13" s="204">
        <v>15</v>
      </c>
      <c r="M13" s="205">
        <v>1.1144130757800892E-2</v>
      </c>
      <c r="N13" s="206">
        <v>3.1899999999999995</v>
      </c>
      <c r="O13" s="208">
        <v>47.85</v>
      </c>
      <c r="P13" s="208">
        <v>74.819999999999993</v>
      </c>
      <c r="Q13" s="208">
        <v>63.953488372093013</v>
      </c>
      <c r="R13" s="221">
        <v>1.5636363636363639</v>
      </c>
      <c r="S13" s="204">
        <v>3</v>
      </c>
      <c r="T13" s="204">
        <v>3</v>
      </c>
      <c r="U13" s="205">
        <v>0.2</v>
      </c>
      <c r="V13" s="204">
        <v>3</v>
      </c>
      <c r="W13" s="204">
        <v>0</v>
      </c>
      <c r="X13" s="206">
        <v>74.820000000000007</v>
      </c>
      <c r="Y13" s="222">
        <v>0</v>
      </c>
    </row>
    <row r="14" spans="1:25" ht="14.25" customHeight="1" x14ac:dyDescent="0.3">
      <c r="A14" s="201">
        <v>45865</v>
      </c>
      <c r="B14" s="202">
        <v>45870</v>
      </c>
      <c r="C14" s="203" t="s">
        <v>27</v>
      </c>
      <c r="D14" s="203" t="s">
        <v>28</v>
      </c>
      <c r="E14" s="203" t="s">
        <v>56</v>
      </c>
      <c r="F14" s="203" t="s">
        <v>57</v>
      </c>
      <c r="G14" s="203" t="s">
        <v>31</v>
      </c>
      <c r="H14" s="203" t="s">
        <v>914</v>
      </c>
      <c r="I14" s="203" t="s">
        <v>32</v>
      </c>
      <c r="J14" s="203" t="s">
        <v>351</v>
      </c>
      <c r="K14" s="204">
        <v>805</v>
      </c>
      <c r="L14" s="204">
        <v>7</v>
      </c>
      <c r="M14" s="205">
        <v>8.6956521739130436E-3</v>
      </c>
      <c r="N14" s="206">
        <v>2.37</v>
      </c>
      <c r="O14" s="208">
        <v>16.59</v>
      </c>
      <c r="P14" s="208">
        <v>24.94</v>
      </c>
      <c r="Q14" s="208">
        <v>66.519647153167611</v>
      </c>
      <c r="R14" s="221">
        <v>1.5033152501506932</v>
      </c>
      <c r="S14" s="204">
        <v>1</v>
      </c>
      <c r="T14" s="204">
        <v>1</v>
      </c>
      <c r="U14" s="205">
        <v>0.14285714285714285</v>
      </c>
      <c r="V14" s="204">
        <v>1</v>
      </c>
      <c r="W14" s="204">
        <v>0</v>
      </c>
      <c r="X14" s="206">
        <v>24.94</v>
      </c>
      <c r="Y14" s="222">
        <v>0</v>
      </c>
    </row>
    <row r="15" spans="1:25" ht="14.25" customHeight="1" x14ac:dyDescent="0.3">
      <c r="A15" s="201">
        <v>45865</v>
      </c>
      <c r="B15" s="202">
        <v>45865</v>
      </c>
      <c r="C15" s="203" t="s">
        <v>27</v>
      </c>
      <c r="D15" s="203" t="s">
        <v>28</v>
      </c>
      <c r="E15" s="203" t="s">
        <v>71</v>
      </c>
      <c r="F15" s="203" t="s">
        <v>72</v>
      </c>
      <c r="G15" s="203" t="s">
        <v>31</v>
      </c>
      <c r="H15" s="203" t="s">
        <v>51</v>
      </c>
      <c r="I15" s="203" t="s">
        <v>52</v>
      </c>
      <c r="J15" s="203" t="s">
        <v>876</v>
      </c>
      <c r="K15" s="204">
        <v>2</v>
      </c>
      <c r="L15" s="204">
        <v>2</v>
      </c>
      <c r="M15" s="205">
        <v>1</v>
      </c>
      <c r="N15" s="206">
        <v>2.375</v>
      </c>
      <c r="O15" s="208">
        <v>4.75</v>
      </c>
      <c r="P15" s="208">
        <v>22.5</v>
      </c>
      <c r="Q15" s="208">
        <v>21.111111111111111</v>
      </c>
      <c r="R15" s="221">
        <v>4.7368421052631575</v>
      </c>
      <c r="S15" s="204">
        <v>1</v>
      </c>
      <c r="T15" s="204">
        <v>1</v>
      </c>
      <c r="U15" s="205">
        <v>0.5</v>
      </c>
      <c r="V15" s="204">
        <v>1</v>
      </c>
      <c r="W15" s="204">
        <v>0</v>
      </c>
      <c r="X15" s="206">
        <v>22.5</v>
      </c>
      <c r="Y15" s="222">
        <v>0</v>
      </c>
    </row>
    <row r="16" spans="1:25" ht="14.25" customHeight="1" x14ac:dyDescent="0.3">
      <c r="A16" s="201">
        <v>45865</v>
      </c>
      <c r="B16" s="202">
        <v>45865</v>
      </c>
      <c r="C16" s="203" t="s">
        <v>27</v>
      </c>
      <c r="D16" s="203" t="s">
        <v>28</v>
      </c>
      <c r="E16" s="203" t="s">
        <v>71</v>
      </c>
      <c r="F16" s="203" t="s">
        <v>72</v>
      </c>
      <c r="G16" s="203" t="s">
        <v>31</v>
      </c>
      <c r="H16" s="203" t="s">
        <v>73</v>
      </c>
      <c r="I16" s="203" t="s">
        <v>52</v>
      </c>
      <c r="J16" s="203" t="s">
        <v>878</v>
      </c>
      <c r="K16" s="204">
        <v>3</v>
      </c>
      <c r="L16" s="204">
        <v>1</v>
      </c>
      <c r="M16" s="205">
        <v>0.33333333333333331</v>
      </c>
      <c r="N16" s="206">
        <v>2.5499999999999998</v>
      </c>
      <c r="O16" s="208">
        <v>2.5499999999999998</v>
      </c>
      <c r="P16" s="208">
        <v>24.94</v>
      </c>
      <c r="Q16" s="208">
        <v>10.224538893344025</v>
      </c>
      <c r="R16" s="221">
        <v>9.7803921568627459</v>
      </c>
      <c r="S16" s="204">
        <v>1</v>
      </c>
      <c r="T16" s="204">
        <v>1</v>
      </c>
      <c r="U16" s="205">
        <v>1</v>
      </c>
      <c r="V16" s="204">
        <v>1</v>
      </c>
      <c r="W16" s="204">
        <v>0</v>
      </c>
      <c r="X16" s="206">
        <v>24.94</v>
      </c>
      <c r="Y16" s="222">
        <v>0</v>
      </c>
    </row>
    <row r="17" spans="1:25" ht="14.25" customHeight="1" x14ac:dyDescent="0.3">
      <c r="A17" s="201">
        <v>45865</v>
      </c>
      <c r="B17" s="202">
        <v>45870</v>
      </c>
      <c r="C17" s="203" t="s">
        <v>27</v>
      </c>
      <c r="D17" s="203" t="s">
        <v>28</v>
      </c>
      <c r="E17" s="203" t="s">
        <v>71</v>
      </c>
      <c r="F17" s="203" t="s">
        <v>72</v>
      </c>
      <c r="G17" s="203" t="s">
        <v>31</v>
      </c>
      <c r="H17" s="203" t="s">
        <v>73</v>
      </c>
      <c r="I17" s="203" t="s">
        <v>52</v>
      </c>
      <c r="J17" s="203" t="s">
        <v>879</v>
      </c>
      <c r="K17" s="204">
        <v>198</v>
      </c>
      <c r="L17" s="204">
        <v>5</v>
      </c>
      <c r="M17" s="205">
        <v>2.5252525252525249E-2</v>
      </c>
      <c r="N17" s="206">
        <v>2.9119999999999999</v>
      </c>
      <c r="O17" s="208">
        <v>14.56</v>
      </c>
      <c r="P17" s="208">
        <v>24.94</v>
      </c>
      <c r="Q17" s="208">
        <v>58.38011226944667</v>
      </c>
      <c r="R17" s="221">
        <v>1.712912087912088</v>
      </c>
      <c r="S17" s="204">
        <v>1</v>
      </c>
      <c r="T17" s="204">
        <v>1</v>
      </c>
      <c r="U17" s="205">
        <v>0.2</v>
      </c>
      <c r="V17" s="204">
        <v>1</v>
      </c>
      <c r="W17" s="204">
        <v>0</v>
      </c>
      <c r="X17" s="206">
        <v>24.94</v>
      </c>
      <c r="Y17" s="222">
        <v>0</v>
      </c>
    </row>
    <row r="18" spans="1:25" ht="14.25" customHeight="1" x14ac:dyDescent="0.3">
      <c r="A18" s="201">
        <v>45865</v>
      </c>
      <c r="B18" s="202">
        <v>45871</v>
      </c>
      <c r="C18" s="203" t="s">
        <v>85</v>
      </c>
      <c r="D18" s="203" t="s">
        <v>28</v>
      </c>
      <c r="E18" s="203" t="s">
        <v>86</v>
      </c>
      <c r="F18" s="203" t="s">
        <v>87</v>
      </c>
      <c r="G18" s="203" t="s">
        <v>31</v>
      </c>
      <c r="H18" s="203" t="s">
        <v>88</v>
      </c>
      <c r="I18" s="203" t="s">
        <v>44</v>
      </c>
      <c r="J18" s="203" t="s">
        <v>89</v>
      </c>
      <c r="K18" s="204">
        <v>25</v>
      </c>
      <c r="L18" s="204">
        <v>8</v>
      </c>
      <c r="M18" s="205">
        <v>0.32</v>
      </c>
      <c r="N18" s="206">
        <v>3.0950000000000002</v>
      </c>
      <c r="O18" s="208">
        <v>24.76</v>
      </c>
      <c r="P18" s="208">
        <v>99.8</v>
      </c>
      <c r="Q18" s="208">
        <v>24.809619238476959</v>
      </c>
      <c r="R18" s="221">
        <v>4.0306946688206784</v>
      </c>
      <c r="S18" s="204">
        <v>3</v>
      </c>
      <c r="T18" s="204">
        <v>4</v>
      </c>
      <c r="U18" s="205">
        <v>0.375</v>
      </c>
      <c r="V18" s="204">
        <v>4</v>
      </c>
      <c r="W18" s="204">
        <v>0</v>
      </c>
      <c r="X18" s="206">
        <v>99.8</v>
      </c>
      <c r="Y18" s="222">
        <v>0</v>
      </c>
    </row>
    <row r="19" spans="1:25" ht="14.25" customHeight="1" x14ac:dyDescent="0.3">
      <c r="A19" s="201">
        <v>45865</v>
      </c>
      <c r="B19" s="202">
        <v>45869</v>
      </c>
      <c r="C19" s="203" t="s">
        <v>48</v>
      </c>
      <c r="D19" s="203" t="s">
        <v>28</v>
      </c>
      <c r="E19" s="203" t="s">
        <v>233</v>
      </c>
      <c r="F19" s="203" t="s">
        <v>234</v>
      </c>
      <c r="G19" s="203" t="s">
        <v>31</v>
      </c>
      <c r="H19" s="203" t="s">
        <v>223</v>
      </c>
      <c r="I19" s="203" t="s">
        <v>32</v>
      </c>
      <c r="J19" s="203" t="s">
        <v>883</v>
      </c>
      <c r="K19" s="204">
        <v>2</v>
      </c>
      <c r="L19" s="204">
        <v>2</v>
      </c>
      <c r="M19" s="205">
        <v>1</v>
      </c>
      <c r="N19" s="206">
        <v>3.2949999999999999</v>
      </c>
      <c r="O19" s="208">
        <v>6.59</v>
      </c>
      <c r="P19" s="208">
        <v>24.95</v>
      </c>
      <c r="Q19" s="208">
        <v>26.412825651302608</v>
      </c>
      <c r="R19" s="221">
        <v>3.7860394537177542</v>
      </c>
      <c r="S19" s="204">
        <v>1</v>
      </c>
      <c r="T19" s="204">
        <v>1</v>
      </c>
      <c r="U19" s="205">
        <v>0.5</v>
      </c>
      <c r="V19" s="204">
        <v>1</v>
      </c>
      <c r="W19" s="204">
        <v>0</v>
      </c>
      <c r="X19" s="206">
        <v>24.95</v>
      </c>
      <c r="Y19" s="222">
        <v>0</v>
      </c>
    </row>
    <row r="20" spans="1:25" ht="14.25" customHeight="1" x14ac:dyDescent="0.3">
      <c r="A20" s="201">
        <v>45865</v>
      </c>
      <c r="B20" s="202">
        <v>45865</v>
      </c>
      <c r="C20" s="203" t="s">
        <v>27</v>
      </c>
      <c r="D20" s="203" t="s">
        <v>28</v>
      </c>
      <c r="E20" s="203" t="s">
        <v>29</v>
      </c>
      <c r="F20" s="203" t="s">
        <v>30</v>
      </c>
      <c r="G20" s="203" t="s">
        <v>31</v>
      </c>
      <c r="H20" s="203" t="s">
        <v>30</v>
      </c>
      <c r="I20" s="203" t="s">
        <v>32</v>
      </c>
      <c r="J20" s="203" t="s">
        <v>885</v>
      </c>
      <c r="K20" s="204">
        <v>1</v>
      </c>
      <c r="L20" s="204">
        <v>1</v>
      </c>
      <c r="M20" s="205">
        <v>1</v>
      </c>
      <c r="N20" s="206">
        <v>4.13</v>
      </c>
      <c r="O20" s="208">
        <v>4.13</v>
      </c>
      <c r="P20" s="208">
        <v>24.94</v>
      </c>
      <c r="Q20" s="208">
        <v>16.559743384121887</v>
      </c>
      <c r="R20" s="221">
        <v>6.0387409200968527</v>
      </c>
      <c r="S20" s="204">
        <v>1</v>
      </c>
      <c r="T20" s="204">
        <v>1</v>
      </c>
      <c r="U20" s="205">
        <v>1</v>
      </c>
      <c r="V20" s="204">
        <v>1</v>
      </c>
      <c r="W20" s="204">
        <v>0</v>
      </c>
      <c r="X20" s="206">
        <v>24.94</v>
      </c>
      <c r="Y20" s="222">
        <v>0</v>
      </c>
    </row>
    <row r="21" spans="1:25" ht="14.25" customHeight="1" x14ac:dyDescent="0.3">
      <c r="A21" s="201">
        <v>45866</v>
      </c>
      <c r="B21" s="202">
        <v>45866</v>
      </c>
      <c r="C21" s="203" t="s">
        <v>48</v>
      </c>
      <c r="D21" s="203" t="s">
        <v>28</v>
      </c>
      <c r="E21" s="203" t="s">
        <v>233</v>
      </c>
      <c r="F21" s="203" t="s">
        <v>234</v>
      </c>
      <c r="G21" s="203" t="s">
        <v>31</v>
      </c>
      <c r="H21" s="203" t="s">
        <v>357</v>
      </c>
      <c r="I21" s="203" t="s">
        <v>32</v>
      </c>
      <c r="J21" s="203" t="s">
        <v>853</v>
      </c>
      <c r="K21" s="204">
        <v>14</v>
      </c>
      <c r="L21" s="204">
        <v>1</v>
      </c>
      <c r="M21" s="205">
        <v>7.1428571428571425E-2</v>
      </c>
      <c r="N21" s="206">
        <v>3.93</v>
      </c>
      <c r="O21" s="208">
        <v>3.93</v>
      </c>
      <c r="P21" s="208">
        <v>24.95</v>
      </c>
      <c r="Q21" s="208">
        <v>15.751503006012024</v>
      </c>
      <c r="R21" s="221">
        <v>6.3486005089058519</v>
      </c>
      <c r="S21" s="204">
        <v>1</v>
      </c>
      <c r="T21" s="204">
        <v>1</v>
      </c>
      <c r="U21" s="205">
        <v>1</v>
      </c>
      <c r="V21" s="204">
        <v>1</v>
      </c>
      <c r="W21" s="204">
        <v>0</v>
      </c>
      <c r="X21" s="206">
        <v>24.95</v>
      </c>
      <c r="Y21" s="222">
        <v>0</v>
      </c>
    </row>
    <row r="22" spans="1:25" ht="14.25" customHeight="1" x14ac:dyDescent="0.3">
      <c r="A22" s="201">
        <v>45866</v>
      </c>
      <c r="B22" s="202">
        <v>45866</v>
      </c>
      <c r="C22" s="203" t="s">
        <v>48</v>
      </c>
      <c r="D22" s="203" t="s">
        <v>28</v>
      </c>
      <c r="E22" s="203" t="s">
        <v>225</v>
      </c>
      <c r="F22" s="203" t="s">
        <v>226</v>
      </c>
      <c r="G22" s="203" t="s">
        <v>31</v>
      </c>
      <c r="H22" s="203" t="s">
        <v>88</v>
      </c>
      <c r="I22" s="203" t="s">
        <v>32</v>
      </c>
      <c r="J22" s="203" t="s">
        <v>130</v>
      </c>
      <c r="K22" s="204">
        <v>4</v>
      </c>
      <c r="L22" s="204">
        <v>2</v>
      </c>
      <c r="M22" s="205">
        <v>0.5</v>
      </c>
      <c r="N22" s="206">
        <v>3.0150000000000001</v>
      </c>
      <c r="O22" s="208">
        <v>6.03</v>
      </c>
      <c r="P22" s="208">
        <v>24.95</v>
      </c>
      <c r="Q22" s="208">
        <v>24.168336673346698</v>
      </c>
      <c r="R22" s="221">
        <v>4.137645107794361</v>
      </c>
      <c r="S22" s="204">
        <v>1</v>
      </c>
      <c r="T22" s="204">
        <v>1</v>
      </c>
      <c r="U22" s="205">
        <v>0.5</v>
      </c>
      <c r="V22" s="204">
        <v>1</v>
      </c>
      <c r="W22" s="204">
        <v>0</v>
      </c>
      <c r="X22" s="206">
        <v>24.95</v>
      </c>
      <c r="Y22" s="222">
        <v>0</v>
      </c>
    </row>
    <row r="23" spans="1:25" ht="14.25" customHeight="1" x14ac:dyDescent="0.3">
      <c r="A23" s="201">
        <v>45866</v>
      </c>
      <c r="B23" s="202">
        <v>45866</v>
      </c>
      <c r="C23" s="203" t="s">
        <v>27</v>
      </c>
      <c r="D23" s="203" t="s">
        <v>28</v>
      </c>
      <c r="E23" s="203" t="s">
        <v>29</v>
      </c>
      <c r="F23" s="203" t="s">
        <v>30</v>
      </c>
      <c r="G23" s="203" t="s">
        <v>31</v>
      </c>
      <c r="H23" s="203" t="s">
        <v>30</v>
      </c>
      <c r="I23" s="203" t="s">
        <v>32</v>
      </c>
      <c r="J23" s="203" t="s">
        <v>856</v>
      </c>
      <c r="K23" s="204">
        <v>1</v>
      </c>
      <c r="L23" s="204">
        <v>1</v>
      </c>
      <c r="M23" s="205">
        <v>1</v>
      </c>
      <c r="N23" s="206">
        <v>4.13</v>
      </c>
      <c r="O23" s="208">
        <v>4.13</v>
      </c>
      <c r="P23" s="208">
        <v>24.94</v>
      </c>
      <c r="Q23" s="208">
        <v>16.559743384121887</v>
      </c>
      <c r="R23" s="221">
        <v>6.0387409200968527</v>
      </c>
      <c r="S23" s="204">
        <v>1</v>
      </c>
      <c r="T23" s="204">
        <v>1</v>
      </c>
      <c r="U23" s="205">
        <v>1</v>
      </c>
      <c r="V23" s="204">
        <v>1</v>
      </c>
      <c r="W23" s="204">
        <v>0</v>
      </c>
      <c r="X23" s="206">
        <v>24.94</v>
      </c>
      <c r="Y23" s="222">
        <v>0</v>
      </c>
    </row>
    <row r="24" spans="1:25" ht="14.25" customHeight="1" x14ac:dyDescent="0.3">
      <c r="A24" s="201">
        <v>45866</v>
      </c>
      <c r="B24" s="202">
        <v>45866</v>
      </c>
      <c r="C24" s="203" t="s">
        <v>27</v>
      </c>
      <c r="D24" s="203" t="s">
        <v>28</v>
      </c>
      <c r="E24" s="203" t="s">
        <v>71</v>
      </c>
      <c r="F24" s="203" t="s">
        <v>72</v>
      </c>
      <c r="G24" s="203" t="s">
        <v>31</v>
      </c>
      <c r="H24" s="203" t="s">
        <v>51</v>
      </c>
      <c r="I24" s="203" t="s">
        <v>52</v>
      </c>
      <c r="J24" s="203" t="s">
        <v>857</v>
      </c>
      <c r="K24" s="204">
        <v>1</v>
      </c>
      <c r="L24" s="204">
        <v>1</v>
      </c>
      <c r="M24" s="205">
        <v>1</v>
      </c>
      <c r="N24" s="206">
        <v>2.5</v>
      </c>
      <c r="O24" s="208">
        <v>2.5</v>
      </c>
      <c r="P24" s="208">
        <v>24.94</v>
      </c>
      <c r="Q24" s="208">
        <v>10.024057738572575</v>
      </c>
      <c r="R24" s="221">
        <v>9.9760000000000009</v>
      </c>
      <c r="S24" s="204">
        <v>1</v>
      </c>
      <c r="T24" s="204">
        <v>1</v>
      </c>
      <c r="U24" s="205">
        <v>1</v>
      </c>
      <c r="V24" s="204">
        <v>1</v>
      </c>
      <c r="W24" s="204">
        <v>0</v>
      </c>
      <c r="X24" s="206">
        <v>24.94</v>
      </c>
      <c r="Y24" s="222">
        <v>0</v>
      </c>
    </row>
    <row r="25" spans="1:25" ht="14.25" customHeight="1" x14ac:dyDescent="0.3">
      <c r="A25" s="201">
        <v>45866</v>
      </c>
      <c r="B25" s="202">
        <v>45871</v>
      </c>
      <c r="C25" s="203" t="s">
        <v>40</v>
      </c>
      <c r="D25" s="203" t="s">
        <v>28</v>
      </c>
      <c r="E25" s="203" t="s">
        <v>41</v>
      </c>
      <c r="F25" s="203" t="s">
        <v>42</v>
      </c>
      <c r="G25" s="203" t="s">
        <v>31</v>
      </c>
      <c r="H25" s="203" t="s">
        <v>43</v>
      </c>
      <c r="I25" s="203" t="s">
        <v>44</v>
      </c>
      <c r="J25" s="203" t="s">
        <v>60</v>
      </c>
      <c r="K25" s="204">
        <v>18</v>
      </c>
      <c r="L25" s="204">
        <v>4</v>
      </c>
      <c r="M25" s="205">
        <v>0.22222222222222221</v>
      </c>
      <c r="N25" s="206">
        <v>3.16</v>
      </c>
      <c r="O25" s="208">
        <v>12.64</v>
      </c>
      <c r="P25" s="208">
        <v>24.94</v>
      </c>
      <c r="Q25" s="208">
        <v>50.681635926222931</v>
      </c>
      <c r="R25" s="221">
        <v>1.9731012658227849</v>
      </c>
      <c r="S25" s="204">
        <v>1</v>
      </c>
      <c r="T25" s="204">
        <v>1</v>
      </c>
      <c r="U25" s="205">
        <v>0.25</v>
      </c>
      <c r="V25" s="204">
        <v>1</v>
      </c>
      <c r="W25" s="204">
        <v>0</v>
      </c>
      <c r="X25" s="206">
        <v>24.94</v>
      </c>
      <c r="Y25" s="222">
        <v>0</v>
      </c>
    </row>
    <row r="26" spans="1:25" ht="14.25" customHeight="1" x14ac:dyDescent="0.3">
      <c r="A26" s="201">
        <v>45866</v>
      </c>
      <c r="B26" s="202">
        <v>45871</v>
      </c>
      <c r="C26" s="203" t="s">
        <v>27</v>
      </c>
      <c r="D26" s="203" t="s">
        <v>28</v>
      </c>
      <c r="E26" s="203" t="s">
        <v>56</v>
      </c>
      <c r="F26" s="203" t="s">
        <v>57</v>
      </c>
      <c r="G26" s="203" t="s">
        <v>31</v>
      </c>
      <c r="H26" s="203" t="s">
        <v>914</v>
      </c>
      <c r="I26" s="203" t="s">
        <v>32</v>
      </c>
      <c r="J26" s="203" t="s">
        <v>859</v>
      </c>
      <c r="K26" s="204">
        <v>34</v>
      </c>
      <c r="L26" s="204">
        <v>3</v>
      </c>
      <c r="M26" s="205">
        <v>8.8235294117647065E-2</v>
      </c>
      <c r="N26" s="206">
        <v>2.64</v>
      </c>
      <c r="O26" s="208">
        <v>7.92</v>
      </c>
      <c r="P26" s="208">
        <v>24.94</v>
      </c>
      <c r="Q26" s="208">
        <v>31.756214915797916</v>
      </c>
      <c r="R26" s="221">
        <v>3.1489898989898992</v>
      </c>
      <c r="S26" s="204">
        <v>1</v>
      </c>
      <c r="T26" s="204">
        <v>1</v>
      </c>
      <c r="U26" s="205">
        <v>0.33333333333333331</v>
      </c>
      <c r="V26" s="204">
        <v>1</v>
      </c>
      <c r="W26" s="204">
        <v>0</v>
      </c>
      <c r="X26" s="206">
        <v>24.94</v>
      </c>
      <c r="Y26" s="222">
        <v>0</v>
      </c>
    </row>
    <row r="27" spans="1:25" ht="14.25" customHeight="1" x14ac:dyDescent="0.3">
      <c r="A27" s="201">
        <v>45866</v>
      </c>
      <c r="B27" s="202">
        <v>45866</v>
      </c>
      <c r="C27" s="203" t="s">
        <v>48</v>
      </c>
      <c r="D27" s="203" t="s">
        <v>28</v>
      </c>
      <c r="E27" s="203" t="s">
        <v>225</v>
      </c>
      <c r="F27" s="203" t="s">
        <v>226</v>
      </c>
      <c r="G27" s="203" t="s">
        <v>31</v>
      </c>
      <c r="H27" s="203" t="s">
        <v>168</v>
      </c>
      <c r="I27" s="203" t="s">
        <v>32</v>
      </c>
      <c r="J27" s="203" t="s">
        <v>861</v>
      </c>
      <c r="K27" s="204">
        <v>2</v>
      </c>
      <c r="L27" s="204">
        <v>1</v>
      </c>
      <c r="M27" s="205">
        <v>0.5</v>
      </c>
      <c r="N27" s="206">
        <v>2.82</v>
      </c>
      <c r="O27" s="208">
        <v>2.82</v>
      </c>
      <c r="P27" s="208">
        <v>24.95</v>
      </c>
      <c r="Q27" s="208">
        <v>11.302605210420841</v>
      </c>
      <c r="R27" s="221">
        <v>8.8475177304964543</v>
      </c>
      <c r="S27" s="204">
        <v>1</v>
      </c>
      <c r="T27" s="204">
        <v>1</v>
      </c>
      <c r="U27" s="205">
        <v>1</v>
      </c>
      <c r="V27" s="204">
        <v>1</v>
      </c>
      <c r="W27" s="204">
        <v>0</v>
      </c>
      <c r="X27" s="206">
        <v>24.95</v>
      </c>
      <c r="Y27" s="222">
        <v>0</v>
      </c>
    </row>
    <row r="28" spans="1:25" ht="14.25" customHeight="1" x14ac:dyDescent="0.3">
      <c r="A28" s="201">
        <v>45867</v>
      </c>
      <c r="B28" s="202">
        <v>45867</v>
      </c>
      <c r="C28" s="203" t="s">
        <v>27</v>
      </c>
      <c r="D28" s="203" t="s">
        <v>28</v>
      </c>
      <c r="E28" s="203" t="s">
        <v>29</v>
      </c>
      <c r="F28" s="203" t="s">
        <v>30</v>
      </c>
      <c r="G28" s="203" t="s">
        <v>31</v>
      </c>
      <c r="H28" s="203" t="s">
        <v>480</v>
      </c>
      <c r="I28" s="203" t="s">
        <v>32</v>
      </c>
      <c r="J28" s="203" t="s">
        <v>847</v>
      </c>
      <c r="K28" s="204">
        <v>1</v>
      </c>
      <c r="L28" s="204">
        <v>1</v>
      </c>
      <c r="M28" s="205">
        <v>1</v>
      </c>
      <c r="N28" s="206">
        <v>2.95</v>
      </c>
      <c r="O28" s="208">
        <v>2.95</v>
      </c>
      <c r="P28" s="208">
        <v>24.94</v>
      </c>
      <c r="Q28" s="208">
        <v>11.828388131515638</v>
      </c>
      <c r="R28" s="221">
        <v>8.4542372881355927</v>
      </c>
      <c r="S28" s="204">
        <v>1</v>
      </c>
      <c r="T28" s="204">
        <v>1</v>
      </c>
      <c r="U28" s="205">
        <v>1</v>
      </c>
      <c r="V28" s="204">
        <v>1</v>
      </c>
      <c r="W28" s="204">
        <v>0</v>
      </c>
      <c r="X28" s="206">
        <v>24.94</v>
      </c>
      <c r="Y28" s="222">
        <v>0</v>
      </c>
    </row>
    <row r="29" spans="1:25" ht="14.25" customHeight="1" x14ac:dyDescent="0.3">
      <c r="A29" s="201">
        <v>45867</v>
      </c>
      <c r="B29" s="202">
        <v>45867</v>
      </c>
      <c r="C29" s="203" t="s">
        <v>85</v>
      </c>
      <c r="D29" s="203" t="s">
        <v>28</v>
      </c>
      <c r="E29" s="203" t="s">
        <v>108</v>
      </c>
      <c r="F29" s="203" t="s">
        <v>109</v>
      </c>
      <c r="G29" s="203" t="s">
        <v>31</v>
      </c>
      <c r="H29" s="203" t="s">
        <v>110</v>
      </c>
      <c r="I29" s="203" t="s">
        <v>44</v>
      </c>
      <c r="J29" s="203" t="s">
        <v>848</v>
      </c>
      <c r="K29" s="204">
        <v>3</v>
      </c>
      <c r="L29" s="204">
        <v>1</v>
      </c>
      <c r="M29" s="205">
        <v>0.33333333333333331</v>
      </c>
      <c r="N29" s="206">
        <v>2.73</v>
      </c>
      <c r="O29" s="208">
        <v>2.73</v>
      </c>
      <c r="P29" s="208">
        <v>29.99</v>
      </c>
      <c r="Q29" s="208">
        <v>9.1030343447815945</v>
      </c>
      <c r="R29" s="221">
        <v>10.985347985347985</v>
      </c>
      <c r="S29" s="204">
        <v>1</v>
      </c>
      <c r="T29" s="204">
        <v>1</v>
      </c>
      <c r="U29" s="205">
        <v>1</v>
      </c>
      <c r="V29" s="204">
        <v>1</v>
      </c>
      <c r="W29" s="204">
        <v>0</v>
      </c>
      <c r="X29" s="206">
        <v>29.99</v>
      </c>
      <c r="Y29" s="222">
        <v>0</v>
      </c>
    </row>
    <row r="30" spans="1:25" ht="14.25" customHeight="1" x14ac:dyDescent="0.3">
      <c r="A30" s="201">
        <v>45867</v>
      </c>
      <c r="B30" s="202">
        <v>45871</v>
      </c>
      <c r="C30" s="203" t="s">
        <v>27</v>
      </c>
      <c r="D30" s="203" t="s">
        <v>28</v>
      </c>
      <c r="E30" s="203" t="s">
        <v>71</v>
      </c>
      <c r="F30" s="203" t="s">
        <v>72</v>
      </c>
      <c r="G30" s="203" t="s">
        <v>31</v>
      </c>
      <c r="H30" s="203" t="s">
        <v>73</v>
      </c>
      <c r="I30" s="203" t="s">
        <v>52</v>
      </c>
      <c r="J30" s="203" t="s">
        <v>43</v>
      </c>
      <c r="K30" s="204">
        <v>131</v>
      </c>
      <c r="L30" s="204">
        <v>6</v>
      </c>
      <c r="M30" s="205">
        <v>4.5801526717557252E-2</v>
      </c>
      <c r="N30" s="206">
        <v>3.9616666666666673</v>
      </c>
      <c r="O30" s="208">
        <v>23.77</v>
      </c>
      <c r="P30" s="208">
        <v>49.88</v>
      </c>
      <c r="Q30" s="208">
        <v>47.654370489174021</v>
      </c>
      <c r="R30" s="221">
        <v>2.0984434160706771</v>
      </c>
      <c r="S30" s="204">
        <v>2</v>
      </c>
      <c r="T30" s="204">
        <v>2</v>
      </c>
      <c r="U30" s="205">
        <v>0.33333333333333331</v>
      </c>
      <c r="V30" s="204">
        <v>2</v>
      </c>
      <c r="W30" s="204">
        <v>0</v>
      </c>
      <c r="X30" s="206">
        <v>49.88</v>
      </c>
      <c r="Y30" s="222">
        <v>0</v>
      </c>
    </row>
    <row r="31" spans="1:25" ht="14.25" customHeight="1" x14ac:dyDescent="0.3">
      <c r="A31" s="201">
        <v>45867</v>
      </c>
      <c r="B31" s="202">
        <v>45868</v>
      </c>
      <c r="C31" s="203" t="s">
        <v>48</v>
      </c>
      <c r="D31" s="203" t="s">
        <v>28</v>
      </c>
      <c r="E31" s="203" t="s">
        <v>233</v>
      </c>
      <c r="F31" s="203" t="s">
        <v>234</v>
      </c>
      <c r="G31" s="203" t="s">
        <v>31</v>
      </c>
      <c r="H31" s="203" t="s">
        <v>223</v>
      </c>
      <c r="I31" s="203" t="s">
        <v>32</v>
      </c>
      <c r="J31" s="203" t="s">
        <v>720</v>
      </c>
      <c r="K31" s="204">
        <v>174</v>
      </c>
      <c r="L31" s="204">
        <v>2</v>
      </c>
      <c r="M31" s="205">
        <v>1.1494252873563218E-2</v>
      </c>
      <c r="N31" s="206">
        <v>2.46</v>
      </c>
      <c r="O31" s="208">
        <v>4.92</v>
      </c>
      <c r="P31" s="208">
        <v>24.95</v>
      </c>
      <c r="Q31" s="208">
        <v>19.719438877755511</v>
      </c>
      <c r="R31" s="221">
        <v>5.071138211382114</v>
      </c>
      <c r="S31" s="204">
        <v>1</v>
      </c>
      <c r="T31" s="204">
        <v>1</v>
      </c>
      <c r="U31" s="205">
        <v>0.5</v>
      </c>
      <c r="V31" s="204">
        <v>1</v>
      </c>
      <c r="W31" s="204">
        <v>0</v>
      </c>
      <c r="X31" s="206">
        <v>24.95</v>
      </c>
      <c r="Y31" s="222">
        <v>0</v>
      </c>
    </row>
    <row r="32" spans="1:25" ht="14.25" customHeight="1" x14ac:dyDescent="0.3">
      <c r="A32" s="201">
        <v>45867</v>
      </c>
      <c r="B32" s="202">
        <v>45867</v>
      </c>
      <c r="C32" s="203" t="s">
        <v>48</v>
      </c>
      <c r="D32" s="203" t="s">
        <v>28</v>
      </c>
      <c r="E32" s="203" t="s">
        <v>225</v>
      </c>
      <c r="F32" s="203" t="s">
        <v>226</v>
      </c>
      <c r="G32" s="203" t="s">
        <v>31</v>
      </c>
      <c r="H32" s="203" t="s">
        <v>168</v>
      </c>
      <c r="I32" s="203" t="s">
        <v>32</v>
      </c>
      <c r="J32" s="203" t="s">
        <v>852</v>
      </c>
      <c r="K32" s="204">
        <v>5</v>
      </c>
      <c r="L32" s="204">
        <v>1</v>
      </c>
      <c r="M32" s="205">
        <v>0.2</v>
      </c>
      <c r="N32" s="206">
        <v>3.04</v>
      </c>
      <c r="O32" s="208">
        <v>3.04</v>
      </c>
      <c r="P32" s="208">
        <v>24.95</v>
      </c>
      <c r="Q32" s="208">
        <v>12.18436873747495</v>
      </c>
      <c r="R32" s="221">
        <v>8.2072368421052619</v>
      </c>
      <c r="S32" s="204">
        <v>1</v>
      </c>
      <c r="T32" s="204">
        <v>1</v>
      </c>
      <c r="U32" s="205">
        <v>1</v>
      </c>
      <c r="V32" s="204">
        <v>1</v>
      </c>
      <c r="W32" s="204">
        <v>0</v>
      </c>
      <c r="X32" s="206">
        <v>24.95</v>
      </c>
      <c r="Y32" s="222">
        <v>0</v>
      </c>
    </row>
    <row r="33" spans="1:25" ht="14.25" customHeight="1" x14ac:dyDescent="0.3">
      <c r="A33" s="201">
        <v>45868</v>
      </c>
      <c r="B33" s="202">
        <v>45868</v>
      </c>
      <c r="C33" s="203" t="s">
        <v>27</v>
      </c>
      <c r="D33" s="203" t="s">
        <v>28</v>
      </c>
      <c r="E33" s="203" t="s">
        <v>71</v>
      </c>
      <c r="F33" s="203" t="s">
        <v>72</v>
      </c>
      <c r="G33" s="203" t="s">
        <v>31</v>
      </c>
      <c r="H33" s="203" t="s">
        <v>51</v>
      </c>
      <c r="I33" s="203" t="s">
        <v>52</v>
      </c>
      <c r="J33" s="203" t="s">
        <v>835</v>
      </c>
      <c r="K33" s="204">
        <v>2</v>
      </c>
      <c r="L33" s="204">
        <v>1</v>
      </c>
      <c r="M33" s="205">
        <v>0.5</v>
      </c>
      <c r="N33" s="206">
        <v>1.62</v>
      </c>
      <c r="O33" s="208">
        <v>1.62</v>
      </c>
      <c r="P33" s="208">
        <v>24.94</v>
      </c>
      <c r="Q33" s="208">
        <v>6.4955894145950284</v>
      </c>
      <c r="R33" s="221">
        <v>15.395061728395062</v>
      </c>
      <c r="S33" s="204">
        <v>1</v>
      </c>
      <c r="T33" s="204">
        <v>1</v>
      </c>
      <c r="U33" s="205">
        <v>1</v>
      </c>
      <c r="V33" s="204">
        <v>1</v>
      </c>
      <c r="W33" s="204">
        <v>0</v>
      </c>
      <c r="X33" s="206">
        <v>24.94</v>
      </c>
      <c r="Y33" s="222">
        <v>0</v>
      </c>
    </row>
    <row r="34" spans="1:25" ht="14.25" customHeight="1" x14ac:dyDescent="0.3">
      <c r="A34" s="201">
        <v>45868</v>
      </c>
      <c r="B34" s="202">
        <v>45868</v>
      </c>
      <c r="C34" s="203" t="s">
        <v>27</v>
      </c>
      <c r="D34" s="203" t="s">
        <v>28</v>
      </c>
      <c r="E34" s="203" t="s">
        <v>71</v>
      </c>
      <c r="F34" s="203" t="s">
        <v>72</v>
      </c>
      <c r="G34" s="203" t="s">
        <v>31</v>
      </c>
      <c r="H34" s="203" t="s">
        <v>51</v>
      </c>
      <c r="I34" s="203" t="s">
        <v>52</v>
      </c>
      <c r="J34" s="203" t="s">
        <v>836</v>
      </c>
      <c r="K34" s="204">
        <v>3</v>
      </c>
      <c r="L34" s="204">
        <v>1</v>
      </c>
      <c r="M34" s="205">
        <v>0.33333333333333331</v>
      </c>
      <c r="N34" s="206">
        <v>1.35</v>
      </c>
      <c r="O34" s="208">
        <v>1.35</v>
      </c>
      <c r="P34" s="208">
        <v>24.94</v>
      </c>
      <c r="Q34" s="208">
        <v>5.4129911788291896</v>
      </c>
      <c r="R34" s="221">
        <v>18.474074074074075</v>
      </c>
      <c r="S34" s="204">
        <v>1</v>
      </c>
      <c r="T34" s="204">
        <v>1</v>
      </c>
      <c r="U34" s="205">
        <v>1</v>
      </c>
      <c r="V34" s="204">
        <v>1</v>
      </c>
      <c r="W34" s="204">
        <v>0</v>
      </c>
      <c r="X34" s="206">
        <v>24.94</v>
      </c>
      <c r="Y34" s="222">
        <v>0</v>
      </c>
    </row>
    <row r="35" spans="1:25" ht="14.25" customHeight="1" x14ac:dyDescent="0.3">
      <c r="A35" s="201">
        <v>45868</v>
      </c>
      <c r="B35" s="202">
        <v>45871</v>
      </c>
      <c r="C35" s="203" t="s">
        <v>85</v>
      </c>
      <c r="D35" s="203" t="s">
        <v>28</v>
      </c>
      <c r="E35" s="203" t="s">
        <v>817</v>
      </c>
      <c r="F35" s="203" t="s">
        <v>818</v>
      </c>
      <c r="G35" s="203" t="s">
        <v>31</v>
      </c>
      <c r="H35" s="203" t="s">
        <v>357</v>
      </c>
      <c r="I35" s="203" t="s">
        <v>44</v>
      </c>
      <c r="J35" s="203" t="s">
        <v>357</v>
      </c>
      <c r="K35" s="204">
        <v>157</v>
      </c>
      <c r="L35" s="204">
        <v>7</v>
      </c>
      <c r="M35" s="205">
        <v>4.4585987261146501E-2</v>
      </c>
      <c r="N35" s="206">
        <v>4.8042857142857134</v>
      </c>
      <c r="O35" s="208">
        <v>33.630000000000003</v>
      </c>
      <c r="P35" s="208">
        <v>24.95</v>
      </c>
      <c r="Q35" s="208">
        <v>134.78957915831663</v>
      </c>
      <c r="R35" s="221">
        <v>0.74189711567053229</v>
      </c>
      <c r="S35" s="204">
        <v>1</v>
      </c>
      <c r="T35" s="204">
        <v>1</v>
      </c>
      <c r="U35" s="205">
        <v>0.14285714285714285</v>
      </c>
      <c r="V35" s="204">
        <v>1</v>
      </c>
      <c r="W35" s="204">
        <v>0</v>
      </c>
      <c r="X35" s="206">
        <v>24.95</v>
      </c>
      <c r="Y35" s="222">
        <v>0</v>
      </c>
    </row>
    <row r="36" spans="1:25" ht="14.25" customHeight="1" x14ac:dyDescent="0.3">
      <c r="A36" s="201">
        <v>45868</v>
      </c>
      <c r="B36" s="202">
        <v>45871</v>
      </c>
      <c r="C36" s="203" t="s">
        <v>85</v>
      </c>
      <c r="D36" s="203" t="s">
        <v>28</v>
      </c>
      <c r="E36" s="203" t="s">
        <v>817</v>
      </c>
      <c r="F36" s="203" t="s">
        <v>818</v>
      </c>
      <c r="G36" s="203" t="s">
        <v>31</v>
      </c>
      <c r="H36" s="203" t="s">
        <v>357</v>
      </c>
      <c r="I36" s="203" t="s">
        <v>44</v>
      </c>
      <c r="J36" s="203" t="s">
        <v>840</v>
      </c>
      <c r="K36" s="204">
        <v>21</v>
      </c>
      <c r="L36" s="204">
        <v>4</v>
      </c>
      <c r="M36" s="205">
        <v>0.19047619047619047</v>
      </c>
      <c r="N36" s="206">
        <v>4.3624999999999998</v>
      </c>
      <c r="O36" s="208">
        <v>17.45</v>
      </c>
      <c r="P36" s="208">
        <v>49.9</v>
      </c>
      <c r="Q36" s="208">
        <v>34.969939879759522</v>
      </c>
      <c r="R36" s="221">
        <v>2.8595988538681949</v>
      </c>
      <c r="S36" s="204">
        <v>1</v>
      </c>
      <c r="T36" s="204">
        <v>2</v>
      </c>
      <c r="U36" s="205">
        <v>0.25</v>
      </c>
      <c r="V36" s="204">
        <v>2</v>
      </c>
      <c r="W36" s="204">
        <v>0</v>
      </c>
      <c r="X36" s="206">
        <v>49.9</v>
      </c>
      <c r="Y36" s="222">
        <v>0</v>
      </c>
    </row>
    <row r="37" spans="1:25" ht="14.25" customHeight="1" x14ac:dyDescent="0.3">
      <c r="A37" s="201">
        <v>45868</v>
      </c>
      <c r="B37" s="202">
        <v>45871</v>
      </c>
      <c r="C37" s="203" t="s">
        <v>48</v>
      </c>
      <c r="D37" s="203" t="s">
        <v>28</v>
      </c>
      <c r="E37" s="203" t="s">
        <v>233</v>
      </c>
      <c r="F37" s="203" t="s">
        <v>234</v>
      </c>
      <c r="G37" s="203" t="s">
        <v>31</v>
      </c>
      <c r="H37" s="203" t="s">
        <v>223</v>
      </c>
      <c r="I37" s="203" t="s">
        <v>32</v>
      </c>
      <c r="J37" s="203" t="s">
        <v>844</v>
      </c>
      <c r="K37" s="204">
        <v>37</v>
      </c>
      <c r="L37" s="204">
        <v>5</v>
      </c>
      <c r="M37" s="205">
        <v>0.13513513513513514</v>
      </c>
      <c r="N37" s="206">
        <v>3.8</v>
      </c>
      <c r="O37" s="208">
        <v>19</v>
      </c>
      <c r="P37" s="208">
        <v>24.95</v>
      </c>
      <c r="Q37" s="208">
        <v>76.152304609218433</v>
      </c>
      <c r="R37" s="221">
        <v>1.3131578947368421</v>
      </c>
      <c r="S37" s="204">
        <v>1</v>
      </c>
      <c r="T37" s="204">
        <v>1</v>
      </c>
      <c r="U37" s="205">
        <v>0.2</v>
      </c>
      <c r="V37" s="204">
        <v>1</v>
      </c>
      <c r="W37" s="204">
        <v>0</v>
      </c>
      <c r="X37" s="206">
        <v>24.95</v>
      </c>
      <c r="Y37" s="222">
        <v>0</v>
      </c>
    </row>
    <row r="38" spans="1:25" ht="14.25" customHeight="1" x14ac:dyDescent="0.3">
      <c r="A38" s="201">
        <v>45869</v>
      </c>
      <c r="B38" s="202">
        <v>45869</v>
      </c>
      <c r="C38" s="203" t="s">
        <v>27</v>
      </c>
      <c r="D38" s="203" t="s">
        <v>28</v>
      </c>
      <c r="E38" s="203" t="s">
        <v>29</v>
      </c>
      <c r="F38" s="203" t="s">
        <v>30</v>
      </c>
      <c r="G38" s="203" t="s">
        <v>31</v>
      </c>
      <c r="H38" s="203" t="s">
        <v>30</v>
      </c>
      <c r="I38" s="203" t="s">
        <v>32</v>
      </c>
      <c r="J38" s="203" t="s">
        <v>832</v>
      </c>
      <c r="K38" s="204">
        <v>1</v>
      </c>
      <c r="L38" s="204">
        <v>1</v>
      </c>
      <c r="M38" s="205">
        <v>1</v>
      </c>
      <c r="N38" s="206">
        <v>2.95</v>
      </c>
      <c r="O38" s="208">
        <v>2.95</v>
      </c>
      <c r="P38" s="208">
        <v>24.94</v>
      </c>
      <c r="Q38" s="208">
        <v>11.828388131515638</v>
      </c>
      <c r="R38" s="221">
        <v>8.4542372881355927</v>
      </c>
      <c r="S38" s="204">
        <v>1</v>
      </c>
      <c r="T38" s="204">
        <v>1</v>
      </c>
      <c r="U38" s="205">
        <v>1</v>
      </c>
      <c r="V38" s="204">
        <v>1</v>
      </c>
      <c r="W38" s="204">
        <v>0</v>
      </c>
      <c r="X38" s="206">
        <v>24.94</v>
      </c>
      <c r="Y38" s="222">
        <v>0</v>
      </c>
    </row>
    <row r="39" spans="1:25" ht="14.25" customHeight="1" x14ac:dyDescent="0.3">
      <c r="A39" s="201">
        <v>45869</v>
      </c>
      <c r="B39" s="202">
        <v>45869</v>
      </c>
      <c r="C39" s="203" t="s">
        <v>27</v>
      </c>
      <c r="D39" s="203" t="s">
        <v>28</v>
      </c>
      <c r="E39" s="203" t="s">
        <v>71</v>
      </c>
      <c r="F39" s="203" t="s">
        <v>72</v>
      </c>
      <c r="G39" s="203" t="s">
        <v>31</v>
      </c>
      <c r="H39" s="203" t="s">
        <v>51</v>
      </c>
      <c r="I39" s="203" t="s">
        <v>52</v>
      </c>
      <c r="J39" s="203" t="s">
        <v>833</v>
      </c>
      <c r="K39" s="204">
        <v>1</v>
      </c>
      <c r="L39" s="204">
        <v>1</v>
      </c>
      <c r="M39" s="205">
        <v>1</v>
      </c>
      <c r="N39" s="206">
        <v>2.31</v>
      </c>
      <c r="O39" s="208">
        <v>2.31</v>
      </c>
      <c r="P39" s="208">
        <v>24.94</v>
      </c>
      <c r="Q39" s="208">
        <v>9.2622293504410571</v>
      </c>
      <c r="R39" s="221">
        <v>10.796536796536797</v>
      </c>
      <c r="S39" s="204">
        <v>1</v>
      </c>
      <c r="T39" s="204">
        <v>1</v>
      </c>
      <c r="U39" s="205">
        <v>1</v>
      </c>
      <c r="V39" s="204">
        <v>1</v>
      </c>
      <c r="W39" s="204">
        <v>0</v>
      </c>
      <c r="X39" s="206">
        <v>24.94</v>
      </c>
      <c r="Y39" s="222">
        <v>0</v>
      </c>
    </row>
    <row r="40" spans="1:25" ht="14.25" customHeight="1" x14ac:dyDescent="0.3">
      <c r="A40" s="201">
        <v>45870</v>
      </c>
      <c r="B40" s="202">
        <v>45870</v>
      </c>
      <c r="C40" s="203" t="s">
        <v>27</v>
      </c>
      <c r="D40" s="203" t="s">
        <v>28</v>
      </c>
      <c r="E40" s="203" t="s">
        <v>29</v>
      </c>
      <c r="F40" s="203" t="s">
        <v>30</v>
      </c>
      <c r="G40" s="203" t="s">
        <v>31</v>
      </c>
      <c r="H40" s="203" t="s">
        <v>30</v>
      </c>
      <c r="I40" s="203" t="s">
        <v>32</v>
      </c>
      <c r="J40" s="203" t="s">
        <v>829</v>
      </c>
      <c r="K40" s="204">
        <v>2</v>
      </c>
      <c r="L40" s="204">
        <v>1</v>
      </c>
      <c r="M40" s="205">
        <v>0.5</v>
      </c>
      <c r="N40" s="206">
        <v>4.13</v>
      </c>
      <c r="O40" s="208">
        <v>4.13</v>
      </c>
      <c r="P40" s="208">
        <v>24.94</v>
      </c>
      <c r="Q40" s="208">
        <v>16.559743384121887</v>
      </c>
      <c r="R40" s="221">
        <v>6.0387409200968527</v>
      </c>
      <c r="S40" s="204">
        <v>1</v>
      </c>
      <c r="T40" s="204">
        <v>1</v>
      </c>
      <c r="U40" s="205">
        <v>1</v>
      </c>
      <c r="V40" s="204">
        <v>1</v>
      </c>
      <c r="W40" s="204">
        <v>0</v>
      </c>
      <c r="X40" s="206">
        <v>24.94</v>
      </c>
      <c r="Y40" s="222">
        <v>0</v>
      </c>
    </row>
    <row r="41" spans="1:25" ht="14.25" customHeight="1" x14ac:dyDescent="0.3">
      <c r="A41" s="201">
        <v>45870</v>
      </c>
      <c r="B41" s="202">
        <v>45870</v>
      </c>
      <c r="C41" s="203" t="s">
        <v>27</v>
      </c>
      <c r="D41" s="203" t="s">
        <v>28</v>
      </c>
      <c r="E41" s="203" t="s">
        <v>71</v>
      </c>
      <c r="F41" s="203" t="s">
        <v>72</v>
      </c>
      <c r="G41" s="203" t="s">
        <v>31</v>
      </c>
      <c r="H41" s="203" t="s">
        <v>51</v>
      </c>
      <c r="I41" s="203" t="s">
        <v>52</v>
      </c>
      <c r="J41" s="203" t="s">
        <v>830</v>
      </c>
      <c r="K41" s="204">
        <v>1</v>
      </c>
      <c r="L41" s="204">
        <v>1</v>
      </c>
      <c r="M41" s="205">
        <v>1</v>
      </c>
      <c r="N41" s="206">
        <v>2.4900000000000002</v>
      </c>
      <c r="O41" s="208">
        <v>2.4900000000000002</v>
      </c>
      <c r="P41" s="208">
        <v>24.94</v>
      </c>
      <c r="Q41" s="208">
        <v>9.9839615076182842</v>
      </c>
      <c r="R41" s="221">
        <v>10.016064257028113</v>
      </c>
      <c r="S41" s="204">
        <v>1</v>
      </c>
      <c r="T41" s="204">
        <v>1</v>
      </c>
      <c r="U41" s="205">
        <v>1</v>
      </c>
      <c r="V41" s="204">
        <v>1</v>
      </c>
      <c r="W41" s="204">
        <v>0</v>
      </c>
      <c r="X41" s="206">
        <v>24.94</v>
      </c>
      <c r="Y41" s="222">
        <v>0</v>
      </c>
    </row>
    <row r="42" spans="1:25" ht="14.25" customHeight="1" x14ac:dyDescent="0.3">
      <c r="A42" s="201">
        <v>45870</v>
      </c>
      <c r="B42" s="202">
        <v>45870</v>
      </c>
      <c r="C42" s="203" t="s">
        <v>143</v>
      </c>
      <c r="D42" s="203" t="s">
        <v>28</v>
      </c>
      <c r="E42" s="203" t="s">
        <v>144</v>
      </c>
      <c r="F42" s="203" t="s">
        <v>32</v>
      </c>
      <c r="G42" s="203" t="s">
        <v>31</v>
      </c>
      <c r="H42" s="203" t="s">
        <v>30</v>
      </c>
      <c r="I42" s="203" t="s">
        <v>44</v>
      </c>
      <c r="J42" s="203" t="s">
        <v>831</v>
      </c>
      <c r="K42" s="204">
        <v>1</v>
      </c>
      <c r="L42" s="204">
        <v>1</v>
      </c>
      <c r="M42" s="205">
        <v>1</v>
      </c>
      <c r="N42" s="206">
        <v>1.36</v>
      </c>
      <c r="O42" s="208">
        <v>1.36</v>
      </c>
      <c r="P42" s="208">
        <v>24.94</v>
      </c>
      <c r="Q42" s="208">
        <v>5.4530874097834801</v>
      </c>
      <c r="R42" s="221">
        <v>18.338235294117645</v>
      </c>
      <c r="S42" s="204">
        <v>1</v>
      </c>
      <c r="T42" s="204">
        <v>1</v>
      </c>
      <c r="U42" s="205">
        <v>1</v>
      </c>
      <c r="V42" s="204">
        <v>1</v>
      </c>
      <c r="W42" s="204">
        <v>0</v>
      </c>
      <c r="X42" s="206">
        <v>24.94</v>
      </c>
      <c r="Y42" s="222">
        <v>0</v>
      </c>
    </row>
    <row r="43" spans="1:25" ht="14.25" customHeight="1" x14ac:dyDescent="0.3">
      <c r="A43" s="201">
        <v>45871</v>
      </c>
      <c r="B43" s="202">
        <v>45871</v>
      </c>
      <c r="C43" s="203" t="s">
        <v>48</v>
      </c>
      <c r="D43" s="203" t="s">
        <v>28</v>
      </c>
      <c r="E43" s="203" t="s">
        <v>225</v>
      </c>
      <c r="F43" s="203" t="s">
        <v>226</v>
      </c>
      <c r="G43" s="203" t="s">
        <v>31</v>
      </c>
      <c r="H43" s="203" t="s">
        <v>68</v>
      </c>
      <c r="I43" s="203" t="s">
        <v>32</v>
      </c>
      <c r="J43" s="203" t="s">
        <v>822</v>
      </c>
      <c r="K43" s="204">
        <v>1</v>
      </c>
      <c r="L43" s="204">
        <v>1</v>
      </c>
      <c r="M43" s="205">
        <v>1</v>
      </c>
      <c r="N43" s="206">
        <v>1.98</v>
      </c>
      <c r="O43" s="208">
        <v>1.98</v>
      </c>
      <c r="P43" s="208">
        <v>74.849999999999994</v>
      </c>
      <c r="Q43" s="208">
        <v>2.6452905811623246</v>
      </c>
      <c r="R43" s="221">
        <v>37.803030303030297</v>
      </c>
      <c r="S43" s="204">
        <v>1</v>
      </c>
      <c r="T43" s="204">
        <v>3</v>
      </c>
      <c r="U43" s="205">
        <v>1</v>
      </c>
      <c r="V43" s="204">
        <v>3</v>
      </c>
      <c r="W43" s="204">
        <v>0</v>
      </c>
      <c r="X43" s="206">
        <v>74.849999999999994</v>
      </c>
      <c r="Y43" s="222">
        <v>0</v>
      </c>
    </row>
    <row r="44" spans="1:25" ht="14.25" customHeight="1" x14ac:dyDescent="0.3">
      <c r="A44" s="201">
        <v>45871</v>
      </c>
      <c r="B44" s="202">
        <v>45871</v>
      </c>
      <c r="C44" s="203" t="s">
        <v>27</v>
      </c>
      <c r="D44" s="203" t="s">
        <v>28</v>
      </c>
      <c r="E44" s="203" t="s">
        <v>71</v>
      </c>
      <c r="F44" s="203" t="s">
        <v>72</v>
      </c>
      <c r="G44" s="203" t="s">
        <v>31</v>
      </c>
      <c r="H44" s="203" t="s">
        <v>51</v>
      </c>
      <c r="I44" s="203" t="s">
        <v>52</v>
      </c>
      <c r="J44" s="203" t="s">
        <v>825</v>
      </c>
      <c r="K44" s="204">
        <v>4</v>
      </c>
      <c r="L44" s="204">
        <v>1</v>
      </c>
      <c r="M44" s="205">
        <v>0.25</v>
      </c>
      <c r="N44" s="206">
        <v>3.5</v>
      </c>
      <c r="O44" s="208">
        <v>3.5</v>
      </c>
      <c r="P44" s="208">
        <v>24.94</v>
      </c>
      <c r="Q44" s="208">
        <v>14.033680834001602</v>
      </c>
      <c r="R44" s="221">
        <v>7.1257142857142863</v>
      </c>
      <c r="S44" s="204">
        <v>1</v>
      </c>
      <c r="T44" s="204">
        <v>1</v>
      </c>
      <c r="U44" s="205">
        <v>1</v>
      </c>
      <c r="V44" s="204">
        <v>1</v>
      </c>
      <c r="W44" s="204">
        <v>0</v>
      </c>
      <c r="X44" s="206">
        <v>24.94</v>
      </c>
      <c r="Y44" s="222">
        <v>0</v>
      </c>
    </row>
    <row r="45" spans="1:25" ht="14.25" customHeight="1" x14ac:dyDescent="0.3">
      <c r="A45" s="201">
        <v>45871</v>
      </c>
      <c r="B45" s="202">
        <v>45871</v>
      </c>
      <c r="C45" s="203" t="s">
        <v>27</v>
      </c>
      <c r="D45" s="203" t="s">
        <v>28</v>
      </c>
      <c r="E45" s="203" t="s">
        <v>56</v>
      </c>
      <c r="F45" s="203" t="s">
        <v>57</v>
      </c>
      <c r="G45" s="203" t="s">
        <v>31</v>
      </c>
      <c r="H45" s="203" t="s">
        <v>914</v>
      </c>
      <c r="I45" s="203" t="s">
        <v>32</v>
      </c>
      <c r="J45" s="203" t="s">
        <v>826</v>
      </c>
      <c r="K45" s="204">
        <v>1</v>
      </c>
      <c r="L45" s="204">
        <v>1</v>
      </c>
      <c r="M45" s="205">
        <v>1</v>
      </c>
      <c r="N45" s="206">
        <v>2.64</v>
      </c>
      <c r="O45" s="208">
        <v>2.64</v>
      </c>
      <c r="P45" s="208">
        <v>24.94</v>
      </c>
      <c r="Q45" s="208">
        <v>10.585404971932638</v>
      </c>
      <c r="R45" s="221">
        <v>9.4469696969696972</v>
      </c>
      <c r="S45" s="204">
        <v>1</v>
      </c>
      <c r="T45" s="204">
        <v>1</v>
      </c>
      <c r="U45" s="205">
        <v>1</v>
      </c>
      <c r="V45" s="204">
        <v>1</v>
      </c>
      <c r="W45" s="204">
        <v>0</v>
      </c>
      <c r="X45" s="206">
        <v>24.94</v>
      </c>
      <c r="Y45" s="222">
        <v>0</v>
      </c>
    </row>
    <row r="46" spans="1:25" ht="14.25" customHeight="1" x14ac:dyDescent="0.3">
      <c r="A46" s="201">
        <v>45871</v>
      </c>
      <c r="B46" s="202">
        <v>45871</v>
      </c>
      <c r="C46" s="203" t="s">
        <v>27</v>
      </c>
      <c r="D46" s="203" t="s">
        <v>28</v>
      </c>
      <c r="E46" s="203" t="s">
        <v>29</v>
      </c>
      <c r="F46" s="203" t="s">
        <v>30</v>
      </c>
      <c r="G46" s="203" t="s">
        <v>31</v>
      </c>
      <c r="H46" s="203" t="s">
        <v>30</v>
      </c>
      <c r="I46" s="203" t="s">
        <v>32</v>
      </c>
      <c r="J46" s="203" t="s">
        <v>827</v>
      </c>
      <c r="K46" s="204">
        <v>1</v>
      </c>
      <c r="L46" s="204">
        <v>1</v>
      </c>
      <c r="M46" s="205">
        <v>1</v>
      </c>
      <c r="N46" s="206">
        <v>2.95</v>
      </c>
      <c r="O46" s="208">
        <v>2.95</v>
      </c>
      <c r="P46" s="208">
        <v>24.94</v>
      </c>
      <c r="Q46" s="208">
        <v>11.828388131515638</v>
      </c>
      <c r="R46" s="221">
        <v>8.4542372881355927</v>
      </c>
      <c r="S46" s="204">
        <v>1</v>
      </c>
      <c r="T46" s="204">
        <v>1</v>
      </c>
      <c r="U46" s="205">
        <v>1</v>
      </c>
      <c r="V46" s="204">
        <v>1</v>
      </c>
      <c r="W46" s="204">
        <v>0</v>
      </c>
      <c r="X46" s="206">
        <v>24.94</v>
      </c>
      <c r="Y46" s="222">
        <v>0</v>
      </c>
    </row>
    <row r="47" spans="1:25" ht="14.25" customHeight="1" x14ac:dyDescent="0.3">
      <c r="A47" s="201">
        <v>45871</v>
      </c>
      <c r="B47" s="202">
        <v>45871</v>
      </c>
      <c r="C47" s="203" t="s">
        <v>27</v>
      </c>
      <c r="D47" s="203" t="s">
        <v>28</v>
      </c>
      <c r="E47" s="203" t="s">
        <v>71</v>
      </c>
      <c r="F47" s="203" t="s">
        <v>72</v>
      </c>
      <c r="G47" s="203" t="s">
        <v>31</v>
      </c>
      <c r="H47" s="203" t="s">
        <v>51</v>
      </c>
      <c r="I47" s="203" t="s">
        <v>52</v>
      </c>
      <c r="J47" s="203" t="s">
        <v>828</v>
      </c>
      <c r="K47" s="204">
        <v>1</v>
      </c>
      <c r="L47" s="204">
        <v>1</v>
      </c>
      <c r="M47" s="205">
        <v>1</v>
      </c>
      <c r="N47" s="206">
        <v>1.62</v>
      </c>
      <c r="O47" s="208">
        <v>1.62</v>
      </c>
      <c r="P47" s="208">
        <v>49.88</v>
      </c>
      <c r="Q47" s="208">
        <v>3.2477947072975142</v>
      </c>
      <c r="R47" s="221">
        <v>30.790123456790123</v>
      </c>
      <c r="S47" s="204">
        <v>1</v>
      </c>
      <c r="T47" s="204">
        <v>2</v>
      </c>
      <c r="U47" s="205">
        <v>1</v>
      </c>
      <c r="V47" s="204">
        <v>2</v>
      </c>
      <c r="W47" s="204">
        <v>0</v>
      </c>
      <c r="X47" s="206">
        <v>49.88</v>
      </c>
      <c r="Y47" s="222">
        <v>0</v>
      </c>
    </row>
    <row r="48" spans="1:25" ht="14.25" customHeight="1" x14ac:dyDescent="0.3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5"/>
      <c r="Q48" s="225"/>
    </row>
    <row r="49" spans="1:17" ht="14.25" customHeight="1" x14ac:dyDescent="0.3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5"/>
      <c r="Q49" s="225"/>
    </row>
    <row r="50" spans="1:17" ht="14.25" customHeight="1" x14ac:dyDescent="0.3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5"/>
      <c r="Q50" s="225"/>
    </row>
    <row r="51" spans="1:17" ht="14.25" customHeight="1" x14ac:dyDescent="0.3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5"/>
      <c r="Q51" s="225"/>
    </row>
    <row r="52" spans="1:17" ht="14.25" customHeight="1" x14ac:dyDescent="0.3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5"/>
      <c r="Q52" s="225"/>
    </row>
    <row r="53" spans="1:17" ht="14.25" customHeight="1" x14ac:dyDescent="0.3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5"/>
      <c r="Q53" s="225"/>
    </row>
    <row r="54" spans="1:17" ht="14.25" customHeight="1" x14ac:dyDescent="0.3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5"/>
      <c r="Q54" s="225"/>
    </row>
    <row r="55" spans="1:17" ht="14.25" customHeight="1" x14ac:dyDescent="0.3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5"/>
      <c r="Q55" s="225"/>
    </row>
    <row r="56" spans="1:17" ht="14.25" customHeight="1" x14ac:dyDescent="0.3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5"/>
      <c r="Q56" s="225"/>
    </row>
    <row r="57" spans="1:17" ht="14.25" customHeight="1" x14ac:dyDescent="0.3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5"/>
      <c r="Q57" s="225"/>
    </row>
    <row r="58" spans="1:17" ht="14.25" customHeight="1" x14ac:dyDescent="0.3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5"/>
      <c r="Q58" s="225"/>
    </row>
    <row r="59" spans="1:17" ht="14.25" customHeight="1" x14ac:dyDescent="0.3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5"/>
      <c r="Q59" s="225"/>
    </row>
    <row r="60" spans="1:17" ht="14.25" customHeight="1" x14ac:dyDescent="0.3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5"/>
      <c r="Q60" s="225"/>
    </row>
    <row r="61" spans="1:17" ht="14.25" customHeight="1" x14ac:dyDescent="0.3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5"/>
      <c r="Q61" s="225"/>
    </row>
    <row r="62" spans="1:17" ht="14.25" customHeight="1" x14ac:dyDescent="0.3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5"/>
      <c r="Q62" s="225"/>
    </row>
    <row r="63" spans="1:17" ht="14.25" customHeight="1" x14ac:dyDescent="0.3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5"/>
      <c r="Q63" s="225"/>
    </row>
    <row r="64" spans="1:17" ht="14.25" customHeight="1" x14ac:dyDescent="0.3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5"/>
      <c r="Q64" s="225"/>
    </row>
    <row r="65" spans="1:17" ht="14.25" customHeight="1" x14ac:dyDescent="0.3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5"/>
      <c r="Q65" s="225"/>
    </row>
    <row r="66" spans="1:17" ht="14.25" customHeight="1" x14ac:dyDescent="0.3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5"/>
      <c r="Q66" s="225"/>
    </row>
    <row r="67" spans="1:17" ht="14.25" customHeight="1" x14ac:dyDescent="0.3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5"/>
      <c r="Q67" s="225"/>
    </row>
    <row r="68" spans="1:17" ht="14.25" customHeight="1" x14ac:dyDescent="0.3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5"/>
    </row>
    <row r="69" spans="1:17" ht="14.25" customHeight="1" x14ac:dyDescent="0.3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5"/>
      <c r="Q69" s="225"/>
    </row>
    <row r="70" spans="1:17" ht="14.25" customHeight="1" x14ac:dyDescent="0.3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5"/>
    </row>
    <row r="71" spans="1:17" ht="14.25" customHeight="1" x14ac:dyDescent="0.3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5"/>
      <c r="Q71" s="225"/>
    </row>
    <row r="72" spans="1:17" ht="14.25" customHeight="1" x14ac:dyDescent="0.3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5"/>
    </row>
    <row r="73" spans="1:17" ht="14.25" customHeight="1" x14ac:dyDescent="0.3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5"/>
      <c r="Q73" s="225"/>
    </row>
    <row r="74" spans="1:17" ht="14.25" customHeight="1" x14ac:dyDescent="0.3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5"/>
    </row>
    <row r="75" spans="1:17" ht="14.25" customHeight="1" x14ac:dyDescent="0.3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5"/>
      <c r="Q75" s="225"/>
    </row>
    <row r="76" spans="1:17" ht="14.25" customHeight="1" x14ac:dyDescent="0.3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5"/>
    </row>
    <row r="77" spans="1:17" ht="14.25" customHeight="1" x14ac:dyDescent="0.3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5"/>
      <c r="Q77" s="225"/>
    </row>
    <row r="78" spans="1:17" ht="14.25" customHeight="1" x14ac:dyDescent="0.3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5"/>
      <c r="Q78" s="225"/>
    </row>
    <row r="79" spans="1:17" ht="14.25" customHeight="1" x14ac:dyDescent="0.3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5"/>
      <c r="Q79" s="225"/>
    </row>
    <row r="80" spans="1:17" ht="14.25" customHeight="1" x14ac:dyDescent="0.3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5"/>
      <c r="Q80" s="225"/>
    </row>
    <row r="81" spans="1:17" ht="14.25" customHeight="1" x14ac:dyDescent="0.3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5"/>
      <c r="Q81" s="225"/>
    </row>
    <row r="82" spans="1:17" ht="14.25" customHeight="1" x14ac:dyDescent="0.3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5"/>
      <c r="Q82" s="225"/>
    </row>
    <row r="83" spans="1:17" ht="14.25" customHeight="1" x14ac:dyDescent="0.3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5"/>
      <c r="Q83" s="225"/>
    </row>
    <row r="84" spans="1:17" ht="14.25" customHeight="1" x14ac:dyDescent="0.3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5"/>
      <c r="Q84" s="225"/>
    </row>
    <row r="85" spans="1:17" ht="14.25" customHeight="1" x14ac:dyDescent="0.3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5"/>
      <c r="Q85" s="225"/>
    </row>
    <row r="86" spans="1:17" ht="14.25" customHeight="1" x14ac:dyDescent="0.3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5"/>
      <c r="Q86" s="225"/>
    </row>
    <row r="87" spans="1:17" ht="14.25" customHeight="1" x14ac:dyDescent="0.3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5"/>
      <c r="Q87" s="225"/>
    </row>
    <row r="88" spans="1:17" ht="14.25" customHeight="1" x14ac:dyDescent="0.3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5"/>
      <c r="Q88" s="225"/>
    </row>
    <row r="89" spans="1:17" ht="14.25" customHeight="1" x14ac:dyDescent="0.3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5"/>
      <c r="Q89" s="225"/>
    </row>
    <row r="90" spans="1:17" ht="14.25" customHeight="1" x14ac:dyDescent="0.3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5"/>
      <c r="Q90" s="225"/>
    </row>
    <row r="91" spans="1:17" ht="14.25" customHeight="1" x14ac:dyDescent="0.3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5"/>
      <c r="Q91" s="225"/>
    </row>
    <row r="92" spans="1:17" ht="14.25" customHeight="1" x14ac:dyDescent="0.3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5"/>
      <c r="Q92" s="225"/>
    </row>
    <row r="93" spans="1:17" ht="14.25" customHeight="1" x14ac:dyDescent="0.3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5"/>
      <c r="Q93" s="225"/>
    </row>
    <row r="94" spans="1:17" ht="14.25" customHeight="1" x14ac:dyDescent="0.3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5"/>
      <c r="Q94" s="225"/>
    </row>
    <row r="95" spans="1:17" ht="14.25" customHeight="1" x14ac:dyDescent="0.3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5"/>
      <c r="Q95" s="225"/>
    </row>
    <row r="96" spans="1:17" ht="14.25" customHeight="1" x14ac:dyDescent="0.3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5"/>
      <c r="Q96" s="225"/>
    </row>
    <row r="97" spans="1:17" ht="14.25" customHeight="1" x14ac:dyDescent="0.3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5"/>
      <c r="Q97" s="225"/>
    </row>
    <row r="98" spans="1:17" ht="14.25" customHeight="1" x14ac:dyDescent="0.3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5"/>
      <c r="Q98" s="225"/>
    </row>
    <row r="99" spans="1:17" ht="14.25" customHeight="1" x14ac:dyDescent="0.3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5"/>
      <c r="Q99" s="225"/>
    </row>
    <row r="100" spans="1:17" ht="14.25" customHeight="1" x14ac:dyDescent="0.3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5"/>
      <c r="Q100" s="225"/>
    </row>
    <row r="101" spans="1:17" ht="14.25" customHeight="1" x14ac:dyDescent="0.3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5"/>
      <c r="Q101" s="225"/>
    </row>
    <row r="102" spans="1:17" ht="14.25" customHeight="1" x14ac:dyDescent="0.3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5"/>
      <c r="Q102" s="225"/>
    </row>
    <row r="103" spans="1:17" ht="14.25" customHeight="1" x14ac:dyDescent="0.3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5"/>
      <c r="Q103" s="225"/>
    </row>
    <row r="104" spans="1:17" ht="14.25" customHeight="1" x14ac:dyDescent="0.3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5"/>
      <c r="Q104" s="225"/>
    </row>
    <row r="105" spans="1:17" ht="14.25" customHeight="1" x14ac:dyDescent="0.3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5"/>
      <c r="Q105" s="225"/>
    </row>
    <row r="106" spans="1:17" ht="14.25" customHeight="1" x14ac:dyDescent="0.3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5"/>
      <c r="Q106" s="225"/>
    </row>
    <row r="107" spans="1:17" ht="14.25" customHeight="1" x14ac:dyDescent="0.3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5"/>
      <c r="Q107" s="225"/>
    </row>
    <row r="108" spans="1:17" ht="14.25" customHeight="1" x14ac:dyDescent="0.3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5"/>
      <c r="Q108" s="225"/>
    </row>
    <row r="109" spans="1:17" ht="14.25" customHeight="1" x14ac:dyDescent="0.3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5"/>
      <c r="Q109" s="225"/>
    </row>
    <row r="110" spans="1:17" ht="14.25" customHeight="1" x14ac:dyDescent="0.3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5"/>
      <c r="Q110" s="225"/>
    </row>
    <row r="111" spans="1:17" ht="14.25" customHeight="1" x14ac:dyDescent="0.3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5"/>
      <c r="Q111" s="225"/>
    </row>
    <row r="112" spans="1:17" ht="14.25" customHeight="1" x14ac:dyDescent="0.3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5"/>
      <c r="Q112" s="225"/>
    </row>
    <row r="113" spans="1:17" ht="14.25" customHeight="1" x14ac:dyDescent="0.3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5"/>
      <c r="Q113" s="225"/>
    </row>
    <row r="114" spans="1:17" ht="14.25" customHeight="1" x14ac:dyDescent="0.3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5"/>
      <c r="Q114" s="225"/>
    </row>
    <row r="115" spans="1:17" ht="14.25" customHeight="1" x14ac:dyDescent="0.3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5"/>
      <c r="Q115" s="225"/>
    </row>
    <row r="116" spans="1:17" ht="14.25" customHeight="1" x14ac:dyDescent="0.3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5"/>
      <c r="Q116" s="225"/>
    </row>
    <row r="117" spans="1:17" ht="14.25" customHeight="1" x14ac:dyDescent="0.3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5"/>
      <c r="Q117" s="225"/>
    </row>
    <row r="118" spans="1:17" ht="14.25" customHeight="1" x14ac:dyDescent="0.3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5"/>
      <c r="Q118" s="225"/>
    </row>
    <row r="119" spans="1:17" ht="14.25" customHeight="1" x14ac:dyDescent="0.3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5"/>
      <c r="Q119" s="225"/>
    </row>
    <row r="120" spans="1:17" ht="14.25" customHeight="1" x14ac:dyDescent="0.3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5"/>
      <c r="Q120" s="225"/>
    </row>
    <row r="121" spans="1:17" ht="14.25" customHeight="1" x14ac:dyDescent="0.3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5"/>
      <c r="Q121" s="225"/>
    </row>
    <row r="122" spans="1:17" ht="14.25" customHeight="1" x14ac:dyDescent="0.3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5"/>
      <c r="Q122" s="225"/>
    </row>
    <row r="123" spans="1:17" ht="14.25" customHeight="1" x14ac:dyDescent="0.3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5"/>
      <c r="Q123" s="225"/>
    </row>
    <row r="124" spans="1:17" ht="14.25" customHeight="1" x14ac:dyDescent="0.3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5"/>
      <c r="Q124" s="225"/>
    </row>
    <row r="125" spans="1:17" ht="14.25" customHeight="1" x14ac:dyDescent="0.3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5"/>
      <c r="Q125" s="225"/>
    </row>
    <row r="126" spans="1:17" ht="14.25" customHeight="1" x14ac:dyDescent="0.3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5"/>
      <c r="Q126" s="225"/>
    </row>
    <row r="127" spans="1:17" ht="14.25" customHeight="1" x14ac:dyDescent="0.3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5"/>
      <c r="Q127" s="225"/>
    </row>
    <row r="128" spans="1:17" ht="14.25" customHeight="1" x14ac:dyDescent="0.3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5"/>
      <c r="Q128" s="225"/>
    </row>
    <row r="129" spans="1:17" ht="14.25" customHeight="1" x14ac:dyDescent="0.3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5"/>
      <c r="Q129" s="225"/>
    </row>
    <row r="130" spans="1:17" ht="14.25" customHeight="1" x14ac:dyDescent="0.3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5"/>
      <c r="Q130" s="225"/>
    </row>
    <row r="131" spans="1:17" ht="14.25" customHeight="1" x14ac:dyDescent="0.3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5"/>
      <c r="Q131" s="225"/>
    </row>
    <row r="132" spans="1:17" ht="14.25" customHeight="1" x14ac:dyDescent="0.3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5"/>
      <c r="Q132" s="225"/>
    </row>
    <row r="133" spans="1:17" ht="14.25" customHeight="1" x14ac:dyDescent="0.3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5"/>
      <c r="Q133" s="225"/>
    </row>
    <row r="134" spans="1:17" ht="14.25" customHeight="1" x14ac:dyDescent="0.3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5"/>
      <c r="Q134" s="225"/>
    </row>
    <row r="135" spans="1:17" ht="14.25" customHeight="1" x14ac:dyDescent="0.3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5"/>
      <c r="Q135" s="225"/>
    </row>
    <row r="136" spans="1:17" ht="14.25" customHeight="1" x14ac:dyDescent="0.3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5"/>
      <c r="Q136" s="225"/>
    </row>
    <row r="137" spans="1:17" ht="14.25" customHeight="1" x14ac:dyDescent="0.3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5"/>
      <c r="Q137" s="225"/>
    </row>
    <row r="138" spans="1:17" ht="14.25" customHeight="1" x14ac:dyDescent="0.3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5"/>
      <c r="Q138" s="225"/>
    </row>
    <row r="139" spans="1:17" ht="14.25" customHeight="1" x14ac:dyDescent="0.3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5"/>
      <c r="Q139" s="225"/>
    </row>
    <row r="140" spans="1:17" ht="14.25" customHeight="1" x14ac:dyDescent="0.3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5"/>
      <c r="Q140" s="225"/>
    </row>
    <row r="141" spans="1:17" ht="14.25" customHeight="1" x14ac:dyDescent="0.3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5"/>
      <c r="Q141" s="225"/>
    </row>
    <row r="142" spans="1:17" ht="14.25" customHeight="1" x14ac:dyDescent="0.3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5"/>
      <c r="Q142" s="225"/>
    </row>
    <row r="143" spans="1:17" ht="14.25" customHeight="1" x14ac:dyDescent="0.3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5"/>
      <c r="Q143" s="225"/>
    </row>
    <row r="144" spans="1:17" ht="14.25" customHeight="1" x14ac:dyDescent="0.3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5"/>
      <c r="Q144" s="225"/>
    </row>
    <row r="145" spans="1:17" ht="14.25" customHeight="1" x14ac:dyDescent="0.3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5"/>
      <c r="Q145" s="225"/>
    </row>
    <row r="146" spans="1:17" ht="14.25" customHeight="1" x14ac:dyDescent="0.3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5"/>
      <c r="Q146" s="225"/>
    </row>
    <row r="147" spans="1:17" ht="14.25" customHeight="1" x14ac:dyDescent="0.3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5"/>
      <c r="Q147" s="225"/>
    </row>
    <row r="148" spans="1:17" ht="14.25" customHeight="1" x14ac:dyDescent="0.3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5"/>
      <c r="Q148" s="225"/>
    </row>
    <row r="149" spans="1:17" ht="14.25" customHeight="1" x14ac:dyDescent="0.3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5"/>
      <c r="Q149" s="225"/>
    </row>
    <row r="150" spans="1:17" ht="14.25" customHeight="1" x14ac:dyDescent="0.3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5"/>
      <c r="Q150" s="225"/>
    </row>
    <row r="151" spans="1:17" ht="14.25" customHeight="1" x14ac:dyDescent="0.3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5"/>
      <c r="Q151" s="225"/>
    </row>
    <row r="152" spans="1:17" ht="14.25" customHeight="1" x14ac:dyDescent="0.3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5"/>
      <c r="Q152" s="225"/>
    </row>
    <row r="153" spans="1:17" ht="14.25" customHeight="1" x14ac:dyDescent="0.3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5"/>
      <c r="Q153" s="225"/>
    </row>
    <row r="154" spans="1:17" ht="14.25" customHeight="1" x14ac:dyDescent="0.3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5"/>
      <c r="Q154" s="225"/>
    </row>
    <row r="155" spans="1:17" ht="14.25" customHeight="1" x14ac:dyDescent="0.3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5"/>
      <c r="Q155" s="225"/>
    </row>
    <row r="156" spans="1:17" ht="14.25" customHeight="1" x14ac:dyDescent="0.3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5"/>
      <c r="Q156" s="225"/>
    </row>
    <row r="157" spans="1:17" ht="14.25" customHeight="1" x14ac:dyDescent="0.3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5"/>
      <c r="Q157" s="225"/>
    </row>
    <row r="158" spans="1:17" ht="14.25" customHeight="1" x14ac:dyDescent="0.3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5"/>
      <c r="Q158" s="225"/>
    </row>
    <row r="159" spans="1:17" ht="14.25" customHeight="1" x14ac:dyDescent="0.3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5"/>
      <c r="Q159" s="225"/>
    </row>
    <row r="160" spans="1:17" ht="14.25" customHeight="1" x14ac:dyDescent="0.3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5"/>
      <c r="Q160" s="225"/>
    </row>
    <row r="161" spans="1:17" ht="14.25" customHeight="1" x14ac:dyDescent="0.3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5"/>
      <c r="Q161" s="225"/>
    </row>
    <row r="162" spans="1:17" ht="14.25" customHeight="1" x14ac:dyDescent="0.3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5"/>
      <c r="Q162" s="225"/>
    </row>
    <row r="163" spans="1:17" ht="14.25" customHeight="1" x14ac:dyDescent="0.3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5"/>
      <c r="Q163" s="225"/>
    </row>
    <row r="164" spans="1:17" ht="14.25" customHeight="1" x14ac:dyDescent="0.3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5"/>
      <c r="Q164" s="225"/>
    </row>
    <row r="165" spans="1:17" ht="14.25" customHeight="1" x14ac:dyDescent="0.3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5"/>
      <c r="Q165" s="225"/>
    </row>
    <row r="166" spans="1:17" ht="14.25" customHeight="1" x14ac:dyDescent="0.3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5"/>
      <c r="Q166" s="225"/>
    </row>
    <row r="167" spans="1:17" ht="14.25" customHeight="1" x14ac:dyDescent="0.3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5"/>
      <c r="Q167" s="225"/>
    </row>
    <row r="168" spans="1:17" ht="14.25" customHeight="1" x14ac:dyDescent="0.3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5"/>
      <c r="Q168" s="225"/>
    </row>
    <row r="169" spans="1:17" ht="14.25" customHeight="1" x14ac:dyDescent="0.3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5"/>
      <c r="Q169" s="225"/>
    </row>
    <row r="170" spans="1:17" ht="14.25" customHeight="1" x14ac:dyDescent="0.3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5"/>
      <c r="Q170" s="225"/>
    </row>
    <row r="171" spans="1:17" ht="14.25" customHeight="1" x14ac:dyDescent="0.3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5"/>
      <c r="Q171" s="225"/>
    </row>
    <row r="172" spans="1:17" ht="14.25" customHeight="1" x14ac:dyDescent="0.3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5"/>
      <c r="Q172" s="225"/>
    </row>
    <row r="173" spans="1:17" ht="14.25" customHeight="1" x14ac:dyDescent="0.3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5"/>
      <c r="Q173" s="225"/>
    </row>
    <row r="174" spans="1:17" ht="14.25" customHeight="1" x14ac:dyDescent="0.3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5"/>
      <c r="Q174" s="225"/>
    </row>
    <row r="175" spans="1:17" ht="14.25" customHeight="1" x14ac:dyDescent="0.3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5"/>
      <c r="Q175" s="225"/>
    </row>
    <row r="176" spans="1:17" ht="14.25" customHeight="1" x14ac:dyDescent="0.3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5"/>
      <c r="Q176" s="225"/>
    </row>
    <row r="177" spans="1:17" ht="14.25" customHeight="1" x14ac:dyDescent="0.3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5"/>
      <c r="Q177" s="225"/>
    </row>
    <row r="178" spans="1:17" ht="14.25" customHeight="1" x14ac:dyDescent="0.3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5"/>
      <c r="Q178" s="225"/>
    </row>
    <row r="179" spans="1:17" ht="14.25" customHeight="1" x14ac:dyDescent="0.3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5"/>
      <c r="Q179" s="225"/>
    </row>
    <row r="180" spans="1:17" ht="14.25" customHeight="1" x14ac:dyDescent="0.3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5"/>
      <c r="Q180" s="225"/>
    </row>
    <row r="181" spans="1:17" ht="14.25" customHeight="1" x14ac:dyDescent="0.3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5"/>
      <c r="Q181" s="225"/>
    </row>
    <row r="182" spans="1:17" ht="14.25" customHeight="1" x14ac:dyDescent="0.3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5"/>
      <c r="Q182" s="225"/>
    </row>
    <row r="183" spans="1:17" ht="14.25" customHeight="1" x14ac:dyDescent="0.3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5"/>
      <c r="Q183" s="225"/>
    </row>
    <row r="184" spans="1:17" ht="14.25" customHeight="1" x14ac:dyDescent="0.3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5"/>
      <c r="Q184" s="225"/>
    </row>
    <row r="185" spans="1:17" ht="14.25" customHeight="1" x14ac:dyDescent="0.3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5"/>
      <c r="Q185" s="225"/>
    </row>
    <row r="186" spans="1:17" ht="14.25" customHeight="1" x14ac:dyDescent="0.3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5"/>
      <c r="Q186" s="225"/>
    </row>
    <row r="187" spans="1:17" ht="14.25" customHeight="1" x14ac:dyDescent="0.3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5"/>
      <c r="Q187" s="225"/>
    </row>
    <row r="188" spans="1:17" ht="14.25" customHeight="1" x14ac:dyDescent="0.3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5"/>
      <c r="Q188" s="225"/>
    </row>
    <row r="189" spans="1:17" ht="14.25" customHeight="1" x14ac:dyDescent="0.3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5"/>
      <c r="Q189" s="225"/>
    </row>
    <row r="190" spans="1:17" ht="14.25" customHeight="1" x14ac:dyDescent="0.3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5"/>
      <c r="Q190" s="225"/>
    </row>
    <row r="191" spans="1:17" ht="14.25" customHeight="1" x14ac:dyDescent="0.3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5"/>
      <c r="Q191" s="225"/>
    </row>
    <row r="192" spans="1:17" ht="14.25" customHeight="1" x14ac:dyDescent="0.3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5"/>
      <c r="Q192" s="225"/>
    </row>
    <row r="193" spans="1:17" ht="14.25" customHeight="1" x14ac:dyDescent="0.3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5"/>
      <c r="Q193" s="225"/>
    </row>
    <row r="194" spans="1:17" ht="14.25" customHeight="1" x14ac:dyDescent="0.3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5"/>
      <c r="Q194" s="225"/>
    </row>
    <row r="195" spans="1:17" ht="14.25" customHeight="1" x14ac:dyDescent="0.3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5"/>
      <c r="Q195" s="225"/>
    </row>
    <row r="196" spans="1:17" ht="14.25" customHeight="1" x14ac:dyDescent="0.3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5"/>
      <c r="Q196" s="225"/>
    </row>
    <row r="197" spans="1:17" ht="14.25" customHeight="1" x14ac:dyDescent="0.3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5"/>
      <c r="Q197" s="225"/>
    </row>
    <row r="198" spans="1:17" ht="14.25" customHeight="1" x14ac:dyDescent="0.3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5"/>
      <c r="Q198" s="225"/>
    </row>
    <row r="199" spans="1:17" ht="14.25" customHeight="1" x14ac:dyDescent="0.3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5"/>
      <c r="Q199" s="225"/>
    </row>
    <row r="200" spans="1:17" ht="14.25" customHeight="1" x14ac:dyDescent="0.3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5"/>
      <c r="Q200" s="225"/>
    </row>
    <row r="201" spans="1:17" ht="14.25" customHeight="1" x14ac:dyDescent="0.3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5"/>
      <c r="Q201" s="225"/>
    </row>
    <row r="202" spans="1:17" ht="14.25" customHeight="1" x14ac:dyDescent="0.3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5"/>
      <c r="Q202" s="225"/>
    </row>
    <row r="203" spans="1:17" ht="14.25" customHeight="1" x14ac:dyDescent="0.3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5"/>
      <c r="Q203" s="225"/>
    </row>
    <row r="204" spans="1:17" ht="14.25" customHeight="1" x14ac:dyDescent="0.3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5"/>
      <c r="Q204" s="225"/>
    </row>
    <row r="205" spans="1:17" ht="14.25" customHeight="1" x14ac:dyDescent="0.3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5"/>
      <c r="Q205" s="225"/>
    </row>
    <row r="206" spans="1:17" ht="14.25" customHeight="1" x14ac:dyDescent="0.3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5"/>
      <c r="Q206" s="225"/>
    </row>
    <row r="207" spans="1:17" ht="14.25" customHeight="1" x14ac:dyDescent="0.3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5"/>
      <c r="Q207" s="225"/>
    </row>
    <row r="208" spans="1:17" ht="14.25" customHeight="1" x14ac:dyDescent="0.3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5"/>
      <c r="Q208" s="225"/>
    </row>
    <row r="209" spans="1:17" ht="14.25" customHeight="1" x14ac:dyDescent="0.3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5"/>
      <c r="Q209" s="225"/>
    </row>
    <row r="210" spans="1:17" ht="14.25" customHeight="1" x14ac:dyDescent="0.3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5"/>
      <c r="Q210" s="225"/>
    </row>
    <row r="211" spans="1:17" ht="14.25" customHeight="1" x14ac:dyDescent="0.3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5"/>
      <c r="Q211" s="225"/>
    </row>
    <row r="212" spans="1:17" ht="14.25" customHeight="1" x14ac:dyDescent="0.3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5"/>
      <c r="Q212" s="225"/>
    </row>
    <row r="213" spans="1:17" ht="14.25" customHeight="1" x14ac:dyDescent="0.3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5"/>
      <c r="Q213" s="225"/>
    </row>
    <row r="214" spans="1:17" ht="14.25" customHeight="1" x14ac:dyDescent="0.3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5"/>
      <c r="Q214" s="225"/>
    </row>
    <row r="215" spans="1:17" ht="14.25" customHeight="1" x14ac:dyDescent="0.3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5"/>
      <c r="Q215" s="225"/>
    </row>
    <row r="216" spans="1:17" ht="14.25" customHeight="1" x14ac:dyDescent="0.3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5"/>
      <c r="Q216" s="225"/>
    </row>
    <row r="217" spans="1:17" ht="14.25" customHeight="1" x14ac:dyDescent="0.3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5"/>
      <c r="Q217" s="225"/>
    </row>
    <row r="218" spans="1:17" ht="14.25" customHeight="1" x14ac:dyDescent="0.3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5"/>
      <c r="Q218" s="225"/>
    </row>
    <row r="219" spans="1:17" ht="14.25" customHeight="1" x14ac:dyDescent="0.3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5"/>
      <c r="Q219" s="225"/>
    </row>
    <row r="220" spans="1:17" ht="14.25" customHeight="1" x14ac:dyDescent="0.3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5"/>
      <c r="Q220" s="225"/>
    </row>
    <row r="221" spans="1:17" ht="14.25" customHeight="1" x14ac:dyDescent="0.3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5"/>
      <c r="Q221" s="225"/>
    </row>
    <row r="222" spans="1:17" ht="14.25" customHeight="1" x14ac:dyDescent="0.3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5"/>
      <c r="Q222" s="225"/>
    </row>
    <row r="223" spans="1:17" ht="14.25" customHeight="1" x14ac:dyDescent="0.3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5"/>
      <c r="Q223" s="225"/>
    </row>
    <row r="224" spans="1:17" ht="14.25" customHeight="1" x14ac:dyDescent="0.3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5"/>
      <c r="Q224" s="225"/>
    </row>
    <row r="225" spans="1:17" ht="14.25" customHeight="1" x14ac:dyDescent="0.3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5"/>
      <c r="Q225" s="225"/>
    </row>
    <row r="226" spans="1:17" ht="14.25" customHeight="1" x14ac:dyDescent="0.3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5"/>
      <c r="Q226" s="225"/>
    </row>
    <row r="227" spans="1:17" ht="14.25" customHeight="1" x14ac:dyDescent="0.3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5"/>
      <c r="Q227" s="225"/>
    </row>
    <row r="228" spans="1:17" ht="14.25" customHeight="1" x14ac:dyDescent="0.3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5"/>
      <c r="Q228" s="225"/>
    </row>
    <row r="229" spans="1:17" ht="14.25" customHeight="1" x14ac:dyDescent="0.3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5"/>
      <c r="Q229" s="225"/>
    </row>
    <row r="230" spans="1:17" ht="14.25" customHeight="1" x14ac:dyDescent="0.3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5"/>
      <c r="Q230" s="225"/>
    </row>
    <row r="231" spans="1:17" ht="14.25" customHeight="1" x14ac:dyDescent="0.3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5"/>
      <c r="Q231" s="225"/>
    </row>
    <row r="232" spans="1:17" ht="14.25" customHeight="1" x14ac:dyDescent="0.3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5"/>
      <c r="Q232" s="225"/>
    </row>
    <row r="233" spans="1:17" ht="14.25" customHeight="1" x14ac:dyDescent="0.3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5"/>
      <c r="Q233" s="225"/>
    </row>
    <row r="234" spans="1:17" ht="14.25" customHeight="1" x14ac:dyDescent="0.3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5"/>
      <c r="Q234" s="225"/>
    </row>
    <row r="235" spans="1:17" ht="14.25" customHeight="1" x14ac:dyDescent="0.3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5"/>
      <c r="Q235" s="225"/>
    </row>
    <row r="236" spans="1:17" ht="14.25" customHeight="1" x14ac:dyDescent="0.3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5"/>
      <c r="Q236" s="225"/>
    </row>
    <row r="237" spans="1:17" ht="14.25" customHeight="1" x14ac:dyDescent="0.3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5"/>
      <c r="Q237" s="225"/>
    </row>
    <row r="238" spans="1:17" ht="14.25" customHeight="1" x14ac:dyDescent="0.3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5"/>
      <c r="Q238" s="225"/>
    </row>
    <row r="239" spans="1:17" ht="14.25" customHeight="1" x14ac:dyDescent="0.3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5"/>
      <c r="Q239" s="225"/>
    </row>
    <row r="240" spans="1:17" ht="14.25" customHeight="1" x14ac:dyDescent="0.3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5"/>
      <c r="Q240" s="225"/>
    </row>
    <row r="241" spans="1:17" ht="14.25" customHeight="1" x14ac:dyDescent="0.3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5"/>
      <c r="Q241" s="225"/>
    </row>
    <row r="242" spans="1:17" ht="14.25" customHeight="1" x14ac:dyDescent="0.3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5"/>
      <c r="Q242" s="225"/>
    </row>
    <row r="243" spans="1:17" ht="14.25" customHeight="1" x14ac:dyDescent="0.3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5"/>
      <c r="Q243" s="225"/>
    </row>
    <row r="244" spans="1:17" ht="14.25" customHeight="1" x14ac:dyDescent="0.3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5"/>
      <c r="Q244" s="225"/>
    </row>
    <row r="245" spans="1:17" ht="14.25" customHeight="1" x14ac:dyDescent="0.3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5"/>
      <c r="Q245" s="225"/>
    </row>
    <row r="246" spans="1:17" ht="14.25" customHeight="1" x14ac:dyDescent="0.3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5"/>
      <c r="Q246" s="225"/>
    </row>
    <row r="247" spans="1:17" ht="14.25" customHeight="1" x14ac:dyDescent="0.3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5"/>
      <c r="Q247" s="225"/>
    </row>
    <row r="248" spans="1:17" ht="14.25" customHeight="1" x14ac:dyDescent="0.3">
      <c r="P248" s="225"/>
      <c r="Q248" s="225"/>
    </row>
    <row r="249" spans="1:17" ht="14.25" customHeight="1" x14ac:dyDescent="0.3">
      <c r="P249" s="225"/>
      <c r="Q249" s="225"/>
    </row>
    <row r="250" spans="1:17" ht="14.25" customHeight="1" x14ac:dyDescent="0.3">
      <c r="P250" s="225"/>
      <c r="Q250" s="225"/>
    </row>
    <row r="251" spans="1:17" ht="14.25" customHeight="1" x14ac:dyDescent="0.3">
      <c r="P251" s="225"/>
      <c r="Q251" s="225"/>
    </row>
    <row r="252" spans="1:17" ht="14.25" customHeight="1" x14ac:dyDescent="0.3">
      <c r="P252" s="225"/>
      <c r="Q252" s="225"/>
    </row>
    <row r="253" spans="1:17" ht="14.25" customHeight="1" x14ac:dyDescent="0.3">
      <c r="P253" s="225"/>
      <c r="Q253" s="225"/>
    </row>
    <row r="254" spans="1:17" ht="14.25" customHeight="1" x14ac:dyDescent="0.3">
      <c r="P254" s="225"/>
      <c r="Q254" s="225"/>
    </row>
    <row r="255" spans="1:17" ht="14.25" customHeight="1" x14ac:dyDescent="0.3">
      <c r="P255" s="225"/>
      <c r="Q255" s="225"/>
    </row>
    <row r="256" spans="1:17" ht="14.25" customHeight="1" x14ac:dyDescent="0.3">
      <c r="P256" s="225"/>
      <c r="Q256" s="225"/>
    </row>
    <row r="257" spans="16:17" ht="14.25" customHeight="1" x14ac:dyDescent="0.3">
      <c r="P257" s="225"/>
      <c r="Q257" s="225"/>
    </row>
    <row r="258" spans="16:17" ht="14.25" customHeight="1" x14ac:dyDescent="0.3">
      <c r="P258" s="225"/>
      <c r="Q258" s="225"/>
    </row>
    <row r="259" spans="16:17" ht="14.25" customHeight="1" x14ac:dyDescent="0.3">
      <c r="P259" s="225"/>
      <c r="Q259" s="225"/>
    </row>
    <row r="260" spans="16:17" ht="14.25" customHeight="1" x14ac:dyDescent="0.3">
      <c r="P260" s="225"/>
      <c r="Q260" s="225"/>
    </row>
    <row r="261" spans="16:17" ht="14.25" customHeight="1" x14ac:dyDescent="0.3">
      <c r="P261" s="225"/>
      <c r="Q261" s="225"/>
    </row>
    <row r="262" spans="16:17" ht="14.25" customHeight="1" x14ac:dyDescent="0.3">
      <c r="P262" s="225"/>
      <c r="Q262" s="225"/>
    </row>
    <row r="263" spans="16:17" ht="14.25" customHeight="1" x14ac:dyDescent="0.3">
      <c r="P263" s="225"/>
      <c r="Q263" s="225"/>
    </row>
    <row r="264" spans="16:17" ht="14.25" customHeight="1" x14ac:dyDescent="0.3">
      <c r="P264" s="225"/>
      <c r="Q264" s="225"/>
    </row>
    <row r="265" spans="16:17" ht="14.25" customHeight="1" x14ac:dyDescent="0.3">
      <c r="P265" s="225"/>
      <c r="Q265" s="225"/>
    </row>
    <row r="266" spans="16:17" ht="14.25" customHeight="1" x14ac:dyDescent="0.3">
      <c r="P266" s="225"/>
      <c r="Q266" s="225"/>
    </row>
    <row r="267" spans="16:17" ht="14.25" customHeight="1" x14ac:dyDescent="0.3">
      <c r="P267" s="225"/>
      <c r="Q267" s="225"/>
    </row>
    <row r="268" spans="16:17" ht="14.25" customHeight="1" x14ac:dyDescent="0.3">
      <c r="P268" s="225"/>
      <c r="Q268" s="225"/>
    </row>
    <row r="269" spans="16:17" ht="14.25" customHeight="1" x14ac:dyDescent="0.3">
      <c r="P269" s="225"/>
      <c r="Q269" s="225"/>
    </row>
    <row r="270" spans="16:17" ht="14.25" customHeight="1" x14ac:dyDescent="0.3">
      <c r="P270" s="225"/>
      <c r="Q270" s="225"/>
    </row>
    <row r="271" spans="16:17" ht="14.25" customHeight="1" x14ac:dyDescent="0.3">
      <c r="P271" s="225"/>
      <c r="Q271" s="225"/>
    </row>
    <row r="272" spans="16:17" ht="14.25" customHeight="1" x14ac:dyDescent="0.3">
      <c r="P272" s="225"/>
      <c r="Q272" s="225"/>
    </row>
    <row r="273" spans="16:17" ht="14.25" customHeight="1" x14ac:dyDescent="0.3">
      <c r="P273" s="225"/>
      <c r="Q273" s="225"/>
    </row>
    <row r="274" spans="16:17" ht="14.25" customHeight="1" x14ac:dyDescent="0.3">
      <c r="P274" s="225"/>
      <c r="Q274" s="225"/>
    </row>
    <row r="275" spans="16:17" ht="14.25" customHeight="1" x14ac:dyDescent="0.3">
      <c r="P275" s="225"/>
      <c r="Q275" s="225"/>
    </row>
    <row r="276" spans="16:17" ht="14.25" customHeight="1" x14ac:dyDescent="0.3">
      <c r="P276" s="225"/>
      <c r="Q276" s="225"/>
    </row>
    <row r="277" spans="16:17" ht="14.25" customHeight="1" x14ac:dyDescent="0.3">
      <c r="P277" s="225"/>
      <c r="Q277" s="225"/>
    </row>
    <row r="278" spans="16:17" ht="14.25" customHeight="1" x14ac:dyDescent="0.3">
      <c r="P278" s="225"/>
      <c r="Q278" s="225"/>
    </row>
    <row r="279" spans="16:17" ht="14.25" customHeight="1" x14ac:dyDescent="0.3">
      <c r="P279" s="225"/>
      <c r="Q279" s="225"/>
    </row>
    <row r="280" spans="16:17" ht="14.25" customHeight="1" x14ac:dyDescent="0.3">
      <c r="P280" s="225"/>
      <c r="Q280" s="225"/>
    </row>
    <row r="281" spans="16:17" ht="14.25" customHeight="1" x14ac:dyDescent="0.3">
      <c r="P281" s="225"/>
      <c r="Q281" s="225"/>
    </row>
    <row r="282" spans="16:17" ht="14.25" customHeight="1" x14ac:dyDescent="0.3">
      <c r="P282" s="225"/>
      <c r="Q282" s="225"/>
    </row>
    <row r="283" spans="16:17" ht="14.25" customHeight="1" x14ac:dyDescent="0.3">
      <c r="P283" s="225"/>
      <c r="Q283" s="225"/>
    </row>
    <row r="284" spans="16:17" ht="14.25" customHeight="1" x14ac:dyDescent="0.3">
      <c r="P284" s="225"/>
      <c r="Q284" s="225"/>
    </row>
    <row r="285" spans="16:17" ht="14.25" customHeight="1" x14ac:dyDescent="0.3">
      <c r="P285" s="225"/>
      <c r="Q285" s="225"/>
    </row>
    <row r="286" spans="16:17" ht="14.25" customHeight="1" x14ac:dyDescent="0.3">
      <c r="P286" s="225"/>
      <c r="Q286" s="225"/>
    </row>
    <row r="287" spans="16:17" ht="14.25" customHeight="1" x14ac:dyDescent="0.3">
      <c r="P287" s="225"/>
      <c r="Q287" s="225"/>
    </row>
    <row r="288" spans="16:17" ht="14.25" customHeight="1" x14ac:dyDescent="0.3">
      <c r="P288" s="225"/>
      <c r="Q288" s="225"/>
    </row>
    <row r="289" spans="16:17" ht="14.25" customHeight="1" x14ac:dyDescent="0.3">
      <c r="P289" s="225"/>
      <c r="Q289" s="225"/>
    </row>
    <row r="290" spans="16:17" ht="14.25" customHeight="1" x14ac:dyDescent="0.3">
      <c r="P290" s="225"/>
      <c r="Q290" s="225"/>
    </row>
    <row r="291" spans="16:17" ht="14.25" customHeight="1" x14ac:dyDescent="0.3">
      <c r="P291" s="225"/>
      <c r="Q291" s="225"/>
    </row>
    <row r="292" spans="16:17" ht="14.25" customHeight="1" x14ac:dyDescent="0.3">
      <c r="P292" s="225"/>
      <c r="Q292" s="225"/>
    </row>
    <row r="293" spans="16:17" ht="14.25" customHeight="1" x14ac:dyDescent="0.3">
      <c r="P293" s="225"/>
      <c r="Q293" s="225"/>
    </row>
    <row r="294" spans="16:17" ht="14.25" customHeight="1" x14ac:dyDescent="0.3">
      <c r="P294" s="225"/>
      <c r="Q294" s="225"/>
    </row>
    <row r="295" spans="16:17" ht="14.25" customHeight="1" x14ac:dyDescent="0.3">
      <c r="P295" s="225"/>
      <c r="Q295" s="225"/>
    </row>
    <row r="296" spans="16:17" ht="14.25" customHeight="1" x14ac:dyDescent="0.3">
      <c r="P296" s="225"/>
      <c r="Q296" s="225"/>
    </row>
    <row r="297" spans="16:17" ht="14.25" customHeight="1" x14ac:dyDescent="0.3">
      <c r="P297" s="225"/>
      <c r="Q297" s="225"/>
    </row>
    <row r="298" spans="16:17" ht="14.25" customHeight="1" x14ac:dyDescent="0.3">
      <c r="P298" s="225"/>
      <c r="Q298" s="225"/>
    </row>
    <row r="299" spans="16:17" ht="14.25" customHeight="1" x14ac:dyDescent="0.3">
      <c r="P299" s="225"/>
      <c r="Q299" s="225"/>
    </row>
    <row r="300" spans="16:17" ht="14.25" customHeight="1" x14ac:dyDescent="0.3">
      <c r="P300" s="225"/>
      <c r="Q300" s="225"/>
    </row>
    <row r="301" spans="16:17" ht="14.25" customHeight="1" x14ac:dyDescent="0.3">
      <c r="P301" s="225"/>
      <c r="Q301" s="225"/>
    </row>
    <row r="302" spans="16:17" ht="14.25" customHeight="1" x14ac:dyDescent="0.3">
      <c r="P302" s="225"/>
      <c r="Q302" s="225"/>
    </row>
    <row r="303" spans="16:17" ht="14.25" customHeight="1" x14ac:dyDescent="0.3">
      <c r="P303" s="225"/>
      <c r="Q303" s="225"/>
    </row>
    <row r="304" spans="16:17" ht="14.25" customHeight="1" x14ac:dyDescent="0.3">
      <c r="P304" s="225"/>
      <c r="Q304" s="225"/>
    </row>
    <row r="305" spans="16:17" ht="14.25" customHeight="1" x14ac:dyDescent="0.3">
      <c r="P305" s="225"/>
      <c r="Q305" s="225"/>
    </row>
    <row r="306" spans="16:17" ht="14.25" customHeight="1" x14ac:dyDescent="0.3">
      <c r="P306" s="225"/>
      <c r="Q306" s="225"/>
    </row>
    <row r="307" spans="16:17" ht="14.25" customHeight="1" x14ac:dyDescent="0.3">
      <c r="P307" s="225"/>
      <c r="Q307" s="225"/>
    </row>
    <row r="308" spans="16:17" ht="14.25" customHeight="1" x14ac:dyDescent="0.3">
      <c r="P308" s="225"/>
      <c r="Q308" s="225"/>
    </row>
    <row r="309" spans="16:17" ht="14.25" customHeight="1" x14ac:dyDescent="0.3">
      <c r="P309" s="225"/>
      <c r="Q309" s="225"/>
    </row>
    <row r="310" spans="16:17" ht="14.25" customHeight="1" x14ac:dyDescent="0.3">
      <c r="P310" s="225"/>
      <c r="Q310" s="225"/>
    </row>
    <row r="311" spans="16:17" ht="14.25" customHeight="1" x14ac:dyDescent="0.3">
      <c r="P311" s="225"/>
      <c r="Q311" s="225"/>
    </row>
    <row r="312" spans="16:17" ht="14.25" customHeight="1" x14ac:dyDescent="0.3">
      <c r="P312" s="225"/>
      <c r="Q312" s="225"/>
    </row>
    <row r="313" spans="16:17" ht="14.25" customHeight="1" x14ac:dyDescent="0.3">
      <c r="P313" s="225"/>
      <c r="Q313" s="225"/>
    </row>
    <row r="314" spans="16:17" ht="14.25" customHeight="1" x14ac:dyDescent="0.3">
      <c r="P314" s="225"/>
      <c r="Q314" s="225"/>
    </row>
    <row r="315" spans="16:17" ht="14.25" customHeight="1" x14ac:dyDescent="0.3">
      <c r="P315" s="225"/>
      <c r="Q315" s="225"/>
    </row>
    <row r="316" spans="16:17" ht="14.25" customHeight="1" x14ac:dyDescent="0.3">
      <c r="P316" s="225"/>
      <c r="Q316" s="225"/>
    </row>
    <row r="317" spans="16:17" ht="14.25" customHeight="1" x14ac:dyDescent="0.3">
      <c r="P317" s="225"/>
      <c r="Q317" s="225"/>
    </row>
    <row r="318" spans="16:17" ht="14.25" customHeight="1" x14ac:dyDescent="0.3">
      <c r="P318" s="225"/>
      <c r="Q318" s="225"/>
    </row>
    <row r="319" spans="16:17" ht="14.25" customHeight="1" x14ac:dyDescent="0.3">
      <c r="P319" s="225"/>
      <c r="Q319" s="225"/>
    </row>
    <row r="320" spans="16:17" ht="14.25" customHeight="1" x14ac:dyDescent="0.3">
      <c r="P320" s="225"/>
      <c r="Q320" s="225"/>
    </row>
    <row r="321" spans="16:17" ht="14.25" customHeight="1" x14ac:dyDescent="0.3">
      <c r="P321" s="225"/>
      <c r="Q321" s="225"/>
    </row>
    <row r="322" spans="16:17" ht="14.25" customHeight="1" x14ac:dyDescent="0.3">
      <c r="P322" s="225"/>
      <c r="Q322" s="225"/>
    </row>
    <row r="323" spans="16:17" ht="14.25" customHeight="1" x14ac:dyDescent="0.3">
      <c r="P323" s="225"/>
      <c r="Q323" s="225"/>
    </row>
    <row r="324" spans="16:17" ht="14.25" customHeight="1" x14ac:dyDescent="0.3">
      <c r="P324" s="225"/>
      <c r="Q324" s="225"/>
    </row>
    <row r="325" spans="16:17" ht="14.25" customHeight="1" x14ac:dyDescent="0.3">
      <c r="P325" s="225"/>
      <c r="Q325" s="225"/>
    </row>
    <row r="326" spans="16:17" ht="14.25" customHeight="1" x14ac:dyDescent="0.3">
      <c r="P326" s="225"/>
      <c r="Q326" s="225"/>
    </row>
    <row r="327" spans="16:17" ht="14.25" customHeight="1" x14ac:dyDescent="0.3">
      <c r="P327" s="225"/>
      <c r="Q327" s="225"/>
    </row>
    <row r="328" spans="16:17" ht="14.25" customHeight="1" x14ac:dyDescent="0.3">
      <c r="P328" s="225"/>
      <c r="Q328" s="225"/>
    </row>
    <row r="329" spans="16:17" ht="14.25" customHeight="1" x14ac:dyDescent="0.3">
      <c r="P329" s="225"/>
      <c r="Q329" s="225"/>
    </row>
    <row r="330" spans="16:17" ht="14.25" customHeight="1" x14ac:dyDescent="0.3">
      <c r="P330" s="225"/>
      <c r="Q330" s="225"/>
    </row>
    <row r="331" spans="16:17" ht="14.25" customHeight="1" x14ac:dyDescent="0.3">
      <c r="P331" s="225"/>
      <c r="Q331" s="225"/>
    </row>
    <row r="332" spans="16:17" ht="14.25" customHeight="1" x14ac:dyDescent="0.3">
      <c r="P332" s="225"/>
      <c r="Q332" s="225"/>
    </row>
    <row r="333" spans="16:17" ht="14.25" customHeight="1" x14ac:dyDescent="0.3">
      <c r="P333" s="225"/>
      <c r="Q333" s="225"/>
    </row>
    <row r="334" spans="16:17" ht="14.25" customHeight="1" x14ac:dyDescent="0.3">
      <c r="P334" s="225"/>
      <c r="Q334" s="225"/>
    </row>
    <row r="335" spans="16:17" ht="14.25" customHeight="1" x14ac:dyDescent="0.3">
      <c r="P335" s="225"/>
      <c r="Q335" s="225"/>
    </row>
    <row r="336" spans="16:17" ht="14.25" customHeight="1" x14ac:dyDescent="0.3">
      <c r="P336" s="225"/>
      <c r="Q336" s="225"/>
    </row>
    <row r="337" spans="16:17" ht="14.25" customHeight="1" x14ac:dyDescent="0.3">
      <c r="P337" s="225"/>
      <c r="Q337" s="225"/>
    </row>
    <row r="338" spans="16:17" ht="14.25" customHeight="1" x14ac:dyDescent="0.3">
      <c r="P338" s="225"/>
      <c r="Q338" s="225"/>
    </row>
    <row r="339" spans="16:17" ht="14.25" customHeight="1" x14ac:dyDescent="0.3">
      <c r="P339" s="225"/>
      <c r="Q339" s="225"/>
    </row>
    <row r="340" spans="16:17" ht="14.25" customHeight="1" x14ac:dyDescent="0.3">
      <c r="P340" s="225"/>
      <c r="Q340" s="225"/>
    </row>
    <row r="341" spans="16:17" ht="14.25" customHeight="1" x14ac:dyDescent="0.3">
      <c r="P341" s="225"/>
      <c r="Q341" s="225"/>
    </row>
    <row r="342" spans="16:17" ht="14.25" customHeight="1" x14ac:dyDescent="0.3">
      <c r="P342" s="225"/>
      <c r="Q342" s="225"/>
    </row>
    <row r="343" spans="16:17" ht="14.25" customHeight="1" x14ac:dyDescent="0.3">
      <c r="P343" s="225"/>
      <c r="Q343" s="225"/>
    </row>
    <row r="344" spans="16:17" ht="14.25" customHeight="1" x14ac:dyDescent="0.3">
      <c r="P344" s="225"/>
      <c r="Q344" s="225"/>
    </row>
    <row r="345" spans="16:17" ht="14.25" customHeight="1" x14ac:dyDescent="0.3">
      <c r="P345" s="225"/>
      <c r="Q345" s="225"/>
    </row>
    <row r="346" spans="16:17" ht="14.25" customHeight="1" x14ac:dyDescent="0.3">
      <c r="P346" s="225"/>
      <c r="Q346" s="225"/>
    </row>
    <row r="347" spans="16:17" ht="14.25" customHeight="1" x14ac:dyDescent="0.3">
      <c r="P347" s="225"/>
      <c r="Q347" s="225"/>
    </row>
    <row r="348" spans="16:17" ht="14.25" customHeight="1" x14ac:dyDescent="0.3">
      <c r="P348" s="225"/>
      <c r="Q348" s="225"/>
    </row>
    <row r="349" spans="16:17" ht="14.25" customHeight="1" x14ac:dyDescent="0.3">
      <c r="P349" s="225"/>
      <c r="Q349" s="225"/>
    </row>
    <row r="350" spans="16:17" ht="14.25" customHeight="1" x14ac:dyDescent="0.3">
      <c r="P350" s="225"/>
      <c r="Q350" s="225"/>
    </row>
    <row r="351" spans="16:17" ht="14.25" customHeight="1" x14ac:dyDescent="0.3">
      <c r="P351" s="225"/>
      <c r="Q351" s="225"/>
    </row>
    <row r="352" spans="16:17" ht="14.25" customHeight="1" x14ac:dyDescent="0.3">
      <c r="P352" s="225"/>
      <c r="Q352" s="225"/>
    </row>
    <row r="353" spans="16:17" ht="14.25" customHeight="1" x14ac:dyDescent="0.3">
      <c r="P353" s="225"/>
      <c r="Q353" s="225"/>
    </row>
    <row r="354" spans="16:17" ht="14.25" customHeight="1" x14ac:dyDescent="0.3">
      <c r="P354" s="225"/>
      <c r="Q354" s="225"/>
    </row>
    <row r="355" spans="16:17" ht="14.25" customHeight="1" x14ac:dyDescent="0.3">
      <c r="P355" s="225"/>
      <c r="Q355" s="225"/>
    </row>
    <row r="356" spans="16:17" ht="14.25" customHeight="1" x14ac:dyDescent="0.3">
      <c r="P356" s="225"/>
      <c r="Q356" s="225"/>
    </row>
    <row r="357" spans="16:17" ht="14.25" customHeight="1" x14ac:dyDescent="0.3">
      <c r="P357" s="225"/>
      <c r="Q357" s="225"/>
    </row>
    <row r="358" spans="16:17" ht="14.25" customHeight="1" x14ac:dyDescent="0.3">
      <c r="P358" s="225"/>
      <c r="Q358" s="225"/>
    </row>
    <row r="359" spans="16:17" ht="14.25" customHeight="1" x14ac:dyDescent="0.3">
      <c r="P359" s="225"/>
      <c r="Q359" s="225"/>
    </row>
    <row r="360" spans="16:17" ht="14.25" customHeight="1" x14ac:dyDescent="0.3">
      <c r="P360" s="225"/>
      <c r="Q360" s="225"/>
    </row>
    <row r="361" spans="16:17" ht="14.25" customHeight="1" x14ac:dyDescent="0.3">
      <c r="P361" s="225"/>
      <c r="Q361" s="225"/>
    </row>
    <row r="362" spans="16:17" ht="14.25" customHeight="1" x14ac:dyDescent="0.3">
      <c r="P362" s="225"/>
      <c r="Q362" s="225"/>
    </row>
    <row r="363" spans="16:17" ht="14.25" customHeight="1" x14ac:dyDescent="0.3">
      <c r="P363" s="225"/>
      <c r="Q363" s="225"/>
    </row>
    <row r="364" spans="16:17" ht="14.25" customHeight="1" x14ac:dyDescent="0.3">
      <c r="P364" s="225"/>
      <c r="Q364" s="225"/>
    </row>
    <row r="365" spans="16:17" ht="14.25" customHeight="1" x14ac:dyDescent="0.3">
      <c r="P365" s="225"/>
      <c r="Q365" s="225"/>
    </row>
    <row r="366" spans="16:17" ht="14.25" customHeight="1" x14ac:dyDescent="0.3">
      <c r="P366" s="225"/>
      <c r="Q366" s="225"/>
    </row>
    <row r="367" spans="16:17" ht="14.25" customHeight="1" x14ac:dyDescent="0.3">
      <c r="P367" s="225"/>
      <c r="Q367" s="225"/>
    </row>
    <row r="368" spans="16:17" ht="14.25" customHeight="1" x14ac:dyDescent="0.3">
      <c r="P368" s="225"/>
      <c r="Q368" s="225"/>
    </row>
    <row r="369" spans="16:17" ht="14.25" customHeight="1" x14ac:dyDescent="0.3">
      <c r="P369" s="225"/>
      <c r="Q369" s="225"/>
    </row>
    <row r="370" spans="16:17" ht="14.25" customHeight="1" x14ac:dyDescent="0.3">
      <c r="P370" s="225"/>
      <c r="Q370" s="225"/>
    </row>
    <row r="371" spans="16:17" ht="14.25" customHeight="1" x14ac:dyDescent="0.3">
      <c r="P371" s="225"/>
      <c r="Q371" s="225"/>
    </row>
    <row r="372" spans="16:17" ht="14.25" customHeight="1" x14ac:dyDescent="0.3">
      <c r="P372" s="225"/>
      <c r="Q372" s="225"/>
    </row>
    <row r="373" spans="16:17" ht="14.25" customHeight="1" x14ac:dyDescent="0.3">
      <c r="P373" s="225"/>
      <c r="Q373" s="225"/>
    </row>
    <row r="374" spans="16:17" ht="14.25" customHeight="1" x14ac:dyDescent="0.3">
      <c r="P374" s="225"/>
      <c r="Q374" s="225"/>
    </row>
    <row r="375" spans="16:17" ht="14.25" customHeight="1" x14ac:dyDescent="0.3">
      <c r="P375" s="225"/>
      <c r="Q375" s="225"/>
    </row>
    <row r="376" spans="16:17" ht="14.25" customHeight="1" x14ac:dyDescent="0.3">
      <c r="P376" s="225"/>
      <c r="Q376" s="225"/>
    </row>
    <row r="377" spans="16:17" ht="14.25" customHeight="1" x14ac:dyDescent="0.3">
      <c r="P377" s="225"/>
      <c r="Q377" s="225"/>
    </row>
    <row r="378" spans="16:17" ht="14.25" customHeight="1" x14ac:dyDescent="0.3">
      <c r="P378" s="225"/>
      <c r="Q378" s="225"/>
    </row>
    <row r="379" spans="16:17" ht="14.25" customHeight="1" x14ac:dyDescent="0.3">
      <c r="P379" s="225"/>
      <c r="Q379" s="225"/>
    </row>
    <row r="380" spans="16:17" ht="14.25" customHeight="1" x14ac:dyDescent="0.3">
      <c r="P380" s="225"/>
      <c r="Q380" s="225"/>
    </row>
    <row r="381" spans="16:17" ht="14.25" customHeight="1" x14ac:dyDescent="0.3">
      <c r="P381" s="225"/>
      <c r="Q381" s="225"/>
    </row>
    <row r="382" spans="16:17" ht="14.25" customHeight="1" x14ac:dyDescent="0.3">
      <c r="P382" s="225"/>
      <c r="Q382" s="225"/>
    </row>
    <row r="383" spans="16:17" ht="14.25" customHeight="1" x14ac:dyDescent="0.3">
      <c r="P383" s="225"/>
      <c r="Q383" s="225"/>
    </row>
    <row r="384" spans="16:17" ht="14.25" customHeight="1" x14ac:dyDescent="0.3">
      <c r="P384" s="225"/>
      <c r="Q384" s="225"/>
    </row>
    <row r="385" spans="16:17" ht="14.25" customHeight="1" x14ac:dyDescent="0.3">
      <c r="P385" s="225"/>
      <c r="Q385" s="225"/>
    </row>
    <row r="386" spans="16:17" ht="14.25" customHeight="1" x14ac:dyDescent="0.3">
      <c r="P386" s="225"/>
      <c r="Q386" s="225"/>
    </row>
    <row r="387" spans="16:17" ht="14.25" customHeight="1" x14ac:dyDescent="0.3">
      <c r="P387" s="225"/>
      <c r="Q387" s="225"/>
    </row>
    <row r="388" spans="16:17" ht="14.25" customHeight="1" x14ac:dyDescent="0.3">
      <c r="P388" s="225"/>
      <c r="Q388" s="225"/>
    </row>
    <row r="389" spans="16:17" ht="14.25" customHeight="1" x14ac:dyDescent="0.3">
      <c r="P389" s="225"/>
      <c r="Q389" s="225"/>
    </row>
    <row r="390" spans="16:17" ht="14.25" customHeight="1" x14ac:dyDescent="0.3">
      <c r="P390" s="225"/>
      <c r="Q390" s="225"/>
    </row>
    <row r="391" spans="16:17" ht="14.25" customHeight="1" x14ac:dyDescent="0.3">
      <c r="P391" s="225"/>
      <c r="Q391" s="225"/>
    </row>
    <row r="392" spans="16:17" ht="14.25" customHeight="1" x14ac:dyDescent="0.3">
      <c r="P392" s="225"/>
      <c r="Q392" s="225"/>
    </row>
    <row r="393" spans="16:17" ht="14.25" customHeight="1" x14ac:dyDescent="0.3">
      <c r="P393" s="225"/>
      <c r="Q393" s="225"/>
    </row>
    <row r="394" spans="16:17" ht="14.25" customHeight="1" x14ac:dyDescent="0.3">
      <c r="P394" s="225"/>
      <c r="Q394" s="225"/>
    </row>
    <row r="395" spans="16:17" ht="14.25" customHeight="1" x14ac:dyDescent="0.3">
      <c r="P395" s="225"/>
      <c r="Q395" s="225"/>
    </row>
    <row r="396" spans="16:17" ht="14.25" customHeight="1" x14ac:dyDescent="0.3">
      <c r="P396" s="225"/>
      <c r="Q396" s="225"/>
    </row>
    <row r="397" spans="16:17" ht="14.25" customHeight="1" x14ac:dyDescent="0.3">
      <c r="P397" s="225"/>
      <c r="Q397" s="225"/>
    </row>
    <row r="398" spans="16:17" ht="14.25" customHeight="1" x14ac:dyDescent="0.3">
      <c r="P398" s="225"/>
      <c r="Q398" s="225"/>
    </row>
    <row r="399" spans="16:17" ht="14.25" customHeight="1" x14ac:dyDescent="0.3">
      <c r="P399" s="225"/>
      <c r="Q399" s="225"/>
    </row>
    <row r="400" spans="16:17" ht="14.25" customHeight="1" x14ac:dyDescent="0.3">
      <c r="P400" s="225"/>
      <c r="Q400" s="225"/>
    </row>
    <row r="401" spans="16:17" ht="14.25" customHeight="1" x14ac:dyDescent="0.3">
      <c r="P401" s="225"/>
      <c r="Q401" s="225"/>
    </row>
    <row r="402" spans="16:17" ht="14.25" customHeight="1" x14ac:dyDescent="0.3">
      <c r="P402" s="225"/>
      <c r="Q402" s="225"/>
    </row>
    <row r="403" spans="16:17" ht="14.25" customHeight="1" x14ac:dyDescent="0.3">
      <c r="P403" s="225"/>
      <c r="Q403" s="225"/>
    </row>
    <row r="404" spans="16:17" ht="14.25" customHeight="1" x14ac:dyDescent="0.3">
      <c r="P404" s="225"/>
      <c r="Q404" s="225"/>
    </row>
    <row r="405" spans="16:17" ht="14.25" customHeight="1" x14ac:dyDescent="0.3">
      <c r="P405" s="225"/>
      <c r="Q405" s="225"/>
    </row>
    <row r="406" spans="16:17" ht="14.25" customHeight="1" x14ac:dyDescent="0.3">
      <c r="P406" s="225"/>
      <c r="Q406" s="225"/>
    </row>
    <row r="407" spans="16:17" ht="14.25" customHeight="1" x14ac:dyDescent="0.3">
      <c r="P407" s="225"/>
      <c r="Q407" s="225"/>
    </row>
    <row r="408" spans="16:17" ht="14.25" customHeight="1" x14ac:dyDescent="0.3">
      <c r="P408" s="225"/>
      <c r="Q408" s="225"/>
    </row>
    <row r="409" spans="16:17" ht="14.25" customHeight="1" x14ac:dyDescent="0.3">
      <c r="P409" s="225"/>
      <c r="Q409" s="225"/>
    </row>
    <row r="410" spans="16:17" ht="14.25" customHeight="1" x14ac:dyDescent="0.3">
      <c r="P410" s="225"/>
      <c r="Q410" s="225"/>
    </row>
    <row r="411" spans="16:17" ht="14.25" customHeight="1" x14ac:dyDescent="0.3">
      <c r="P411" s="225"/>
      <c r="Q411" s="225"/>
    </row>
    <row r="412" spans="16:17" ht="14.25" customHeight="1" x14ac:dyDescent="0.3">
      <c r="P412" s="225"/>
      <c r="Q412" s="225"/>
    </row>
    <row r="413" spans="16:17" ht="14.25" customHeight="1" x14ac:dyDescent="0.3">
      <c r="P413" s="225"/>
      <c r="Q413" s="225"/>
    </row>
    <row r="414" spans="16:17" ht="14.25" customHeight="1" x14ac:dyDescent="0.3">
      <c r="P414" s="225"/>
      <c r="Q414" s="225"/>
    </row>
    <row r="415" spans="16:17" ht="14.25" customHeight="1" x14ac:dyDescent="0.3">
      <c r="P415" s="225"/>
      <c r="Q415" s="225"/>
    </row>
    <row r="416" spans="16:17" ht="14.25" customHeight="1" x14ac:dyDescent="0.3">
      <c r="P416" s="225"/>
      <c r="Q416" s="225"/>
    </row>
    <row r="417" spans="16:17" ht="14.25" customHeight="1" x14ac:dyDescent="0.3">
      <c r="P417" s="225"/>
      <c r="Q417" s="225"/>
    </row>
    <row r="418" spans="16:17" ht="14.25" customHeight="1" x14ac:dyDescent="0.3">
      <c r="P418" s="225"/>
      <c r="Q418" s="225"/>
    </row>
    <row r="419" spans="16:17" ht="14.25" customHeight="1" x14ac:dyDescent="0.3">
      <c r="P419" s="225"/>
      <c r="Q419" s="225"/>
    </row>
    <row r="420" spans="16:17" ht="14.25" customHeight="1" x14ac:dyDescent="0.3">
      <c r="P420" s="225"/>
      <c r="Q420" s="225"/>
    </row>
    <row r="421" spans="16:17" ht="14.25" customHeight="1" x14ac:dyDescent="0.3">
      <c r="P421" s="225"/>
      <c r="Q421" s="225"/>
    </row>
    <row r="422" spans="16:17" ht="14.25" customHeight="1" x14ac:dyDescent="0.3">
      <c r="P422" s="225"/>
      <c r="Q422" s="225"/>
    </row>
    <row r="423" spans="16:17" ht="14.25" customHeight="1" x14ac:dyDescent="0.3">
      <c r="P423" s="225"/>
      <c r="Q423" s="225"/>
    </row>
    <row r="424" spans="16:17" ht="14.25" customHeight="1" x14ac:dyDescent="0.3">
      <c r="P424" s="225"/>
      <c r="Q424" s="225"/>
    </row>
    <row r="425" spans="16:17" ht="14.25" customHeight="1" x14ac:dyDescent="0.3">
      <c r="P425" s="225"/>
      <c r="Q425" s="225"/>
    </row>
    <row r="426" spans="16:17" ht="14.25" customHeight="1" x14ac:dyDescent="0.3">
      <c r="P426" s="225"/>
      <c r="Q426" s="225"/>
    </row>
    <row r="427" spans="16:17" ht="14.25" customHeight="1" x14ac:dyDescent="0.3">
      <c r="P427" s="225"/>
      <c r="Q427" s="225"/>
    </row>
    <row r="428" spans="16:17" ht="14.25" customHeight="1" x14ac:dyDescent="0.3">
      <c r="P428" s="225"/>
      <c r="Q428" s="225"/>
    </row>
    <row r="429" spans="16:17" ht="14.25" customHeight="1" x14ac:dyDescent="0.3">
      <c r="P429" s="225"/>
      <c r="Q429" s="225"/>
    </row>
    <row r="430" spans="16:17" ht="14.25" customHeight="1" x14ac:dyDescent="0.3">
      <c r="P430" s="225"/>
      <c r="Q430" s="225"/>
    </row>
    <row r="431" spans="16:17" ht="14.25" customHeight="1" x14ac:dyDescent="0.3">
      <c r="P431" s="225"/>
      <c r="Q431" s="225"/>
    </row>
    <row r="432" spans="16:17" ht="14.25" customHeight="1" x14ac:dyDescent="0.3">
      <c r="P432" s="225"/>
      <c r="Q432" s="225"/>
    </row>
    <row r="433" spans="16:17" ht="14.25" customHeight="1" x14ac:dyDescent="0.3">
      <c r="P433" s="225"/>
      <c r="Q433" s="225"/>
    </row>
    <row r="434" spans="16:17" ht="14.25" customHeight="1" x14ac:dyDescent="0.3">
      <c r="P434" s="225"/>
      <c r="Q434" s="225"/>
    </row>
    <row r="435" spans="16:17" ht="14.25" customHeight="1" x14ac:dyDescent="0.3">
      <c r="P435" s="225"/>
      <c r="Q435" s="225"/>
    </row>
    <row r="436" spans="16:17" ht="14.25" customHeight="1" x14ac:dyDescent="0.3">
      <c r="P436" s="225"/>
      <c r="Q436" s="225"/>
    </row>
    <row r="437" spans="16:17" ht="14.25" customHeight="1" x14ac:dyDescent="0.3">
      <c r="P437" s="225"/>
      <c r="Q437" s="225"/>
    </row>
    <row r="438" spans="16:17" ht="14.25" customHeight="1" x14ac:dyDescent="0.3">
      <c r="P438" s="225"/>
      <c r="Q438" s="225"/>
    </row>
    <row r="439" spans="16:17" ht="14.25" customHeight="1" x14ac:dyDescent="0.3">
      <c r="P439" s="225"/>
      <c r="Q439" s="225"/>
    </row>
    <row r="440" spans="16:17" ht="14.25" customHeight="1" x14ac:dyDescent="0.3">
      <c r="P440" s="225"/>
      <c r="Q440" s="225"/>
    </row>
    <row r="441" spans="16:17" ht="14.25" customHeight="1" x14ac:dyDescent="0.3">
      <c r="P441" s="225"/>
      <c r="Q441" s="225"/>
    </row>
    <row r="442" spans="16:17" ht="14.25" customHeight="1" x14ac:dyDescent="0.3">
      <c r="P442" s="225"/>
      <c r="Q442" s="225"/>
    </row>
    <row r="443" spans="16:17" ht="14.25" customHeight="1" x14ac:dyDescent="0.3">
      <c r="P443" s="225"/>
      <c r="Q443" s="225"/>
    </row>
    <row r="444" spans="16:17" ht="14.25" customHeight="1" x14ac:dyDescent="0.3">
      <c r="P444" s="225"/>
      <c r="Q444" s="225"/>
    </row>
    <row r="445" spans="16:17" ht="14.25" customHeight="1" x14ac:dyDescent="0.3">
      <c r="P445" s="225"/>
      <c r="Q445" s="225"/>
    </row>
    <row r="446" spans="16:17" ht="14.25" customHeight="1" x14ac:dyDescent="0.3">
      <c r="P446" s="225"/>
      <c r="Q446" s="225"/>
    </row>
    <row r="447" spans="16:17" ht="14.25" customHeight="1" x14ac:dyDescent="0.3">
      <c r="P447" s="225"/>
      <c r="Q447" s="225"/>
    </row>
    <row r="448" spans="16:17" ht="14.25" customHeight="1" x14ac:dyDescent="0.3">
      <c r="P448" s="225"/>
      <c r="Q448" s="225"/>
    </row>
    <row r="449" spans="16:17" ht="14.25" customHeight="1" x14ac:dyDescent="0.3">
      <c r="P449" s="225"/>
      <c r="Q449" s="225"/>
    </row>
    <row r="450" spans="16:17" ht="14.25" customHeight="1" x14ac:dyDescent="0.3">
      <c r="P450" s="225"/>
      <c r="Q450" s="225"/>
    </row>
    <row r="451" spans="16:17" ht="14.25" customHeight="1" x14ac:dyDescent="0.3">
      <c r="P451" s="225"/>
      <c r="Q451" s="225"/>
    </row>
    <row r="452" spans="16:17" ht="14.25" customHeight="1" x14ac:dyDescent="0.3">
      <c r="P452" s="225"/>
      <c r="Q452" s="225"/>
    </row>
    <row r="453" spans="16:17" ht="14.25" customHeight="1" x14ac:dyDescent="0.3">
      <c r="P453" s="225"/>
      <c r="Q453" s="225"/>
    </row>
    <row r="454" spans="16:17" ht="14.25" customHeight="1" x14ac:dyDescent="0.3">
      <c r="P454" s="225"/>
      <c r="Q454" s="225"/>
    </row>
    <row r="455" spans="16:17" ht="14.25" customHeight="1" x14ac:dyDescent="0.3">
      <c r="P455" s="225"/>
      <c r="Q455" s="225"/>
    </row>
    <row r="456" spans="16:17" ht="14.25" customHeight="1" x14ac:dyDescent="0.3">
      <c r="P456" s="225"/>
      <c r="Q456" s="225"/>
    </row>
    <row r="457" spans="16:17" ht="14.25" customHeight="1" x14ac:dyDescent="0.3">
      <c r="P457" s="225"/>
      <c r="Q457" s="225"/>
    </row>
    <row r="458" spans="16:17" ht="14.25" customHeight="1" x14ac:dyDescent="0.3">
      <c r="P458" s="225"/>
      <c r="Q458" s="225"/>
    </row>
    <row r="459" spans="16:17" ht="14.25" customHeight="1" x14ac:dyDescent="0.3">
      <c r="P459" s="225"/>
      <c r="Q459" s="225"/>
    </row>
    <row r="460" spans="16:17" ht="14.25" customHeight="1" x14ac:dyDescent="0.3">
      <c r="P460" s="225"/>
      <c r="Q460" s="225"/>
    </row>
    <row r="461" spans="16:17" ht="14.25" customHeight="1" x14ac:dyDescent="0.3">
      <c r="P461" s="225"/>
      <c r="Q461" s="225"/>
    </row>
    <row r="462" spans="16:17" ht="14.25" customHeight="1" x14ac:dyDescent="0.3">
      <c r="P462" s="225"/>
      <c r="Q462" s="225"/>
    </row>
    <row r="463" spans="16:17" ht="14.25" customHeight="1" x14ac:dyDescent="0.3">
      <c r="P463" s="225"/>
      <c r="Q463" s="225"/>
    </row>
    <row r="464" spans="16:17" ht="14.25" customHeight="1" x14ac:dyDescent="0.3">
      <c r="P464" s="225"/>
      <c r="Q464" s="225"/>
    </row>
    <row r="465" spans="16:17" ht="14.25" customHeight="1" x14ac:dyDescent="0.3">
      <c r="P465" s="225"/>
      <c r="Q465" s="225"/>
    </row>
    <row r="466" spans="16:17" ht="14.25" customHeight="1" x14ac:dyDescent="0.3">
      <c r="P466" s="225"/>
      <c r="Q466" s="225"/>
    </row>
    <row r="467" spans="16:17" ht="14.25" customHeight="1" x14ac:dyDescent="0.3">
      <c r="P467" s="225"/>
      <c r="Q467" s="225"/>
    </row>
    <row r="468" spans="16:17" ht="14.25" customHeight="1" x14ac:dyDescent="0.3">
      <c r="P468" s="225"/>
      <c r="Q468" s="225"/>
    </row>
    <row r="469" spans="16:17" ht="14.25" customHeight="1" x14ac:dyDescent="0.3">
      <c r="P469" s="225"/>
      <c r="Q469" s="225"/>
    </row>
    <row r="470" spans="16:17" ht="14.25" customHeight="1" x14ac:dyDescent="0.3">
      <c r="P470" s="225"/>
      <c r="Q470" s="225"/>
    </row>
    <row r="471" spans="16:17" ht="14.25" customHeight="1" x14ac:dyDescent="0.3">
      <c r="P471" s="225"/>
      <c r="Q471" s="225"/>
    </row>
    <row r="472" spans="16:17" ht="14.25" customHeight="1" x14ac:dyDescent="0.3">
      <c r="P472" s="225"/>
      <c r="Q472" s="225"/>
    </row>
    <row r="473" spans="16:17" ht="14.25" customHeight="1" x14ac:dyDescent="0.3">
      <c r="P473" s="225"/>
      <c r="Q473" s="225"/>
    </row>
    <row r="474" spans="16:17" ht="14.25" customHeight="1" x14ac:dyDescent="0.3">
      <c r="P474" s="225"/>
      <c r="Q474" s="225"/>
    </row>
    <row r="475" spans="16:17" ht="14.25" customHeight="1" x14ac:dyDescent="0.3">
      <c r="P475" s="225"/>
      <c r="Q475" s="225"/>
    </row>
    <row r="476" spans="16:17" ht="14.25" customHeight="1" x14ac:dyDescent="0.3">
      <c r="P476" s="225"/>
      <c r="Q476" s="225"/>
    </row>
    <row r="477" spans="16:17" ht="14.25" customHeight="1" x14ac:dyDescent="0.3">
      <c r="P477" s="225"/>
      <c r="Q477" s="225"/>
    </row>
    <row r="478" spans="16:17" ht="14.25" customHeight="1" x14ac:dyDescent="0.3">
      <c r="P478" s="225"/>
      <c r="Q478" s="225"/>
    </row>
    <row r="479" spans="16:17" ht="14.25" customHeight="1" x14ac:dyDescent="0.3">
      <c r="P479" s="225"/>
      <c r="Q479" s="225"/>
    </row>
    <row r="480" spans="16:17" ht="14.25" customHeight="1" x14ac:dyDescent="0.3">
      <c r="P480" s="225"/>
      <c r="Q480" s="225"/>
    </row>
    <row r="481" spans="16:17" ht="14.25" customHeight="1" x14ac:dyDescent="0.3">
      <c r="P481" s="225"/>
      <c r="Q481" s="225"/>
    </row>
    <row r="482" spans="16:17" ht="14.25" customHeight="1" x14ac:dyDescent="0.3">
      <c r="P482" s="225"/>
      <c r="Q482" s="225"/>
    </row>
    <row r="483" spans="16:17" ht="14.25" customHeight="1" x14ac:dyDescent="0.3">
      <c r="P483" s="225"/>
      <c r="Q483" s="225"/>
    </row>
    <row r="484" spans="16:17" ht="14.25" customHeight="1" x14ac:dyDescent="0.3">
      <c r="P484" s="225"/>
      <c r="Q484" s="225"/>
    </row>
    <row r="485" spans="16:17" ht="14.25" customHeight="1" x14ac:dyDescent="0.3">
      <c r="P485" s="225"/>
      <c r="Q485" s="225"/>
    </row>
    <row r="486" spans="16:17" ht="14.25" customHeight="1" x14ac:dyDescent="0.3">
      <c r="P486" s="225"/>
      <c r="Q486" s="225"/>
    </row>
    <row r="487" spans="16:17" ht="14.25" customHeight="1" x14ac:dyDescent="0.3">
      <c r="P487" s="225"/>
      <c r="Q487" s="225"/>
    </row>
    <row r="488" spans="16:17" ht="14.25" customHeight="1" x14ac:dyDescent="0.3">
      <c r="P488" s="225"/>
      <c r="Q488" s="225"/>
    </row>
    <row r="489" spans="16:17" ht="14.25" customHeight="1" x14ac:dyDescent="0.3">
      <c r="P489" s="225"/>
      <c r="Q489" s="225"/>
    </row>
    <row r="490" spans="16:17" ht="14.25" customHeight="1" x14ac:dyDescent="0.3">
      <c r="P490" s="225"/>
      <c r="Q490" s="225"/>
    </row>
    <row r="491" spans="16:17" ht="14.25" customHeight="1" x14ac:dyDescent="0.3">
      <c r="P491" s="225"/>
      <c r="Q491" s="225"/>
    </row>
    <row r="492" spans="16:17" ht="14.25" customHeight="1" x14ac:dyDescent="0.3">
      <c r="P492" s="225"/>
      <c r="Q492" s="225"/>
    </row>
    <row r="493" spans="16:17" ht="14.25" customHeight="1" x14ac:dyDescent="0.3">
      <c r="P493" s="225"/>
      <c r="Q493" s="225"/>
    </row>
    <row r="494" spans="16:17" ht="14.25" customHeight="1" x14ac:dyDescent="0.3">
      <c r="P494" s="225"/>
      <c r="Q494" s="225"/>
    </row>
    <row r="495" spans="16:17" ht="14.25" customHeight="1" x14ac:dyDescent="0.3">
      <c r="P495" s="225"/>
      <c r="Q495" s="225"/>
    </row>
    <row r="496" spans="16:17" ht="14.25" customHeight="1" x14ac:dyDescent="0.3">
      <c r="P496" s="225"/>
      <c r="Q496" s="225"/>
    </row>
    <row r="497" spans="16:17" ht="14.25" customHeight="1" x14ac:dyDescent="0.3">
      <c r="P497" s="225"/>
      <c r="Q497" s="225"/>
    </row>
    <row r="498" spans="16:17" ht="14.25" customHeight="1" x14ac:dyDescent="0.3">
      <c r="P498" s="225"/>
      <c r="Q498" s="225"/>
    </row>
    <row r="499" spans="16:17" ht="14.25" customHeight="1" x14ac:dyDescent="0.3">
      <c r="P499" s="225"/>
      <c r="Q499" s="225"/>
    </row>
    <row r="500" spans="16:17" ht="14.25" customHeight="1" x14ac:dyDescent="0.3">
      <c r="P500" s="225"/>
      <c r="Q500" s="225"/>
    </row>
    <row r="501" spans="16:17" ht="14.25" customHeight="1" x14ac:dyDescent="0.3">
      <c r="P501" s="225"/>
      <c r="Q501" s="225"/>
    </row>
    <row r="502" spans="16:17" ht="14.25" customHeight="1" x14ac:dyDescent="0.3">
      <c r="P502" s="225"/>
      <c r="Q502" s="225"/>
    </row>
    <row r="503" spans="16:17" ht="14.25" customHeight="1" x14ac:dyDescent="0.3">
      <c r="P503" s="225"/>
      <c r="Q503" s="225"/>
    </row>
    <row r="504" spans="16:17" ht="14.25" customHeight="1" x14ac:dyDescent="0.3">
      <c r="P504" s="225"/>
      <c r="Q504" s="225"/>
    </row>
    <row r="505" spans="16:17" ht="14.25" customHeight="1" x14ac:dyDescent="0.3">
      <c r="P505" s="225"/>
      <c r="Q505" s="225"/>
    </row>
    <row r="506" spans="16:17" ht="14.25" customHeight="1" x14ac:dyDescent="0.3">
      <c r="P506" s="225"/>
      <c r="Q506" s="225"/>
    </row>
    <row r="507" spans="16:17" ht="14.25" customHeight="1" x14ac:dyDescent="0.3">
      <c r="P507" s="225"/>
      <c r="Q507" s="225"/>
    </row>
    <row r="508" spans="16:17" ht="14.25" customHeight="1" x14ac:dyDescent="0.3">
      <c r="P508" s="225"/>
      <c r="Q508" s="225"/>
    </row>
    <row r="509" spans="16:17" ht="14.25" customHeight="1" x14ac:dyDescent="0.3">
      <c r="P509" s="225"/>
      <c r="Q509" s="225"/>
    </row>
    <row r="510" spans="16:17" ht="14.25" customHeight="1" x14ac:dyDescent="0.3">
      <c r="P510" s="225"/>
      <c r="Q510" s="225"/>
    </row>
    <row r="511" spans="16:17" ht="14.25" customHeight="1" x14ac:dyDescent="0.3">
      <c r="P511" s="225"/>
      <c r="Q511" s="225"/>
    </row>
    <row r="512" spans="16:17" ht="14.25" customHeight="1" x14ac:dyDescent="0.3">
      <c r="P512" s="225"/>
      <c r="Q512" s="225"/>
    </row>
    <row r="513" spans="16:17" ht="14.25" customHeight="1" x14ac:dyDescent="0.3">
      <c r="P513" s="225"/>
      <c r="Q513" s="225"/>
    </row>
    <row r="514" spans="16:17" ht="14.25" customHeight="1" x14ac:dyDescent="0.3">
      <c r="P514" s="225"/>
      <c r="Q514" s="225"/>
    </row>
    <row r="515" spans="16:17" ht="14.25" customHeight="1" x14ac:dyDescent="0.3">
      <c r="P515" s="225"/>
      <c r="Q515" s="225"/>
    </row>
    <row r="516" spans="16:17" ht="14.25" customHeight="1" x14ac:dyDescent="0.3">
      <c r="P516" s="225"/>
      <c r="Q516" s="225"/>
    </row>
    <row r="517" spans="16:17" ht="14.25" customHeight="1" x14ac:dyDescent="0.3">
      <c r="P517" s="225"/>
      <c r="Q517" s="225"/>
    </row>
    <row r="518" spans="16:17" ht="14.25" customHeight="1" x14ac:dyDescent="0.3">
      <c r="P518" s="225"/>
      <c r="Q518" s="225"/>
    </row>
    <row r="519" spans="16:17" ht="14.25" customHeight="1" x14ac:dyDescent="0.3">
      <c r="P519" s="225"/>
      <c r="Q519" s="225"/>
    </row>
    <row r="520" spans="16:17" ht="14.25" customHeight="1" x14ac:dyDescent="0.3">
      <c r="P520" s="225"/>
      <c r="Q520" s="225"/>
    </row>
    <row r="521" spans="16:17" ht="14.25" customHeight="1" x14ac:dyDescent="0.3">
      <c r="P521" s="225"/>
      <c r="Q521" s="225"/>
    </row>
    <row r="522" spans="16:17" ht="14.25" customHeight="1" x14ac:dyDescent="0.3">
      <c r="P522" s="225"/>
      <c r="Q522" s="225"/>
    </row>
    <row r="523" spans="16:17" ht="14.25" customHeight="1" x14ac:dyDescent="0.3">
      <c r="P523" s="225"/>
      <c r="Q523" s="225"/>
    </row>
    <row r="524" spans="16:17" ht="14.25" customHeight="1" x14ac:dyDescent="0.3">
      <c r="P524" s="225"/>
      <c r="Q524" s="225"/>
    </row>
    <row r="525" spans="16:17" ht="14.25" customHeight="1" x14ac:dyDescent="0.3">
      <c r="P525" s="225"/>
      <c r="Q525" s="225"/>
    </row>
    <row r="526" spans="16:17" ht="14.25" customHeight="1" x14ac:dyDescent="0.3">
      <c r="P526" s="225"/>
      <c r="Q526" s="225"/>
    </row>
    <row r="527" spans="16:17" ht="14.25" customHeight="1" x14ac:dyDescent="0.3">
      <c r="P527" s="225"/>
      <c r="Q527" s="225"/>
    </row>
    <row r="528" spans="16:17" ht="14.25" customHeight="1" x14ac:dyDescent="0.3">
      <c r="P528" s="225"/>
      <c r="Q528" s="225"/>
    </row>
    <row r="529" spans="16:17" ht="14.25" customHeight="1" x14ac:dyDescent="0.3">
      <c r="P529" s="225"/>
      <c r="Q529" s="225"/>
    </row>
    <row r="530" spans="16:17" ht="14.25" customHeight="1" x14ac:dyDescent="0.3">
      <c r="P530" s="225"/>
      <c r="Q530" s="225"/>
    </row>
    <row r="531" spans="16:17" ht="14.25" customHeight="1" x14ac:dyDescent="0.3">
      <c r="P531" s="225"/>
      <c r="Q531" s="225"/>
    </row>
    <row r="532" spans="16:17" ht="14.25" customHeight="1" x14ac:dyDescent="0.3">
      <c r="P532" s="225"/>
      <c r="Q532" s="225"/>
    </row>
    <row r="533" spans="16:17" ht="14.25" customHeight="1" x14ac:dyDescent="0.3">
      <c r="P533" s="225"/>
      <c r="Q533" s="225"/>
    </row>
    <row r="534" spans="16:17" ht="14.25" customHeight="1" x14ac:dyDescent="0.3">
      <c r="P534" s="225"/>
      <c r="Q534" s="225"/>
    </row>
    <row r="535" spans="16:17" ht="14.25" customHeight="1" x14ac:dyDescent="0.3">
      <c r="P535" s="225"/>
      <c r="Q535" s="225"/>
    </row>
    <row r="536" spans="16:17" ht="14.25" customHeight="1" x14ac:dyDescent="0.3">
      <c r="P536" s="225"/>
      <c r="Q536" s="225"/>
    </row>
    <row r="537" spans="16:17" ht="14.25" customHeight="1" x14ac:dyDescent="0.3">
      <c r="P537" s="225"/>
      <c r="Q537" s="225"/>
    </row>
    <row r="538" spans="16:17" ht="14.25" customHeight="1" x14ac:dyDescent="0.3">
      <c r="P538" s="225"/>
      <c r="Q538" s="225"/>
    </row>
    <row r="539" spans="16:17" ht="14.25" customHeight="1" x14ac:dyDescent="0.3">
      <c r="P539" s="225"/>
      <c r="Q539" s="225"/>
    </row>
    <row r="540" spans="16:17" ht="14.25" customHeight="1" x14ac:dyDescent="0.3">
      <c r="P540" s="225"/>
      <c r="Q540" s="225"/>
    </row>
    <row r="541" spans="16:17" ht="14.25" customHeight="1" x14ac:dyDescent="0.3">
      <c r="P541" s="225"/>
      <c r="Q541" s="225"/>
    </row>
    <row r="542" spans="16:17" ht="14.25" customHeight="1" x14ac:dyDescent="0.3">
      <c r="P542" s="225"/>
      <c r="Q542" s="225"/>
    </row>
    <row r="543" spans="16:17" ht="14.25" customHeight="1" x14ac:dyDescent="0.3">
      <c r="P543" s="225"/>
      <c r="Q543" s="225"/>
    </row>
    <row r="544" spans="16:17" ht="14.25" customHeight="1" x14ac:dyDescent="0.3">
      <c r="P544" s="225"/>
      <c r="Q544" s="225"/>
    </row>
    <row r="545" spans="16:17" ht="14.25" customHeight="1" x14ac:dyDescent="0.3">
      <c r="P545" s="225"/>
      <c r="Q545" s="225"/>
    </row>
    <row r="546" spans="16:17" ht="14.25" customHeight="1" x14ac:dyDescent="0.3">
      <c r="P546" s="225"/>
      <c r="Q546" s="225"/>
    </row>
    <row r="547" spans="16:17" ht="14.25" customHeight="1" x14ac:dyDescent="0.3">
      <c r="P547" s="225"/>
      <c r="Q547" s="225"/>
    </row>
    <row r="548" spans="16:17" ht="14.25" customHeight="1" x14ac:dyDescent="0.3">
      <c r="P548" s="225"/>
      <c r="Q548" s="225"/>
    </row>
    <row r="549" spans="16:17" ht="14.25" customHeight="1" x14ac:dyDescent="0.3">
      <c r="P549" s="225"/>
      <c r="Q549" s="225"/>
    </row>
    <row r="550" spans="16:17" ht="14.25" customHeight="1" x14ac:dyDescent="0.3">
      <c r="P550" s="225"/>
      <c r="Q550" s="225"/>
    </row>
    <row r="551" spans="16:17" ht="14.25" customHeight="1" x14ac:dyDescent="0.3">
      <c r="P551" s="225"/>
      <c r="Q551" s="225"/>
    </row>
    <row r="552" spans="16:17" ht="14.25" customHeight="1" x14ac:dyDescent="0.3">
      <c r="P552" s="225"/>
      <c r="Q552" s="225"/>
    </row>
    <row r="553" spans="16:17" ht="14.25" customHeight="1" x14ac:dyDescent="0.3">
      <c r="P553" s="225"/>
      <c r="Q553" s="225"/>
    </row>
    <row r="554" spans="16:17" ht="14.25" customHeight="1" x14ac:dyDescent="0.3">
      <c r="P554" s="225"/>
      <c r="Q554" s="225"/>
    </row>
    <row r="555" spans="16:17" ht="14.25" customHeight="1" x14ac:dyDescent="0.3">
      <c r="P555" s="225"/>
      <c r="Q555" s="225"/>
    </row>
    <row r="556" spans="16:17" ht="14.25" customHeight="1" x14ac:dyDescent="0.3">
      <c r="P556" s="225"/>
      <c r="Q556" s="225"/>
    </row>
    <row r="557" spans="16:17" ht="14.25" customHeight="1" x14ac:dyDescent="0.3">
      <c r="P557" s="225"/>
      <c r="Q557" s="225"/>
    </row>
    <row r="558" spans="16:17" ht="14.25" customHeight="1" x14ac:dyDescent="0.3">
      <c r="P558" s="225"/>
      <c r="Q558" s="225"/>
    </row>
    <row r="559" spans="16:17" ht="14.25" customHeight="1" x14ac:dyDescent="0.3">
      <c r="P559" s="225"/>
      <c r="Q559" s="225"/>
    </row>
    <row r="560" spans="16:17" ht="14.25" customHeight="1" x14ac:dyDescent="0.3">
      <c r="P560" s="225"/>
      <c r="Q560" s="225"/>
    </row>
    <row r="561" spans="16:17" ht="14.25" customHeight="1" x14ac:dyDescent="0.3">
      <c r="P561" s="225"/>
      <c r="Q561" s="225"/>
    </row>
    <row r="562" spans="16:17" ht="14.25" customHeight="1" x14ac:dyDescent="0.3">
      <c r="P562" s="225"/>
      <c r="Q562" s="225"/>
    </row>
    <row r="563" spans="16:17" ht="14.25" customHeight="1" x14ac:dyDescent="0.3">
      <c r="P563" s="225"/>
      <c r="Q563" s="225"/>
    </row>
    <row r="564" spans="16:17" ht="14.25" customHeight="1" x14ac:dyDescent="0.3">
      <c r="P564" s="225"/>
      <c r="Q564" s="225"/>
    </row>
    <row r="565" spans="16:17" ht="14.25" customHeight="1" x14ac:dyDescent="0.3">
      <c r="P565" s="225"/>
      <c r="Q565" s="225"/>
    </row>
    <row r="566" spans="16:17" ht="14.25" customHeight="1" x14ac:dyDescent="0.3">
      <c r="P566" s="225"/>
      <c r="Q566" s="225"/>
    </row>
    <row r="567" spans="16:17" ht="14.25" customHeight="1" x14ac:dyDescent="0.3">
      <c r="P567" s="225"/>
      <c r="Q567" s="225"/>
    </row>
    <row r="568" spans="16:17" ht="14.25" customHeight="1" x14ac:dyDescent="0.3">
      <c r="P568" s="225"/>
      <c r="Q568" s="225"/>
    </row>
    <row r="569" spans="16:17" ht="14.25" customHeight="1" x14ac:dyDescent="0.3">
      <c r="P569" s="225"/>
      <c r="Q569" s="225"/>
    </row>
    <row r="570" spans="16:17" ht="14.25" customHeight="1" x14ac:dyDescent="0.3">
      <c r="P570" s="225"/>
      <c r="Q570" s="225"/>
    </row>
    <row r="571" spans="16:17" ht="14.25" customHeight="1" x14ac:dyDescent="0.3">
      <c r="P571" s="225"/>
      <c r="Q571" s="225"/>
    </row>
    <row r="572" spans="16:17" ht="14.25" customHeight="1" x14ac:dyDescent="0.3">
      <c r="P572" s="225"/>
      <c r="Q572" s="225"/>
    </row>
    <row r="573" spans="16:17" ht="14.25" customHeight="1" x14ac:dyDescent="0.3">
      <c r="P573" s="225"/>
      <c r="Q573" s="225"/>
    </row>
    <row r="574" spans="16:17" ht="14.25" customHeight="1" x14ac:dyDescent="0.3">
      <c r="P574" s="225"/>
      <c r="Q574" s="225"/>
    </row>
    <row r="575" spans="16:17" ht="14.25" customHeight="1" x14ac:dyDescent="0.3">
      <c r="P575" s="225"/>
      <c r="Q575" s="225"/>
    </row>
    <row r="576" spans="16:17" ht="14.25" customHeight="1" x14ac:dyDescent="0.3">
      <c r="P576" s="225"/>
      <c r="Q576" s="225"/>
    </row>
    <row r="577" spans="16:17" ht="14.25" customHeight="1" x14ac:dyDescent="0.3">
      <c r="P577" s="225"/>
      <c r="Q577" s="225"/>
    </row>
    <row r="578" spans="16:17" ht="14.25" customHeight="1" x14ac:dyDescent="0.3">
      <c r="P578" s="225"/>
      <c r="Q578" s="225"/>
    </row>
    <row r="579" spans="16:17" ht="14.25" customHeight="1" x14ac:dyDescent="0.3">
      <c r="P579" s="225"/>
      <c r="Q579" s="225"/>
    </row>
    <row r="580" spans="16:17" ht="14.25" customHeight="1" x14ac:dyDescent="0.3">
      <c r="P580" s="225"/>
      <c r="Q580" s="225"/>
    </row>
    <row r="581" spans="16:17" ht="14.25" customHeight="1" x14ac:dyDescent="0.3">
      <c r="P581" s="225"/>
      <c r="Q581" s="225"/>
    </row>
    <row r="582" spans="16:17" ht="14.25" customHeight="1" x14ac:dyDescent="0.3">
      <c r="P582" s="225"/>
      <c r="Q582" s="225"/>
    </row>
    <row r="583" spans="16:17" ht="14.25" customHeight="1" x14ac:dyDescent="0.3">
      <c r="P583" s="225"/>
      <c r="Q583" s="225"/>
    </row>
    <row r="584" spans="16:17" ht="14.25" customHeight="1" x14ac:dyDescent="0.3">
      <c r="P584" s="225"/>
      <c r="Q584" s="225"/>
    </row>
    <row r="585" spans="16:17" ht="14.25" customHeight="1" x14ac:dyDescent="0.3">
      <c r="P585" s="225"/>
      <c r="Q585" s="225"/>
    </row>
    <row r="586" spans="16:17" ht="14.25" customHeight="1" x14ac:dyDescent="0.3">
      <c r="P586" s="225"/>
      <c r="Q586" s="225"/>
    </row>
    <row r="587" spans="16:17" ht="14.25" customHeight="1" x14ac:dyDescent="0.3">
      <c r="P587" s="225"/>
      <c r="Q587" s="225"/>
    </row>
    <row r="588" spans="16:17" ht="14.25" customHeight="1" x14ac:dyDescent="0.3">
      <c r="P588" s="225"/>
      <c r="Q588" s="225"/>
    </row>
    <row r="589" spans="16:17" ht="14.25" customHeight="1" x14ac:dyDescent="0.3">
      <c r="P589" s="225"/>
      <c r="Q589" s="225"/>
    </row>
    <row r="590" spans="16:17" ht="14.25" customHeight="1" x14ac:dyDescent="0.3">
      <c r="P590" s="225"/>
      <c r="Q590" s="225"/>
    </row>
    <row r="591" spans="16:17" ht="14.25" customHeight="1" x14ac:dyDescent="0.3">
      <c r="P591" s="225"/>
      <c r="Q591" s="225"/>
    </row>
    <row r="592" spans="16:17" ht="14.25" customHeight="1" x14ac:dyDescent="0.3">
      <c r="P592" s="225"/>
      <c r="Q592" s="225"/>
    </row>
    <row r="593" spans="16:17" ht="14.25" customHeight="1" x14ac:dyDescent="0.3">
      <c r="P593" s="225"/>
      <c r="Q593" s="225"/>
    </row>
    <row r="594" spans="16:17" ht="14.25" customHeight="1" x14ac:dyDescent="0.3">
      <c r="P594" s="225"/>
      <c r="Q594" s="225"/>
    </row>
    <row r="595" spans="16:17" ht="14.25" customHeight="1" x14ac:dyDescent="0.3">
      <c r="P595" s="225"/>
      <c r="Q595" s="225"/>
    </row>
    <row r="596" spans="16:17" ht="14.25" customHeight="1" x14ac:dyDescent="0.3">
      <c r="P596" s="225"/>
      <c r="Q596" s="225"/>
    </row>
    <row r="597" spans="16:17" ht="14.25" customHeight="1" x14ac:dyDescent="0.3">
      <c r="P597" s="225"/>
      <c r="Q597" s="225"/>
    </row>
    <row r="598" spans="16:17" ht="14.25" customHeight="1" x14ac:dyDescent="0.3">
      <c r="P598" s="225"/>
      <c r="Q598" s="225"/>
    </row>
    <row r="599" spans="16:17" ht="14.25" customHeight="1" x14ac:dyDescent="0.3">
      <c r="P599" s="225"/>
      <c r="Q599" s="225"/>
    </row>
    <row r="600" spans="16:17" ht="14.25" customHeight="1" x14ac:dyDescent="0.3">
      <c r="P600" s="225"/>
      <c r="Q600" s="225"/>
    </row>
    <row r="601" spans="16:17" ht="14.25" customHeight="1" x14ac:dyDescent="0.3">
      <c r="P601" s="225"/>
      <c r="Q601" s="225"/>
    </row>
    <row r="602" spans="16:17" ht="14.25" customHeight="1" x14ac:dyDescent="0.3">
      <c r="P602" s="225"/>
      <c r="Q602" s="225"/>
    </row>
    <row r="603" spans="16:17" ht="14.25" customHeight="1" x14ac:dyDescent="0.3">
      <c r="P603" s="225"/>
      <c r="Q603" s="225"/>
    </row>
    <row r="604" spans="16:17" ht="14.25" customHeight="1" x14ac:dyDescent="0.3">
      <c r="P604" s="225"/>
      <c r="Q604" s="225"/>
    </row>
    <row r="605" spans="16:17" ht="14.25" customHeight="1" x14ac:dyDescent="0.3">
      <c r="P605" s="225"/>
      <c r="Q605" s="225"/>
    </row>
    <row r="606" spans="16:17" ht="14.25" customHeight="1" x14ac:dyDescent="0.3">
      <c r="P606" s="225"/>
      <c r="Q606" s="225"/>
    </row>
    <row r="607" spans="16:17" ht="14.25" customHeight="1" x14ac:dyDescent="0.3">
      <c r="P607" s="225"/>
      <c r="Q607" s="225"/>
    </row>
    <row r="608" spans="16:17" ht="14.25" customHeight="1" x14ac:dyDescent="0.3">
      <c r="P608" s="225"/>
      <c r="Q608" s="225"/>
    </row>
    <row r="609" spans="16:17" ht="14.25" customHeight="1" x14ac:dyDescent="0.3">
      <c r="P609" s="225"/>
      <c r="Q609" s="225"/>
    </row>
    <row r="610" spans="16:17" ht="14.25" customHeight="1" x14ac:dyDescent="0.3">
      <c r="P610" s="225"/>
      <c r="Q610" s="225"/>
    </row>
    <row r="611" spans="16:17" ht="14.25" customHeight="1" x14ac:dyDescent="0.3">
      <c r="P611" s="225"/>
      <c r="Q611" s="225"/>
    </row>
    <row r="612" spans="16:17" ht="14.25" customHeight="1" x14ac:dyDescent="0.3">
      <c r="P612" s="225"/>
      <c r="Q612" s="225"/>
    </row>
    <row r="613" spans="16:17" ht="14.25" customHeight="1" x14ac:dyDescent="0.3">
      <c r="P613" s="225"/>
      <c r="Q613" s="225"/>
    </row>
    <row r="614" spans="16:17" ht="14.25" customHeight="1" x14ac:dyDescent="0.3">
      <c r="P614" s="225"/>
      <c r="Q614" s="225"/>
    </row>
    <row r="615" spans="16:17" ht="14.25" customHeight="1" x14ac:dyDescent="0.3">
      <c r="P615" s="225"/>
      <c r="Q615" s="225"/>
    </row>
    <row r="616" spans="16:17" ht="14.25" customHeight="1" x14ac:dyDescent="0.3">
      <c r="P616" s="225"/>
      <c r="Q616" s="225"/>
    </row>
    <row r="617" spans="16:17" ht="14.25" customHeight="1" x14ac:dyDescent="0.3">
      <c r="P617" s="225"/>
      <c r="Q617" s="225"/>
    </row>
    <row r="618" spans="16:17" ht="14.25" customHeight="1" x14ac:dyDescent="0.3">
      <c r="P618" s="225"/>
      <c r="Q618" s="225"/>
    </row>
    <row r="619" spans="16:17" ht="14.25" customHeight="1" x14ac:dyDescent="0.3">
      <c r="P619" s="225"/>
      <c r="Q619" s="225"/>
    </row>
    <row r="620" spans="16:17" ht="14.25" customHeight="1" x14ac:dyDescent="0.3">
      <c r="P620" s="225"/>
      <c r="Q620" s="225"/>
    </row>
    <row r="621" spans="16:17" ht="14.25" customHeight="1" x14ac:dyDescent="0.3">
      <c r="P621" s="225"/>
      <c r="Q621" s="225"/>
    </row>
    <row r="622" spans="16:17" ht="14.25" customHeight="1" x14ac:dyDescent="0.3">
      <c r="P622" s="225"/>
      <c r="Q622" s="225"/>
    </row>
    <row r="623" spans="16:17" ht="14.25" customHeight="1" x14ac:dyDescent="0.3">
      <c r="P623" s="225"/>
      <c r="Q623" s="225"/>
    </row>
    <row r="624" spans="16:17" ht="14.25" customHeight="1" x14ac:dyDescent="0.3">
      <c r="P624" s="225"/>
      <c r="Q624" s="225"/>
    </row>
    <row r="625" spans="16:17" ht="14.25" customHeight="1" x14ac:dyDescent="0.3">
      <c r="P625" s="225"/>
      <c r="Q625" s="225"/>
    </row>
    <row r="626" spans="16:17" ht="14.25" customHeight="1" x14ac:dyDescent="0.3">
      <c r="P626" s="225"/>
      <c r="Q626" s="225"/>
    </row>
    <row r="627" spans="16:17" ht="14.25" customHeight="1" x14ac:dyDescent="0.3">
      <c r="P627" s="225"/>
      <c r="Q627" s="225"/>
    </row>
    <row r="628" spans="16:17" ht="14.25" customHeight="1" x14ac:dyDescent="0.3">
      <c r="P628" s="225"/>
      <c r="Q628" s="225"/>
    </row>
    <row r="629" spans="16:17" ht="14.25" customHeight="1" x14ac:dyDescent="0.3">
      <c r="P629" s="225"/>
      <c r="Q629" s="225"/>
    </row>
    <row r="630" spans="16:17" ht="14.25" customHeight="1" x14ac:dyDescent="0.3">
      <c r="P630" s="225"/>
      <c r="Q630" s="225"/>
    </row>
    <row r="631" spans="16:17" ht="14.25" customHeight="1" x14ac:dyDescent="0.3">
      <c r="P631" s="225"/>
      <c r="Q631" s="225"/>
    </row>
    <row r="632" spans="16:17" ht="14.25" customHeight="1" x14ac:dyDescent="0.3">
      <c r="P632" s="225"/>
      <c r="Q632" s="225"/>
    </row>
    <row r="633" spans="16:17" ht="14.25" customHeight="1" x14ac:dyDescent="0.3">
      <c r="P633" s="225"/>
      <c r="Q633" s="225"/>
    </row>
    <row r="634" spans="16:17" ht="14.25" customHeight="1" x14ac:dyDescent="0.3">
      <c r="P634" s="225"/>
      <c r="Q634" s="225"/>
    </row>
    <row r="635" spans="16:17" ht="14.25" customHeight="1" x14ac:dyDescent="0.3">
      <c r="P635" s="225"/>
      <c r="Q635" s="225"/>
    </row>
    <row r="636" spans="16:17" ht="14.25" customHeight="1" x14ac:dyDescent="0.3">
      <c r="P636" s="225"/>
      <c r="Q636" s="225"/>
    </row>
    <row r="637" spans="16:17" ht="14.25" customHeight="1" x14ac:dyDescent="0.3">
      <c r="P637" s="225"/>
      <c r="Q637" s="225"/>
    </row>
    <row r="638" spans="16:17" ht="14.25" customHeight="1" x14ac:dyDescent="0.3">
      <c r="P638" s="225"/>
      <c r="Q638" s="225"/>
    </row>
    <row r="639" spans="16:17" ht="14.25" customHeight="1" x14ac:dyDescent="0.3">
      <c r="P639" s="225"/>
      <c r="Q639" s="225"/>
    </row>
    <row r="640" spans="16:17" ht="14.25" customHeight="1" x14ac:dyDescent="0.3">
      <c r="P640" s="225"/>
      <c r="Q640" s="225"/>
    </row>
    <row r="641" spans="16:17" ht="14.25" customHeight="1" x14ac:dyDescent="0.3">
      <c r="P641" s="225"/>
      <c r="Q641" s="225"/>
    </row>
    <row r="642" spans="16:17" ht="14.25" customHeight="1" x14ac:dyDescent="0.3">
      <c r="P642" s="225"/>
      <c r="Q642" s="225"/>
    </row>
    <row r="643" spans="16:17" ht="14.25" customHeight="1" x14ac:dyDescent="0.3">
      <c r="P643" s="225"/>
      <c r="Q643" s="225"/>
    </row>
    <row r="644" spans="16:17" ht="14.25" customHeight="1" x14ac:dyDescent="0.3">
      <c r="P644" s="225"/>
      <c r="Q644" s="225"/>
    </row>
    <row r="645" spans="16:17" ht="14.25" customHeight="1" x14ac:dyDescent="0.3">
      <c r="P645" s="225"/>
      <c r="Q645" s="225"/>
    </row>
    <row r="646" spans="16:17" ht="14.25" customHeight="1" x14ac:dyDescent="0.3">
      <c r="P646" s="225"/>
      <c r="Q646" s="225"/>
    </row>
    <row r="647" spans="16:17" ht="14.25" customHeight="1" x14ac:dyDescent="0.3">
      <c r="P647" s="225"/>
      <c r="Q647" s="225"/>
    </row>
    <row r="648" spans="16:17" ht="14.25" customHeight="1" x14ac:dyDescent="0.3">
      <c r="P648" s="225"/>
      <c r="Q648" s="225"/>
    </row>
    <row r="649" spans="16:17" ht="14.25" customHeight="1" x14ac:dyDescent="0.3">
      <c r="P649" s="225"/>
      <c r="Q649" s="225"/>
    </row>
    <row r="650" spans="16:17" ht="14.25" customHeight="1" x14ac:dyDescent="0.3">
      <c r="P650" s="225"/>
      <c r="Q650" s="225"/>
    </row>
    <row r="651" spans="16:17" ht="14.25" customHeight="1" x14ac:dyDescent="0.3">
      <c r="P651" s="225"/>
      <c r="Q651" s="225"/>
    </row>
    <row r="652" spans="16:17" ht="14.25" customHeight="1" x14ac:dyDescent="0.3">
      <c r="P652" s="225"/>
      <c r="Q652" s="225"/>
    </row>
    <row r="653" spans="16:17" ht="14.25" customHeight="1" x14ac:dyDescent="0.3">
      <c r="P653" s="225"/>
      <c r="Q653" s="225"/>
    </row>
    <row r="654" spans="16:17" ht="14.25" customHeight="1" x14ac:dyDescent="0.3">
      <c r="P654" s="225"/>
      <c r="Q654" s="225"/>
    </row>
    <row r="655" spans="16:17" ht="14.25" customHeight="1" x14ac:dyDescent="0.3">
      <c r="P655" s="225"/>
      <c r="Q655" s="225"/>
    </row>
    <row r="656" spans="16:17" ht="14.25" customHeight="1" x14ac:dyDescent="0.3">
      <c r="P656" s="225"/>
      <c r="Q656" s="225"/>
    </row>
    <row r="657" spans="16:17" ht="14.25" customHeight="1" x14ac:dyDescent="0.3">
      <c r="P657" s="225"/>
      <c r="Q657" s="225"/>
    </row>
    <row r="658" spans="16:17" ht="14.25" customHeight="1" x14ac:dyDescent="0.3">
      <c r="P658" s="225"/>
      <c r="Q658" s="225"/>
    </row>
    <row r="659" spans="16:17" ht="14.25" customHeight="1" x14ac:dyDescent="0.3">
      <c r="P659" s="225"/>
      <c r="Q659" s="225"/>
    </row>
    <row r="660" spans="16:17" ht="14.25" customHeight="1" x14ac:dyDescent="0.3">
      <c r="P660" s="225"/>
      <c r="Q660" s="225"/>
    </row>
    <row r="661" spans="16:17" ht="14.25" customHeight="1" x14ac:dyDescent="0.3">
      <c r="P661" s="225"/>
      <c r="Q661" s="225"/>
    </row>
    <row r="662" spans="16:17" ht="14.25" customHeight="1" x14ac:dyDescent="0.3">
      <c r="P662" s="225"/>
      <c r="Q662" s="225"/>
    </row>
    <row r="663" spans="16:17" ht="14.25" customHeight="1" x14ac:dyDescent="0.3">
      <c r="P663" s="225"/>
      <c r="Q663" s="225"/>
    </row>
    <row r="664" spans="16:17" ht="14.25" customHeight="1" x14ac:dyDescent="0.3">
      <c r="P664" s="225"/>
      <c r="Q664" s="225"/>
    </row>
    <row r="665" spans="16:17" ht="14.25" customHeight="1" x14ac:dyDescent="0.3">
      <c r="P665" s="225"/>
      <c r="Q665" s="225"/>
    </row>
    <row r="666" spans="16:17" ht="14.25" customHeight="1" x14ac:dyDescent="0.3">
      <c r="P666" s="225"/>
      <c r="Q666" s="225"/>
    </row>
    <row r="667" spans="16:17" ht="14.25" customHeight="1" x14ac:dyDescent="0.3">
      <c r="P667" s="225"/>
      <c r="Q667" s="225"/>
    </row>
    <row r="668" spans="16:17" ht="14.25" customHeight="1" x14ac:dyDescent="0.3">
      <c r="P668" s="225"/>
      <c r="Q668" s="225"/>
    </row>
    <row r="669" spans="16:17" ht="14.25" customHeight="1" x14ac:dyDescent="0.3">
      <c r="P669" s="225"/>
      <c r="Q669" s="225"/>
    </row>
    <row r="670" spans="16:17" ht="14.25" customHeight="1" x14ac:dyDescent="0.3">
      <c r="P670" s="225"/>
      <c r="Q670" s="225"/>
    </row>
    <row r="671" spans="16:17" ht="14.25" customHeight="1" x14ac:dyDescent="0.3">
      <c r="P671" s="225"/>
      <c r="Q671" s="225"/>
    </row>
    <row r="672" spans="16:17" ht="14.25" customHeight="1" x14ac:dyDescent="0.3">
      <c r="P672" s="225"/>
      <c r="Q672" s="225"/>
    </row>
    <row r="673" spans="16:17" ht="14.25" customHeight="1" x14ac:dyDescent="0.3">
      <c r="P673" s="225"/>
      <c r="Q673" s="225"/>
    </row>
    <row r="674" spans="16:17" ht="14.25" customHeight="1" x14ac:dyDescent="0.3">
      <c r="P674" s="225"/>
      <c r="Q674" s="225"/>
    </row>
    <row r="675" spans="16:17" ht="14.25" customHeight="1" x14ac:dyDescent="0.3">
      <c r="P675" s="225"/>
      <c r="Q675" s="225"/>
    </row>
    <row r="676" spans="16:17" ht="14.25" customHeight="1" x14ac:dyDescent="0.3">
      <c r="P676" s="225"/>
      <c r="Q676" s="225"/>
    </row>
    <row r="677" spans="16:17" ht="14.25" customHeight="1" x14ac:dyDescent="0.3">
      <c r="P677" s="225"/>
      <c r="Q677" s="225"/>
    </row>
    <row r="678" spans="16:17" ht="14.25" customHeight="1" x14ac:dyDescent="0.3">
      <c r="P678" s="225"/>
      <c r="Q678" s="225"/>
    </row>
    <row r="679" spans="16:17" ht="14.25" customHeight="1" x14ac:dyDescent="0.3">
      <c r="P679" s="225"/>
      <c r="Q679" s="225"/>
    </row>
    <row r="680" spans="16:17" ht="14.25" customHeight="1" x14ac:dyDescent="0.3">
      <c r="P680" s="225"/>
      <c r="Q680" s="225"/>
    </row>
    <row r="681" spans="16:17" ht="14.25" customHeight="1" x14ac:dyDescent="0.3">
      <c r="P681" s="225"/>
      <c r="Q681" s="225"/>
    </row>
    <row r="682" spans="16:17" ht="14.25" customHeight="1" x14ac:dyDescent="0.3">
      <c r="P682" s="225"/>
      <c r="Q682" s="225"/>
    </row>
    <row r="683" spans="16:17" ht="14.25" customHeight="1" x14ac:dyDescent="0.3">
      <c r="P683" s="225"/>
      <c r="Q683" s="225"/>
    </row>
    <row r="684" spans="16:17" ht="14.25" customHeight="1" x14ac:dyDescent="0.3">
      <c r="P684" s="225"/>
      <c r="Q684" s="225"/>
    </row>
    <row r="685" spans="16:17" ht="14.25" customHeight="1" x14ac:dyDescent="0.3">
      <c r="P685" s="225"/>
      <c r="Q685" s="225"/>
    </row>
    <row r="686" spans="16:17" ht="14.25" customHeight="1" x14ac:dyDescent="0.3">
      <c r="P686" s="225"/>
      <c r="Q686" s="225"/>
    </row>
    <row r="687" spans="16:17" ht="14.25" customHeight="1" x14ac:dyDescent="0.3">
      <c r="P687" s="225"/>
      <c r="Q687" s="225"/>
    </row>
    <row r="688" spans="16:17" ht="14.25" customHeight="1" x14ac:dyDescent="0.3">
      <c r="P688" s="225"/>
      <c r="Q688" s="225"/>
    </row>
    <row r="689" spans="16:17" ht="14.25" customHeight="1" x14ac:dyDescent="0.3">
      <c r="P689" s="225"/>
      <c r="Q689" s="225"/>
    </row>
    <row r="690" spans="16:17" ht="14.25" customHeight="1" x14ac:dyDescent="0.3">
      <c r="P690" s="225"/>
      <c r="Q690" s="225"/>
    </row>
    <row r="691" spans="16:17" ht="14.25" customHeight="1" x14ac:dyDescent="0.3">
      <c r="P691" s="225"/>
      <c r="Q691" s="225"/>
    </row>
    <row r="692" spans="16:17" ht="14.25" customHeight="1" x14ac:dyDescent="0.3">
      <c r="P692" s="225"/>
      <c r="Q692" s="225"/>
    </row>
    <row r="693" spans="16:17" ht="14.25" customHeight="1" x14ac:dyDescent="0.3">
      <c r="P693" s="225"/>
      <c r="Q693" s="225"/>
    </row>
    <row r="694" spans="16:17" ht="14.25" customHeight="1" x14ac:dyDescent="0.3">
      <c r="P694" s="225"/>
      <c r="Q694" s="225"/>
    </row>
    <row r="695" spans="16:17" ht="14.25" customHeight="1" x14ac:dyDescent="0.3">
      <c r="P695" s="225"/>
      <c r="Q695" s="225"/>
    </row>
    <row r="696" spans="16:17" ht="14.25" customHeight="1" x14ac:dyDescent="0.3">
      <c r="P696" s="225"/>
      <c r="Q696" s="225"/>
    </row>
    <row r="697" spans="16:17" ht="14.25" customHeight="1" x14ac:dyDescent="0.3">
      <c r="P697" s="225"/>
      <c r="Q697" s="225"/>
    </row>
    <row r="698" spans="16:17" ht="14.25" customHeight="1" x14ac:dyDescent="0.3">
      <c r="P698" s="225"/>
      <c r="Q698" s="225"/>
    </row>
    <row r="699" spans="16:17" ht="14.25" customHeight="1" x14ac:dyDescent="0.3">
      <c r="P699" s="225"/>
      <c r="Q699" s="225"/>
    </row>
    <row r="700" spans="16:17" ht="14.25" customHeight="1" x14ac:dyDescent="0.3">
      <c r="P700" s="225"/>
      <c r="Q700" s="225"/>
    </row>
    <row r="701" spans="16:17" ht="14.25" customHeight="1" x14ac:dyDescent="0.3">
      <c r="P701" s="225"/>
      <c r="Q701" s="225"/>
    </row>
    <row r="702" spans="16:17" ht="14.25" customHeight="1" x14ac:dyDescent="0.3">
      <c r="P702" s="225"/>
      <c r="Q702" s="225"/>
    </row>
    <row r="703" spans="16:17" ht="14.25" customHeight="1" x14ac:dyDescent="0.3">
      <c r="P703" s="225"/>
      <c r="Q703" s="225"/>
    </row>
    <row r="704" spans="16:17" ht="14.25" customHeight="1" x14ac:dyDescent="0.3">
      <c r="P704" s="225"/>
      <c r="Q704" s="225"/>
    </row>
    <row r="705" spans="16:17" ht="14.25" customHeight="1" x14ac:dyDescent="0.3">
      <c r="P705" s="225"/>
      <c r="Q705" s="225"/>
    </row>
    <row r="706" spans="16:17" ht="14.25" customHeight="1" x14ac:dyDescent="0.3">
      <c r="P706" s="225"/>
      <c r="Q706" s="225"/>
    </row>
    <row r="707" spans="16:17" ht="14.25" customHeight="1" x14ac:dyDescent="0.3">
      <c r="P707" s="225"/>
      <c r="Q707" s="225"/>
    </row>
    <row r="708" spans="16:17" ht="14.25" customHeight="1" x14ac:dyDescent="0.3">
      <c r="P708" s="225"/>
      <c r="Q708" s="225"/>
    </row>
    <row r="709" spans="16:17" ht="14.25" customHeight="1" x14ac:dyDescent="0.3">
      <c r="P709" s="225"/>
      <c r="Q709" s="225"/>
    </row>
    <row r="710" spans="16:17" ht="14.25" customHeight="1" x14ac:dyDescent="0.3">
      <c r="P710" s="225"/>
      <c r="Q710" s="225"/>
    </row>
    <row r="711" spans="16:17" ht="14.25" customHeight="1" x14ac:dyDescent="0.3">
      <c r="P711" s="225"/>
      <c r="Q711" s="225"/>
    </row>
    <row r="712" spans="16:17" ht="14.25" customHeight="1" x14ac:dyDescent="0.3">
      <c r="P712" s="225"/>
      <c r="Q712" s="225"/>
    </row>
    <row r="713" spans="16:17" ht="14.25" customHeight="1" x14ac:dyDescent="0.3">
      <c r="P713" s="225"/>
      <c r="Q713" s="225"/>
    </row>
    <row r="714" spans="16:17" ht="14.25" customHeight="1" x14ac:dyDescent="0.3">
      <c r="P714" s="225"/>
      <c r="Q714" s="225"/>
    </row>
    <row r="715" spans="16:17" ht="14.25" customHeight="1" x14ac:dyDescent="0.3">
      <c r="P715" s="225"/>
      <c r="Q715" s="225"/>
    </row>
    <row r="716" spans="16:17" ht="14.25" customHeight="1" x14ac:dyDescent="0.3">
      <c r="P716" s="225"/>
      <c r="Q716" s="225"/>
    </row>
    <row r="717" spans="16:17" ht="14.25" customHeight="1" x14ac:dyDescent="0.3">
      <c r="P717" s="225"/>
      <c r="Q717" s="225"/>
    </row>
    <row r="718" spans="16:17" ht="14.25" customHeight="1" x14ac:dyDescent="0.3">
      <c r="P718" s="225"/>
      <c r="Q718" s="225"/>
    </row>
    <row r="719" spans="16:17" ht="14.25" customHeight="1" x14ac:dyDescent="0.3">
      <c r="P719" s="225"/>
      <c r="Q719" s="225"/>
    </row>
    <row r="720" spans="16:17" ht="14.25" customHeight="1" x14ac:dyDescent="0.3">
      <c r="P720" s="225"/>
      <c r="Q720" s="225"/>
    </row>
    <row r="721" spans="16:17" ht="14.25" customHeight="1" x14ac:dyDescent="0.3">
      <c r="P721" s="225"/>
      <c r="Q721" s="225"/>
    </row>
    <row r="722" spans="16:17" ht="14.25" customHeight="1" x14ac:dyDescent="0.3">
      <c r="P722" s="225"/>
      <c r="Q722" s="225"/>
    </row>
    <row r="723" spans="16:17" ht="14.25" customHeight="1" x14ac:dyDescent="0.3">
      <c r="P723" s="225"/>
      <c r="Q723" s="225"/>
    </row>
    <row r="724" spans="16:17" ht="14.25" customHeight="1" x14ac:dyDescent="0.3">
      <c r="P724" s="225"/>
      <c r="Q724" s="225"/>
    </row>
    <row r="725" spans="16:17" ht="14.25" customHeight="1" x14ac:dyDescent="0.3">
      <c r="P725" s="225"/>
      <c r="Q725" s="225"/>
    </row>
    <row r="726" spans="16:17" ht="14.25" customHeight="1" x14ac:dyDescent="0.3">
      <c r="P726" s="225"/>
      <c r="Q726" s="225"/>
    </row>
    <row r="727" spans="16:17" ht="14.25" customHeight="1" x14ac:dyDescent="0.3">
      <c r="P727" s="225"/>
      <c r="Q727" s="225"/>
    </row>
    <row r="728" spans="16:17" ht="14.25" customHeight="1" x14ac:dyDescent="0.3">
      <c r="P728" s="225"/>
      <c r="Q728" s="225"/>
    </row>
    <row r="729" spans="16:17" ht="14.25" customHeight="1" x14ac:dyDescent="0.3">
      <c r="P729" s="225"/>
      <c r="Q729" s="225"/>
    </row>
    <row r="730" spans="16:17" ht="14.25" customHeight="1" x14ac:dyDescent="0.3">
      <c r="P730" s="225"/>
      <c r="Q730" s="225"/>
    </row>
    <row r="731" spans="16:17" ht="14.25" customHeight="1" x14ac:dyDescent="0.3">
      <c r="P731" s="225"/>
      <c r="Q731" s="225"/>
    </row>
    <row r="732" spans="16:17" ht="14.25" customHeight="1" x14ac:dyDescent="0.3">
      <c r="P732" s="225"/>
      <c r="Q732" s="225"/>
    </row>
    <row r="733" spans="16:17" ht="14.25" customHeight="1" x14ac:dyDescent="0.3">
      <c r="P733" s="225"/>
      <c r="Q733" s="225"/>
    </row>
    <row r="734" spans="16:17" ht="14.25" customHeight="1" x14ac:dyDescent="0.3">
      <c r="P734" s="225"/>
      <c r="Q734" s="225"/>
    </row>
    <row r="735" spans="16:17" ht="14.25" customHeight="1" x14ac:dyDescent="0.3">
      <c r="P735" s="225"/>
      <c r="Q735" s="225"/>
    </row>
    <row r="736" spans="16:17" ht="14.25" customHeight="1" x14ac:dyDescent="0.3">
      <c r="P736" s="225"/>
      <c r="Q736" s="225"/>
    </row>
    <row r="737" spans="16:17" ht="14.25" customHeight="1" x14ac:dyDescent="0.3">
      <c r="P737" s="225"/>
      <c r="Q737" s="225"/>
    </row>
    <row r="738" spans="16:17" ht="14.25" customHeight="1" x14ac:dyDescent="0.3">
      <c r="P738" s="225"/>
      <c r="Q738" s="225"/>
    </row>
    <row r="739" spans="16:17" ht="14.25" customHeight="1" x14ac:dyDescent="0.3">
      <c r="P739" s="225"/>
      <c r="Q739" s="225"/>
    </row>
    <row r="740" spans="16:17" ht="14.25" customHeight="1" x14ac:dyDescent="0.3">
      <c r="P740" s="225"/>
      <c r="Q740" s="225"/>
    </row>
    <row r="741" spans="16:17" ht="14.25" customHeight="1" x14ac:dyDescent="0.3">
      <c r="P741" s="225"/>
      <c r="Q741" s="225"/>
    </row>
    <row r="742" spans="16:17" ht="14.25" customHeight="1" x14ac:dyDescent="0.3">
      <c r="P742" s="225"/>
      <c r="Q742" s="225"/>
    </row>
    <row r="743" spans="16:17" ht="14.25" customHeight="1" x14ac:dyDescent="0.3">
      <c r="P743" s="225"/>
      <c r="Q743" s="225"/>
    </row>
    <row r="744" spans="16:17" ht="14.25" customHeight="1" x14ac:dyDescent="0.3">
      <c r="P744" s="225"/>
      <c r="Q744" s="225"/>
    </row>
    <row r="745" spans="16:17" ht="14.25" customHeight="1" x14ac:dyDescent="0.3">
      <c r="P745" s="225"/>
      <c r="Q745" s="225"/>
    </row>
    <row r="746" spans="16:17" ht="14.25" customHeight="1" x14ac:dyDescent="0.3">
      <c r="P746" s="225"/>
      <c r="Q746" s="225"/>
    </row>
    <row r="747" spans="16:17" ht="14.25" customHeight="1" x14ac:dyDescent="0.3">
      <c r="P747" s="225"/>
      <c r="Q747" s="225"/>
    </row>
    <row r="748" spans="16:17" ht="14.25" customHeight="1" x14ac:dyDescent="0.3">
      <c r="P748" s="225"/>
      <c r="Q748" s="225"/>
    </row>
    <row r="749" spans="16:17" ht="14.25" customHeight="1" x14ac:dyDescent="0.3">
      <c r="P749" s="225"/>
      <c r="Q749" s="225"/>
    </row>
    <row r="750" spans="16:17" ht="14.25" customHeight="1" x14ac:dyDescent="0.3">
      <c r="P750" s="225"/>
      <c r="Q750" s="225"/>
    </row>
    <row r="751" spans="16:17" ht="14.25" customHeight="1" x14ac:dyDescent="0.3">
      <c r="P751" s="225"/>
      <c r="Q751" s="225"/>
    </row>
    <row r="752" spans="16:17" ht="14.25" customHeight="1" x14ac:dyDescent="0.3">
      <c r="P752" s="225"/>
      <c r="Q752" s="225"/>
    </row>
    <row r="753" spans="16:17" ht="14.25" customHeight="1" x14ac:dyDescent="0.3">
      <c r="P753" s="225"/>
      <c r="Q753" s="225"/>
    </row>
    <row r="754" spans="16:17" ht="14.25" customHeight="1" x14ac:dyDescent="0.3">
      <c r="P754" s="225"/>
      <c r="Q754" s="225"/>
    </row>
    <row r="755" spans="16:17" ht="14.25" customHeight="1" x14ac:dyDescent="0.3">
      <c r="P755" s="225"/>
      <c r="Q755" s="225"/>
    </row>
    <row r="756" spans="16:17" ht="14.25" customHeight="1" x14ac:dyDescent="0.3">
      <c r="P756" s="225"/>
      <c r="Q756" s="225"/>
    </row>
    <row r="757" spans="16:17" ht="14.25" customHeight="1" x14ac:dyDescent="0.3">
      <c r="P757" s="225"/>
      <c r="Q757" s="225"/>
    </row>
    <row r="758" spans="16:17" ht="14.25" customHeight="1" x14ac:dyDescent="0.3">
      <c r="P758" s="225"/>
      <c r="Q758" s="225"/>
    </row>
    <row r="759" spans="16:17" ht="14.25" customHeight="1" x14ac:dyDescent="0.3">
      <c r="P759" s="225"/>
      <c r="Q759" s="225"/>
    </row>
    <row r="760" spans="16:17" ht="14.25" customHeight="1" x14ac:dyDescent="0.3">
      <c r="P760" s="225"/>
      <c r="Q760" s="225"/>
    </row>
    <row r="761" spans="16:17" ht="14.25" customHeight="1" x14ac:dyDescent="0.3">
      <c r="P761" s="225"/>
      <c r="Q761" s="225"/>
    </row>
    <row r="762" spans="16:17" ht="14.25" customHeight="1" x14ac:dyDescent="0.3">
      <c r="P762" s="225"/>
      <c r="Q762" s="225"/>
    </row>
    <row r="763" spans="16:17" ht="14.25" customHeight="1" x14ac:dyDescent="0.3">
      <c r="P763" s="225"/>
      <c r="Q763" s="225"/>
    </row>
    <row r="764" spans="16:17" ht="14.25" customHeight="1" x14ac:dyDescent="0.3">
      <c r="P764" s="225"/>
      <c r="Q764" s="225"/>
    </row>
    <row r="765" spans="16:17" ht="14.25" customHeight="1" x14ac:dyDescent="0.3">
      <c r="P765" s="225"/>
      <c r="Q765" s="225"/>
    </row>
    <row r="766" spans="16:17" ht="14.25" customHeight="1" x14ac:dyDescent="0.3">
      <c r="P766" s="225"/>
      <c r="Q766" s="225"/>
    </row>
    <row r="767" spans="16:17" ht="14.25" customHeight="1" x14ac:dyDescent="0.3">
      <c r="P767" s="225"/>
      <c r="Q767" s="225"/>
    </row>
    <row r="768" spans="16:17" ht="14.25" customHeight="1" x14ac:dyDescent="0.3">
      <c r="P768" s="225"/>
      <c r="Q768" s="225"/>
    </row>
    <row r="769" spans="16:17" ht="14.25" customHeight="1" x14ac:dyDescent="0.3">
      <c r="P769" s="225"/>
      <c r="Q769" s="225"/>
    </row>
    <row r="770" spans="16:17" ht="14.25" customHeight="1" x14ac:dyDescent="0.3">
      <c r="P770" s="225"/>
      <c r="Q770" s="225"/>
    </row>
    <row r="771" spans="16:17" ht="14.25" customHeight="1" x14ac:dyDescent="0.3">
      <c r="P771" s="225"/>
      <c r="Q771" s="225"/>
    </row>
    <row r="772" spans="16:17" ht="14.25" customHeight="1" x14ac:dyDescent="0.3">
      <c r="P772" s="225"/>
      <c r="Q772" s="225"/>
    </row>
    <row r="773" spans="16:17" ht="14.25" customHeight="1" x14ac:dyDescent="0.3">
      <c r="P773" s="225"/>
      <c r="Q773" s="225"/>
    </row>
    <row r="774" spans="16:17" ht="14.25" customHeight="1" x14ac:dyDescent="0.3">
      <c r="P774" s="225"/>
      <c r="Q774" s="225"/>
    </row>
    <row r="775" spans="16:17" ht="14.25" customHeight="1" x14ac:dyDescent="0.3">
      <c r="P775" s="225"/>
      <c r="Q775" s="225"/>
    </row>
    <row r="776" spans="16:17" ht="14.25" customHeight="1" x14ac:dyDescent="0.3">
      <c r="P776" s="225"/>
      <c r="Q776" s="225"/>
    </row>
    <row r="777" spans="16:17" ht="14.25" customHeight="1" x14ac:dyDescent="0.3">
      <c r="P777" s="225"/>
      <c r="Q777" s="225"/>
    </row>
    <row r="778" spans="16:17" ht="14.25" customHeight="1" x14ac:dyDescent="0.3">
      <c r="P778" s="225"/>
      <c r="Q778" s="225"/>
    </row>
    <row r="779" spans="16:17" ht="14.25" customHeight="1" x14ac:dyDescent="0.3">
      <c r="P779" s="225"/>
      <c r="Q779" s="225"/>
    </row>
    <row r="780" spans="16:17" ht="14.25" customHeight="1" x14ac:dyDescent="0.3">
      <c r="P780" s="225"/>
      <c r="Q780" s="225"/>
    </row>
    <row r="781" spans="16:17" ht="14.25" customHeight="1" x14ac:dyDescent="0.3">
      <c r="P781" s="225"/>
      <c r="Q781" s="225"/>
    </row>
    <row r="782" spans="16:17" ht="14.25" customHeight="1" x14ac:dyDescent="0.3">
      <c r="P782" s="225"/>
      <c r="Q782" s="225"/>
    </row>
    <row r="783" spans="16:17" ht="14.25" customHeight="1" x14ac:dyDescent="0.3">
      <c r="P783" s="225"/>
      <c r="Q783" s="225"/>
    </row>
    <row r="784" spans="16:17" ht="14.25" customHeight="1" x14ac:dyDescent="0.3">
      <c r="P784" s="225"/>
      <c r="Q784" s="225"/>
    </row>
    <row r="785" spans="16:17" ht="14.25" customHeight="1" x14ac:dyDescent="0.3">
      <c r="P785" s="225"/>
      <c r="Q785" s="225"/>
    </row>
    <row r="786" spans="16:17" ht="14.25" customHeight="1" x14ac:dyDescent="0.3">
      <c r="P786" s="225"/>
      <c r="Q786" s="225"/>
    </row>
    <row r="787" spans="16:17" ht="14.25" customHeight="1" x14ac:dyDescent="0.3">
      <c r="P787" s="225"/>
      <c r="Q787" s="225"/>
    </row>
    <row r="788" spans="16:17" ht="14.25" customHeight="1" x14ac:dyDescent="0.3">
      <c r="P788" s="225"/>
      <c r="Q788" s="225"/>
    </row>
    <row r="789" spans="16:17" ht="14.25" customHeight="1" x14ac:dyDescent="0.3">
      <c r="P789" s="225"/>
      <c r="Q789" s="225"/>
    </row>
    <row r="790" spans="16:17" ht="14.25" customHeight="1" x14ac:dyDescent="0.3">
      <c r="P790" s="225"/>
      <c r="Q790" s="225"/>
    </row>
    <row r="791" spans="16:17" ht="14.25" customHeight="1" x14ac:dyDescent="0.3">
      <c r="P791" s="225"/>
      <c r="Q791" s="225"/>
    </row>
    <row r="792" spans="16:17" ht="14.25" customHeight="1" x14ac:dyDescent="0.3">
      <c r="P792" s="225"/>
      <c r="Q792" s="225"/>
    </row>
    <row r="793" spans="16:17" ht="14.25" customHeight="1" x14ac:dyDescent="0.3">
      <c r="P793" s="225"/>
      <c r="Q793" s="225"/>
    </row>
    <row r="794" spans="16:17" ht="14.25" customHeight="1" x14ac:dyDescent="0.3">
      <c r="P794" s="225"/>
      <c r="Q794" s="225"/>
    </row>
    <row r="795" spans="16:17" ht="14.25" customHeight="1" x14ac:dyDescent="0.3">
      <c r="P795" s="225"/>
      <c r="Q795" s="225"/>
    </row>
    <row r="796" spans="16:17" ht="14.25" customHeight="1" x14ac:dyDescent="0.3">
      <c r="P796" s="225"/>
      <c r="Q796" s="225"/>
    </row>
    <row r="797" spans="16:17" ht="14.25" customHeight="1" x14ac:dyDescent="0.3">
      <c r="P797" s="225"/>
      <c r="Q797" s="225"/>
    </row>
    <row r="798" spans="16:17" ht="14.25" customHeight="1" x14ac:dyDescent="0.3">
      <c r="P798" s="225"/>
      <c r="Q798" s="225"/>
    </row>
    <row r="799" spans="16:17" ht="14.25" customHeight="1" x14ac:dyDescent="0.3">
      <c r="P799" s="225"/>
      <c r="Q799" s="225"/>
    </row>
    <row r="800" spans="16:17" ht="14.25" customHeight="1" x14ac:dyDescent="0.3">
      <c r="P800" s="225"/>
      <c r="Q800" s="225"/>
    </row>
    <row r="801" spans="16:17" ht="14.25" customHeight="1" x14ac:dyDescent="0.3">
      <c r="P801" s="225"/>
      <c r="Q801" s="225"/>
    </row>
    <row r="802" spans="16:17" ht="14.25" customHeight="1" x14ac:dyDescent="0.3">
      <c r="P802" s="225"/>
      <c r="Q802" s="225"/>
    </row>
    <row r="803" spans="16:17" ht="14.25" customHeight="1" x14ac:dyDescent="0.3">
      <c r="P803" s="225"/>
      <c r="Q803" s="225"/>
    </row>
    <row r="804" spans="16:17" ht="14.25" customHeight="1" x14ac:dyDescent="0.3">
      <c r="P804" s="225"/>
      <c r="Q804" s="225"/>
    </row>
    <row r="805" spans="16:17" ht="14.25" customHeight="1" x14ac:dyDescent="0.3">
      <c r="P805" s="225"/>
      <c r="Q805" s="225"/>
    </row>
    <row r="806" spans="16:17" ht="14.25" customHeight="1" x14ac:dyDescent="0.3">
      <c r="P806" s="225"/>
      <c r="Q806" s="225"/>
    </row>
    <row r="807" spans="16:17" ht="14.25" customHeight="1" x14ac:dyDescent="0.3">
      <c r="P807" s="225"/>
      <c r="Q807" s="225"/>
    </row>
    <row r="808" spans="16:17" ht="14.25" customHeight="1" x14ac:dyDescent="0.3">
      <c r="P808" s="225"/>
      <c r="Q808" s="225"/>
    </row>
    <row r="809" spans="16:17" ht="14.25" customHeight="1" x14ac:dyDescent="0.3">
      <c r="P809" s="225"/>
      <c r="Q809" s="225"/>
    </row>
    <row r="810" spans="16:17" ht="14.25" customHeight="1" x14ac:dyDescent="0.3">
      <c r="P810" s="225"/>
      <c r="Q810" s="225"/>
    </row>
    <row r="811" spans="16:17" ht="14.25" customHeight="1" x14ac:dyDescent="0.3">
      <c r="P811" s="225"/>
      <c r="Q811" s="225"/>
    </row>
    <row r="812" spans="16:17" ht="14.25" customHeight="1" x14ac:dyDescent="0.3">
      <c r="P812" s="225"/>
      <c r="Q812" s="225"/>
    </row>
    <row r="813" spans="16:17" ht="14.25" customHeight="1" x14ac:dyDescent="0.3">
      <c r="P813" s="225"/>
      <c r="Q813" s="225"/>
    </row>
    <row r="814" spans="16:17" ht="14.25" customHeight="1" x14ac:dyDescent="0.3">
      <c r="P814" s="225"/>
      <c r="Q814" s="225"/>
    </row>
    <row r="815" spans="16:17" ht="14.25" customHeight="1" x14ac:dyDescent="0.3">
      <c r="P815" s="225"/>
      <c r="Q815" s="225"/>
    </row>
    <row r="816" spans="16:17" ht="14.25" customHeight="1" x14ac:dyDescent="0.3">
      <c r="P816" s="225"/>
      <c r="Q816" s="225"/>
    </row>
    <row r="817" spans="16:17" ht="14.25" customHeight="1" x14ac:dyDescent="0.3">
      <c r="P817" s="225"/>
      <c r="Q817" s="225"/>
    </row>
    <row r="818" spans="16:17" ht="14.25" customHeight="1" x14ac:dyDescent="0.3">
      <c r="P818" s="225"/>
      <c r="Q818" s="225"/>
    </row>
    <row r="819" spans="16:17" ht="14.25" customHeight="1" x14ac:dyDescent="0.3">
      <c r="P819" s="225"/>
      <c r="Q819" s="225"/>
    </row>
    <row r="820" spans="16:17" ht="14.25" customHeight="1" x14ac:dyDescent="0.3">
      <c r="P820" s="225"/>
      <c r="Q820" s="225"/>
    </row>
    <row r="821" spans="16:17" ht="14.25" customHeight="1" x14ac:dyDescent="0.3">
      <c r="P821" s="225"/>
      <c r="Q821" s="225"/>
    </row>
    <row r="822" spans="16:17" ht="14.25" customHeight="1" x14ac:dyDescent="0.3">
      <c r="P822" s="225"/>
      <c r="Q822" s="225"/>
    </row>
    <row r="823" spans="16:17" ht="14.25" customHeight="1" x14ac:dyDescent="0.3">
      <c r="P823" s="225"/>
      <c r="Q823" s="225"/>
    </row>
    <row r="824" spans="16:17" ht="14.25" customHeight="1" x14ac:dyDescent="0.3">
      <c r="P824" s="225"/>
      <c r="Q824" s="225"/>
    </row>
    <row r="825" spans="16:17" ht="14.25" customHeight="1" x14ac:dyDescent="0.3">
      <c r="P825" s="225"/>
      <c r="Q825" s="225"/>
    </row>
    <row r="826" spans="16:17" ht="14.25" customHeight="1" x14ac:dyDescent="0.3">
      <c r="P826" s="225"/>
      <c r="Q826" s="225"/>
    </row>
    <row r="827" spans="16:17" ht="14.25" customHeight="1" x14ac:dyDescent="0.3">
      <c r="P827" s="225"/>
      <c r="Q827" s="225"/>
    </row>
    <row r="828" spans="16:17" ht="14.25" customHeight="1" x14ac:dyDescent="0.3">
      <c r="P828" s="225"/>
      <c r="Q828" s="225"/>
    </row>
    <row r="829" spans="16:17" ht="14.25" customHeight="1" x14ac:dyDescent="0.3">
      <c r="P829" s="225"/>
      <c r="Q829" s="225"/>
    </row>
    <row r="830" spans="16:17" ht="14.25" customHeight="1" x14ac:dyDescent="0.3">
      <c r="P830" s="225"/>
      <c r="Q830" s="225"/>
    </row>
    <row r="831" spans="16:17" ht="14.25" customHeight="1" x14ac:dyDescent="0.3">
      <c r="P831" s="225"/>
      <c r="Q831" s="225"/>
    </row>
    <row r="832" spans="16:17" ht="14.25" customHeight="1" x14ac:dyDescent="0.3">
      <c r="P832" s="225"/>
      <c r="Q832" s="225"/>
    </row>
    <row r="833" spans="16:17" ht="14.25" customHeight="1" x14ac:dyDescent="0.3">
      <c r="P833" s="225"/>
      <c r="Q833" s="225"/>
    </row>
    <row r="834" spans="16:17" ht="14.25" customHeight="1" x14ac:dyDescent="0.3">
      <c r="P834" s="225"/>
      <c r="Q834" s="225"/>
    </row>
    <row r="835" spans="16:17" ht="14.25" customHeight="1" x14ac:dyDescent="0.3">
      <c r="P835" s="225"/>
      <c r="Q835" s="225"/>
    </row>
    <row r="836" spans="16:17" ht="14.25" customHeight="1" x14ac:dyDescent="0.3">
      <c r="P836" s="225"/>
      <c r="Q836" s="225"/>
    </row>
    <row r="837" spans="16:17" ht="14.25" customHeight="1" x14ac:dyDescent="0.3">
      <c r="P837" s="225"/>
      <c r="Q837" s="225"/>
    </row>
    <row r="838" spans="16:17" ht="14.25" customHeight="1" x14ac:dyDescent="0.3">
      <c r="P838" s="225"/>
      <c r="Q838" s="225"/>
    </row>
    <row r="839" spans="16:17" ht="14.25" customHeight="1" x14ac:dyDescent="0.3">
      <c r="P839" s="225"/>
      <c r="Q839" s="225"/>
    </row>
    <row r="840" spans="16:17" ht="14.25" customHeight="1" x14ac:dyDescent="0.3">
      <c r="P840" s="225"/>
      <c r="Q840" s="225"/>
    </row>
    <row r="841" spans="16:17" ht="14.25" customHeight="1" x14ac:dyDescent="0.3">
      <c r="P841" s="225"/>
      <c r="Q841" s="225"/>
    </row>
    <row r="842" spans="16:17" ht="14.25" customHeight="1" x14ac:dyDescent="0.3">
      <c r="P842" s="225"/>
      <c r="Q842" s="225"/>
    </row>
    <row r="843" spans="16:17" ht="14.25" customHeight="1" x14ac:dyDescent="0.3">
      <c r="P843" s="225"/>
      <c r="Q843" s="225"/>
    </row>
    <row r="844" spans="16:17" ht="14.25" customHeight="1" x14ac:dyDescent="0.3">
      <c r="P844" s="225"/>
      <c r="Q844" s="225"/>
    </row>
    <row r="845" spans="16:17" ht="14.25" customHeight="1" x14ac:dyDescent="0.3">
      <c r="P845" s="225"/>
      <c r="Q845" s="225"/>
    </row>
    <row r="846" spans="16:17" ht="14.25" customHeight="1" x14ac:dyDescent="0.3">
      <c r="P846" s="225"/>
      <c r="Q846" s="225"/>
    </row>
    <row r="847" spans="16:17" ht="14.25" customHeight="1" x14ac:dyDescent="0.3">
      <c r="P847" s="225"/>
      <c r="Q847" s="225"/>
    </row>
    <row r="848" spans="16:17" ht="14.25" customHeight="1" x14ac:dyDescent="0.3">
      <c r="P848" s="225"/>
      <c r="Q848" s="225"/>
    </row>
    <row r="849" spans="16:17" ht="14.25" customHeight="1" x14ac:dyDescent="0.3">
      <c r="P849" s="225"/>
      <c r="Q849" s="225"/>
    </row>
    <row r="850" spans="16:17" ht="14.25" customHeight="1" x14ac:dyDescent="0.3">
      <c r="P850" s="225"/>
      <c r="Q850" s="225"/>
    </row>
    <row r="851" spans="16:17" ht="14.25" customHeight="1" x14ac:dyDescent="0.3">
      <c r="P851" s="225"/>
      <c r="Q851" s="225"/>
    </row>
    <row r="852" spans="16:17" ht="14.25" customHeight="1" x14ac:dyDescent="0.3">
      <c r="P852" s="225"/>
      <c r="Q852" s="225"/>
    </row>
    <row r="853" spans="16:17" ht="14.25" customHeight="1" x14ac:dyDescent="0.3">
      <c r="P853" s="225"/>
      <c r="Q853" s="225"/>
    </row>
    <row r="854" spans="16:17" ht="14.25" customHeight="1" x14ac:dyDescent="0.3">
      <c r="P854" s="225"/>
      <c r="Q854" s="225"/>
    </row>
    <row r="855" spans="16:17" ht="14.25" customHeight="1" x14ac:dyDescent="0.3">
      <c r="P855" s="225"/>
      <c r="Q855" s="225"/>
    </row>
    <row r="856" spans="16:17" ht="14.25" customHeight="1" x14ac:dyDescent="0.3">
      <c r="P856" s="225"/>
      <c r="Q856" s="225"/>
    </row>
    <row r="857" spans="16:17" ht="14.25" customHeight="1" x14ac:dyDescent="0.3">
      <c r="P857" s="225"/>
      <c r="Q857" s="225"/>
    </row>
    <row r="858" spans="16:17" ht="14.25" customHeight="1" x14ac:dyDescent="0.3">
      <c r="P858" s="225"/>
      <c r="Q858" s="225"/>
    </row>
    <row r="859" spans="16:17" ht="14.25" customHeight="1" x14ac:dyDescent="0.3">
      <c r="P859" s="225"/>
      <c r="Q859" s="225"/>
    </row>
    <row r="860" spans="16:17" ht="14.25" customHeight="1" x14ac:dyDescent="0.3">
      <c r="P860" s="225"/>
      <c r="Q860" s="225"/>
    </row>
    <row r="861" spans="16:17" ht="14.25" customHeight="1" x14ac:dyDescent="0.3">
      <c r="P861" s="225"/>
      <c r="Q861" s="225"/>
    </row>
    <row r="862" spans="16:17" ht="14.25" customHeight="1" x14ac:dyDescent="0.3">
      <c r="P862" s="225"/>
      <c r="Q862" s="225"/>
    </row>
    <row r="863" spans="16:17" ht="14.25" customHeight="1" x14ac:dyDescent="0.3">
      <c r="P863" s="225"/>
      <c r="Q863" s="225"/>
    </row>
    <row r="864" spans="16:17" ht="14.25" customHeight="1" x14ac:dyDescent="0.3">
      <c r="P864" s="225"/>
      <c r="Q864" s="225"/>
    </row>
    <row r="865" spans="16:17" ht="14.25" customHeight="1" x14ac:dyDescent="0.3">
      <c r="P865" s="225"/>
      <c r="Q865" s="225"/>
    </row>
    <row r="866" spans="16:17" ht="14.25" customHeight="1" x14ac:dyDescent="0.3">
      <c r="P866" s="225"/>
      <c r="Q866" s="225"/>
    </row>
    <row r="867" spans="16:17" ht="14.25" customHeight="1" x14ac:dyDescent="0.3">
      <c r="P867" s="225"/>
      <c r="Q867" s="225"/>
    </row>
    <row r="868" spans="16:17" ht="14.25" customHeight="1" x14ac:dyDescent="0.3">
      <c r="P868" s="225"/>
      <c r="Q868" s="225"/>
    </row>
    <row r="869" spans="16:17" ht="14.25" customHeight="1" x14ac:dyDescent="0.3">
      <c r="P869" s="225"/>
      <c r="Q869" s="225"/>
    </row>
    <row r="870" spans="16:17" ht="14.25" customHeight="1" x14ac:dyDescent="0.3">
      <c r="P870" s="225"/>
      <c r="Q870" s="225"/>
    </row>
    <row r="871" spans="16:17" ht="14.25" customHeight="1" x14ac:dyDescent="0.3">
      <c r="P871" s="225"/>
      <c r="Q871" s="225"/>
    </row>
    <row r="872" spans="16:17" ht="14.25" customHeight="1" x14ac:dyDescent="0.3">
      <c r="P872" s="225"/>
      <c r="Q872" s="225"/>
    </row>
    <row r="873" spans="16:17" ht="14.25" customHeight="1" x14ac:dyDescent="0.3">
      <c r="P873" s="225"/>
      <c r="Q873" s="225"/>
    </row>
    <row r="874" spans="16:17" ht="14.25" customHeight="1" x14ac:dyDescent="0.3">
      <c r="P874" s="225"/>
      <c r="Q874" s="225"/>
    </row>
    <row r="875" spans="16:17" ht="14.25" customHeight="1" x14ac:dyDescent="0.3">
      <c r="P875" s="225"/>
      <c r="Q875" s="225"/>
    </row>
    <row r="876" spans="16:17" ht="14.25" customHeight="1" x14ac:dyDescent="0.3">
      <c r="P876" s="225"/>
      <c r="Q876" s="225"/>
    </row>
    <row r="877" spans="16:17" ht="14.25" customHeight="1" x14ac:dyDescent="0.3">
      <c r="P877" s="225"/>
      <c r="Q877" s="225"/>
    </row>
    <row r="878" spans="16:17" ht="14.25" customHeight="1" x14ac:dyDescent="0.3">
      <c r="P878" s="225"/>
      <c r="Q878" s="225"/>
    </row>
    <row r="879" spans="16:17" ht="14.25" customHeight="1" x14ac:dyDescent="0.3">
      <c r="P879" s="225"/>
      <c r="Q879" s="225"/>
    </row>
    <row r="880" spans="16:17" ht="14.25" customHeight="1" x14ac:dyDescent="0.3">
      <c r="P880" s="225"/>
      <c r="Q880" s="225"/>
    </row>
    <row r="881" spans="16:17" ht="14.25" customHeight="1" x14ac:dyDescent="0.3">
      <c r="P881" s="225"/>
      <c r="Q881" s="225"/>
    </row>
    <row r="882" spans="16:17" ht="14.25" customHeight="1" x14ac:dyDescent="0.3">
      <c r="P882" s="225"/>
      <c r="Q882" s="225"/>
    </row>
    <row r="883" spans="16:17" ht="14.25" customHeight="1" x14ac:dyDescent="0.3">
      <c r="P883" s="225"/>
      <c r="Q883" s="225"/>
    </row>
    <row r="884" spans="16:17" ht="14.25" customHeight="1" x14ac:dyDescent="0.3">
      <c r="P884" s="225"/>
      <c r="Q884" s="225"/>
    </row>
    <row r="885" spans="16:17" ht="14.25" customHeight="1" x14ac:dyDescent="0.3">
      <c r="P885" s="225"/>
      <c r="Q885" s="225"/>
    </row>
    <row r="886" spans="16:17" ht="14.25" customHeight="1" x14ac:dyDescent="0.3">
      <c r="P886" s="225"/>
      <c r="Q886" s="225"/>
    </row>
    <row r="887" spans="16:17" ht="14.25" customHeight="1" x14ac:dyDescent="0.3">
      <c r="P887" s="225"/>
      <c r="Q887" s="225"/>
    </row>
    <row r="888" spans="16:17" ht="14.25" customHeight="1" x14ac:dyDescent="0.3">
      <c r="P888" s="225"/>
      <c r="Q888" s="225"/>
    </row>
    <row r="889" spans="16:17" ht="14.25" customHeight="1" x14ac:dyDescent="0.3">
      <c r="P889" s="225"/>
      <c r="Q889" s="225"/>
    </row>
    <row r="890" spans="16:17" ht="14.25" customHeight="1" x14ac:dyDescent="0.3">
      <c r="P890" s="225"/>
      <c r="Q890" s="225"/>
    </row>
    <row r="891" spans="16:17" ht="14.25" customHeight="1" x14ac:dyDescent="0.3">
      <c r="P891" s="225"/>
      <c r="Q891" s="225"/>
    </row>
    <row r="892" spans="16:17" ht="14.25" customHeight="1" x14ac:dyDescent="0.3">
      <c r="P892" s="225"/>
      <c r="Q892" s="225"/>
    </row>
    <row r="893" spans="16:17" ht="14.25" customHeight="1" x14ac:dyDescent="0.3">
      <c r="P893" s="225"/>
      <c r="Q893" s="225"/>
    </row>
    <row r="894" spans="16:17" ht="14.25" customHeight="1" x14ac:dyDescent="0.3">
      <c r="P894" s="225"/>
      <c r="Q894" s="225"/>
    </row>
    <row r="895" spans="16:17" ht="14.25" customHeight="1" x14ac:dyDescent="0.3">
      <c r="P895" s="225"/>
      <c r="Q895" s="225"/>
    </row>
    <row r="896" spans="16:17" ht="14.25" customHeight="1" x14ac:dyDescent="0.3">
      <c r="P896" s="225"/>
      <c r="Q896" s="225"/>
    </row>
    <row r="897" spans="16:17" ht="14.25" customHeight="1" x14ac:dyDescent="0.3">
      <c r="P897" s="225"/>
      <c r="Q897" s="225"/>
    </row>
    <row r="898" spans="16:17" ht="14.25" customHeight="1" x14ac:dyDescent="0.3">
      <c r="P898" s="225"/>
      <c r="Q898" s="225"/>
    </row>
    <row r="899" spans="16:17" ht="14.25" customHeight="1" x14ac:dyDescent="0.3">
      <c r="P899" s="225"/>
      <c r="Q899" s="225"/>
    </row>
    <row r="900" spans="16:17" ht="14.25" customHeight="1" x14ac:dyDescent="0.3">
      <c r="P900" s="225"/>
      <c r="Q900" s="225"/>
    </row>
    <row r="901" spans="16:17" ht="14.25" customHeight="1" x14ac:dyDescent="0.3">
      <c r="P901" s="225"/>
      <c r="Q901" s="225"/>
    </row>
    <row r="902" spans="16:17" ht="14.25" customHeight="1" x14ac:dyDescent="0.3">
      <c r="P902" s="225"/>
      <c r="Q902" s="225"/>
    </row>
    <row r="903" spans="16:17" ht="14.25" customHeight="1" x14ac:dyDescent="0.3">
      <c r="P903" s="225"/>
      <c r="Q903" s="225"/>
    </row>
    <row r="904" spans="16:17" ht="14.25" customHeight="1" x14ac:dyDescent="0.3">
      <c r="P904" s="225"/>
      <c r="Q904" s="225"/>
    </row>
    <row r="905" spans="16:17" ht="14.25" customHeight="1" x14ac:dyDescent="0.3">
      <c r="P905" s="225"/>
      <c r="Q905" s="225"/>
    </row>
    <row r="906" spans="16:17" ht="14.25" customHeight="1" x14ac:dyDescent="0.3">
      <c r="P906" s="225"/>
      <c r="Q906" s="225"/>
    </row>
    <row r="907" spans="16:17" ht="14.25" customHeight="1" x14ac:dyDescent="0.3">
      <c r="P907" s="225"/>
      <c r="Q907" s="225"/>
    </row>
    <row r="908" spans="16:17" ht="14.25" customHeight="1" x14ac:dyDescent="0.3">
      <c r="P908" s="225"/>
      <c r="Q908" s="225"/>
    </row>
    <row r="909" spans="16:17" ht="14.25" customHeight="1" x14ac:dyDescent="0.3">
      <c r="P909" s="225"/>
      <c r="Q909" s="225"/>
    </row>
    <row r="910" spans="16:17" ht="14.25" customHeight="1" x14ac:dyDescent="0.3">
      <c r="P910" s="225"/>
      <c r="Q910" s="225"/>
    </row>
    <row r="911" spans="16:17" ht="14.25" customHeight="1" x14ac:dyDescent="0.3">
      <c r="P911" s="225"/>
      <c r="Q911" s="225"/>
    </row>
    <row r="912" spans="16:17" ht="14.25" customHeight="1" x14ac:dyDescent="0.3">
      <c r="P912" s="225"/>
      <c r="Q912" s="225"/>
    </row>
    <row r="913" spans="16:17" ht="14.25" customHeight="1" x14ac:dyDescent="0.3">
      <c r="P913" s="225"/>
      <c r="Q913" s="225"/>
    </row>
    <row r="914" spans="16:17" ht="14.25" customHeight="1" x14ac:dyDescent="0.3">
      <c r="P914" s="225"/>
      <c r="Q914" s="225"/>
    </row>
    <row r="915" spans="16:17" ht="14.25" customHeight="1" x14ac:dyDescent="0.3">
      <c r="P915" s="225"/>
      <c r="Q915" s="225"/>
    </row>
    <row r="916" spans="16:17" ht="14.25" customHeight="1" x14ac:dyDescent="0.3">
      <c r="P916" s="225"/>
      <c r="Q916" s="225"/>
    </row>
    <row r="917" spans="16:17" ht="14.25" customHeight="1" x14ac:dyDescent="0.3">
      <c r="P917" s="225"/>
      <c r="Q917" s="225"/>
    </row>
    <row r="918" spans="16:17" ht="14.25" customHeight="1" x14ac:dyDescent="0.3">
      <c r="P918" s="225"/>
      <c r="Q918" s="225"/>
    </row>
    <row r="919" spans="16:17" ht="14.25" customHeight="1" x14ac:dyDescent="0.3">
      <c r="P919" s="225"/>
      <c r="Q919" s="225"/>
    </row>
    <row r="920" spans="16:17" ht="14.25" customHeight="1" x14ac:dyDescent="0.3">
      <c r="P920" s="225"/>
      <c r="Q920" s="225"/>
    </row>
    <row r="921" spans="16:17" ht="14.25" customHeight="1" x14ac:dyDescent="0.3">
      <c r="P921" s="225"/>
      <c r="Q921" s="225"/>
    </row>
    <row r="922" spans="16:17" ht="14.25" customHeight="1" x14ac:dyDescent="0.3">
      <c r="P922" s="225"/>
      <c r="Q922" s="225"/>
    </row>
    <row r="923" spans="16:17" ht="14.25" customHeight="1" x14ac:dyDescent="0.3">
      <c r="P923" s="225"/>
      <c r="Q923" s="225"/>
    </row>
    <row r="924" spans="16:17" ht="14.25" customHeight="1" x14ac:dyDescent="0.3">
      <c r="P924" s="225"/>
      <c r="Q924" s="225"/>
    </row>
    <row r="925" spans="16:17" ht="14.25" customHeight="1" x14ac:dyDescent="0.3">
      <c r="P925" s="225"/>
      <c r="Q925" s="225"/>
    </row>
    <row r="926" spans="16:17" ht="14.25" customHeight="1" x14ac:dyDescent="0.3">
      <c r="P926" s="225"/>
      <c r="Q926" s="225"/>
    </row>
    <row r="927" spans="16:17" ht="14.25" customHeight="1" x14ac:dyDescent="0.3">
      <c r="P927" s="225"/>
      <c r="Q927" s="225"/>
    </row>
    <row r="928" spans="16:17" ht="14.25" customHeight="1" x14ac:dyDescent="0.3">
      <c r="P928" s="225"/>
      <c r="Q928" s="225"/>
    </row>
    <row r="929" spans="16:17" ht="14.25" customHeight="1" x14ac:dyDescent="0.3">
      <c r="P929" s="225"/>
      <c r="Q929" s="225"/>
    </row>
    <row r="930" spans="16:17" ht="14.25" customHeight="1" x14ac:dyDescent="0.3">
      <c r="P930" s="225"/>
      <c r="Q930" s="225"/>
    </row>
    <row r="931" spans="16:17" ht="14.25" customHeight="1" x14ac:dyDescent="0.3">
      <c r="P931" s="225"/>
      <c r="Q931" s="225"/>
    </row>
    <row r="932" spans="16:17" ht="14.25" customHeight="1" x14ac:dyDescent="0.3">
      <c r="P932" s="225"/>
      <c r="Q932" s="225"/>
    </row>
    <row r="933" spans="16:17" ht="14.25" customHeight="1" x14ac:dyDescent="0.3">
      <c r="P933" s="225"/>
      <c r="Q933" s="225"/>
    </row>
    <row r="934" spans="16:17" ht="14.25" customHeight="1" x14ac:dyDescent="0.3">
      <c r="P934" s="225"/>
      <c r="Q934" s="225"/>
    </row>
    <row r="935" spans="16:17" ht="14.25" customHeight="1" x14ac:dyDescent="0.3">
      <c r="P935" s="225"/>
      <c r="Q935" s="225"/>
    </row>
    <row r="936" spans="16:17" ht="14.25" customHeight="1" x14ac:dyDescent="0.3">
      <c r="P936" s="225"/>
      <c r="Q936" s="225"/>
    </row>
    <row r="937" spans="16:17" ht="14.25" customHeight="1" x14ac:dyDescent="0.3">
      <c r="P937" s="225"/>
      <c r="Q937" s="225"/>
    </row>
    <row r="938" spans="16:17" ht="14.25" customHeight="1" x14ac:dyDescent="0.3">
      <c r="P938" s="225"/>
      <c r="Q938" s="225"/>
    </row>
    <row r="939" spans="16:17" ht="14.25" customHeight="1" x14ac:dyDescent="0.3">
      <c r="P939" s="225"/>
      <c r="Q939" s="225"/>
    </row>
    <row r="940" spans="16:17" ht="14.25" customHeight="1" x14ac:dyDescent="0.3">
      <c r="P940" s="225"/>
      <c r="Q940" s="225"/>
    </row>
    <row r="941" spans="16:17" ht="14.25" customHeight="1" x14ac:dyDescent="0.3">
      <c r="P941" s="225"/>
      <c r="Q941" s="225"/>
    </row>
    <row r="942" spans="16:17" ht="14.25" customHeight="1" x14ac:dyDescent="0.3">
      <c r="P942" s="225"/>
      <c r="Q942" s="225"/>
    </row>
    <row r="943" spans="16:17" ht="14.25" customHeight="1" x14ac:dyDescent="0.3">
      <c r="P943" s="225"/>
      <c r="Q943" s="225"/>
    </row>
    <row r="944" spans="16:17" ht="14.25" customHeight="1" x14ac:dyDescent="0.3">
      <c r="P944" s="225"/>
      <c r="Q944" s="225"/>
    </row>
    <row r="945" spans="16:17" ht="14.25" customHeight="1" x14ac:dyDescent="0.3">
      <c r="P945" s="225"/>
      <c r="Q945" s="225"/>
    </row>
    <row r="946" spans="16:17" ht="14.25" customHeight="1" x14ac:dyDescent="0.3">
      <c r="P946" s="225"/>
      <c r="Q946" s="225"/>
    </row>
    <row r="947" spans="16:17" ht="14.25" customHeight="1" x14ac:dyDescent="0.3">
      <c r="P947" s="225"/>
      <c r="Q947" s="225"/>
    </row>
    <row r="948" spans="16:17" ht="14.25" customHeight="1" x14ac:dyDescent="0.3">
      <c r="P948" s="225"/>
      <c r="Q948" s="225"/>
    </row>
    <row r="949" spans="16:17" ht="14.25" customHeight="1" x14ac:dyDescent="0.3">
      <c r="P949" s="225"/>
      <c r="Q949" s="225"/>
    </row>
    <row r="950" spans="16:17" ht="14.25" customHeight="1" x14ac:dyDescent="0.3">
      <c r="P950" s="225"/>
      <c r="Q950" s="225"/>
    </row>
    <row r="951" spans="16:17" ht="14.25" customHeight="1" x14ac:dyDescent="0.3">
      <c r="P951" s="225"/>
      <c r="Q951" s="225"/>
    </row>
    <row r="952" spans="16:17" ht="14.25" customHeight="1" x14ac:dyDescent="0.3">
      <c r="P952" s="225"/>
      <c r="Q952" s="225"/>
    </row>
    <row r="953" spans="16:17" ht="14.25" customHeight="1" x14ac:dyDescent="0.3">
      <c r="P953" s="225"/>
      <c r="Q953" s="225"/>
    </row>
    <row r="954" spans="16:17" ht="14.25" customHeight="1" x14ac:dyDescent="0.3">
      <c r="P954" s="225"/>
      <c r="Q954" s="225"/>
    </row>
    <row r="955" spans="16:17" ht="14.25" customHeight="1" x14ac:dyDescent="0.3">
      <c r="P955" s="225"/>
      <c r="Q955" s="225"/>
    </row>
    <row r="956" spans="16:17" ht="14.25" customHeight="1" x14ac:dyDescent="0.3">
      <c r="P956" s="225"/>
      <c r="Q956" s="225"/>
    </row>
    <row r="957" spans="16:17" ht="14.25" customHeight="1" x14ac:dyDescent="0.3">
      <c r="P957" s="225"/>
      <c r="Q957" s="225"/>
    </row>
    <row r="958" spans="16:17" ht="14.25" customHeight="1" x14ac:dyDescent="0.3">
      <c r="P958" s="225"/>
      <c r="Q958" s="225"/>
    </row>
    <row r="959" spans="16:17" ht="14.25" customHeight="1" x14ac:dyDescent="0.3">
      <c r="P959" s="225"/>
      <c r="Q959" s="225"/>
    </row>
    <row r="960" spans="16:17" ht="14.25" customHeight="1" x14ac:dyDescent="0.3">
      <c r="P960" s="225"/>
      <c r="Q960" s="225"/>
    </row>
    <row r="961" spans="16:17" ht="14.25" customHeight="1" x14ac:dyDescent="0.3">
      <c r="P961" s="225"/>
      <c r="Q961" s="225"/>
    </row>
    <row r="962" spans="16:17" ht="14.25" customHeight="1" x14ac:dyDescent="0.3">
      <c r="P962" s="225"/>
      <c r="Q962" s="225"/>
    </row>
    <row r="963" spans="16:17" ht="14.25" customHeight="1" x14ac:dyDescent="0.3">
      <c r="P963" s="225"/>
      <c r="Q963" s="225"/>
    </row>
    <row r="964" spans="16:17" ht="14.25" customHeight="1" x14ac:dyDescent="0.3">
      <c r="P964" s="225"/>
      <c r="Q964" s="225"/>
    </row>
    <row r="965" spans="16:17" ht="14.25" customHeight="1" x14ac:dyDescent="0.3">
      <c r="P965" s="225"/>
      <c r="Q965" s="225"/>
    </row>
    <row r="966" spans="16:17" ht="14.25" customHeight="1" x14ac:dyDescent="0.3">
      <c r="P966" s="225"/>
      <c r="Q966" s="225"/>
    </row>
    <row r="967" spans="16:17" ht="14.25" customHeight="1" x14ac:dyDescent="0.3">
      <c r="P967" s="225"/>
      <c r="Q967" s="225"/>
    </row>
    <row r="968" spans="16:17" ht="14.25" customHeight="1" x14ac:dyDescent="0.3">
      <c r="P968" s="225"/>
      <c r="Q968" s="225"/>
    </row>
    <row r="969" spans="16:17" ht="14.25" customHeight="1" x14ac:dyDescent="0.3">
      <c r="P969" s="225"/>
      <c r="Q969" s="225"/>
    </row>
    <row r="970" spans="16:17" ht="14.25" customHeight="1" x14ac:dyDescent="0.3">
      <c r="P970" s="225"/>
      <c r="Q970" s="225"/>
    </row>
    <row r="971" spans="16:17" ht="14.25" customHeight="1" x14ac:dyDescent="0.3">
      <c r="P971" s="225"/>
      <c r="Q971" s="225"/>
    </row>
    <row r="972" spans="16:17" ht="14.25" customHeight="1" x14ac:dyDescent="0.3">
      <c r="P972" s="225"/>
      <c r="Q972" s="225"/>
    </row>
    <row r="973" spans="16:17" ht="14.25" customHeight="1" x14ac:dyDescent="0.3">
      <c r="P973" s="225"/>
      <c r="Q973" s="225"/>
    </row>
    <row r="974" spans="16:17" ht="14.25" customHeight="1" x14ac:dyDescent="0.3">
      <c r="P974" s="225"/>
      <c r="Q974" s="225"/>
    </row>
    <row r="975" spans="16:17" ht="14.25" customHeight="1" x14ac:dyDescent="0.3">
      <c r="P975" s="225"/>
      <c r="Q975" s="225"/>
    </row>
    <row r="976" spans="16:17" ht="14.25" customHeight="1" x14ac:dyDescent="0.3">
      <c r="P976" s="225"/>
      <c r="Q976" s="225"/>
    </row>
    <row r="977" spans="16:17" ht="14.25" customHeight="1" x14ac:dyDescent="0.3">
      <c r="P977" s="225"/>
      <c r="Q977" s="225"/>
    </row>
    <row r="978" spans="16:17" ht="14.25" customHeight="1" x14ac:dyDescent="0.3">
      <c r="P978" s="225"/>
      <c r="Q978" s="225"/>
    </row>
    <row r="979" spans="16:17" ht="14.25" customHeight="1" x14ac:dyDescent="0.3">
      <c r="P979" s="225"/>
      <c r="Q979" s="225"/>
    </row>
    <row r="980" spans="16:17" ht="14.25" customHeight="1" x14ac:dyDescent="0.3">
      <c r="P980" s="225"/>
      <c r="Q980" s="225"/>
    </row>
    <row r="981" spans="16:17" ht="14.25" customHeight="1" x14ac:dyDescent="0.3">
      <c r="P981" s="225"/>
      <c r="Q981" s="225"/>
    </row>
    <row r="982" spans="16:17" ht="14.25" customHeight="1" x14ac:dyDescent="0.3">
      <c r="P982" s="225"/>
      <c r="Q982" s="225"/>
    </row>
    <row r="983" spans="16:17" ht="14.25" customHeight="1" x14ac:dyDescent="0.3">
      <c r="P983" s="225"/>
      <c r="Q983" s="225"/>
    </row>
    <row r="984" spans="16:17" ht="14.25" customHeight="1" x14ac:dyDescent="0.3">
      <c r="P984" s="225"/>
      <c r="Q984" s="225"/>
    </row>
    <row r="985" spans="16:17" ht="14.25" customHeight="1" x14ac:dyDescent="0.3">
      <c r="P985" s="225"/>
      <c r="Q985" s="225"/>
    </row>
    <row r="986" spans="16:17" ht="14.25" customHeight="1" x14ac:dyDescent="0.3">
      <c r="P986" s="225"/>
      <c r="Q986" s="225"/>
    </row>
    <row r="987" spans="16:17" ht="14.25" customHeight="1" x14ac:dyDescent="0.3">
      <c r="P987" s="225"/>
      <c r="Q987" s="225"/>
    </row>
    <row r="988" spans="16:17" ht="14.25" customHeight="1" x14ac:dyDescent="0.3">
      <c r="P988" s="225"/>
      <c r="Q988" s="225"/>
    </row>
    <row r="989" spans="16:17" ht="14.25" customHeight="1" x14ac:dyDescent="0.3">
      <c r="P989" s="225"/>
      <c r="Q989" s="225"/>
    </row>
    <row r="990" spans="16:17" ht="14.25" customHeight="1" x14ac:dyDescent="0.3">
      <c r="P990" s="225"/>
      <c r="Q990" s="225"/>
    </row>
    <row r="991" spans="16:17" ht="14.25" customHeight="1" x14ac:dyDescent="0.3">
      <c r="P991" s="225"/>
      <c r="Q991" s="225"/>
    </row>
    <row r="992" spans="16:17" ht="14.25" customHeight="1" x14ac:dyDescent="0.3">
      <c r="P992" s="225"/>
      <c r="Q992" s="225"/>
    </row>
    <row r="993" spans="16:17" ht="14.25" customHeight="1" x14ac:dyDescent="0.3">
      <c r="P993" s="225"/>
      <c r="Q993" s="225"/>
    </row>
    <row r="994" spans="16:17" ht="14.25" customHeight="1" x14ac:dyDescent="0.3">
      <c r="P994" s="225"/>
      <c r="Q994" s="225"/>
    </row>
    <row r="995" spans="16:17" ht="14.25" customHeight="1" x14ac:dyDescent="0.3">
      <c r="P995" s="225"/>
      <c r="Q995" s="225"/>
    </row>
    <row r="996" spans="16:17" ht="14.25" customHeight="1" x14ac:dyDescent="0.3">
      <c r="P996" s="225"/>
      <c r="Q996" s="225"/>
    </row>
    <row r="997" spans="16:17" ht="14.25" customHeight="1" x14ac:dyDescent="0.3">
      <c r="P997" s="225"/>
      <c r="Q997" s="225"/>
    </row>
    <row r="998" spans="16:17" ht="14.25" customHeight="1" x14ac:dyDescent="0.3">
      <c r="P998" s="225"/>
      <c r="Q998" s="225"/>
    </row>
    <row r="999" spans="16:17" ht="14.25" customHeight="1" x14ac:dyDescent="0.3">
      <c r="P999" s="225"/>
      <c r="Q999" s="225"/>
    </row>
    <row r="1000" spans="16:17" ht="14.25" customHeight="1" x14ac:dyDescent="0.3">
      <c r="P1000" s="225"/>
      <c r="Q1000" s="22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27JulyTo15Nov_All</vt:lpstr>
      <vt:lpstr>CamparisionReport</vt:lpstr>
      <vt:lpstr>9NovTo15Nov</vt:lpstr>
      <vt:lpstr>2NovTo8Nov</vt:lpstr>
      <vt:lpstr>26OctTo1Nov</vt:lpstr>
      <vt:lpstr>19OctTo25Oct</vt:lpstr>
      <vt:lpstr>12OctTo18Oct</vt:lpstr>
      <vt:lpstr>5OctTo11Oct</vt:lpstr>
      <vt:lpstr>28SepTo4Oct</vt:lpstr>
      <vt:lpstr>21SepTo27Sep</vt:lpstr>
      <vt:lpstr>14SepTo20Sep</vt:lpstr>
      <vt:lpstr>7SepTo13Sep</vt:lpstr>
      <vt:lpstr>31AugTo6Sep</vt:lpstr>
      <vt:lpstr>24AugTo29Aug</vt:lpstr>
      <vt:lpstr>17AugTo21Aug</vt:lpstr>
      <vt:lpstr>10AugTo16Aug</vt:lpstr>
      <vt:lpstr>3AugTo9Aug</vt:lpstr>
      <vt:lpstr>27JulyTo2Aug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Verma</dc:creator>
  <cp:lastModifiedBy>Deepak Verma</cp:lastModifiedBy>
  <dcterms:created xsi:type="dcterms:W3CDTF">2025-09-09T11:52:38Z</dcterms:created>
  <dcterms:modified xsi:type="dcterms:W3CDTF">2025-11-18T16:37:42Z</dcterms:modified>
</cp:coreProperties>
</file>